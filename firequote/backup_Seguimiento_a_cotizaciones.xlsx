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threadedComments/threadedComment3.xml" ContentType="application/vnd.ms-excel.threaded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threadedComments/threadedComment4.xml" ContentType="application/vnd.ms-excel.threaded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ingeici-my.sharepoint.com/personal/info_ingeici_onmicrosoft_com/Documents/ICI/Cotizaciones/Seguimiento a cotizaciones/"/>
    </mc:Choice>
  </mc:AlternateContent>
  <xr:revisionPtr revIDLastSave="328" documentId="13_ncr:1_{1BF26843-A6EC-47A1-8760-53F8F91E16C3}" xr6:coauthVersionLast="47" xr6:coauthVersionMax="47" xr10:uidLastSave="{A73570DE-5816-4CE0-BD16-311E06D629D6}"/>
  <bookViews>
    <workbookView xWindow="28680" yWindow="-120" windowWidth="29040" windowHeight="15840" activeTab="8" xr2:uid="{00000000-000D-0000-FFFF-FFFF00000000}"/>
  </bookViews>
  <sheets>
    <sheet name="2018" sheetId="1" r:id="rId1"/>
    <sheet name="2019" sheetId="2" r:id="rId2"/>
    <sheet name="2020" sheetId="3" r:id="rId3"/>
    <sheet name="2021" sheetId="4" r:id="rId4"/>
    <sheet name="2022" sheetId="5" r:id="rId5"/>
    <sheet name="2023" sheetId="6" r:id="rId6"/>
    <sheet name="2024" sheetId="8" r:id="rId7"/>
    <sheet name="2025" sheetId="9" r:id="rId8"/>
    <sheet name="2026" sheetId="11" r:id="rId9"/>
    <sheet name="Hoja1" sheetId="10" r:id="rId10"/>
    <sheet name="ANÁLISIS COTIZACIONES" sheetId="7" r:id="rId11"/>
  </sheets>
  <definedNames>
    <definedName name="_xlnm._FilterDatabase" localSheetId="4" hidden="1">'2022'!$B$11:$P$573</definedName>
    <definedName name="_xlnm._FilterDatabase" localSheetId="5" hidden="1">'2023'!$B$11:$P$574</definedName>
    <definedName name="_xlnm._FilterDatabase" localSheetId="6" hidden="1">'2024'!$B$11:$P$626</definedName>
    <definedName name="_xlnm._FilterDatabase" localSheetId="7" hidden="1">'2025'!$A$10:$O$669</definedName>
    <definedName name="_xlnm._FilterDatabase" localSheetId="8" hidden="1">'2026'!$A$10:$P$670</definedName>
    <definedName name="_xlnm.Print_Area" localSheetId="9">Hoja1!$A$1:$G$6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6" i="11" l="1"/>
  <c r="J44" i="11"/>
  <c r="J43" i="11" l="1"/>
  <c r="J387" i="9" l="1"/>
  <c r="J462" i="9"/>
  <c r="F3" i="10"/>
  <c r="G3" i="10" s="1"/>
  <c r="H3" i="10" s="1"/>
  <c r="F4" i="10"/>
  <c r="G4" i="10" s="1"/>
  <c r="H4" i="10" s="1"/>
  <c r="F5" i="10"/>
  <c r="G5" i="10" s="1"/>
  <c r="H5" i="10" s="1"/>
  <c r="E2" i="10"/>
  <c r="J271" i="9"/>
  <c r="F2" i="10" l="1"/>
  <c r="G2" i="10" s="1"/>
  <c r="J273" i="9"/>
  <c r="J212" i="9"/>
  <c r="J168" i="9"/>
  <c r="J33" i="9"/>
  <c r="K438" i="8"/>
  <c r="K103" i="8"/>
  <c r="K159" i="6"/>
  <c r="P6" i="7" s="1"/>
  <c r="H3" i="7"/>
  <c r="B3" i="7"/>
  <c r="H4" i="7"/>
  <c r="B4" i="7"/>
  <c r="H5" i="7"/>
  <c r="B5" i="7"/>
  <c r="H6" i="7"/>
  <c r="B6" i="7"/>
  <c r="H7" i="7"/>
  <c r="B7" i="7"/>
  <c r="H8" i="7"/>
  <c r="B8" i="7"/>
  <c r="H9" i="7"/>
  <c r="B9" i="7"/>
  <c r="H10" i="7"/>
  <c r="B10" i="7"/>
  <c r="H11" i="7"/>
  <c r="B11" i="7"/>
  <c r="H12" i="7"/>
  <c r="B12" i="7"/>
  <c r="H13" i="7"/>
  <c r="B13" i="7"/>
  <c r="H14" i="7"/>
  <c r="B14" i="7"/>
  <c r="I3" i="7"/>
  <c r="C3" i="7"/>
  <c r="I4" i="7"/>
  <c r="C4" i="7"/>
  <c r="I5" i="7"/>
  <c r="C5" i="7"/>
  <c r="I6" i="7"/>
  <c r="C6" i="7"/>
  <c r="I7" i="7"/>
  <c r="C7" i="7"/>
  <c r="I8" i="7"/>
  <c r="C8" i="7"/>
  <c r="I9" i="7"/>
  <c r="C9" i="7"/>
  <c r="I10" i="7"/>
  <c r="C10" i="7"/>
  <c r="I11" i="7"/>
  <c r="C11" i="7"/>
  <c r="I12" i="7"/>
  <c r="C12" i="7"/>
  <c r="I13" i="7"/>
  <c r="C13" i="7"/>
  <c r="I14" i="7"/>
  <c r="C14" i="7"/>
  <c r="J3" i="7"/>
  <c r="D3" i="7"/>
  <c r="J4" i="7"/>
  <c r="D4" i="7"/>
  <c r="J5" i="7"/>
  <c r="D5" i="7"/>
  <c r="J6" i="7"/>
  <c r="J7" i="7"/>
  <c r="D7" i="7"/>
  <c r="J8" i="7"/>
  <c r="D8" i="7"/>
  <c r="J9" i="7"/>
  <c r="J10" i="7"/>
  <c r="D10" i="7"/>
  <c r="J11" i="7"/>
  <c r="D11" i="7"/>
  <c r="J12" i="7"/>
  <c r="D12" i="7"/>
  <c r="J13" i="7"/>
  <c r="D13" i="7"/>
  <c r="E4" i="7"/>
  <c r="P14" i="7"/>
  <c r="K14" i="7"/>
  <c r="E14" i="7"/>
  <c r="P13" i="7"/>
  <c r="K13" i="7"/>
  <c r="E13" i="7"/>
  <c r="P12" i="7"/>
  <c r="K12" i="7"/>
  <c r="E12" i="7"/>
  <c r="P11" i="7"/>
  <c r="K11" i="7"/>
  <c r="E11" i="7"/>
  <c r="P10" i="7"/>
  <c r="K10" i="7"/>
  <c r="E10" i="7"/>
  <c r="P9" i="7"/>
  <c r="K9" i="7"/>
  <c r="E9" i="7"/>
  <c r="P8" i="7"/>
  <c r="K8" i="7"/>
  <c r="E8" i="7"/>
  <c r="P7" i="7"/>
  <c r="K7" i="7"/>
  <c r="E7" i="7"/>
  <c r="K6" i="7"/>
  <c r="E6" i="7"/>
  <c r="K5" i="7"/>
  <c r="P4" i="7"/>
  <c r="K4" i="7"/>
  <c r="P3" i="7"/>
  <c r="K3" i="7"/>
  <c r="E3" i="7"/>
  <c r="K117" i="6"/>
  <c r="E5" i="7" s="1"/>
  <c r="K521" i="5"/>
  <c r="D14" i="7" s="1"/>
  <c r="K306" i="5"/>
  <c r="D9" i="7" s="1"/>
  <c r="K152" i="5"/>
  <c r="D6" i="7" s="1"/>
  <c r="J228" i="2"/>
  <c r="H2" i="10" l="1"/>
  <c r="G6" i="10"/>
  <c r="H6" i="10" s="1"/>
  <c r="R4" i="7"/>
  <c r="R5" i="7"/>
  <c r="Q13" i="7"/>
  <c r="Q9" i="7"/>
  <c r="Q5" i="7"/>
  <c r="R8" i="7"/>
  <c r="Q8" i="7"/>
  <c r="S12" i="7"/>
  <c r="Q10" i="7"/>
  <c r="Q4" i="7"/>
  <c r="S7" i="7"/>
  <c r="R6" i="7"/>
  <c r="Q14" i="7"/>
  <c r="R14" i="7"/>
  <c r="Q6" i="7"/>
  <c r="S10" i="7"/>
  <c r="S5" i="7"/>
  <c r="R13" i="7"/>
  <c r="R9" i="7"/>
  <c r="T3" i="7"/>
  <c r="S13" i="7"/>
  <c r="S4" i="7"/>
  <c r="R12" i="7"/>
  <c r="Q12" i="7"/>
  <c r="S9" i="7"/>
  <c r="J14" i="7"/>
  <c r="S14" i="7" s="1"/>
  <c r="T4" i="7"/>
  <c r="S3" i="7"/>
  <c r="R11" i="7"/>
  <c r="R7" i="7"/>
  <c r="R3" i="7"/>
  <c r="Q11" i="7"/>
  <c r="Q7" i="7"/>
  <c r="Q3" i="7"/>
  <c r="S11" i="7"/>
  <c r="S6" i="7"/>
  <c r="R10" i="7"/>
  <c r="S8" i="7"/>
  <c r="P5" i="7"/>
  <c r="T5" i="7"/>
  <c r="Q15" i="7" l="1"/>
  <c r="R15" i="7"/>
  <c r="S1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</author>
    <author>Juan</author>
    <author>Asus</author>
    <author>Juanes</author>
  </authors>
  <commentList>
    <comment ref="J5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juan:</t>
        </r>
        <r>
          <rPr>
            <sz val="9"/>
            <color indexed="81"/>
            <rFont val="Tahoma"/>
            <family val="2"/>
          </rPr>
          <t xml:space="preserve">
Adicional a este valor, se tiene que cada visita de auditoría de obra valdrá 1.100.000 pesos + IVA</t>
        </r>
      </text>
    </comment>
    <comment ref="J5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juan:</t>
        </r>
        <r>
          <rPr>
            <sz val="9"/>
            <color indexed="81"/>
            <rFont val="Tahoma"/>
            <family val="2"/>
          </rPr>
          <t xml:space="preserve">
Valor en dólares</t>
        </r>
      </text>
    </comment>
    <comment ref="J79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Juan:</t>
        </r>
        <r>
          <rPr>
            <sz val="9"/>
            <color indexed="81"/>
            <rFont val="Tahoma"/>
            <family val="2"/>
          </rPr>
          <t xml:space="preserve">
Valor en d+olares</t>
        </r>
      </text>
    </comment>
    <comment ref="J106" authorId="2" shapeId="0" xr:uid="{00000000-0006-0000-0000-000004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Precio en dólares</t>
        </r>
      </text>
    </comment>
    <comment ref="J114" authorId="2" shapeId="0" xr:uid="{00000000-0006-0000-0000-000005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Valor en dólares
</t>
        </r>
      </text>
    </comment>
    <comment ref="J117" authorId="2" shapeId="0" xr:uid="{00000000-0006-0000-0000-000006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Valor en dólares
</t>
        </r>
      </text>
    </comment>
    <comment ref="J133" authorId="2" shapeId="0" xr:uid="{00000000-0006-0000-0000-000007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Precio en dólares</t>
        </r>
      </text>
    </comment>
    <comment ref="K151" authorId="3" shapeId="0" xr:uid="{00000000-0006-0000-0000-000008000000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Sufrió modificación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J1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Valor en dólares</t>
        </r>
      </text>
    </comment>
    <comment ref="J2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Valor en dólares</t>
        </r>
      </text>
    </comment>
    <comment ref="J8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Valor en dólares</t>
        </r>
      </text>
    </comment>
    <comment ref="J117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Valor en dólares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tc={5DF7D630-66A4-4427-833D-1CB5AAA68328}</author>
  </authors>
  <commentList>
    <comment ref="M183" authorId="0" shapeId="0" xr:uid="{00000000-0006-0000-02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Aprobaron solo la seguridad humana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tc={CB3F6B52-8B45-4238-8915-C4957843A416}</author>
    <author>tc={5C96A839-D0B3-49A4-BA09-6CA9C5C97A51}</author>
    <author>JUANES</author>
    <author>tc={CB3F6B52-8B45-4239-8915-C4957843A416}</author>
    <author>tc={9774DA0D-474F-4318-A057-5E39F512EEF3}</author>
    <author>Juanes</author>
  </authors>
  <commentList>
    <comment ref="K30" authorId="0" shapeId="0" xr:uid="{00000000-0006-0000-03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VALOR EN DÓLARES</t>
      </text>
    </comment>
    <comment ref="M57" authorId="1" shapeId="0" xr:uid="{00000000-0006-0000-0300-00000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aprobaron SH</t>
      </text>
    </comment>
    <comment ref="K123" authorId="2" shapeId="0" xr:uid="{00000000-0006-0000-0300-000003000000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Dólares</t>
        </r>
      </text>
    </comment>
    <comment ref="K134" authorId="2" shapeId="0" xr:uid="{00000000-0006-0000-0300-000004000000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Dólares</t>
        </r>
      </text>
    </comment>
    <comment ref="K139" authorId="3" shapeId="0" xr:uid="{00000000-0006-0000-0300-000005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VALOR EN DÓLARES</t>
      </text>
    </comment>
    <comment ref="K161" authorId="4" shapeId="0" xr:uid="{00000000-0006-0000-0300-000006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valor por cada visita</t>
      </text>
    </comment>
    <comment ref="K436" authorId="5" shapeId="0" xr:uid="{00000000-0006-0000-0300-000007000000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Valor en dólares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Juanes</author>
  </authors>
  <commentList>
    <comment ref="K12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valor en dólares</t>
        </r>
      </text>
    </comment>
    <comment ref="K202" authorId="0" shapeId="0" xr:uid="{9E8F8E68-5B01-487C-9CC5-ADE1A9EB80C2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Valor hora</t>
        </r>
      </text>
    </comment>
    <comment ref="J420" authorId="0" shapeId="0" xr:uid="{094A0EB3-E734-4C71-8D8C-B1DAFFF6F017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El nombre es "INTERVÉ"</t>
        </r>
      </text>
    </comment>
    <comment ref="K438" authorId="0" shapeId="0" xr:uid="{0B9DAA7F-0BEE-47B3-AF44-7339514C7334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Valor en dólares</t>
        </r>
      </text>
    </comment>
    <comment ref="J440" authorId="0" shapeId="0" xr:uid="{817CDF0B-EFCB-47AA-81E5-43AB8D6D1E7E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El nombre es "Intervé"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Juanes</author>
  </authors>
  <commentList>
    <comment ref="J420" authorId="0" shapeId="0" xr:uid="{CF90C3A1-AAEB-4ABA-A1A6-40E58CAA49B9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El nombre es "INTERVÉ"</t>
        </r>
      </text>
    </comment>
    <comment ref="J440" authorId="0" shapeId="0" xr:uid="{D736C087-EE95-4B41-ADBB-E12838457D90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El nombre es "Intervé"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Juanes</author>
    <author>tc={FE857DB4-9BF8-45F7-B0F8-F8FDC5FC3280}</author>
    <author>tc={48AD2E01-1971-49AA-BF41-68B1930E27C2}</author>
    <author>tc={1DA55093-C9FB-45B7-AA3A-3210F27B51DE}</author>
  </authors>
  <commentList>
    <comment ref="J441" authorId="0" shapeId="0" xr:uid="{43C83509-449E-4D03-A767-91D546132AB9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El nombre es "Intervé"</t>
        </r>
      </text>
    </comment>
    <comment ref="K483" authorId="0" shapeId="0" xr:uid="{5179F43E-F785-46D8-A242-9019444C76F3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Asesoría por hora</t>
        </r>
      </text>
    </comment>
    <comment ref="K503" authorId="1" shapeId="0" xr:uid="{FE857DB4-9BF8-45F7-B0F8-F8FDC5FC32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Dólares</t>
      </text>
    </comment>
    <comment ref="K512" authorId="2" shapeId="0" xr:uid="{48AD2E01-1971-49AA-BF41-68B1930E27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Valor hora</t>
      </text>
    </comment>
    <comment ref="K569" authorId="3" shapeId="0" xr:uid="{1DA55093-C9FB-45B7-AA3A-3210F27B51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Valor en dólares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tc={C724CF9E-676F-47C0-BDD4-AF6E78689753}</author>
    <author>tc={F04AFF85-9739-44C1-955B-5015F3647550}</author>
    <author>Juanes</author>
  </authors>
  <commentList>
    <comment ref="J78" authorId="0" shapeId="0" xr:uid="{C724CF9E-676F-47C0-BDD4-AF6E786897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Valor en dólares</t>
      </text>
    </comment>
    <comment ref="J219" authorId="1" shapeId="0" xr:uid="{F04AFF85-9739-44C1-955B-5015F36475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Valor en dolares</t>
      </text>
    </comment>
    <comment ref="I441" authorId="2" shapeId="0" xr:uid="{70F8A762-BC6C-4F21-8D63-4679C681DA8B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El nombre es "Intervé"</t>
        </r>
      </text>
    </comment>
    <comment ref="J476" authorId="2" shapeId="0" xr:uid="{549DF617-73A6-4BC4-8907-055D6BE2EE66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Valores en dólares</t>
        </r>
      </text>
    </comment>
    <comment ref="J605" authorId="2" shapeId="0" xr:uid="{0D7FDB1C-91D4-40BB-BFAD-8114467BBEEF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valor en dólares</t>
        </r>
      </text>
    </comment>
    <comment ref="J641" authorId="2" shapeId="0" xr:uid="{A44E9535-4844-4E51-A824-815F521418AD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Dólares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Juanes</author>
  </authors>
  <commentList>
    <comment ref="J144" authorId="0" shapeId="0" xr:uid="{152D62D1-8EB7-40DF-994B-C439A21BEC9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Precio incluido IVA y es por cada institución educativa.</t>
        </r>
      </text>
    </comment>
    <comment ref="I441" authorId="1" shapeId="0" xr:uid="{44340D38-0F1F-40FC-9EC3-CE1C11158235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El nombre es "Intervé"</t>
        </r>
      </text>
    </comment>
    <comment ref="J476" authorId="1" shapeId="0" xr:uid="{A72DCFE3-9331-4A25-941B-773ED7168707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Valores en dólares</t>
        </r>
      </text>
    </comment>
    <comment ref="J605" authorId="1" shapeId="0" xr:uid="{5D58665D-37E9-4BC6-8E64-FA6D35881B73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valor en dólares</t>
        </r>
      </text>
    </comment>
    <comment ref="J641" authorId="1" shapeId="0" xr:uid="{42A10564-666D-4AC1-836D-5AD8443D892D}">
      <text>
        <r>
          <rPr>
            <b/>
            <sz val="9"/>
            <color indexed="81"/>
            <rFont val="Tahoma"/>
            <family val="2"/>
          </rPr>
          <t>Juanes:</t>
        </r>
        <r>
          <rPr>
            <sz val="9"/>
            <color indexed="81"/>
            <rFont val="Tahoma"/>
            <family val="2"/>
          </rPr>
          <t xml:space="preserve">
Dólares</t>
        </r>
      </text>
    </comment>
  </commentList>
</comments>
</file>

<file path=xl/sharedStrings.xml><?xml version="1.0" encoding="utf-8"?>
<sst xmlns="http://schemas.openxmlformats.org/spreadsheetml/2006/main" count="16233" uniqueCount="8047">
  <si>
    <t>SEGUIMIENTO A COTIZACIONES</t>
  </si>
  <si>
    <t>Número de cotización</t>
  </si>
  <si>
    <t>Descripción de la cotización</t>
  </si>
  <si>
    <t>Valor sin IVA</t>
  </si>
  <si>
    <t>Fecha de cotización</t>
  </si>
  <si>
    <t>Fecha de aprobación</t>
  </si>
  <si>
    <t>Telefono</t>
  </si>
  <si>
    <t>Persona Encargada</t>
  </si>
  <si>
    <t>Correo</t>
  </si>
  <si>
    <t>Cotización del diseño de extinción de incendios para el proyecto CDI Aures, de la ciudad de Medellín</t>
  </si>
  <si>
    <t>Cotización diseño del diseño de extinción de incendios para el CEDI - Invesa</t>
  </si>
  <si>
    <t>Cotización del diseño de extinción de incendios para el proyecto DISTRIHOGAR</t>
  </si>
  <si>
    <t>COTIZACION DEL DISEÑO DE DETECCIÓN DE INCENDIOS PARA EL PROYECT COOPIMAR</t>
  </si>
  <si>
    <t>COTIZACION DEL DISEÑO DE DETECCIÓN DE INCENDIOS PARA EL PROYECTO OLIVARI</t>
  </si>
  <si>
    <t>COTIZACION DE LOS DISEÑOS DE PROTECCIÓN CONTRA INCENDIOS PARA EL PROYECTO BODEGA FAVITO</t>
  </si>
  <si>
    <t>COTIZACION DE LOS DISEÑOS DE PROTECCIÓN CONTRA INCENDIOS PARA EL PROYECTO LOCAL 152 VIVA ENVIGADO</t>
  </si>
  <si>
    <t>COTIZACION DEL REDISEÑO Y VERIFICACIÓN DE CÁLCULOS HIDRÁULICOS PARA EL NUEVO CEDI DE INVESA, DE LA CIUDAD DE GIRARDOTA</t>
  </si>
  <si>
    <t>COTIZACION DE LOS DISEÑOS DE PROTECCIÓN CONTRA INCENDIOS PARA AGUAS DEL BOSQUE</t>
  </si>
  <si>
    <t>COTIZACION DE LOS DISEÑOS DE PROTECCIÓN CONTRA INCENDIOS LOCAL D1</t>
  </si>
  <si>
    <t>COTIZACION DE LOS DISEÑOS DE PROTECCIÓN CONTRA INCENDIOS  AV EL POBLADO - AUTOCAD</t>
  </si>
  <si>
    <t>COTIZACION DE LOS DISEÑOS DE PROTECCIÓN CONTRA INCENDIOS AV EL POBLADO - REVIT</t>
  </si>
  <si>
    <t>COTIZACION DEL ANÁLISIS DE SEGURIDAD HUMANA - PROYECTO MEDELLÍN</t>
  </si>
  <si>
    <t>COTIZACION DEL ANÁLISIS DE SEGURIDAD HUMANA - PROYECTO ENVIGADO</t>
  </si>
  <si>
    <t>COTIZACION DEL ANÁLISIS DE SEGURIDAD HUMANA - CUO CIUDADELA UNIVERSITARIA DE OCCIDENTE</t>
  </si>
  <si>
    <t>COTIZACION DE LOS DISEÑOS DE PROTECCIÓN CONTRA INCENDIOS RESTAURANTE ASIA</t>
  </si>
  <si>
    <t>COTIZACION DE LOS DISEÑOS DE PROTECCIÓN CONTRA INCENDIOS PARA EL PROYECTO CLÍNICA DE LA CIUDAD DE LA CEJA</t>
  </si>
  <si>
    <t>COTIZACION DEL DISEÑO DE EXTINCIÓN DE INCENDIOS PARA EL PROYECTO LOCAL KÓNICO VIVA ENVIGADO</t>
  </si>
  <si>
    <t>COTIZACION DE LOS DISEÑOS DE DETECCIÓN DE INCENDIOS Y SEGURIDAD HUMANA PARA EL PROYECTO NUEVA FRONTERA</t>
  </si>
  <si>
    <t>COTIZACION DE LOS DISEÑOS DE PROTECCIÓN CONTRA INCENDIOS Y SEGURIDAD HUMANA PARA EL PROYECTO MAZANTI</t>
  </si>
  <si>
    <t>COTIZACION DEL DISEÑO DE DETECCIÓN DE INCENDIOS - PUERTO RIONEGRO Y CARGA FASE I</t>
  </si>
  <si>
    <t>COTIZACION DE LOS DISEÑOS DE PROTECCIÓN CONTRA INCENDIOS PARA EL PROYECTO ON BUSINESS MILLA DE ORO</t>
  </si>
  <si>
    <t>COTIZACION DE LOS DISEÑO DE PROTECCIÓN CONTRA  INCENDIOS - OFICINAS BODEGA PREMEX</t>
  </si>
  <si>
    <t>COTIZACION DEL DISEÑO DE DETECCIÓN DE INCENDIOS PARA EL TRES CANTOS, EN LA CIUDAD DE MEDELLÍN</t>
  </si>
  <si>
    <t>COTIZACION DEL DISEÑO DE EXTINCIÓN DE INCENDIOS PARA EL PROYECTO CDI AURES</t>
  </si>
  <si>
    <t>COTIZACION DE LOS DISEÑOS DE PROTECCIÓN CONTRA INCENDIOS PARA EL PROYECTO LORITO D´MODA</t>
  </si>
  <si>
    <t>COTIZACION DE LOS DISEÑOS DE PROTECCIÓN CONTRA INCENDIOS PARA EL PROYECTO MERCADOS EL ÁGORA</t>
  </si>
  <si>
    <t>COTIZACION DE LOS DISEÑOS DE PROTECCIÓN CONTRA INCENDIOS Y SEGURIDAD HUMANA PARA EL PROYECTO BORBÓN DE LA MONTAÑA</t>
  </si>
  <si>
    <t>COTIZACION DE LOS DISEÑOS DE PROTECCIÓN CONTRA INCENDIOS Y SEGURIDAD HUMANA PARA EL PROYECTO BEILLIN</t>
  </si>
  <si>
    <t>COTIZACION DE LOS DISEÑO DE PROTECCIÓN CONTRA  INCENDIOS PARA EL PROYECTO NACAR</t>
  </si>
  <si>
    <t>COTIZACION DE LOS DISEÑOS DE PROTECCIÓN CONTRA INCENDIOS Y SEGURIDAD HUMANA PARA EL PROYECTO COLISEO RUBEN DARIO QUINTERO VILLADA EN LA CIUDAD DE RIONEGRO</t>
  </si>
  <si>
    <t>COTIZACION DE LOS DISEÑOS DE PROTECCIÓN CONTRA INCENDIOS Y SEGURIDAD HUMANA PARA EL PROYECTO HOJARASCA</t>
  </si>
  <si>
    <t>COTIZACION DE LOS DISEÑOS DE PROTECCIÓN CONTRA INCENDIOS PARA EL PROYECTO LOCAL 324 – VIVA ENVIGADO</t>
  </si>
  <si>
    <t>COTIZACION DE LOS DISEÑOS DE PROTECCIÓN CONTRA INCENDIOS PARA EL PROYECTO TRES33</t>
  </si>
  <si>
    <t>COTIZACION DE LOS DISEÑOS DE PROTECCIÓN CONTRA INCENDIOS PARA EL PROYECTO MANDALA</t>
  </si>
  <si>
    <t>COTIZACION DE LA REVISIÓN DE LOS DISEÑOS DE EXTINCIÓN Y DETECCIÓN DE INCENDIOS DEL PROYECTO CIBELES</t>
  </si>
  <si>
    <t>COTIZACION DEL DISEÑO Y DIMENCIONAMIENTO DE LAS CONEXIONES A LOS EDIFICIOS EXISTENTES DEL PROYECTO PLANTA CEMENTOS MOLINS</t>
  </si>
  <si>
    <t>COTIZACION DEL DISEÑO DE DETECCIÓN DE INCENDIOS PARA EL PROYECTO CABLE EL PICACHO - DWG</t>
  </si>
  <si>
    <t>COTIZACION DEL DISEÑO DE DETECCIÓN DE INCENDIOS PARA EL PROYECTO CABLE EL PICACHO - REVIT</t>
  </si>
  <si>
    <t>COTIZACION DE LOS DISEÑOS DE PROTECCIÓN CONTRA INCENDIOS PARA EL PROYECTO HATOVIEJO VIVA ENVIGADO</t>
  </si>
  <si>
    <t>COTIZACION DE LOS DISEÑOS DE PROTECCIÓN CONTRA INCENDIOS PARA EL PROYECTO BIKE HOUSE</t>
  </si>
  <si>
    <t>COTIZACION DE REVISIÓN DE LOS SISTEMAS DE PROTECCIÓN CONTRA INCENDIOS Y SEGURIDAD HUMANA PARA EL PROYECTO CENTRO COMERCIAL ARKADIA</t>
  </si>
  <si>
    <t>COTIZACION DEL DISEÑO DE LA RED GENERAL DE EXTINCIÓN DE INCENDIOS PARA EL PROYECTO ALAS DORADAS</t>
  </si>
  <si>
    <t>COTIZACIÓN DEL DISEÑO DE EXTINCIÓN DE INCNEIDOS PARA EL PROYECTO RAMBLER VIVA ENVIGADO</t>
  </si>
  <si>
    <t>COTIZACIÓN DEL DISEÑO DE EXTINCIÓN DE INCNEIDOS PARA EL PROYECTO TÍPICO ANTOJO VIVA ENVIGADO</t>
  </si>
  <si>
    <t>COTIZACIÓN DEL DISEÑO DE EXTINCIÓN DE INCNEIDOS PARA EL PROYECTO CROW VIVA ENVIGADO</t>
  </si>
  <si>
    <t>COTIZACION DEL ANÁLISIS DE SEGURIDAD HUMANA PARA EL PROYECTO CDI LOS LAGOS</t>
  </si>
  <si>
    <t>COTIZACION DEL DISEÑO DE EXTINCIÓN DE INCENDIOS PARA EL PROYECTO LOCAL RANCHERITO VIVA ENVIGADO</t>
  </si>
  <si>
    <t>COTIZACION DEL LOS DISEÑOS DE PROTECCIÓN CONTRA INCENDIOS PARA EL PROYECTO POLO CLUB VIVA ENVIGADO</t>
  </si>
  <si>
    <t>COTIZACION DEL LOS DISEÑOS DE PROTECCIÓN CONTRA INCENDIOS PARA EL PROYECTO SANDWICH QBANO VIVA ENVIGADO</t>
  </si>
  <si>
    <t>COTIZACION DEL DISEÑO DE EXTINCIÓN DE INCENDIOS PARA EL PROYECTO MAS X MENOS MAYORCA</t>
  </si>
  <si>
    <t>COTIZACION DEL DISEÑO DE EXTINCIÓN DE INCENDIOS PARA EL PROYECTO LOS PARQUEADEROS DE VIVA LA CEJA</t>
  </si>
  <si>
    <t>COTIZACION DEL DISEÑO DE EXTINCIÓN DE INCENDIOS PARA EL PROYECTO HOTEL PARK 10</t>
  </si>
  <si>
    <t>COTIZACION DE LOS DISEÑOS DE PROTECCIÓN CONTRA INCENDIOS Y SEGURIDAD HUMANA PARA EL PROYECTO FORESTA CAMPESTRE</t>
  </si>
  <si>
    <t>COTIZACION DE LOS DISEÑOS DE PROTECCIÓN CONTRA INCENDIOS Y SEGURIDAD HUMANA PARA EL PROYECTO JARDÍN DE CIMARRONES</t>
  </si>
  <si>
    <t>COTIZACION DE LOS DISEÑOS DE PROTECCIÓN CONTRA INCENDIOS PARA EL PROYECTO PARAÍSO VIVA ENVIGADO</t>
  </si>
  <si>
    <t>COTIZACION DEL DISEÑO DE EXTINCIÓN DE INCENDIOS PARA EL PROYECTO URGENCIAS HOSPITAL SAN JUAN DE DIOS</t>
  </si>
  <si>
    <t>COTIZACION DEL ANÁLISIS DE SEGURIDAD HUMANA LAS OFICINAS DEL METRO DE MEDELLÍN EN EL MUNICIPIO DE BELLO</t>
  </si>
  <si>
    <t>COTIZACION DEL DISEÑO DE EXTINCIÓN DE INCENDIOS PARA EL PROYECTO CALICHE CEVICHE LA CENTRAL</t>
  </si>
  <si>
    <t>COTIZACION DEL ANÁLISIS DE SEGURIDAD HUMANA PARA EL PROYECTO COWORKING NOI</t>
  </si>
  <si>
    <t>COTIZACION DE LOS DISEÑOS DE SEGURIDAD HUMANA Y PROTECCIÓN CONTRA  INCENDIOS - AYURA MOTORS ETAPA II</t>
  </si>
  <si>
    <t>COTIZACION DEL SEGUIMIENTO A LAS RECOMENDACIONES Y PRUEBA DE BOMBA - PASTAS DORIA</t>
  </si>
  <si>
    <t>COTIZACION DE LOS DISEÑOS DE SEGURIDAD HUMANA Y PROTECCIÓN CONTRA  INCENDIOS - OFICINAS 1600 M2</t>
  </si>
  <si>
    <t>COTIZACION DEL ANÁLISIS DE SEGURIDAD HUMANA PARA EL PROYECTO TORRE 3 CAMINO</t>
  </si>
  <si>
    <t>COTIZACION DEL ANÁLISIS DE SEGURIDAD HUMANA PARA EL PROYECTO TORRE 2 ENSENADA</t>
  </si>
  <si>
    <t>COTIZACION DEL DISEÑO DE EXTINCIÓN DE INCENDIOS PARA EL PROYECTO LOCAL COMFENALCO VIVA ENVIGADO</t>
  </si>
  <si>
    <t>COTIZACION DEL DISEÑO DE LA RED DE EXTINCIÓN DE INCENDIOS PARA EL PROYECTO PLANTA SAN MIGUEL - TROPIGAS VILLANUEVA</t>
  </si>
  <si>
    <t>COTIZACION DE LOS DISEÑOS DE PROTECCIÓN CONTRA INCENDIOS PARA EL PROYECTO FRUTA FRESCA VIVA ENVIGADO</t>
  </si>
  <si>
    <t>COTIZACION DEL ANÁLISIS DE SEGURIDAD HUMANA PARA LA ETAPA 1 Y ETAPA 2 DEL PROYECTO NEWPORT</t>
  </si>
  <si>
    <t>COTIZACION DEL ANÁLISIS DE SEGURIDAD HUMANA PARA LAS TORRES 1 Y 2 DEL PROYECTO PUNTA AZUL</t>
  </si>
  <si>
    <t>COTIZACION DE REVISIÓN DE LOS SISTEMA DE PROTECCIÓN CONTRA INCENDIOS PARA LA ETAPA 1 DEL PROYECTO NEWPORT</t>
  </si>
  <si>
    <t>COTIZACION DEL ANÁLISIS DE SEGURIDAD HUMANA PARA EL PROYECTO MOLISOL</t>
  </si>
  <si>
    <t>COTIZACION DEL DISEÑO DE EXTINCIÓN DE INCENDIOS PARA EL PROYECTO PRODUSA BODEGAS 246, 247, 249 y 250</t>
  </si>
  <si>
    <t>COTIZACION DEL DISEÑO DE EXTINCIÓN DE INCENDIOS PARA EL PROYECTO PLAZA LINARES</t>
  </si>
  <si>
    <t>COTIZACION DEL DISEÑO DE EXTINCIÓN DE INCENDIOS PARA EL PROYECTO PROMOSA VIVA ENVIGADO</t>
  </si>
  <si>
    <t>COTIZACION DEL DISEÑO DE EXTINCIÓN DE INCENDIOS PARA EL PROYECTO KÓNICO DE MODA</t>
  </si>
  <si>
    <t>COTIZACION DE LOS DISEÑOS DE PROTECCIÓN CONTRA INCENDIOS Y SEGURIDAD HUMANA PARA EL PROYECTO LA TAGUA</t>
  </si>
  <si>
    <t xml:space="preserve">COTIZACION DE LOS DISEÑOS DE PROTECCIÓN CONTRA INCENDIOS PARA EL PROYECTO TECNOLÓGICO DE ANTIOQUIA </t>
  </si>
  <si>
    <t>COTIZACIÓN DEL DISEÑO DEL SISTEMA DE DETECCIÓN DE INCENDIOS PARA LOS LOCALES LEÑOS Y CARBÓN, PAPA JOHN´S Y EL CORRAL</t>
  </si>
  <si>
    <t>COTIZACION DE LOS DISEÑOS DE PROTECCIÓN CONTRA  INCENDIOS - CARACOL RADIO</t>
  </si>
  <si>
    <t>COTIZACION DE LOS DISEÑOS DE PROTECCIÓN CONTRA INCENDIOS Y SEGURIDAD HUMANA PARA EL PROYECTO ESTACIÓN DE POLICÍA LAS PALMAS</t>
  </si>
  <si>
    <t>COTIZACION DE LOS DISEÑOS DE SEGURIDAD HUMANA Y PROTECCIÓN CONTRA  INCENDIOS - HOTEL ALAVERA</t>
  </si>
  <si>
    <t>COTIZACION DE LOS DISEÑOS DE PROTECCIÓN CONTRA INCENDIOS PARA EL PROYECTO MAS X MENOS VIVA ENVIGADO</t>
  </si>
  <si>
    <t>COTIZACION DEL DISEÑO DE EXTINCIÓN DE INCENDIOS PARA EL PROYECTO PRESTO VIVA ENVIGADO</t>
  </si>
  <si>
    <t>COTIZACION REVISIÓN Y CAPACITACIÓN RED CONTRA INCENDIOS – MINEROS S.A. ZONA INDUSTRIAL</t>
  </si>
  <si>
    <t>COTIZACION DE LOS DISEÑOS DE DETECCIÓN DE INCENDIOS Y SEGURIDAD HUMANA PARA EL PROYECTO TERRAZA EDIFICIO SANTILLANA</t>
  </si>
  <si>
    <t>COTIZACION DE LOS DISEÑOS DE PROTECCIÓN CONTRA  INCENDIOS - REPIMEX</t>
  </si>
  <si>
    <t>COTIZACION DEL DISEÑO DE EXTINCIÓN DE INCENDIOS PARA EL PROYECTO ALEVILLA VIVA ENVIGADO</t>
  </si>
  <si>
    <t>COTIZACION DEL ANÁLISIS DE SEGURIDAD HUMANA Y REQUERIMIENTOS DE PROTECCIÓN CONTRA INCENDIOS - TIENDAS LIVING</t>
  </si>
  <si>
    <t>COTIZACION DE LA REVISIÓN A LA INSTALACIÓN DEL SISTEMA DE EXTINCIÓN DE INCENDIOS PARA EL PROYECTO LISBOA</t>
  </si>
  <si>
    <t>COTIZACION DEL DISEÑO DE DETECCIÓN DE INCENDIOS - HOTEL CASA FLORA</t>
  </si>
  <si>
    <t>COTIZACION DEL DISEÑO DE EXTINCIÓN DE INCENDIOS - SAKURA</t>
  </si>
  <si>
    <t>OFICINA CONSTRUCCIONES DRP</t>
  </si>
  <si>
    <t>COTIZACION DEL DISEÑO DE EXTINCIÓN DE INCENDIOS - DISEÑO HOTEL WESTING CAMINO REAL</t>
  </si>
  <si>
    <t>COTIZACION DEL DIAGNÓSTICO DE LOS SISTEMAS DE PROTECCIÓN CONTRA INCENDIOS ACTUALES DE LA PLANTA TABLEMAC DURATEX</t>
  </si>
  <si>
    <t>COTIZACION DE LOS DISEÑOS DE PROTECCIÓN CONTRA  INCENDIOS - OFICINAS 850 M2 DMODA</t>
  </si>
  <si>
    <t>COTIZACION DEL DISEÑO DE EXTINCIÓN DE INCENDIOS PARA EL PROYECTO ETAPA 4 BALCONES DE SALESIA</t>
  </si>
  <si>
    <t>COTIZACION DEL DISEÑO DE EXTINCIÓN DE INCENDIOS - BRISA VIVA ENVIGADO</t>
  </si>
  <si>
    <t>COTIZACION DEL DISEÑO DE EXTINCIÓN DE INCENDIOS - RIBS VIVA ENVIGADO</t>
  </si>
  <si>
    <t>COTIZACION DE LA INGENIERÍA CONCEPTUAL Y BÁSICA DEL SISTEMA DE EXTINCIÓN DE INCENDIOS PARA LA PLANTA TABLEMAC DURATEX YARUMAL</t>
  </si>
  <si>
    <t>COTIZACION DE LOS DISEÑOS DE PROTECCIÓN CONTRA INCENDIOS Y SEGURIDAD HUMANA PARA EL PROYECTO FIRENZZE</t>
  </si>
  <si>
    <t>COTIZACION DEL DISEÑO DE DETECCIÓN DE INCENDIOS - EDIFICIO EON</t>
  </si>
  <si>
    <t>COTIZACION DE LOS RE-DISEÑOS DE PROTECCIÓN CONTRA INCENDIOS PARA EL PROYECTO SUPERCELL AVENTURA</t>
  </si>
  <si>
    <t>COTIZACION DE LA INGENIERÍA CONCEPTUAL DE EXTINCIÓN DE INCENDIOS PARA EL PROYECTO IMBERIA CAUCA</t>
  </si>
  <si>
    <t>COTIZACION VERIFICACIÓN SISTEMA DE EXTINCIÓN DE INCENDIOS - TOMZA TROPIGAS</t>
  </si>
  <si>
    <t>COTIZACION DEL DISEÑO DE EXTINCIÓN DE INCENDIOS PARA EL PROYECTO SALA VIP AEROPUERTO JMC</t>
  </si>
  <si>
    <t>COTIZACION DE LOS DISEÑOS DE PROTECCIÓN CONTRA INCENDIOS Y SEGURIDAD HUMANA PARA EL PROYECTO OTTIUM</t>
  </si>
  <si>
    <t>COTIZACION DEL DISEÑO DE EXTINCIÓN DE INCENDIOS PARA EL PROYECTO COMANDO DE POLICÍA LA ESTRELLA</t>
  </si>
  <si>
    <t>COTIZACION DE LOS DISEÑOS DE PROTECCIÓN CONTRA  INCENDIOS - PROYECTO ARBORIX</t>
  </si>
  <si>
    <t>COTIZACION DEL DISEÑO DE DETECCIÓN DE INCENDIOS - PLÁSTICOS KENDY RIONEGRO</t>
  </si>
  <si>
    <t>COTIZACION DE LOS PLANOS DE SEGURIDAD HUMANA - SWISSOTEL</t>
  </si>
  <si>
    <t>COTIZACION DE LOS DISEÑOS DE PROTECCIÓN CONTRA  INCENDIOS - HOSPITAL YONDÓ</t>
  </si>
  <si>
    <t>COTIZACION DEL DISEÑO DE EXTINCIÓN DE INCENDIOS - PREMIUM PLAZA</t>
  </si>
  <si>
    <t>COTIZACION DE LOS DISEÑOS DE SEGURIDAD HUMANA Y PROTECCIÓN CONTRA  INCENDIOS - PUNTA CAIMÁN</t>
  </si>
  <si>
    <t>COTIZACION DEL DISEÑO DE DETECCIÓN DE INCENDIOS - COMFENALCO VIVA ENVIGADO</t>
  </si>
  <si>
    <t>COTIZACION DE LOS DISEÑOS DE PROTECCIÓN CONTRA  INCENDIOS - VITHA</t>
  </si>
  <si>
    <t>COTIZACION DE LOS DISEÑOS DE PROTECCIÓN CONTRA INCENDIOS PARA EL PROYECTO MERCOVIL VOLKSWAGEN</t>
  </si>
  <si>
    <t>COTIZACION DE LOS DISEÑOS DE PROTECCIÓN CONTRA INCENDIOS Y SEGURIDAD HUMANA PARA EL PROYECTO TIGO UNE</t>
  </si>
  <si>
    <t>COTIZACION DE LA REVISIÓN DEL DISEÑO DE EXTINCIÓN DE INCENDIOS DEL PROYECTO CENTRO COMERCIAL FLORIDA II</t>
  </si>
  <si>
    <t>COTIZACION DE LOS DISEÑOS DE PROTECCIÓN CONTRA INCENDIOS Y SEGURIDAD HUMANA PARA EL PROYECTO CENTRAL MAYORISTA COPACABANA</t>
  </si>
  <si>
    <t>COTIZACION DE LOS DISEÑOS DE PROTECCIÓN CONTRA  INCENDIOS - PLANTA JAGUAR ENERGY GUATEMALA</t>
  </si>
  <si>
    <t>COTIZACION DE LOS DISEÑOS DE PROTECCIÓN CONTRA INCENDIOS Y SEGURIDAD HUMANA PARA EL PROYECTO BODEGA UHT Y CEDI COLANTA</t>
  </si>
  <si>
    <t>COTIZACION DE LOS DISEÑOS DE PROTECCIÓN CONTRA INCENDIOS PARA EL PROYECTO COLEGIO JORGE ROBLEDO</t>
  </si>
  <si>
    <t>COTIZACION DEL DISEÑO DE EXTINCIÓN DE INCENDIOS PARA EL PROYECTO COLCHONES PARAÍSO DMODA</t>
  </si>
  <si>
    <t>COTIZACION DE LOS DISEÑOS DE PROTECCIÓN CONTRA INCENDIOS Y SEGURIDAD HUMANA PARA EL PROYECTO MIXY LOS COLORES</t>
  </si>
  <si>
    <t>COTIZACION DE LOS DISEÑOS DE PROTECCIÓN CONTRA  INCENDIOS - EDIFCIO ZONA FRANCA CALDAS</t>
  </si>
  <si>
    <t>COTIZACION DE LOS DISEÑOS DE PROTECCIÓN CONTRA INCENDIOS Y SEGURIDAD HUMANA PARA EL PROYECTO FORETTI</t>
  </si>
  <si>
    <t>COTIZACION DEL DISEÑO DE EXTINCIÓN DE INCENDIOS PARA EL PROYECTO TORRE NORTE ALMACENTRO</t>
  </si>
  <si>
    <t>COTIZACION DE LOS DISEÑOS DE SEGURIDAD HUMANA Y PROTECCIÓN CONTRA  INCENDIOS - SUMAPAZ</t>
  </si>
  <si>
    <t>COTIZACION DE LOS DISEÑOS DE PROTECCIÓN CONTRA  INCENDIOS - COWORKING NOI</t>
  </si>
  <si>
    <t>COTIZACION DE LOS DISEÑOS DE SEGURIDAD HUMANA Y PROTECCIÓN CONTRA  INCENDIOS - FAMILIA EL ROSAL - STUDIO SUR</t>
  </si>
  <si>
    <t>COTIZACION DEL DISEÑO DE EXTINCIÓN DE INCENDIOS PARA STANZA VIVA ENVIGADO</t>
  </si>
  <si>
    <t>COTIZACION DE LOS DISEÑOS DE SEGURIDAD HUMANA Y PROTECCIÓN CONTRA  INCENDIOS - PRIMAVERA DEL NORTE</t>
  </si>
  <si>
    <t>COTIZACION DEL DISEÑO DE EXTINCIÓN DE INCENDIOS - COLEGIO LOMBARDIA</t>
  </si>
  <si>
    <t>COTIZACION DE LOS DISEÑOS DE SEGURIDAD HUMANA Y PROTECCIÓN CONTRA  INCENDIOS - OFICINAS ISA</t>
  </si>
  <si>
    <t>COTIZACION DE LOS DISEÑOS DE SEGURIDAD HUMANA Y PROTECCIÓN CONTRA  INCENDIOS - CLINICA COUNTRY BOGOTÁ</t>
  </si>
  <si>
    <t>COTIZACION DEL DISEÑO DE EXTINCIÓN DE INCENDIOS PARA EL PROYECTO BODEGA NATIPAN</t>
  </si>
  <si>
    <t>COTIZACION DEL ANÁLISIS DE SEGURIDAD HUMANA PARA EL PROYECTO NIQUIIA VIS</t>
  </si>
  <si>
    <t>COTIZACION DE LOS DISEÑOS DE PROTECCIÓN CONTRA INCENDIOS Y SEGURIDAD HUMANA PARA EL PROYECTO RESERVA DE LOS BÚCAROS</t>
  </si>
  <si>
    <t>COTIZACION DE LOS DISEÑOS DE PROTECCIÓN CONTRA  INCENDIOS - OFICINA SQUARE</t>
  </si>
  <si>
    <t>COTIZACION ESTIMADA DE LOS DISEÑOS DE PROTECCIÓN CONTRA INCENDIOS Y SEGURIDAD HUMANA PARA PROYECTOS DE CONSTRUCIÓN Y REMODELACIÓN</t>
  </si>
  <si>
    <t>Variable</t>
  </si>
  <si>
    <t>COTIZACION DE LOS DISEÑOS DE SEGURIDAD HUMANA Y EXTINCIÓN DE INCENDIOS - HACIENDA NIQUIA</t>
  </si>
  <si>
    <t>COTIZACION DEL DISEÑO DE EXTINCIÓN DE INCENDIOS - MEDICOA PISO 6</t>
  </si>
  <si>
    <t>COTIZACION DE REVISIÓN DE LOS SISTEMAS DE PROTECCIÓN CONTRA INCENDIOS Y SEGURIDAD HUMANA PARA EL PROYECTO MEDICOA</t>
  </si>
  <si>
    <t>COTIZACION DE LOS DISEÑOS DE PROTECCIÓN CONTRA INCENDIOS Y SEGURIDAD HUMANA PARA EL PROYECTO CLASS 48</t>
  </si>
  <si>
    <t>COTIZACION DE LA PRUEBA HIDRÁULICA AL SISTEMA DE EXTINCIÓN DE INCENDIOS DE LA EMPRESA INSUMOS &amp; TEXTILES NORBER S.A.S.</t>
  </si>
  <si>
    <t>COTIZACION DE LOS DISEÑOS DE PROTECCIÓN CONTRA INCENDIOS Y SEGURIDAD HUMANA PARA EL PROYECTO EDIFICIO COMERCIAL DE 5 PISOS</t>
  </si>
  <si>
    <t>COTIZACION CAPACITACIÓN - TIP</t>
  </si>
  <si>
    <t>COTIZACION DEL DISEÑO DE EXTINCIÓN DE INCENDIOS PARA EL PROYECTO BANDA CEMEX</t>
  </si>
  <si>
    <t>COTIZACION DE LOS DISEÑOS DE SEGURIDAD HUMANA Y PROTECCIÓN CONTRA  INCENDIOS - COTIZACIÓN GENERAL I+CONSTRUCTORA</t>
  </si>
  <si>
    <t>COTIZACION DEL DISEÑO DE EXTINCIÓN DE INCENDIOS (PRE-ACCIÓN) PARA EL PROYECTO QUIRÓFANOS T.M. EL TESORO</t>
  </si>
  <si>
    <t>COTIZACION DE LOS DISEÑOS DE PROTECCIÓN CONTRA INCENDIOS Y SEGURIDAD HUMANA PARA EL PROYECTO EDIFICIO VIZCAYA</t>
  </si>
  <si>
    <t>COTIZACION DE LOS DISEÑOS DE PROTECCIÓN CONTRA INCENDIOS Y SEGURIDAD HUMANA PARA EL PROYECTO LA PROVINCIA</t>
  </si>
  <si>
    <t>COTIZACION DE REVISIÓN DE LOS SISTEMAS DE PROTECCIÓN CONTRA INCENDIOS Y SEGURIDAD HUMANA PARA EL PROYECTO RESERVA PLAZA</t>
  </si>
  <si>
    <t>COTIZACION DE LOS DISEÑOS DE PROTECCIÓN CONTRA INCENDIOS PARA EL PROYECTO LYFT PISO 5 AVENTURA</t>
  </si>
  <si>
    <t>MODELACIÓN Y CÁLCULOS DEL SISTEMA DE DETECCIÓN DE INCENDIOS PARA EL PROYECTO COMESTIBLES LA ROSA</t>
  </si>
  <si>
    <t>ALKOMPRAR CÚCUTA</t>
  </si>
  <si>
    <t>COTIZACION DEL DISEÑO DE EXTINCIÓN DE INCENDIOS PARA EL PROYECTO COLEGIO ALEJANDRO VÉLEZ</t>
  </si>
  <si>
    <t>COTIZACION DEL ANÁLISIS DE SEGURIDAD HUMANA PARA EL PROYECTO CENTRO COMERCIAL DE 175.000 M2 UBICADO EN MEDELLÍN/COLOMBIA</t>
  </si>
  <si>
    <t>COTIZACION DE LA VALIDACIÓN HIDRÁULICA DEL EXTINCIÓN DE INCENDIOS EXISTENTE PARA EL PROYECTO – COLOMBO AMERICANO</t>
  </si>
  <si>
    <t>COTIZACION DE LOS DISEÑOS DE SEGURIDAD HUMANA Y PROTECCIÓN CONTRA  INCENDIOS - RESERVA DE SANTA MARIA</t>
  </si>
  <si>
    <t>COTIZACION DE LOS DISEÑOS DE PROTECCIÓN CONTRA INCENDIOS Y SEGURIDAD HUMANA PARA EL PROYECTO COLEGIO ALEJANDRO VÉLEZ</t>
  </si>
  <si>
    <t>COTIZACION DE LOS DISEÑOS DE PROTECCIÓN CONTRA INCENDIOS Y SEGURIDAD HUMANA PARA EL PROYECTO COLEGIO NORMAL SUPERIOR</t>
  </si>
  <si>
    <t>COTIZACION DE LOS DISEÑOS DE PROTECCIÓN CONTRA INCENDIOS Y SEGURIDAD HUMANA PARA EL PROYECTO COLEGIO JOSÉ MIGUEL DE LA CALLE</t>
  </si>
  <si>
    <t>DISEÑO DEL SISTEMA DE EXTINCIÓN DE INCENDIOS PARA TANQUES DE GLP PARA GASES DE ANTIOQUIA</t>
  </si>
  <si>
    <t>COTIZACION DE LOS DISEÑOS DE PROTECCIÓN CONTRA INCENDIOS Y SEGURIDAD HUMANA PARA EL PROYECTO PILARICA LIVING</t>
  </si>
  <si>
    <t>COTIZACION DE LOS DISEÑOS DE PROTECCIÓN CONTRA  INCENDIOS - MODIFICACIÓN ISA PISO 1</t>
  </si>
  <si>
    <t>COTIZACION DEL DISEÑO DE EXTINCIÓN DE INCENDIOS PARA EL PROYECTO BODEGA 09 ELITE RIONEGRO</t>
  </si>
  <si>
    <t>COTIZACION DE LOS DISEÑOS DE PROTECCIÓN CONTRA INCENDIOS Y SEGURIDAD HUMANA PARA EL PROYECTO COMERCIAL INMOBILIARIO DE 200 M2</t>
  </si>
  <si>
    <t>DISEÑO DE LOS SISTEMAS DE PROTECCIÓN CONTRA INCNEDIOS PARA OFICINAS DE ARGOS EN BARRANQUILLA</t>
  </si>
  <si>
    <t>COTIZACION DE LOS DISEÑOS DE PROTECCIÓN CONTRA INCENDIOS Y SEGURIDAD HUMANA PARA EL PROYECTO BOSQUE LÍBANO</t>
  </si>
  <si>
    <t>COTIZACION DE LOS DISEÑOS DE PROTECCIÓN CONTRA  INCENDIOS - BODEGA INFLAMABLES</t>
  </si>
  <si>
    <t>COTIZACION DE LOS DISEÑOS DE PROTECCIÓN CONTRA INCENDIOS Y SEGURIDAD HUMANA PARA EL PROYECTO BODEGA BOGOTÁ</t>
  </si>
  <si>
    <t>Consecutivo repetido</t>
  </si>
  <si>
    <t>No encontre informacion</t>
  </si>
  <si>
    <t>Cotización de la actualización de planos record y rediseño de los sistemas de extinción de incendio para la Terminal de Servicios Aeroportuarios Aeropuerto El Caño Quibdo</t>
  </si>
  <si>
    <t>Juan Camilo Quintero</t>
  </si>
  <si>
    <t>COTIZACION DEL REDISEÑO DE DETECCIÓN DE INCENDIOS PARA EL PROYECTO METROCABLE PICACHO</t>
  </si>
  <si>
    <t>Bayron Eliecer Puerta</t>
  </si>
  <si>
    <t>COTIZACION DEL DISEÑO DE EXTINCIÓN DE INCENDIOS PARA EL PROYECTO MAM MUSEO DE ARTE MODERNO</t>
  </si>
  <si>
    <t>Julián Suárez Estrada</t>
  </si>
  <si>
    <t>COTIZACION DE REVISIÓN DEL SISTEMAS DE EXTINCIÓN DE INCENDIOS PARA LOS LOCALES DEL CENTRO COMERCIAL PALMA GRANDE</t>
  </si>
  <si>
    <t>David Lopera</t>
  </si>
  <si>
    <t>COTIZACION DE LOS DISEÑOS DE PROTECCIÓN CONTRA  INCENDIOS - CASA RONALD MCDONALD</t>
  </si>
  <si>
    <t>Julio Alejandro Llamas</t>
  </si>
  <si>
    <t>COTIZACION DE LOS DISEÑOS DE PROTECCIÓN CONTRA INCENDIOS Y SEGURIDAD HUMANA PARA EL PROYECTO EDIFICIO MARIALUCI</t>
  </si>
  <si>
    <t>Jhon Rodriguez</t>
  </si>
  <si>
    <t>Johrladiz Úsuga</t>
  </si>
  <si>
    <t>COTIZACION DE LOS DISEÑOS DE SEGURIDAD HUMANA Y DETECCIÓN DE INCENDIOS - CANTAZARO</t>
  </si>
  <si>
    <t>José Ignacio Aristizabal</t>
  </si>
  <si>
    <t>COTIZACION DE LOS DISEÑOS DE PROTECCIÓN CONTRA INCENDIOS PARA EL PROYECTO COLEGIO UCO CIMARRONAS</t>
  </si>
  <si>
    <t>Estevan Castaño</t>
  </si>
  <si>
    <t>COTIZACION DE LOS DISEÑOS DE PROTECCIÓN CONTRA INCENDIOS PARA EL PROYECTO BRISAS DEL SOL 3</t>
  </si>
  <si>
    <t>estevancastano@gmail.com</t>
  </si>
  <si>
    <t>COTIZACION DE LOS DISEÑOS DE PROTECCIÓN CONTRA  INCENDIOS - PTAR PAPELSA</t>
  </si>
  <si>
    <t>Diana Carolina Jaramillo</t>
  </si>
  <si>
    <t>COTIZACION DEL DISEÑO DE LA RED DE EXTINCIÓN DE INCENDIOS - TROPIGAS SANTO TOMAS</t>
  </si>
  <si>
    <t>Catalina Prieto</t>
  </si>
  <si>
    <t>COTIZACION DEL DISEÑO DE EXTINCIÓN DE INCENDIOS PARA EL PROYECTO ALIMENTOS NUOVO PLANTA LA ESTRELLA</t>
  </si>
  <si>
    <t>Carlos Esteban Longas Vélez</t>
  </si>
  <si>
    <t>COTIZACION DE LOS DISEÑOS DE PROTECCIÓN CONTRA INCENDIOS PARA EL PROYECTO EVERFIT LA 65</t>
  </si>
  <si>
    <t>Adriana Jiménez</t>
  </si>
  <si>
    <t>Juan Pablo Grajales</t>
  </si>
  <si>
    <t>COTIZACION DEL DISEÑO DE EXTINCIÓN DE INCENDIOS - DATACENTER</t>
  </si>
  <si>
    <t>Daniel Felipe Díaz Beltrán M.Eng.</t>
  </si>
  <si>
    <t>COTIZACION DE LOS DISEÑOS DE PROTECCIÓN CONTRA INCENDIOS PARA EL PROYECTO COLEGIO MONSEÑOR ALFONSO URIBE JARAMILLO</t>
  </si>
  <si>
    <t>Edinson Franco</t>
  </si>
  <si>
    <t>COTIZACION DE LOS DISEÑOS DE PROTECCIÓN CONTRA  INCENDIOS - LOCAL DECORCERÁMICA LLANOGRANDE</t>
  </si>
  <si>
    <t>Jairo Andrés Moncada C.</t>
  </si>
  <si>
    <t>COTIZACION DE LOS DISEÑOS DE SEGURIDAD HUMANA Y PROTECCIÓN CONTRA  INCENDIOS - LOS MELGUIZO</t>
  </si>
  <si>
    <t>Jhon Anderson Rodriguez</t>
  </si>
  <si>
    <t>COTIZACIÓN DE ACTUALIZACIÓN DE PLANOS RECORD Y REDISEÑO DE EXTINCIÓN DE INCENDIOS PARA EL AEROPUERTO EL CAÑO QUIBDÓ</t>
  </si>
  <si>
    <t>COTIZACION DE LOS DISEÑOS DE PROTECCIÓN CONTRA INCENDIOS PARA EL PROYECTO MALL CIMARRONAS</t>
  </si>
  <si>
    <t>Oscar Salazar</t>
  </si>
  <si>
    <t>COTIZACION DEL ANÁLISIS DE SEGURIDAD HUMANA Y PROTECCIÓN CONTRA INCENDIOS - DAVITA</t>
  </si>
  <si>
    <t>Otalvaro Osorio Correa</t>
  </si>
  <si>
    <t>COTIZACION DE LOS DISEÑOS DE DE EXTINCIÓN Y DETECCIÓN  INCENDIOS - COMFAMA</t>
  </si>
  <si>
    <t>Ariel Gómez Ruíz</t>
  </si>
  <si>
    <t>COTIZACION DEL DISEÑO DE EXTINCIÓN DE INCENDIOS - FEDEX AEROPUERTO RIONEGRO</t>
  </si>
  <si>
    <t>Juan Camilo Quintero Bedoya</t>
  </si>
  <si>
    <t>COTIZACION DE LOS DISEÑOS DE PROTECCIÓN CONTRA  INCENDIOS - EDIFICIO INTERES SOCIAL LA ESTRELLA</t>
  </si>
  <si>
    <t>Jorge Ruiz E.</t>
  </si>
  <si>
    <t>COTIZACION DE LOS DISEÑOS DE SEGURIDAD HUMANA Y PROTECCIÓN CONTRA  INCENDIOS - AKI</t>
  </si>
  <si>
    <t>Maribel Osorio</t>
  </si>
  <si>
    <t>COTIZACION DE LOS DISEÑOS DE SEGURIDAD HUMANA Y PROTECCIÓN CONTRA  INCENDIOS - CASA CASTELLANA</t>
  </si>
  <si>
    <t>Fernando Saldarriaga</t>
  </si>
  <si>
    <t>COTIZACION DE LOS DISEÑOS DE SEGURIDAD HUMANA Y PROTECCIÓN CONTRA  INCENDIOS - VOLARÉ</t>
  </si>
  <si>
    <t>ok</t>
  </si>
  <si>
    <t>COTIZACION DEL DISEÑO DE DETECCIÓN DE INCENDIOS PARA EL COLEGIO THE NEW SCHOOL</t>
  </si>
  <si>
    <t>Jorge García</t>
  </si>
  <si>
    <t>COTIZACION DEL DISEÑO DE EXTINCIÓN DE INCENDIOS PARA EL PROYECTO LOCAL 114 DE JARDINES DE LLANOGRANDE</t>
  </si>
  <si>
    <t>COTIZACION DE LOS DISEÑOS DE PROTECCIÓN CONTRA INCENDIOS PARA EL PROYECTO SUMIMEDICAL</t>
  </si>
  <si>
    <t>Cristiam Mondragón</t>
  </si>
  <si>
    <t>COTIZACION DEL DISEÑO DE EXTINCIÓN DE INCENDIOS PARA EL PROYECTO LOCAL 113 DE JARDINES DE LLANOGRANDE</t>
  </si>
  <si>
    <t>COTIZACION DEL DISEÑO DE EXTINCIÓN DE INCENDIOS PARA EL PROYECTO LOCAL 129 DE JARDINES DE LLANOGRANDE</t>
  </si>
  <si>
    <t>COTIZACION DEL DISEÑO DE DETECCIÓN DE INCENDIOS - AIANA VERDE</t>
  </si>
  <si>
    <t>Giovanni Zapata Isaza</t>
  </si>
  <si>
    <t>COTIZACION DEL DISEÑO DE DETECCIÓN DE INCENDIOS - EDIFICIO TORRE CENTAL</t>
  </si>
  <si>
    <t>COTIZACION DEL DISEÑO DE DETECCIÓN DE INCENDIOS - CENTRO COMERCIAL SAVANNA</t>
  </si>
  <si>
    <t>COTIZACION DE LOS DISEÑOS DE SEGURIDAD HUMANA Y PROTECCIÓN CONTRA  INCENDIOS - ALEJANDRIA</t>
  </si>
  <si>
    <t>Gabriel Paniagua</t>
  </si>
  <si>
    <t>COTIZACION DEL DISEÑO CONEXIÓN TANQUE DE EQUILIBRIO VILLA VERDE</t>
  </si>
  <si>
    <t>Mauricio Sepúlveda Rivillas</t>
  </si>
  <si>
    <t>COTIZACION DE VISITAS DE INTERVENTORIA A LAS OBRAS DE SISTEMAS EN PROTECCIÓN CONTRA INCENDIOS S.A.S.</t>
  </si>
  <si>
    <t>COTIZACION DEL DISEÑO DE EXTINCIÓN DE INCENDIOS PARA EL PROYECTO LOCAL 111 DE JARDINES DE LLANOGRANDE</t>
  </si>
  <si>
    <t>COTIZACION DEL DISEÑO DE EXTINCIÓN DE INCENDIOS PARA EL PROYECTO TALLER MAZDA MAYORCA</t>
  </si>
  <si>
    <t>COTIZACION DEL DISEÑO DE DETECCIÓN DE INCENDIOS PARA EL PROYECTO OFICINA COMDATA</t>
  </si>
  <si>
    <t>Liseth Molina</t>
  </si>
  <si>
    <t>COTIZACION DE LOS DISEÑOS DE PROTECCIÓN CONTRA INCENDIOS Y SEGURIDAD HUMANA PARA EL PROYECTO NOGALES</t>
  </si>
  <si>
    <t>Jaime Laverde</t>
  </si>
  <si>
    <t>COTIZACION DE LOS DISEÑOS DE PROTECCIÓN CONTRA INCENDIOS Y SEGURIDAD HUMANA PARA EL PROYECTO EDIFICIO EN LA 33</t>
  </si>
  <si>
    <t>Juan David Botero</t>
  </si>
  <si>
    <t>COTIZACION DE LOS DISEÑOS DE PROTECCIÓN CONTRA  INCENDIOS - EDIFICIO DOCENCIA CES</t>
  </si>
  <si>
    <t>VARIABLE</t>
  </si>
  <si>
    <t>Jhoam Andres Giraldo</t>
  </si>
  <si>
    <t>COTIZACION DEL ANÁLISIS DE SEGURIDAD HUMANA - EDIFICIO DOCENCIA CES</t>
  </si>
  <si>
    <t>COTIZACION DE LOS DISEÑOS DE PROTECCIÓN CONTRA INCENDIOS Y SEGURIDAD HUMANA PARA EL PROYECTO EDIFICIO EN ENVIGADO</t>
  </si>
  <si>
    <t>Carlos Andrés Muñoz</t>
  </si>
  <si>
    <t>si</t>
  </si>
  <si>
    <t>COTIZACION DE LOS DISEÑOS DE PROTECCIÓN CONTRA INCENDIOS Y SEGURIDAD HUMANA PARA EL PROYECTO CÁMARA DE COMECIO RIONEGRO</t>
  </si>
  <si>
    <t>COTIZACION DEL DISEÑO DE DETECCIÓN DE INCENDIOS - SUBESTACIÓN LA CUMBRE</t>
  </si>
  <si>
    <t>COTIZACION DE LOS DISEÑOS DE PROTECCIÓN CONTRA  INCENDIOS - EDIFICIO DOCENCIA CES (PARA CIVILSA)</t>
  </si>
  <si>
    <t>Julio Alzate</t>
  </si>
  <si>
    <t>COTIZACION DEL DISEÑO DE EXTINCIÓN DE INCENDIOS PARA EL PROYECTO LOCAL 237 – COLCHONES PARAISO JARDINES DE LLANOGRANDE</t>
  </si>
  <si>
    <t>COTIZACION DE LOS DISEÑOS DE SEGURIDAD HUMANA Y PROTECCIÓN CONTRA  INCENDIOS - ALCARAVANES MARINILLA</t>
  </si>
  <si>
    <t>COTIZACION DE LOS DISEÑOS DE EXTINCIÓN DE INCENDIOS Y SEGURIDAD HUMANA PARA EL PROYECTO HOTEL HILTON EL SALVADOR</t>
  </si>
  <si>
    <t>COTIZACION DE LOS DISEÑOS DE PROTECCIÓN CONTRA INCENDIOS Y SEGURIDAD HUMANA PARA EL PROYECTO JARDINES DEL SUR</t>
  </si>
  <si>
    <t>COTIZACION DE LOS DISEÑOS DE SEGURIDAD HUMANA Y PROTECCIÓN CONTRA  INCENDIOS - CÁMARA DE COMERCIO RIONEGRO</t>
  </si>
  <si>
    <t>Cristian Rendón</t>
  </si>
  <si>
    <t>COTIZACION DEL ANÁLISIS DE SEGURIDAD HUMANA - TURIN</t>
  </si>
  <si>
    <t>Saray David Barrientos</t>
  </si>
  <si>
    <t>COTIZACION DE LOS DISEÑOS DE SEGURIDAD HUMANA Y PROTECCIÓN CONTRA  INCENDIOS - EDIFICIO BEDOUT VICTOR</t>
  </si>
  <si>
    <t>Robinson A. Morales García</t>
  </si>
  <si>
    <t>COTIZACION DE LOS DISEÑOS DE PROTECCIÓN CONTRA  INCENDIOS - ENTRE CEJAS Y PESTAÑAS</t>
  </si>
  <si>
    <t>Jhonny Castro</t>
  </si>
  <si>
    <t>COTIZACION DEL DISEÑO DE EXTINCIÓN DE INCENDIOS - QUIRÓFANOS MAYORCA</t>
  </si>
  <si>
    <t>Nora Luz Berrio Arango</t>
  </si>
  <si>
    <t>COTIZACION DEL DISEÑO DE EXTINCIÓN DE INCENDIOS PARA EL PROYECTO LOCAL TAKOUT SANTAFE</t>
  </si>
  <si>
    <t>COTIZACION DE LOS DISEÑOS DE PROTECCIÓN CONTRA INCENDIOS PARA EL PROYECTO LOCAL NOISE VIVA ENVIGADO</t>
  </si>
  <si>
    <t>Camilo López</t>
  </si>
  <si>
    <t>COTIZACION DE LOS DISEÑOS DE PROTECCIÓN CONTRA  INCENDIOS - CANTAGIRONE SETTE</t>
  </si>
  <si>
    <t>Laura Osorio</t>
  </si>
  <si>
    <t>COTIZACION DEL DISEÑO DE EXTINCIÓN DE INCENDIOS PARA EL PROYECTO LOCAL 162 DE PALMAGRANDE</t>
  </si>
  <si>
    <t>COTIZACION DEL DISEÑO DE DETECCIÓN DE INCENDIOS - CASA CULTURAL LA ESTRELLLA</t>
  </si>
  <si>
    <t>COTIZACION DEL DISEÑO DE DETECCIÓN DE INCENDIOS PARA EL PROYECTO PALACIO MUNICIPAL CONCORDIA</t>
  </si>
  <si>
    <t>COTIZACION DE LOS DISEÑOS DE PROTECCIÓN CONTRA  INCENDIOS - PROYECTO OFICINAS GUATEMALA</t>
  </si>
  <si>
    <t>COTIZACION DEL DISEÑO DE EXTINCIÓN DE INCENDIOS PARA EL PROYECTO BODEGA FORMAS ÍNTIMAS</t>
  </si>
  <si>
    <t>Liber Restrepo</t>
  </si>
  <si>
    <t>COTIZACION DE LOS DISEÑOS DE PROTECCIÓN CONTRA INCENDIOS PARA EL PROYECTO OFICINA 0225 SAN FRANCISCO</t>
  </si>
  <si>
    <t>COTIZACION DE LOS DISEÑOS DE SEGURIDAD HUMANA Y PROTECCIÓN CONTRA  INCENDIOS - EDIFICIO DOCENCIA CES</t>
  </si>
  <si>
    <t>COTIZACION DEL DISEÑO DE EXTINCIÓN DE INCENDIOS - PARQUE EMPRESARIAL RIONEGRO</t>
  </si>
  <si>
    <t>Rafael Sánchez</t>
  </si>
  <si>
    <t>COTIZACION DE LOS DISEÑOS DE SEGURIDAD HUMANA Y EXTINCIÓN DE INCENDIOS - MAKRO BARRANQUILLA VERSIÓN 1</t>
  </si>
  <si>
    <t>Andrés Peláez Ospina</t>
  </si>
  <si>
    <t>COTIZACION DE LOS DISEÑOS DE SEGURIDAD HUMANA Y PROTECCIÓN CONTRA  INCENDIOS - BODEGA PARTEQUIPOS GUARNE</t>
  </si>
  <si>
    <t>Adriana Alarcón</t>
  </si>
  <si>
    <t>COTIZACION DE LOS DISEÑOS DE PROTECCIÓN CONTRA INCENDIOS Y SEGURIDAD HUMANA PARA EL PROYECTO MONTPELLIER</t>
  </si>
  <si>
    <t>Giovanni Andrés Usme Osorio</t>
  </si>
  <si>
    <t>COTIZACION DE LOS DISEÑOS DE PROTECCIÓN CONTRA  INCENDIOS - CLÍNICA META</t>
  </si>
  <si>
    <t>Albeiro Ríos</t>
  </si>
  <si>
    <t>COTIZACION DE LOS DISEÑOS DE PROTECCIÓN CONTRA INCENDIOS Y SEGURIDAD HUMANA PARA EL PROYECTO ELITE 2</t>
  </si>
  <si>
    <t>Ana María Tamayo Correa</t>
  </si>
  <si>
    <t>COTIZACION DEL DISEÑO DE DETECCIÓN DE INCENDIOS - PALACIO MUNICIPAL CONCORDIA</t>
  </si>
  <si>
    <t>COTIZACION DE LOS DISEÑOS DE PROTECCIÓN CONTRA INCENDIOS Y SEGURIDAD HUMANA PARA EL PROYECTO PLANTA DE PROCESOS ANTILLANA</t>
  </si>
  <si>
    <t>COTIZACION DEL DISEÑO DE EXTINCIÓN DE INCENDIOS PARA EL PROYECTO CUARTOS DE 30 m2 CON INERGEN</t>
  </si>
  <si>
    <t>Francisco José Unda Arango</t>
  </si>
  <si>
    <t>COTIZACION DEL DISEÑO DE EXTINCIÓN DE INCENDIOS - METRONORTE</t>
  </si>
  <si>
    <t>Walther Molina</t>
  </si>
  <si>
    <t>COTIZACION DE LOS DISEÑOS DE PROTECCIÓN CONTRA INCENDIOS PARA EL PROYECTO MAZDA MAYORCA</t>
  </si>
  <si>
    <t>COTIZACION DISEÑOS DE EXTINCIÓN Y DETECCIÓN DE INCENDIOS – OFICINAS CITI.</t>
  </si>
  <si>
    <t>Andrea Sanchez</t>
  </si>
  <si>
    <t>COTIZACION DEL DISEÑO DE EXTINCIÓN DE INCENDIOS PARA EL PROYECTO MENTHA APARTAMENTOS</t>
  </si>
  <si>
    <t>COTIZACION ASESORÍA DE SEGURIDAD HUMANA Y PROTECCIÓN CONTRA INCENDIOS - COLEGIO VILLAS DE ARANJUEZ</t>
  </si>
  <si>
    <t>COTIZACION DEL DISEÑO DE DETECCIÓN DE INCENDIOS - PLANTA GEM</t>
  </si>
  <si>
    <t>Carolina Castaño Velásquez</t>
  </si>
  <si>
    <t>COTIZACION DE LOS DISEÑOS DE SEGURIDAD HUMANA Y PROTECCIÓN CONTRA  INCENDIOS - FUNDACIÓN UNIVERSITARIA NAVARRA</t>
  </si>
  <si>
    <t>William Navarro</t>
  </si>
  <si>
    <t>COTIZACION DEL DISEÑO DE EXTINCIÓN DE INCENDIOS PARA EL PROYECTO ALMENDROS DE LA CALERA</t>
  </si>
  <si>
    <t>COTIZACION DEL DISEÑO DE EXTINCIÓN DE INCENDIOS - COOPSANA POBLADO</t>
  </si>
  <si>
    <t>Zully Taborda Sepúlveda</t>
  </si>
  <si>
    <t>COTIZACION DEL MODELO EN REVIT DE PROTECCIÓN CONTRA  INCENDIOS - W21</t>
  </si>
  <si>
    <t>HUMBERTO ACEVEDO GUTIERREZ</t>
  </si>
  <si>
    <t>COTIZACION DE LOS DISEÑOS DE PROTECCIÓN CONTRA  INCENDIOS - COLEGIO AVANZAR</t>
  </si>
  <si>
    <t>Camilo Restrepo Acevedo</t>
  </si>
  <si>
    <t>COTIZACION DE LOS DISEÑOS DE SEGURIDAD HUMANA Y PROTECCIÓN CONTRA  INCENDIOS - BODEGA LOTE LOS PERICOS MONTERÍA</t>
  </si>
  <si>
    <t>María Cecilia Revueltas</t>
  </si>
  <si>
    <t>COTIZACION DE LOS DISEÑOS DE PROTECCIÓN CONTRA  INCENDIOS - JARDINES SIERRA</t>
  </si>
  <si>
    <t>Oscar Alberto Velandia</t>
  </si>
  <si>
    <t>COTIZACION DEL DISEÑO DE EXTINCIÓN DE INCENDIOS - BODEGA GALAPA</t>
  </si>
  <si>
    <t>COTIZACION DEL DISEÑO DE EXTINCIÓN DE INCENDIOS - PRESCOLAR COLEGIO SAGRADO CORAZÓN MONTEMAYOR</t>
  </si>
  <si>
    <t>Carolina Volkmar</t>
  </si>
  <si>
    <t>COTIZACION DE LOS DISEÑOS DE SEGURIDAD HUMANA Y EXTINCIÓN DE INCENDIOS - EDIFICIO BRICK</t>
  </si>
  <si>
    <t>Alejandro Gómez</t>
  </si>
  <si>
    <t>COTIZACION DEL DISEÑO DE DETECCIÓN DE INCENDIOS - EDIFICIO ALEMANIA</t>
  </si>
  <si>
    <t>Jose Maria Estrada M</t>
  </si>
  <si>
    <t>COTIZACION DEL DISEÑO DE EXTINCIÓN DE INCENDIOS - LOCAL PIRKASTONE</t>
  </si>
  <si>
    <t>COTIZACION DEL ANÁLISIS DE SEGURIDAD HUMANA PARA EL PROYECTO IROTAMA TORRE C</t>
  </si>
  <si>
    <t>COTIZACION DEL DISEÑO DE EXTINCIÓN DE INCENDIOS - LOCAL 064 UNICENTRO</t>
  </si>
  <si>
    <t>COTIZACION DEL DISEÑO DE EXTINCIÓN DE INCENDIOS - LOCAL 9701 LA CENTRAL</t>
  </si>
  <si>
    <t>COTIZACION DEL DISEÑO DE EXTINCIÓN DE INCENDIOS - LIZTEX</t>
  </si>
  <si>
    <t>Mauricio Gutiérrez</t>
  </si>
  <si>
    <t>COTIZACION DE LOS DISEÑOS DE PROTECCIÓN CONTRA INCENDIOS Y SEGURIDAD HUMANA PARA EL PROYECTO FIORENZA</t>
  </si>
  <si>
    <t>COTIZACION DE LOS DISEÑOS DE PROTECCIÓN CONTRA INCENDIOS Y SEGURIDAD HUMANA PARA EL PROYECTO FIORENZA ETAPA 1</t>
  </si>
  <si>
    <t>COTIZACION DE LOS DISEÑOS DE PROTECCIÓN CONTRA INCENDIOS Y SEGURIDAD HUMANA PARA EL PROYECTO FIORENZA ETAPAS 2 Y 3</t>
  </si>
  <si>
    <t>COTIZACION DE LOS DISEÑOS DE PROTECCIÓN CONTRA INCENDIOS Y SEGURIDAD HUMANA PARA EL PROYECTO EL PARAÍSO LA CEJA</t>
  </si>
  <si>
    <t>Santiago Quintero</t>
  </si>
  <si>
    <t>COTIZACION DEL DISEÑO DE EXTINCIÓN DE INCENDIOS - CUARTO DE TAJETAS METRO</t>
  </si>
  <si>
    <t>REVISIÓN Y PRUEBAS DE LOS SISTEMAS DE PROTECCIÓN CONTRA INCENDIOS INSTALADOS Y LA SEGURIDAD HUMANA PARA EL PROYECTO LA RIVIERE PRIMERA ETAPA</t>
  </si>
  <si>
    <t>Natalia Cardona</t>
  </si>
  <si>
    <t>COTIZACION DE LOS DISEÑOS DE PROTECCIÓN CONTRA  INCENDIOS - SEDE BANCARIA REGIONAL CALI</t>
  </si>
  <si>
    <t>Mike Incapie</t>
  </si>
  <si>
    <t>COTIZACION DE LOS DISEÑOS DE PROTECCIÓN CONTRA  INCENDIOS - SEDE COTECH</t>
  </si>
  <si>
    <t>Mario Núñez Hernández</t>
  </si>
  <si>
    <t>COTIZACION DE LOS DISEÑOS DE PROTECCIÓN CONTRA INCENDIOS PARA EL PROYECTO LA PALMA</t>
  </si>
  <si>
    <t>Edwuard Alpujarra</t>
  </si>
  <si>
    <t>COTIZACION DE LOS DISEÑOS DE PROTECCIÓN CONTRA INCENDIOS PARA EL PROYECTO ACINOX S.A SEDE GUAYABAL</t>
  </si>
  <si>
    <t>COTIZACION DE LOS DISEÑOS DE PROTECCIÓN CONTRA  INCENDIOS -TIENAS D1 - BOMBONÁ, LA UNIÓN, PLACITA, PORVENIR, PREMIUM PLAZA, SAN NICOLÁS</t>
  </si>
  <si>
    <t>COTIZACION DE LOS DISEÑOS DE SEGURIDAD HUMANA Y PROTECCIÓN CONTRA  INCENDIOS - TORRE K ETAPA 1</t>
  </si>
  <si>
    <t>Carlos Alberto Gil</t>
  </si>
  <si>
    <t>COTIZACION DE PRUEBA HIDRÁULICA - PRUEBA PABILOPEZ S.A.S.</t>
  </si>
  <si>
    <t>Cristina Gallón</t>
  </si>
  <si>
    <t>COTIZACION DEL DISEÑO PARA LA AMPLIACIÓN DEL SISTEMA DE EXTINCIÓN DE INCENDIOS DEL PROYECTO POLICARPA</t>
  </si>
  <si>
    <t>Carlos Henao</t>
  </si>
  <si>
    <t>COTIZACION DEL REDISEÑOS DE PROTECCIÓN CONTRA  INCENDIOS - CARACOL RADIO</t>
  </si>
  <si>
    <t>Jorge Escobar</t>
  </si>
  <si>
    <t>COTIZACION DEL DISEÑO DE EXTINCIÓN DE INCENDIOS - ALKOMPRAR CARTAGO</t>
  </si>
  <si>
    <t>COTIZACION DEL DISEÑO DE EXTINCIÓN DE INCENDIOS - CONTINUUM MEDELLÍN</t>
  </si>
  <si>
    <t>COTIZACION DE LOS DISEÑOS DE SEGURIDAD HUMANA Y PROTECCIÓN CONTRA  INCENDIOS - PLEX 16</t>
  </si>
  <si>
    <t>Carlos Mauricio Valencia Granda</t>
  </si>
  <si>
    <t>COTIZACION DE LOS DISEÑOS DE SEGURIDAD HUMANA Y PROTECCIÓN CONTRA  INCENDIOS - +D MALL DISTRITO</t>
  </si>
  <si>
    <t>COTIZACION DE LOS DISEÑOS DE SEGURIDAD HUMANA Y PROTECCIÓN CONTRA  INCENDIOS - KENWORTH COPACABANA</t>
  </si>
  <si>
    <t>variable</t>
  </si>
  <si>
    <t>COTIZACION DE LOS DISEÑOS DE SEGURIDAD HUMANA Y PROTECCIÓN CONTRA  INCENDIOS - PROYECTO ASTORGA</t>
  </si>
  <si>
    <t>COTIZACION DEL DISEÑO DE EXTINCIÓN DE INCENDIOS - OFICINA 171</t>
  </si>
  <si>
    <t>Luisa Fernanda Gallego</t>
  </si>
  <si>
    <t>COTIZACION DE LOS DISEÑOS DE PROTECCIÓN CONTRA INCENDIOS Y SEGURIDAD HUMANA PARA EL PROYECTO ASTORGA</t>
  </si>
  <si>
    <t>David Hernández</t>
  </si>
  <si>
    <t>COTIZACION DE LOS DISEÑOS DE PROTECCIÓN CONTRA  INCENDIOS - HUB DIGITAL DE INNOVACIÓN</t>
  </si>
  <si>
    <t>COTIZACIÓN DEL DISEÑO DEL SISTEMA DE DETECCIÓN - BODEGAS QUALITY</t>
  </si>
  <si>
    <t>COTIZACION DEL DISEÑO DEL RUTEO DE LA RED GENERAL Y UBICACIÓN DE GABIENTES DEL SISTEMA DE EXTINCIÓN DE INCENDIOS PARA EL PROYECTO MICROPLAST</t>
  </si>
  <si>
    <t>Francisco Unda</t>
  </si>
  <si>
    <t>COTIZACION DE LOS DISEÑOS DE PROTECCIÓN CONTRA  INCENDIOS - PLANTA ARTEXTIL</t>
  </si>
  <si>
    <t>Catalina Zea</t>
  </si>
  <si>
    <t>COTIZACION DE LOS DISEÑOS DE SEGURIDAD HUMANA Y PROTECCIÓN CONTRA  INCENDIOS - ALEJANDRÍA DE CONQUISTADORES</t>
  </si>
  <si>
    <t>Santiago Raca</t>
  </si>
  <si>
    <t>COTIZACION DEL DISEÑO DEL CUARTO DE BOMBAS Y LA RED GENERAL DE ABASTECIMIENTO PARA LOS GABINETES CONTRA INCENDIOSDE INCENDIOS PARA EL PROYECTO VIVA FONTIBÓN</t>
  </si>
  <si>
    <t>COTIZACION DE LOS DISEÑOS DE PROTECCIÓN CONTRA  INCENDIOS - EDIFICIO UNICENTRO (HOTEL)</t>
  </si>
  <si>
    <t>COTIZACION DE LOS DISEÑOS DE PROTECCIÓN CONTRA  INCENDIOS - EDIFICIO UNICENTRO (APARTAMENTOS)</t>
  </si>
  <si>
    <t>Manuela Correa Echavarría</t>
  </si>
  <si>
    <t>COTIZACION DEL DISEÑO DE EXTINCIÓN DE INCENDIOS - ENVASADO G.L.P. NORGAS - GIRÓN</t>
  </si>
  <si>
    <t>Juan Santiago Londoño Quiceno</t>
  </si>
  <si>
    <t>COTIZACION DEL DISEÑO DE EXTINCIÓN DE INCENDIOS - CÁLCULOS HIDRÁULICOS AURORA</t>
  </si>
  <si>
    <t>COTIZACION DE LA REVISIÓN DE LOS DISEÑOS DE PROTECCIÓN CONTRA INCENDIOS Y SEGURIDAD HUMANA PARA EL PROYECTO LA RIVIERE TORRE 3</t>
  </si>
  <si>
    <t>Gloria Elena Gutiérrez Calle</t>
  </si>
  <si>
    <t>COTIZACION DE LOS DISEÑOS DE PROTECCIÓN CONTRA INCENDIOS PARA EL PROYECTO PARQUE EMPRESARIAL RIONEGRO</t>
  </si>
  <si>
    <t>Diego Alejandro Correa</t>
  </si>
  <si>
    <t>ANÁLISIS DE SEGURIDAD HUMANA PARA EL PROYECTO COLEGIO LOS CEREZOS</t>
  </si>
  <si>
    <t>Juan Esteban Zapata</t>
  </si>
  <si>
    <t>COTICOTIZACION DE LOS DISEÑOS DE PROTECCIÓN CONTRA INCENDIOS PARA EL PROYECTO CROSS</t>
  </si>
  <si>
    <t>Julián Toro</t>
  </si>
  <si>
    <t>COTIZACION DE LA REVICIÓN DE LOS DISEÑOS DE DETECCIÓN DE INCENDIOS Y CONCEPTO DE SEGURIDAD HUMANA PARA EL PROYECTO NEUROMÉDICA</t>
  </si>
  <si>
    <t>COTIZACION DE LOS DISEÑOS DE PROTECCIÓN CONTRA INCENDIOS Y SEGURIDAD HUMANA PARA EL PROYECTO MARROCO</t>
  </si>
  <si>
    <t>Laura Sierra Carrillo</t>
  </si>
  <si>
    <t>COTIZACION DEL DISEÑO DE DETECCIÓN DE INCENDIOS PARA EL PROYECTO TRES CANTOS</t>
  </si>
  <si>
    <t>Proyecto Tres Cantos</t>
  </si>
  <si>
    <t>COTIZACION DE LOS DISEÑOS DE PROTECCIÓN CONTRA  INCENDIOS - BANDA TRANSPORTADORA LLANTAS PROGREFA</t>
  </si>
  <si>
    <t xml:space="preserve">COTIZACION DEL DISEÑO DE EXTINCIÓN DE INCENDIOS PARA UNA ZONA DESPROTEGIDA DE VIVA VILLAVICENCIO </t>
  </si>
  <si>
    <t>Camilo Quintero</t>
  </si>
  <si>
    <t>COTIZACION DE LOS DISEÑOS DE PROTECCIÓN CONTRA  INCENDIOS - EDIFICIO NAZARET</t>
  </si>
  <si>
    <t>COTIZACION DE LOS DISEÑOS DE SEGURIDAD HUMANA Y PROTECCIÓN CONTRA  INCENDIOS - SIERRA GRANDE C2</t>
  </si>
  <si>
    <t>Jorge Luis Betancur Cadavid</t>
  </si>
  <si>
    <t>COTIZACION DEL DISEÑO DE EXTINCIÓN DE INCENDIOS PARA EL PROYECTO AMPLIACIÓN ÁREA DE PRODUCCIÓN H.B. FULLER RIONEGRO</t>
  </si>
  <si>
    <t>Carlos Mario Bolivar</t>
  </si>
  <si>
    <t>COTIZACION DEL DISEÑO DE DETECCIÓN DE INCENDIOS - CUARTO DE BOMBAS LÓGICA PARQUE INDUSTRIAL</t>
  </si>
  <si>
    <t>FERNANDO SALDARRIAGA</t>
  </si>
  <si>
    <t>COTIZACION DE LOS DISEÑOS DE SEGURIDAD HUMANA Y PROTECCIÓN CONTRA  INCENDIOS - OFICINAS TALLERES METRO DE MEDELLIN</t>
  </si>
  <si>
    <t>Paola A. López Cadavid</t>
  </si>
  <si>
    <t>COTIZACION DEL DISEÑO DE EXTINCIÓN DE INCENDIOS - GARMIN SANTAFE</t>
  </si>
  <si>
    <t>COTIZACION DE LOS DISEÑOS DE PROTECCIÓN CONTRA INCENDIOS Y SEGURIDAD HUMANA PARA EL PROYECTO MIXY MALL LOS COLORES</t>
  </si>
  <si>
    <t>COTIZACION DE LOS DISEÑOS DE SEGURIDAD HUMANA Y PROTECCIÓN CONTRA  INCENDIOS - LAS BRUJAS</t>
  </si>
  <si>
    <t>COTIZACIÓN DEL DISEÑO DE DETECCIÓN DE INCENDIOS - ACINOX S.A</t>
  </si>
  <si>
    <t>Juan Diego Herrera Henao</t>
  </si>
  <si>
    <t>COTIZACION DE LOS DISEÑOS DE SEGURIDAD HUMANA Y PROTECCIÓN CONTRA  INCENDIOS - GUAYACANES DE PRADO</t>
  </si>
  <si>
    <t>Zully Milena López</t>
  </si>
  <si>
    <t>COTIZACION DE LOS DISEÑOS DE SEGURIDAD HUMANA Y PROTECCIÓN CONTRA  INCENDIOS - HOTEL GUATAPÉ</t>
  </si>
  <si>
    <t>COTIZACION DEL DISEÑO DE EXTINCIÓN DE INCENDIOS PARA EL PROYECTO BODEGA CALDAS</t>
  </si>
  <si>
    <t>José Alberto Osorio</t>
  </si>
  <si>
    <t>COTIZACION DE LOS DISEÑOS DE PROTECCIÓN CONTRA INCENDIOS Y SEGURIDAD HUMANA PARA EL PROYECTO POBLADO DE SAN DIEGO</t>
  </si>
  <si>
    <t>COTIZACION DEL DISEÑO DE EXTINCIÓN DE INCENDIOS PARA EL PROYECTO BODEGA 14 INDEXZONA</t>
  </si>
  <si>
    <t>COTIZACION DE LOS DISEÑOS DE SEGURIDAD HUMANA Y PROTECCIÓN CONTRA  INCENDIOS - POBLADO DE SAN DIEGO</t>
  </si>
  <si>
    <t>COTIZACION DEL DISEÑO DE EXTINCIÓN DE INCENDIOS - NATURALNESS</t>
  </si>
  <si>
    <t>Santiago Arango Restrepo</t>
  </si>
  <si>
    <t>COTIZACION DE LOS DISEÑOS DE SEGURIDAD HUMANA Y PROTECCIÓN CONTRA  INCENDIOS - BOGOTÁ Y SABANA BANCOLOMBIA</t>
  </si>
  <si>
    <t>Andrea Sánchez</t>
  </si>
  <si>
    <t>COTIZACION DE LOS DISEÑOS DE SEGURIDAD HUMANA Y PROTECCIÓN CONTRA  INCENDIOS - OFICINAS E5</t>
  </si>
  <si>
    <t>Mateo Cardona</t>
  </si>
  <si>
    <t>COTIZACION DEL ANÁLISIS DE SEGURIDAD HUMANA PARA EL PROYECTO EDIFICIO DE OFICINAS ZONA AMÉRICA</t>
  </si>
  <si>
    <t>COTIZACION DE LOS DISEÑOS DE PROTECCIÓN CONTRA INCENDIOS PARA EL PROYECTO LUDOTECA PESCITO</t>
  </si>
  <si>
    <t>Liliana Arenas</t>
  </si>
  <si>
    <t>COTIZACION DEL DISEÑO DE EXTINCIÓN DE INCENDIOS PARA EL PROYECTO PIRKASTONE MAYORCA</t>
  </si>
  <si>
    <t>COTIZACION DE LOS DISEÑOS DE SEGURIDAD HUMANA Y PROTECCIÓN CONTRA  INCENDIOS - HOUR</t>
  </si>
  <si>
    <t>Verónica Lopera Aguirre</t>
  </si>
  <si>
    <t>COTIZACION DE LOS DISEÑOS DE PROTECCIÓN CONTRA INCENDIOS LOCALES JUSTO Y BUENO</t>
  </si>
  <si>
    <t>Lady Johanna Peñaranda Mazo</t>
  </si>
  <si>
    <t xml:space="preserve">COTIZACION DEL DISEÑO DE EXTINTORES PORTÁTILES CONTRA INCENDIOS Y LA RPUEBA DE LOS BEAM DETECTOR DE LA BODEGA, PARA LA EMPRESA ASHE SA.S. </t>
  </si>
  <si>
    <t>Sandra Patricia Rios</t>
  </si>
  <si>
    <t>COTIZACION DE LOS DISEÑOS DE SEGURIDAD HUMANA Y DETECCIÓN DE INCENDIOS - CAMINO REAL</t>
  </si>
  <si>
    <t>John Pimienta Tabera</t>
  </si>
  <si>
    <t>COTIZACION DE LOS DISEÑOS DE SEGURIDAD HUMANA Y PROTECCIÓN CONTRA  INCENDIOS - HOBBIE HOMES</t>
  </si>
  <si>
    <t>Natalia Roldán Álvarez</t>
  </si>
  <si>
    <t>COTIZACION DE LOS DISEÑOS DE SEGURIDAD HUMANA Y PROTECCIÓN CONTRA  INCENDIOS - MOOD</t>
  </si>
  <si>
    <t>COTIZACION DEL DISEÑO DE DETECCIÓN DE INCENDIOS - NORGAS</t>
  </si>
  <si>
    <t>COTIZACION DEL DISEÑO DE EXTINCIÓN DE INCENDIOS PARA EL PROYECTO LOCAL PLAY TIME ARKADIA</t>
  </si>
  <si>
    <t xml:space="preserve">COTIZACION DE LOS DISEÑOS DE PROTECCIÓN CONTRA INCENDIOS PARA EL PROYECTO CLÍNICA RENAL </t>
  </si>
  <si>
    <t>COTIZACION DE LOS DISEÑOS DE SEGURIDAD HUMANA Y PROTECCIÓN CONTRA  INCENDIOS - PALMANOVA</t>
  </si>
  <si>
    <t>Adriana Alarcón Vasco</t>
  </si>
  <si>
    <t>PLANOS Y VALIDACIONES HIDRÁULICAS AS-BUILT PARA EL SISTEMA DE EXTINCIÓN DE INCENDIOS DE STANZA MAYORCA</t>
  </si>
  <si>
    <t>COTIZACION DEL DISEÑO DE EXTINCIÓN DE INCENDIOS PARA EL PROYECTO LOCAL PIRKASTONE LLANOGRANDE</t>
  </si>
  <si>
    <t>COTIZACION DE LOS DISEÑOS DE PROTECCIÓN CONTRA INCENDIOS Y SEGURIDAD HUMANA PARA EL PROYECTO VENTURA</t>
  </si>
  <si>
    <t>COTIZACION DE LOS DISEÑOS DE SEGURIDAD HUMANA Y PROTECCIÓN CONTRA  INCENDIOS - SUPIA</t>
  </si>
  <si>
    <t>COTIZACION DE LOS DISEÑOS DE PROTECCIÓN CONTRA  INCENDIOS - UNIVERIDAD SAN AGUSTÓN VILLA DE LEYVA</t>
  </si>
  <si>
    <t>COTIZACION DE LOS DISEÑOS DE SEGURIDAD HUMANA Y PROTECCIÓN CONTRA  INCENDIOS - CENTRO INFANTIL PALMITAS</t>
  </si>
  <si>
    <t>Camilo Pineda</t>
  </si>
  <si>
    <t>COTIZACION DEL ANÁLISIS DE SEGURIDAD HUMANA PARA EL PROYECTO VIERZO LIVING</t>
  </si>
  <si>
    <t>Marcela Cardona</t>
  </si>
  <si>
    <t>COTIZACION DEL DISEÑO DE DETECCIÓN DE INCENDIOS - COLEGIO THEODORO HERTZL</t>
  </si>
  <si>
    <t>Gustavo Jaramillo</t>
  </si>
  <si>
    <t>rep</t>
  </si>
  <si>
    <t>REVISIÓN Y PRUEBAS DE LOS SISTEMAS DE PROTECCIÓN CONTRA INCENDIOS INSTALADOS Y LA SEGURIDAD HUMANA PARA EL PROYECTO STANZA</t>
  </si>
  <si>
    <t>Gloria Patricia Vélez</t>
  </si>
  <si>
    <t>coninsa</t>
  </si>
  <si>
    <t>COTIZACION DE LOS DISEÑOS DE PROTECCIÓN CONTRA  INCENDIOS - LOCAL 122 SQUARE</t>
  </si>
  <si>
    <t xml:space="preserve">COTIZACION DEL DISEÑO DE EXTINTORES PORTÁTILES CONTRA INCENDIOS PARA LAS SEDES DE HYR DISTRIBUIDORES </t>
  </si>
  <si>
    <t>Liliana Patricia Ramirez</t>
  </si>
  <si>
    <t>COTIZACION DEL DISEÑO DE EXTINCIÓN DE INCENDIOS PARA EL PROYECTO OPTICA AFF ARKADIA S.A.S.</t>
  </si>
  <si>
    <t>Carlos J. Diaz S.</t>
  </si>
  <si>
    <t>COTIZACION DEL ANÁLISIS DE SEGURIDAD HUMANA - BANCOLOMBIA REGIONAL CALI</t>
  </si>
  <si>
    <t>COTIZACION DE LOS DISEÑOS DE PROTECCIÓN CONTRA INCENDIOS PARA EL PROYECTO LEÓN GIRARDOTA</t>
  </si>
  <si>
    <t>COTIZACION DE LOS DISEÑOS DE SEGURIDAD HUMANA Y PROTECCIÓN CONTRA  INCENDIOS - OFICINAS 9000 M2</t>
  </si>
  <si>
    <t>COTIZACION DE LOS DISEÑOS DE SEGURIDAD HUMANA Y PROTECCIÓN CONTRA  INCENDIOS - OFICINAS 2400 M2</t>
  </si>
  <si>
    <t>Nakari García Romero</t>
  </si>
  <si>
    <t>COTIZACION DEL DISEÑO DE EXTINCIÓN DE INCENDIOS - LOCAL 101 LAURET</t>
  </si>
  <si>
    <t>Carlos Mario Rios</t>
  </si>
  <si>
    <t>COTIZACION DEL DISEÑO DE DETECCIÓN DE INCENDIOS - BODEGA MUISCA</t>
  </si>
  <si>
    <t>COTIZACION DE LOS DISEÑOS DE EXTINCIÓN DE INCENDIOS Y SEGURIDAD HUMANA PARA EL PROYECTO BANCOLOMBIA SEDE CARMEN DE VIBORAL</t>
  </si>
  <si>
    <t>COTIZACION DE LOS DISEÑOS DE PROTECCIÓN CONTRA INCENDIOS Y SEGURIDAD HUMANA PARA EL PROYECTO LABORATORIOS DE VACUNACIÓN LLANOGRANDE</t>
  </si>
  <si>
    <t>Nakary García Romero</t>
  </si>
  <si>
    <t>COTIZACION DE LOS DISEÑOS DE SEGURIDAD HUMANA Y PROTECCIÓN CONTRA  INCENDIOS - OFICINAS 9400 M2 CONVEL</t>
  </si>
  <si>
    <t>COTIZACION DE LOS DISEÑOS DE SEGURIDAD HUMANA Y PROTECCIÓN CONTRA  INCENDIOS - OFICINAS 2400 M2 CONVEL</t>
  </si>
  <si>
    <t>Mike Hincapie</t>
  </si>
  <si>
    <t>COTIZACION DE LOS DISEÑOS DE SEGURIDAD HUMANA Y PROTECCIÓN CONTRA  INCENDIOS - OFICINAS 9400 M2 STUDIO SUR</t>
  </si>
  <si>
    <t>COTIZACION DE LOS DISEÑOS DE SEGURIDAD HUMANA Y PROTECCIÓN CONTRA  INCENDIOS - OFICINAS 2400 M2 STUDIO SUR</t>
  </si>
  <si>
    <t>COTIZACION DE LOS DISEÑOS DE SEGURIDAD HUMANA Y PROTECCIÓN CONTRA  INCENDIOS - OFICINAS 9400 M2 ENSAMBLE</t>
  </si>
  <si>
    <t>COTIZACION DE LOS DISEÑOS DE SEGURIDAD HUMANA Y PROTECCIÓN CONTRA  INCENDIOS - OFICINAS 2400 M2 ENSAMBLE</t>
  </si>
  <si>
    <t>COTIZACION DEL DISEÑO DE DETECCIÓN DE INCENDIOS - BODEGA DORICOLOR</t>
  </si>
  <si>
    <t>Santiago Cardona</t>
  </si>
  <si>
    <t>COTIZACION DE LOS DISEÑOS DE SEGURIDAD HUMANA DE SEGURIDAD COMFAMA</t>
  </si>
  <si>
    <t>COMFAMA</t>
  </si>
  <si>
    <t>COTIZACIÓN CAPACITACIÓN I+CONSTRUCTORA</t>
  </si>
  <si>
    <t>Lina María Montoya</t>
  </si>
  <si>
    <t>COTIZACION DE LOS DISEÑOS DE SEGURIDAD HUMANA Y PROTECCIÓN CONTRA  INCENDIOS - ACCANTO</t>
  </si>
  <si>
    <t>COTIZACION DEL DISEÑO DE EXTINCIÓN DE INCENDIOS - KARGA II</t>
  </si>
  <si>
    <t>Hamilton Ramírez</t>
  </si>
  <si>
    <t>COTIZACION DE LOS DISEÑOS DE SEGURIDAD HUMANA Y PROTECCIÓN CONTRA  INCENDIOS - EDIFICIO SERRA</t>
  </si>
  <si>
    <t>COTIZACION DE LOS DISEÑOS DE SEGURIDAD HUMANA Y EXTINCIÓN DE INCENDIOS - SENDERO FRESCO ETAPA 1</t>
  </si>
  <si>
    <t>COTIZACION DEL DISEÑO DE EXTINCIÓN DE INCENDIOS PARA EL PROYECTO LOCALES 5, 8, 10, 11, 12 Y 18 RENACIMIENTO</t>
  </si>
  <si>
    <t>Felipe Gómez Castaño</t>
  </si>
  <si>
    <t>COTIZACION DEL DISEÑO DE EXTINCIÓN DE INCENDIOS - RESTAURANTE LADRÓN ARKADIA</t>
  </si>
  <si>
    <t>Barlahan Colorado</t>
  </si>
  <si>
    <t>COTIZACION DEL DISEÑO DE EXTINCIÓN DE INCENDIOS - PLURAL ARKADIA</t>
  </si>
  <si>
    <t>COTIZACION DE LOS DISEÑOS DE PROTECCIÓN CONTRA INCENDIOS Y SEGURIDAD HUMANA PARA EL PROYECTO SUMA</t>
  </si>
  <si>
    <t>Germán Cardona</t>
  </si>
  <si>
    <t>COTIZACION DEL DISEÑO DE EXTINCIÓN DE INCENDIOS - LOCAL 105 SALUD VEGAS</t>
  </si>
  <si>
    <t>Sara Franco León</t>
  </si>
  <si>
    <t>COTIZACION DE LOS DISEÑOS DE SEGURIDAD HUMANA Y PROTECCIÓN CONTRA  INCENDIOS - ADOQUINAR</t>
  </si>
  <si>
    <t>Adoquin-ar</t>
  </si>
  <si>
    <t>COTIZACION DE LOS DISEÑOS DE PROTECCIÓN CONTRA INCENDIOS PARA EL PROYECTO CERRO CLARO TORRES 2 Y 3</t>
  </si>
  <si>
    <t>Connie Fayad Hernández</t>
  </si>
  <si>
    <t>COTIZACION DEL DISEÑO DE DETECCIÓN DE INCENDIOS - HOTEL MEDELLIN</t>
  </si>
  <si>
    <t>COTIZACION DEL DISEÑO DE EXTINCIÓN DE INCENDIOS - PARQUEADERO VAQUITA ENVIGADO</t>
  </si>
  <si>
    <t>Diego Armando Ríos Sánchez</t>
  </si>
  <si>
    <t>COTIZACION DEL ANÁLISIS DE SEGURIDAD HUMANA - ALMACÉN LA VAQUITA ENVIGADO</t>
  </si>
  <si>
    <t>COTIZACION DE LOS DISEÑOS DE PROTECCIÓN CONTRA INCENDIOS Y SEGURIDAD HUMANA PARA EL PROYECTO PIÑONES LA PINTADA</t>
  </si>
  <si>
    <t>COTIZACION DE LOS DISEÑOS DE PROTECCIÓN CONTRA INCENDIOS Y SEGURIDAD HUMANA PARA EL PROYECTO POLIDEPORTIVO OLE</t>
  </si>
  <si>
    <t>COTIZACION DEL DISEÑO DE EXTINCIÓN DE INCENDIOS PARA EL PROYECTO EDIFICIO SANTA ANA</t>
  </si>
  <si>
    <t>COTIZACION DE LOS DISEÑOS DE DETECCIÓN DE INCENDIOS, SEÑALIZACIÓN E ILUMINACIÓN DE EMERGENCIA Y EXTINTORES - ISVIMED</t>
  </si>
  <si>
    <t>CLAUDIA L. CORREA RAMIREZ</t>
  </si>
  <si>
    <t>COTIZACION DEL DISEÑO DE EXTINCIÓN DE INCENDIOS PARA EL PROYECTO LOCALES 109, 110 Y 111 SALUD VEGAS</t>
  </si>
  <si>
    <t>COTIZACION DE LOS DISEÑOS DE PROTECCIÓN CONTRA INCENDIOS Y SEGURIDAD HUMANA PARA EL PROYECTO PLAZA DE MERCADO AMAGÁ</t>
  </si>
  <si>
    <t>Yesmar Vargas</t>
  </si>
  <si>
    <t>Juan Camilo Bedoya</t>
  </si>
  <si>
    <t>COTIZACION DEL DISEÑO DE DETECCIÓN DE INCENDIOS PARA EL PROYECTO BANCOLOMBIA SEDE CARMEN DE VIBORAL</t>
  </si>
  <si>
    <t>COTIZACION DE LOS DISEÑOS DE SEGURIDAD HUMANA Y PROTECCIÓN CONTRA  INCENDIOS - MONTIER</t>
  </si>
  <si>
    <t>Carlos Londoño</t>
  </si>
  <si>
    <t>COTIZACION DE LOS DISEÑOS DE SEGURIDAD HUMANA Y DETECCIÓN DE INCENDIOS - OFICINAS TUYA MEDELLLIN CONVEL</t>
  </si>
  <si>
    <t>COTIZACION DE LA INGENIERÍA CONCEPTUAL DE EXTINCIÓN DE INCENDIOS - SILICAUCHOS</t>
  </si>
  <si>
    <t>COTIZACION DE LOS DISEÑOS DE PROTECCIÓN CONTRA INCENDIOS Y SEGURIDAD HUMANA PARA EL PROYECTO BODEGAS 30 Y 31</t>
  </si>
  <si>
    <t>COTIZACION DE LOS DISEÑOS DE PROTECCIÓN CONTRA INCENDIOS Y SEGURIDAD HUMANA PARA EL PROYECTO OFICINAS CEDE CENTRO</t>
  </si>
  <si>
    <t>Diana Cadavid</t>
  </si>
  <si>
    <t>COTIZACION DE LOS DISEÑOS DE SEGURIDAD HUMANA Y PROTECCIÓN CONTRA  INCENDIOS - PIAMONTE</t>
  </si>
  <si>
    <t>COTIZACION DEL DISEÑO DE DETECCIÓN DE INCENDIOS - CENTRO COMERCIAL PIONEROS</t>
  </si>
  <si>
    <t>Doris Posada</t>
  </si>
  <si>
    <t>COTIZACION DE LOS DISEÑOS DE PROTECCIÓN CONTRA  INCENDIOS - OFICINAS MEZANINE TERMINAL DE CARGA</t>
  </si>
  <si>
    <t>COTIZACION DE LOS DISEÑOS DE SEGURIDAD HUMANA Y PROTECCIÓN CONTRA  INCENDIOS - TUYA MEDELLIN</t>
  </si>
  <si>
    <t>COTIZACION DEL DISEÑO DE EXTINCIÓN DE INCENDIOS - PROYECTO EXTRACCIÓN VEGETAL</t>
  </si>
  <si>
    <t>COTIZACION DEL DISEÑO DE EXTINCIÓN DE INCENDIOS - HACEB</t>
  </si>
  <si>
    <t>COTIZACION DE LOS DISEÑOS DE SEGURIDAD HUMANA Y PROTECCIÓN CONTRA  INCENDIOS - TUYA MEDELLIN ESPIRAL</t>
  </si>
  <si>
    <t>COTIZACION DEL ANÁLISIS DE SEGURIDAD HUMANA Y PROTECCIÓN CONTRA INCENDIOS PARA EL PROYECTO DAVITA MEDELLÍN</t>
  </si>
  <si>
    <t>Mario Madrid</t>
  </si>
  <si>
    <t>COTIZACION DE LOS DISEÑOS DE DETECCIÓN DE INCENDIOS, SEÑALIZACIÓN E ILUMINACIÓN DE EMERGENCIA Y EXTINTORES - ISVIMED (SOCOMES)</t>
  </si>
  <si>
    <t>COTIZACION DE LOS DISEÑOS DE DETECCIÓN DE INCENDIOS, SEÑALIZACIÓN E ILUMINACIÓN DE EMERGENCIA Y EXTINTORES - ISVIMED (JOMARK SEGURIDAD)</t>
  </si>
  <si>
    <t>Ricardo Escobar</t>
  </si>
  <si>
    <t>COTIZACION DE LOS DISEÑOS DE SEGURIDAD HUMANA Y PROTECCIÓN CONTRA  INCENDIOS - CLÍNICA LA CEJA</t>
  </si>
  <si>
    <t>COTIZACION DE LOS DISEÑOS DE PROTECCIÓN CONTRA  INCENDIOS - EDIFICIO OFICINAS</t>
  </si>
  <si>
    <t>COTIZACION DEL DISEÑO DE EXTINCIÓN DE INCENDIOS - ETAPA 3 SAN NICOLÁS</t>
  </si>
  <si>
    <t>COTIZACION DE LOS DISEÑOS DE PROTECCIÓN CONTRA INCENDIOS Y SEGURIDAD HUMANA PARA EL PROYECTO CDI CAIPI SABANETA</t>
  </si>
  <si>
    <t>Mauricio Betancur</t>
  </si>
  <si>
    <t>COTIZACION DE LOS DISEÑOS DE PROTECCIÓN CONTRA  INCENDIOS - SEDES UNIVERSIDAD DE ANTIOQUIA</t>
  </si>
  <si>
    <t>COTIZACION DE LOS DISEÑOS DE PROTECCIÓN CONTRA INCENDIOS PARA EL PROYECTO CIS LA CENTRAL</t>
  </si>
  <si>
    <t>COTIZACION DEL ANÁLISIS DE SEGURIDAD HUMANA - SEDES UNIVERSIDAD DE ANTIOQUIA</t>
  </si>
  <si>
    <t>Guillermo Maya</t>
  </si>
  <si>
    <t>COTIZACION DEL DISEÑO DE EXTINCIÓN DE INCENDIOS - REDISTRIBUCIÓN DE ROCIADORES NUEVAS OFICINAS CES</t>
  </si>
  <si>
    <t>COTIZACION DE LOS DISEÑOS DE SEGURIDAD HUMANA Y PROTECCIÓN CONTRA  INCENDIOS - CENTRO DE NEGOCIOS MANGA</t>
  </si>
  <si>
    <t>COTIZACION DE LOS DISEÑOS DE PROTECCIÓN CONTRA INCENDIOS PARA EL PROYECTO BODEGAS NUEVAS PLANTA PORCICARNES</t>
  </si>
  <si>
    <t>Juan David Calle</t>
  </si>
  <si>
    <t>COTIZACION DEL DISEÑO DE DETECCIÓN DE INCENDIOS PARA EL PROYECTO ÁREAS A REMODELAR RADIOVID ROBLEDO</t>
  </si>
  <si>
    <t>COTIZACION DEL DISEÑO DE EXTINCIÓN DE INCENDIOS PARA EL PROYECTO RADIOVID ROBLEDO</t>
  </si>
  <si>
    <t>VALIDACIÓN HIDRÁULICA PARA ACTUALIZACIÓN DEL SISTEMA DE BOMBEO</t>
  </si>
  <si>
    <t>Daniel Uribe</t>
  </si>
  <si>
    <t>LEVANTAMIENTO SISTEMA ACTUAL Y VALIDACIÓN HIDRÁULICA PARA ACTUALIZACIÓN DEL SISTEMA DE BOMBEO</t>
  </si>
  <si>
    <t>COTIZACION DE LA OPTIMIZACIÓN DEL DISEÑO DE EXTINCIÓN DE INCENDIOS PARA EL PROYECTOMEDICOA PISO 9</t>
  </si>
  <si>
    <t>COTIZACION DEL DISEÑO DE EXTINCIÓN DE INCENDIOS PARA EL PROYECTO CAUCASIA</t>
  </si>
  <si>
    <t>Juan Camilo Ramírez Villa</t>
  </si>
  <si>
    <t>COTIZACION DE LA OPTIMIZACIÓN DEL DISEÑO DE EXTINCIÓN DE INCENDIOS PARA EL PROYECTO TESORO ETAPA 4</t>
  </si>
  <si>
    <t>COTIZACION DE LOS DISEÑOS DE PROTECCIÓN CONTRA INCENDIOS Y SEGURIDAD HUMANA PARA EL PROYECTO DUVILLE CARTAGENA</t>
  </si>
  <si>
    <t>COTIZACION DE LOS DISEÑOS DE SEGURIDAD HUMANA Y PROTECCIÓN CONTRA  INCENDIOS - CONQUISTADORES</t>
  </si>
  <si>
    <t>Paulina Cadavid Londoño</t>
  </si>
  <si>
    <t>COTIZACION DEL DISEÑO DE EXTINCIÓN DE INCENDIOS PARA EL PROYECTO OFICINAS CRYOGAS</t>
  </si>
  <si>
    <t>María Isabel Correa</t>
  </si>
  <si>
    <t>COTIZACION DE LA REVISIÓN DE LA RED GENERAL Y EL CUARTO DE BOMBAS CONTRA INCENDIOS PARA EL PROYECTO PLEXA</t>
  </si>
  <si>
    <t>COTIZACION DE LA REDISTRIBUCIÓN DE LOS ROCIADORES AUTOMÁTICOS PARA SALA DE JUNTAS OFICINAS ISA BOGOTÁ</t>
  </si>
  <si>
    <t>COTIZACION DE LOS DISEÑOS DE SEGURIDAD HUMANA Y PROTECCIÓN CONTRA  INCENDIOS - BODEGA OFICINAS BANCOLOMBIA</t>
  </si>
  <si>
    <t>COTIZACION DE LOS DISEÑOS DE PROTECCIÓN CONTRA INCENDIOS Y SEGURIDAD HUMANA PARA EL PROYECTO APARTAMENTOS PARA EL ADULTO MAYOR</t>
  </si>
  <si>
    <t>COTIZACION DE LOS DISEÑOS DE PROTECCIÓN CONTRA INCENDIOS PARA EL PROYECTO PROLAB FLORIDA</t>
  </si>
  <si>
    <t>COTIZACION DE LOS DISEÑOS DE SEGURIDAD HUMANA Y PROTECCIÓN CONTRA  INCENDIOS - CHELSEA</t>
  </si>
  <si>
    <t>COTIZACION DE LA REDISTRIBUCIÓN DE LOS ROCIADORES AUTOMÁTICOS PARA SALA DE JUNTAS OFICINA MILLA DE ORO</t>
  </si>
  <si>
    <t>Andrés Estrada</t>
  </si>
  <si>
    <t>COTIZACION DE LOS DISEÑOS DE PROTECCIÓN CONTRA INCENDIOS PARA EL PROYECTO PLANTA PROCAP</t>
  </si>
  <si>
    <t>Adriana Díaz García</t>
  </si>
  <si>
    <t>COTIZACION DEL DISEÑO DE EXTINCIÓN DE INCENDIOS - COMFAMA RESERVA PLAZA</t>
  </si>
  <si>
    <t>COTIZACION DE LOS DISEÑOS DE SEGURIDAD HUMANA Y PROTECCIÓN CONTRA  INCENDIOS - ARAGUA DE PRIMAVERA</t>
  </si>
  <si>
    <t>COTIZACION DE LOS DISEÑOS DE PROTECCIÓN CONTRA INCENDIOS PARA EL PROYECTO SMARTFIT LA 85 BOGOTÁ</t>
  </si>
  <si>
    <t>COTIZACION DEL DISEÑO DE EXTINCIÓN DE INCENDIOS - IPS CENTRO DE SALUD DON BOSCO</t>
  </si>
  <si>
    <t>COTIZACION DEL DISEÑO DE EXTINCIÓN DE INCENDIOS - TELEPERFORMANCE BARRIO COLOMBIA MEDELLIN</t>
  </si>
  <si>
    <t>Javier Bohorquez</t>
  </si>
  <si>
    <t>COTIZACION DE LOS DISEÑOS DE SEGURIDAD HUMANA Y PROTECCIÓN CONTRA  INCENDIOS - FOOD HALL BOGOTÁ</t>
  </si>
  <si>
    <t>COTIZACION DEL DISEÑO DE DETECCIÓN DE INCENDIOS - DETECCIÓN OFICINAS 120 M2</t>
  </si>
  <si>
    <t>COTIZACION DE LOS DISEÑOS DE PROTECCIÓN CONTRA INCENDIOS PARA EL PROYECTO OPTICA COLOMBIANA ARKADIA</t>
  </si>
  <si>
    <t>COTIZACION DEL DISEÑO DE EXTINCIÓN DE INCENDIOS PARA EL PROYECTO OFICINA MUELLE DE CARGA VIVA ENVIGADO</t>
  </si>
  <si>
    <t>Paola Andrea Moreno</t>
  </si>
  <si>
    <t>COTIZACION DE LOS DISEÑOS DE PROTECCIÓN CONTRA INCENDIOS PARA EL PROYECTO BODEGA GUAYABAL</t>
  </si>
  <si>
    <t>COTIZACION DEL DISEÑO DE EXTINCIÓN DE INCENDIOS PARA EL PROYECTO PARQUEADEROS TORRE 1 SAN CAYETANO</t>
  </si>
  <si>
    <t>COTIZACION DE LOS DISEÑOS DE SEGURIDAD HUMANA Y PROTECCIÓN CONTRA  INCENDIOS - HOJARASCA</t>
  </si>
  <si>
    <t>Camila Ángel</t>
  </si>
  <si>
    <t>COTIZACION DE LOS DISEÑOS DE SEGURIDAD HUMANA Y PROTECCIÓN CONTRA  INCENDIOS - AUNA COLOMBIA</t>
  </si>
  <si>
    <t>Martha Lucía Ferrer</t>
  </si>
  <si>
    <t>COTIZACION DE LOS DISEÑOS DE PROTECCIÓN CONTRA INCENDIOS Y SEGURIDAD HUMANA PARA EL PROYECTO BODEGAS OFICINAS BANCOLOMBIA – REV B</t>
  </si>
  <si>
    <t>OK</t>
  </si>
  <si>
    <t>COTIZACION DEL DISEÑO DE EXTINCIÓN DE INCENDIOS - PROYECTO TULIPANES</t>
  </si>
  <si>
    <t>Javier Gallego</t>
  </si>
  <si>
    <t>COTIZACION DE LOS DISEÑOS DE SEGURIDAD HUMANA Y PROTECCIÓN CONTRA  INCENDIOS - LABORATORIO ISA</t>
  </si>
  <si>
    <t>COTIZACION DE LOS DISEÑOS DE SEGURIDAD HUMANA Y DETECCIÓN DE INCENDIOS - CENTRO DE SALUD Y PANADERÍA</t>
  </si>
  <si>
    <t>Orlando Delgado</t>
  </si>
  <si>
    <t>COTIZACION DE LOS DISEÑOS DE SEGURIDAD HUMANA Y PROTECCIÓN CONTRA  INCENDIOS - BANCOLOMBIA BOJANINI BARRANQUILLA</t>
  </si>
  <si>
    <t>COTIZACION DE LOS DISEÑOS DE PROTECCIÓN CONTRA INCENDIOS Y SEGURIDAD HUMANA PARA EL PROYECTO BODEGA PROCESAMIENTO DE FRUTAS</t>
  </si>
  <si>
    <t>HE Ingeniería</t>
  </si>
  <si>
    <t>COTIZACION DE LOS DISEÑOS DE PROTECCIÓN CONTRA INCENDIOS Y SEGURIDAD HUMANA PARA EL PROYECTO ETAPA 1 VALLE VERDE</t>
  </si>
  <si>
    <t>COTIZACION DE LOS DISEÑOS DE PROTECCIÓN CONTRA INCENDIOS Y SEGURIDAD HUMANA PARA LOS BLOQUES 42 Y 42A UNAL</t>
  </si>
  <si>
    <t>Gisell Andrea Giraldo García</t>
  </si>
  <si>
    <t>COTIZACION DEL DISEÑO DE DETECCIÓN DE INCENDIOS - CANTAGIRONE NATURA</t>
  </si>
  <si>
    <t>COTIZACION DE LOS DISEÑOS DE PROTECCIÓN CONTRA INCENDIOS Y SEGURIDAD HUMANA PARA EL PROYECTO CORPORACIÓN ÁNGELES CUSTODIOS</t>
  </si>
  <si>
    <t>COTIZACION DE LOS DISEÑOS DE PROTECCIÓN CONTRA INCENDIOS Y SEGURIDAD HUMANA PARA EL PROYECTO ESCUELA ALEJANDRO ECHEVERRI</t>
  </si>
  <si>
    <t>COTIZACION DE LOS DISEÑOS DE SEGURIDAD HUMANA Y PROTECCIÓN CONTRA  INCENDIOS - UCO JUAN PABLO II</t>
  </si>
  <si>
    <t>COTIZACIÓN MODELACIÓN SISTEMA DE DETECCIÓN SALAMANCA</t>
  </si>
  <si>
    <t>COTIZACION DE LA REVISIÓN DE LA INGENIERÍA DE DETALLE DEL SISTEMA DE AGENTES LIMPIOS (INERGEN) PARA ISA</t>
  </si>
  <si>
    <t>COTIZACION DEL ANÁLISIS DE SEGURIDAD HUMANA - SAN CAYETANO</t>
  </si>
  <si>
    <t>John Ocampo</t>
  </si>
  <si>
    <t>COTIZACION DE LOS DISEÑOS DE PROTECCIÓN CONTRA INCENDIOS PARA EL PROYECTO SUSURRO DIVINO SANTAFE</t>
  </si>
  <si>
    <t>COTIZACION DE LOS DISEÑOS DE SEGURIDAD HUMANA Y PROTECCIÓN CONTRA  INCENDIOS - ETAPA 1 VALLE VERDE</t>
  </si>
  <si>
    <t>Cristina Palacio Pérez</t>
  </si>
  <si>
    <t>COTIZACION DE LOS DISEÑOS DE PROTECCIÓN CONTRA INCENDIOS Y SEGURIDAD HUMANA PARA EL PROYECTO PLEX 16</t>
  </si>
  <si>
    <t>Gabriel Sanín Saldarriaga</t>
  </si>
  <si>
    <t>COTIZACION DE LA INSPECCIÓN VISUAL DE LOS SISTEMAS DE PROTECCIÓN CONTRA INCENDIOS ÁRA LA PLANTA DE LECHE UHT COLANTA FUNZA</t>
  </si>
  <si>
    <t>COTIZACION DE LOS DISEÑOS DE PROTECCIÓN CONTRA  INCENDIOS - BANCAMIA BOGOTÁ</t>
  </si>
  <si>
    <t>Alexander Carvajal Murcia</t>
  </si>
  <si>
    <t>COTIZACION DE LOS DISEÑOS DE SEGURIDAD HUMANA Y PROTECCIÓN CONTRA  INCENDIOS - SAN JUAN DE LA TESEJERA</t>
  </si>
  <si>
    <t>Juan David Ossa Salazar</t>
  </si>
  <si>
    <t>COTIZACION DE LOS DISEÑOS DE PROTECCIÓN CONTRA INCENDIOS PARA EL PROYECTO PROLAB CITY MEDICA</t>
  </si>
  <si>
    <t>COTIZACION DEL ANÁLISIS DE SEGURIDAD HUMANA - COLEGIO PROCABLES</t>
  </si>
  <si>
    <t>Alejandro Ruano</t>
  </si>
  <si>
    <t>COTIZACION DEL DISEÑO DE DETECCIÓN DE INCENDIOS - ONE PLAZA</t>
  </si>
  <si>
    <t>Maria Aurora Rios</t>
  </si>
  <si>
    <t>COTIZACION DE LOS DISEÑOS DE PROTECCIÓN CONTRA  INCENDIOS - PLAZOLETA</t>
  </si>
  <si>
    <t>COTIZACION DEL DISEÑO DE LA INGENIERÍA CONCEPTUAL DE EXTINCIÓN DE INCENDIOS - BODEGAS SAN FRANCISCO DE ASIS</t>
  </si>
  <si>
    <t>COTIZACION DE LOS DISEÑOS DE SEGURIDAD HUMANA Y PROTECCIÓN CONTRA  INCENDIOS - CASA ROJA</t>
  </si>
  <si>
    <t>Gerson Andrés Marulanda</t>
  </si>
  <si>
    <t>COTIZACION DE LOS DISEÑOS DE PROTECCIÓN CONTRA  INCENDIOS - COLISEO COLEGIO THEODORO HERTZL</t>
  </si>
  <si>
    <t>Andrés White Narváez</t>
  </si>
  <si>
    <t>COTIZACION DEL DISEÑO DE EXTINCIÓN DE INCENDIOS - FINSOCIAL BARRANQUILLA</t>
  </si>
  <si>
    <t>COTIZACION DE LOS DISEÑOS DE PROTECCIÓN CONTRA  INCENDIOS - LOCAL INDUCASCOS</t>
  </si>
  <si>
    <t>COTIZACION DEL DISEÑO DE MONITOREO DEL SISTEMA DE EXTINCIÓN DE INCENDIOS PARA EL PROYECTO COMERCIAL NUTRESA BOGOTÁ</t>
  </si>
  <si>
    <t>VALIDACIÓN HIDRÁULICA RED GENERAL DE EXTINCIÓN DE INCENDIOS PARA LA UNIVERDIDAD CATÓLICA DE ORIENTE</t>
  </si>
  <si>
    <t>Jhon Anderson Gómez</t>
  </si>
  <si>
    <t>COTIZACION DE LOS DISEÑOS DE SEGURIDAD HUMANA Y PROTECCIÓN CONTRA  INCENDIOS - PRIMITIVO</t>
  </si>
  <si>
    <t>COTIZACION DE LOS DISEÑOS DE SEGURIDAD HUMANA Y PROTECCIÓN CONTRA  INCENDIOS - VILLA VERDE TORRE 1</t>
  </si>
  <si>
    <t>COTIZACION DEL DISEÑO DE EXTINCIÓN DE INCENDIOS - D1 CASTROPOL</t>
  </si>
  <si>
    <t>COTIZACION DE LOS DISEÑOS DE PROTECCIÓN CONTRA  INCENDIOS - BANCOLOMBIA CENTRO DE CONCILIACIÓN</t>
  </si>
  <si>
    <t>COTIZACION DE LOS DISEÑOS DE PROTECCIÓN CONTRA  INCENDIOS - BANCOLOMBIA CAMINO REAL</t>
  </si>
  <si>
    <t>COTIZACION DE LOS DISEÑOS DE PROTECCIÓN CONTRA  INCENDIOS - LABORATORIO CARDIOVID</t>
  </si>
  <si>
    <t>COTIZACION DEL DISEÑO DE EXTINCIÓN DE INCENDIOS - BLUE GARDEN BARRANQUILLA</t>
  </si>
  <si>
    <t>Mauricio Gúzman</t>
  </si>
  <si>
    <t>COTIZACION DE LOS DISEÑOS DE SEGURIDAD HUMANA Y PROTECCIÓN CONTRA  INCENDIOS - VIVACE</t>
  </si>
  <si>
    <t>COTIZACION DEL ANÁLISIS DE SEGURIDAD HUMANA - CONCONCRETO</t>
  </si>
  <si>
    <t>Juan David Triana</t>
  </si>
  <si>
    <t>COTIZACION DE LOS DISEÑOS DE PROTECCIÓN CONTRA INCENDIOS Y SEGURIDAD HUMANA PARA EL PROYECTO MEGACENTER</t>
  </si>
  <si>
    <t>Andrea Asuad Ferrer</t>
  </si>
  <si>
    <t>COTIZACION DE LOS DISEÑOS DE PROTECCIÓN CONTRA INCENDIOS PARA EL PROYECTO BLOQUE 49 UDEA</t>
  </si>
  <si>
    <t>COTIZACION DE LOS DISEÑOS DE PROTECCIÓN CONTRA INCENDIOS PARA EL PROYECTO SALUD PUBLICA UDEA</t>
  </si>
  <si>
    <t>COTIZACION DE LOS DISEÑOS DE PROTECCIÓN CONTRA  INCENDIOS - SOC269</t>
  </si>
  <si>
    <t>COTIZACION DE LOS DISEÑOS DE PROTECCIÓN CONTRA  INCENDIOS - BULEVAR LIVING</t>
  </si>
  <si>
    <t>Anderson Zapata</t>
  </si>
  <si>
    <t>COTIZACION DE LOS DISEÑOS DE PROTECCIÓN CONTRA INCENDIOS Y SEGURIDAD HUMANA PARA EL PROYECTO BANCOLOMBIA CAMINO REAL</t>
  </si>
  <si>
    <t>COTIZACION DEL CAMBIO DE TUBERÍA A PVC DEL SISTEMA DE EXTINCIÓN DE INCENDIOS PARA LOS CONSULTORIOS DEL PROYECTO SALUD VEGAS Y TALLOS DE 6” A 4” DE CONEXIONES DE MANGUERA</t>
  </si>
  <si>
    <t>David Velásquez</t>
  </si>
  <si>
    <t>COTIZACION DE LOS DISEÑOS DE SEGURIDAD HUMANA Y PROTECCIÓN CONTRA  INCENDIOS - EDIFICIO CATTLEYA</t>
  </si>
  <si>
    <t>COTIZACION DEL ANÁLISIS DE SEGURIDAD HUMANA PARA EL PROYECTO HANGAR</t>
  </si>
  <si>
    <t>COTIZACION DE LOS DISEÑOS DE SEGURIDAD HUMANA Y PROTECCIÓN CONTRA  INCENDIOS - FAJAS MD</t>
  </si>
  <si>
    <t>Luis Gustavo Martinez Echeverri</t>
  </si>
  <si>
    <t>COTIZACION DEL REDISEÑO DEL CUARTO DE BOMBAS - AIRES DEL BOSQUE</t>
  </si>
  <si>
    <t>Sebastian Calle Ruiz</t>
  </si>
  <si>
    <t>COTIZACION DE LA REDISTRIBUCIÓN DE LOS ROCIADORES AUTOMÁTICOS PARA LA MODIFICACIÓN DEL ASCENSOR DE VIVA BARRANQUILLA</t>
  </si>
  <si>
    <t>Juliana Vélez Raigoza</t>
  </si>
  <si>
    <t>COTIZACION DEL DISEÑO DE DETECCIÓN DE INCENDIOS - CIS SANTA MARÍA COMFAMA</t>
  </si>
  <si>
    <t>Jorge Arroyave</t>
  </si>
  <si>
    <t>COTIZACION DEL DISEÑO DE EXTINCIÓN DE INCENDIOS - COLORTROPOLIS BARRANQUILLA</t>
  </si>
  <si>
    <t>COTIZACION REVISIÓN Y CONSULTORÍA DEL SISTEMA DE EXTINCIÓN DE INCENDIOS ENTREPINOS</t>
  </si>
  <si>
    <t>Cliente</t>
  </si>
  <si>
    <t>COTIZACION DEL DISEÑO DE EXTINCIÓN DE INCENDIOS - OLIVE</t>
  </si>
  <si>
    <t xml:space="preserve">Scala </t>
  </si>
  <si>
    <t>Jose Ignacio Echeverri</t>
  </si>
  <si>
    <t>interventoriaolive@gmail.com</t>
  </si>
  <si>
    <t>COTIZACION DEL DISEÑO DE EXTINCIÓN DE INCENDIOS - MEDICOA PISO 1 URGENCIAS</t>
  </si>
  <si>
    <t>SPCI</t>
  </si>
  <si>
    <t>juan.grajales@spci.com.co</t>
  </si>
  <si>
    <t>COTIZACION DE LOS DISEÑOS DE SEÑALIZACION DE EMERGENCIA Y EXTINTORES PORTÁTILES - BIKE HOUSE</t>
  </si>
  <si>
    <t>HyM</t>
  </si>
  <si>
    <t>Evelin Rojas</t>
  </si>
  <si>
    <t>hidraulicaymontajes@gmail.com</t>
  </si>
  <si>
    <t>COTIZACION DE LOS DISEÑOS DE PROTECCIÓN CONTRA INCENDIOS Y SEGURIDAD HUMANA PARA EL PROYECTO SELVA TORRE 1</t>
  </si>
  <si>
    <t>COTIZACION DE LOS DISEÑOS DE PROTECCIÓN CONTRA INCENDIOS Y SEGURIDAD HUMANA PARA EL PROYECTO SELVA COMPLETO</t>
  </si>
  <si>
    <t>COTIZACION DEL DISEÑO DE EXTINCIÓN DE INCENDIOS - GRUPO DIANA</t>
  </si>
  <si>
    <t>COTIZACION DE LOS DISEÑOS DE PROTECCIÓN CONTRA  INCENDIOS - CONSULTORIO 405 CITY MEDICA</t>
  </si>
  <si>
    <t>SOCOMES</t>
  </si>
  <si>
    <t>david.lopera@socomes.com</t>
  </si>
  <si>
    <t>COTIZACION DEL DISEÑO DE EXTINCIÓN DE INCENDIOS - SALA DE LACTANCIA VIVA BARRANQUILLA</t>
  </si>
  <si>
    <t>COTIZACION DEL DISEÑO DE EXTINCIÓN DE INCENDIOS - PUNTO CERO HYM VIVA BARRANQUILLA</t>
  </si>
  <si>
    <t>COTIZACION DE LOS DISEÑOS DE SEGURIDAD HUMANA Y PROTECCIÓN CONTRA  INCENDIOS - ADECUACIÓN OFICINA ISA 300 M2</t>
  </si>
  <si>
    <t>ENSAMBLE</t>
  </si>
  <si>
    <t>COTIZACION DE LOS DISEÑOS DE PROTECCIÓN CONTRA INCENDIOS Y SEGURIDAD HUMANA PARA EL PROYECTO BODEGA CALDAS PRIMAVERA</t>
  </si>
  <si>
    <t>REVISIÓN DE LOS DISEÑOS DE EXTINCIÓN DE INCENDIOS PARA EL PROYECTO WE WORK ANTEJARDIN</t>
  </si>
  <si>
    <t>COTIZACION DE LOS DISEÑOS DE PROTECCIÓN CONTRA INCENDIOS Y SEGURIDAD HUMANA PARA EL PROYECTO VALLE CENTRAL</t>
  </si>
  <si>
    <t>SAHA</t>
  </si>
  <si>
    <t>Carlos Darío Mejía</t>
  </si>
  <si>
    <t>COTIZACION DE LOS DISEÑOS DE SEGURIDAD HUMANA Y PROTECCIÓN CONTRA  INCENDIOS - IE VILLAS DE ARANJUEZ</t>
  </si>
  <si>
    <t>ESTUDIO CENTRAL</t>
  </si>
  <si>
    <t>Alejandro Restrepo Montoya</t>
  </si>
  <si>
    <t>COTIZACION DE LOS DISEÑOS DE SEGURIDAD HUMANA Y PROTECCIÓN CONTRA  INCENDIOS - PALACIO MUNICIPAL ENVIGADO</t>
  </si>
  <si>
    <t>LAUREANO FORERO</t>
  </si>
  <si>
    <t>David Gómez</t>
  </si>
  <si>
    <t>COTIZACION DE LOS DISEÑOS DE SEGURIDAD HUMANA Y PROTECCIÓN CONTRA  INCENDIOS - PAJARO LIMON</t>
  </si>
  <si>
    <t>PAJARO LIMON</t>
  </si>
  <si>
    <t>Pájaro limón</t>
  </si>
  <si>
    <t>COTIZACION DE LOS DISEÑOS DE PROTECCIÓN CONTRA INCENDIOS Y SEGURIDAD HUMANA PARA EL PROYECTO PORTAL DE CANEY</t>
  </si>
  <si>
    <t>ESTEVAN CASTAÑO</t>
  </si>
  <si>
    <t>COTIZACION DE LOS DISEÑOS DE PROTECCIÓN CONTRA INCENDIOS Y SEGURIDAD HUMANA PARA EL PROYECTO PARTEQUIPOS</t>
  </si>
  <si>
    <t>JORGE COLORADO</t>
  </si>
  <si>
    <t>Jorge Humberto Colorado</t>
  </si>
  <si>
    <t>COTIZACION DEL DISEÑO DE EXTINCIÓN DE INCENDIOS - TINKKO</t>
  </si>
  <si>
    <t>HYM</t>
  </si>
  <si>
    <t>COTIZACIÓN DE LOS PLANOS AS-BUILT DE LA RED GENERAL DE EXTINCIÓN DE INCENDIOS DEL PROYECTO PIZARRA</t>
  </si>
  <si>
    <t>proyectos1spci@gmail.com</t>
  </si>
  <si>
    <t>COTIZACION DE LOS DISEÑOS DE PROTECCIÓN CONTRA INCENDIOS PARA EL PROYECTO CASA DE LA CULTURA JARDÍN</t>
  </si>
  <si>
    <t>CIVILSA</t>
  </si>
  <si>
    <t>COTIZACION DE LOS DISEÑOS DE PROTECCIÓN CONTRA INCENDIOS Y SEGURIDAD HUMANA PARA EL PROYECTO VECINO PATIO</t>
  </si>
  <si>
    <t>ALG PROYECTOS</t>
  </si>
  <si>
    <t>Juan Londoño</t>
  </si>
  <si>
    <t>DISEÑOS DE EXTINTORES PORTÁTILES CONTRA INCENDIOS PARA BANCOLOMBIA FLORIDA PARQUE</t>
  </si>
  <si>
    <t>CONDISEÑO</t>
  </si>
  <si>
    <t>n.garcia@condiseno.co</t>
  </si>
  <si>
    <t>COTIZACION DISEÑO DETECCION HOTEL TEQUENDAMA</t>
  </si>
  <si>
    <t>RAPIDO</t>
  </si>
  <si>
    <t>Álvaro Manosalva</t>
  </si>
  <si>
    <t>COTIZACION DEL DISEÑO DE DETECCIÓN DE INCENDIOS - TORRE 2 UNIVERSIDAD REMINGTON</t>
  </si>
  <si>
    <t>SERVICIOS IPM</t>
  </si>
  <si>
    <t>DISEÑO DE DETECCIÓN DE INCENDIOS PARA EL PROYECTO TORRE 2 UNIVERSIDAD REMINGTON</t>
  </si>
  <si>
    <t>UNIREMINGTON</t>
  </si>
  <si>
    <t>Gloria María González Villa</t>
  </si>
  <si>
    <t>COTIZACION DE LOS DISEÑOS DE SEGURIDAD HUMANA Y PROTECCIÓN CONTRA  INCENDIOS - COMEDOR CLÍNICA LAS AMÉRICAS</t>
  </si>
  <si>
    <t>INTERVÉ</t>
  </si>
  <si>
    <t>COTIZACION DE LOS DISEÑOS DE PROTECCIÓN CONTRA INCENDIOS Y SEGURIDAD HUMANA PARA EL PROYECTO CITADELLA JERUSALEN</t>
  </si>
  <si>
    <t>COTIZACION DEL DISEÑO DE DETECCIÓN DE INCENDIOS - ALMACENAMIENTO DE 60.000 BRLS CHACHAGÜI – NARIÑO</t>
  </si>
  <si>
    <t>310 4278593</t>
  </si>
  <si>
    <t>duribe86@gmail.com</t>
  </si>
  <si>
    <t>COTIZACION DEL DISEÑO DE EXTINCIÓN DE INCENDIOS - TUGO</t>
  </si>
  <si>
    <t>TUGO</t>
  </si>
  <si>
    <t>Leidy Johana Alarcón</t>
  </si>
  <si>
    <t>COTIZACION DE LOS DISEÑOS DE PROTECCIÓN CONTRA INCENDIOS Y SEGURIDAD HUMANA PARA EL PROYECTO MANOS ACTIVAS</t>
  </si>
  <si>
    <t>COTIZACION DEL DISEÑO DE EXTINCIÓN DE INCENDIOS - TH EL TESORO</t>
  </si>
  <si>
    <t>SERVICIOS BYR</t>
  </si>
  <si>
    <t>Sergio Andrés Ramos Carmona</t>
  </si>
  <si>
    <t>COTIZACION DEL DISEÑO DE DETECCIÓN DE INCENDIOS - PROYECTO GO</t>
  </si>
  <si>
    <t>FCR SAS</t>
  </si>
  <si>
    <t>Judith Elena Trujillo R</t>
  </si>
  <si>
    <t>COTIZACION DE LOS DISEÑOS DE PROTECCIÓN CONTRA INCENDIOS EXTERIORES PARA EL PROYECTO FIC-NORTE</t>
  </si>
  <si>
    <t>AIA</t>
  </si>
  <si>
    <t>Francisco Posada</t>
  </si>
  <si>
    <t>COTIZACION DE LOS DISEÑOS DE PROTECCIÓN CONTRA  INCENDIOS - EDIFICIO CARMEN VIBORAL CONCIVELSA</t>
  </si>
  <si>
    <t>MAKROHABITAT</t>
  </si>
  <si>
    <t>David Vélez</t>
  </si>
  <si>
    <t>COTIZACION DE LOS DISEÑOS DE SEGURIDAD HUMANA Y DETECCIÓN DE INCENDIOS - HOTEL LLERAS</t>
  </si>
  <si>
    <t>ORLANDO DELGADO</t>
  </si>
  <si>
    <t>Orlando Delgado Ghunaim</t>
  </si>
  <si>
    <t>COTIZACION DE LOS DISEÑOS DE SEGURIDAD HUMANA Y PROTECCIÓN CONTRA  INCENDIOS - MIRADOR DEL SUR</t>
  </si>
  <si>
    <t>MIRADOR DEL SUR</t>
  </si>
  <si>
    <t>Juan Diego León Toro</t>
  </si>
  <si>
    <t>COTIZACION DEL DISEÑO DE DETECCIÓN DE INCENDIOS PARA EL PROYECTO PLAY TIME ARKADIA</t>
  </si>
  <si>
    <t>Mauricio Gutiérrez B.</t>
  </si>
  <si>
    <t>COTIZACION DE LOS DISEÑOS DE SEGURIDAD HUMANA Y PROTECCIÓN CONTRA  INCENDIOS - BOSCO SILVESTRE</t>
  </si>
  <si>
    <t>DBG</t>
  </si>
  <si>
    <t>Andrés Sierra</t>
  </si>
  <si>
    <t>COTIZACION DE LOS DISEÑOS DE SEGURIDAD HUMANA Y PROTECCIÓN CONTRA  INCENDIOS - AWA LIVING</t>
  </si>
  <si>
    <t>Juan Carlos Martínez P.</t>
  </si>
  <si>
    <t>COTIZACION DEL ANÁLISIS DE SEGURIDAD HUMANA - LABORATORIO CIB UNIVERSIDAD NACIONAL</t>
  </si>
  <si>
    <t>Santiago Arroyave López</t>
  </si>
  <si>
    <t>COTIZACION DE LOS DISEÑOS DE PROTECCIÓN CONTRA  INCENDIOS - BOEGA NUEVA APIX</t>
  </si>
  <si>
    <t>APIX</t>
  </si>
  <si>
    <t>Yennifer Tatiana Rico</t>
  </si>
  <si>
    <t>COTIZACION DE LOS DISEÑOS DE PROTECCIÓN CONTRA  INCENDIOS - BODEGA ARARY</t>
  </si>
  <si>
    <t>JUAN CARLOS RAMIREZ</t>
  </si>
  <si>
    <t>Juan Carlos Ramírez</t>
  </si>
  <si>
    <t>COTIZACION DE LOS DISEÑOS DE SEGURIDAD HUMANA Y PROTECCIÓN CONTRA  INCENDIOS - BLOQUE 41 UNIVERSIDAD NACIONAL</t>
  </si>
  <si>
    <t>COTIZACION DE LOS DISEÑOS DE PROTECCIÓN CONTRA  INCENDIOS - EDIFICIO DEL CAFÉ</t>
  </si>
  <si>
    <t>PROCOI</t>
  </si>
  <si>
    <t>Brayan Agudelo</t>
  </si>
  <si>
    <t>COTIZACION DE LOS DISEÑOS DE PROTECCIÓN CONTRA  INCENDIOS - FLEXIWORK</t>
  </si>
  <si>
    <t>MENSULA</t>
  </si>
  <si>
    <t>COTIZACION DEL ANÁLISIS DE SEGURIDAD HUMANA - FLEXIWORK</t>
  </si>
  <si>
    <t>Sebastián Giraldo Hoyos</t>
  </si>
  <si>
    <t>COTIZACION DE LOS DISEÑOS DE PROTECCIÓN CONTRA INCENDIOS Y SEGURIDAD HUMANA PARA EL PROYECTO ANTALYA</t>
  </si>
  <si>
    <t>GISAICO</t>
  </si>
  <si>
    <t>Claudia Ramírez</t>
  </si>
  <si>
    <t>COTIZACION DEL DISEÑO DE EXTINCIÓN DE INCENDIOS - CONEXIONES DE MANGUERA TODA LA PLANTA</t>
  </si>
  <si>
    <t>COTIZACION DEL DISEÑO DE EXTINCIÓN DE INCENDIOS - CONEXIONES DE MANGUERA CDI</t>
  </si>
  <si>
    <t>DISEÑO DE SEGURIDAD HUMANA Y EXTINCIÓN DE INCENDIOS  - EDIFICIO CONQUISTADORES</t>
  </si>
  <si>
    <t>ALEJANDRO GOMEZ</t>
  </si>
  <si>
    <t>COTIZACION DE LOS DISEÑOS DE PROTECCIÓN CONTRA  INCENDIOS - RACKETBALL EL TESORO</t>
  </si>
  <si>
    <t>COTIZACION DE LOS DISEÑOS DE PROTECCIÓN CONTRA INCENDIOS Y SEGURIDAD HUMANA PARA EL PROYECTO EDIFICIO WEDSTON</t>
  </si>
  <si>
    <t>Ingeniería y Espacios Arquitectos</t>
  </si>
  <si>
    <t>José David Román</t>
  </si>
  <si>
    <t>COTIZACION DEL MODELO EN REVIT DE PROTECCIÓN CONTRA  INCENDIOS - CENTRO DE NEGOCIOS MANGA</t>
  </si>
  <si>
    <t>Inversiones Arbo</t>
  </si>
  <si>
    <t>Juan Camilo Aristizabal</t>
  </si>
  <si>
    <t>COTIZACION DE LOS DISEÑOS DE SEGURIDAD HUMANA Y PROTECCIÓN CONTRA  INCENDIOS - PUNTOS COLOMBIA</t>
  </si>
  <si>
    <t>GERENCIA INTEGRAL</t>
  </si>
  <si>
    <t>Humberto Duque</t>
  </si>
  <si>
    <t>COTIZACION DE LA INGENIERÍA DE DETALLE DE LA EXTINCIÓN DE INCENDIOS - TELEPERFORMANCE</t>
  </si>
  <si>
    <t>TELEPERFORMANCE</t>
  </si>
  <si>
    <t>Javier Bohorquez Poveda</t>
  </si>
  <si>
    <t>COTIZACION DE LOS DISEÑOS DE PROTECCIÓN CONTRA  INCENDIOS - PISO 3 PLAZA FABRICATO REVIT</t>
  </si>
  <si>
    <t>Darío Saldarriaga</t>
  </si>
  <si>
    <t>COTIZACION DEL DISEÑO DE EXTINCIÓN DE INCENDIOS - BODEGA 500 700 EXITO</t>
  </si>
  <si>
    <t>JOMARK</t>
  </si>
  <si>
    <t>COTIZACION DE LOS DISEÑOS DE PROTECCIÓN CONTRA  INCENDIOS - BLOQUE 2 ESUMER</t>
  </si>
  <si>
    <t>Angélica Montoya</t>
  </si>
  <si>
    <t>COTIZACION DE LOS DISEÑOS DE SEGURIDAD HUMANA Y PROTECCIÓN CONTRA  INCENDIOS - LIBERTE</t>
  </si>
  <si>
    <t>IAC</t>
  </si>
  <si>
    <t>David Álvarez.</t>
  </si>
  <si>
    <t>COTIZACION DEL DISEÑO DE DETECCIÓN DE INCENDIOS - BODEGA INDUSTRIAS KENT</t>
  </si>
  <si>
    <t>INDUSTRIAS KENT</t>
  </si>
  <si>
    <t>Vanesa Muñoz</t>
  </si>
  <si>
    <t>COTIZACION DEL DISEÑO DE EXTINCIÓN DE INCENDIOS - NEUROMÉDICA PLAZA CENTRAL</t>
  </si>
  <si>
    <t xml:space="preserve">COTIZACION DEL DISEÑO DE DETECCIÓN DE INCENDIOS - HANGAR 28 X 25 </t>
  </si>
  <si>
    <t>CONSTRUCCIONES SAFEST</t>
  </si>
  <si>
    <t>Gabriel Jaime Sánchez</t>
  </si>
  <si>
    <t>gerencia@construccionessafest.com</t>
  </si>
  <si>
    <t>COTIZACION DEL DISEÑO DE DETECCIÓN DE INCENDIOS PARA EL PROYECTO 4 TORRES DEL PROYECTO ÍNDIGO</t>
  </si>
  <si>
    <t>COTIZACION DE LOS DISEÑOS DE SEGURIDAD HUMANA Y PROTECCIÓN CONTRA  INCENDIOS - LA CUMBRE</t>
  </si>
  <si>
    <t>I+CONSTRUCTORA</t>
  </si>
  <si>
    <t>William Londoño</t>
  </si>
  <si>
    <t>COTIZACION DEL DISEÑO DE DETECCIÓN DE INCENDIOS - HOTEL SAN JOAQUIN</t>
  </si>
  <si>
    <t>COTIZACIÓN REDISEÑO PISO 5 ARKADIA CLÍNICA LAS AMÉRICAS</t>
  </si>
  <si>
    <t>SECURETEC</t>
  </si>
  <si>
    <t>COTIZACION DE LOS DISEÑOS DE PROTECCIÓN CONTRA INCENDIOS PARA EL PROYECTO PARCELACIÓN MONTESOL VILLAS DE VERANO</t>
  </si>
  <si>
    <t>COTIZACION DE LOS DISEÑOS DE SEGURIDAD HUMANA Y PROTECCIÓN CONTRA  INCENDIOS - ASOCIA</t>
  </si>
  <si>
    <t>ALBERTO ALVAREZ</t>
  </si>
  <si>
    <t>Juliana Valencia</t>
  </si>
  <si>
    <t>COTIZACION DEL REDISEÑO DE EXTINCIÓN DE INCENDIOS - APTOS ACUARELA DEL PARQUE</t>
  </si>
  <si>
    <t>ARQUITECTURA Y CONCRETO</t>
  </si>
  <si>
    <t>COTIZACION DE LOS DISEÑOS DE SEGURIDAD HUMANA Y PROTECCIÓN CONTRA  INCENDIOS - VERTICALL</t>
  </si>
  <si>
    <t>PVG</t>
  </si>
  <si>
    <t>COTIZACION DE LOS DISEÑOS DE SEGURIDAD HUMANA Y EXTINCIÓN DE INCENDIOS - SAN NICOLAS ETAPA 3</t>
  </si>
  <si>
    <t>HIDRO F SALILNAS</t>
  </si>
  <si>
    <t>COTIZACION DEL DISEÑO DE EXTINCIÓN DE INCENDIOS - MADELO</t>
  </si>
  <si>
    <t>COTIZACION DE LOS DISEÑOS DE SEGURIDAD HUMANA - ASOCIA</t>
  </si>
  <si>
    <t>COTIZACION DE LOS DISEÑOS DE PROTECCIÓN CONTRA INCENDIOS Y SEGURIDAD HUMANA PARA EL PROYECTO REFORMA DE 3 PISOS UNIVERSIDAD DEL ROSARIO</t>
  </si>
  <si>
    <t>REDISEÑOS ARAGUA</t>
  </si>
  <si>
    <t>COTIZACION DE LOS DISEÑOS DE SEGURIDAD HUMANA Y PROTECCIÓN CONTRA  INCENDIOS - CERVECERÍA GUARDIAN</t>
  </si>
  <si>
    <t>CERVECERIA GUARDIAN</t>
  </si>
  <si>
    <t>Oscar Contreras / Manuel Contreras</t>
  </si>
  <si>
    <t>COTIZACION DE LOS DISEÑOS DE SEGURIDAD HUMANA Y PROTECCIÓN CONTRA  INCENDIOS - OZ</t>
  </si>
  <si>
    <t>RRP</t>
  </si>
  <si>
    <t>Roberto Pineda</t>
  </si>
  <si>
    <t>roberto.pineda@rrp.com.co</t>
  </si>
  <si>
    <t>COTIZACION DE LOS DISEÑOS DE SEGURIDAD HUMANA Y PROTECCIÓN CONTRA  INCENDIOS - BODEGA PRIMAVERA RED GRAL</t>
  </si>
  <si>
    <t>COTIZACION DE LOS DISEÑOS DE SEGURIDAD HUMANA Y PROTECCIÓN CONTRA  INCENDIOS - BODEGA PRIMAVERA TOTAL</t>
  </si>
  <si>
    <t>María Eugenia Ospina A</t>
  </si>
  <si>
    <t>COTIZACION DE INTERVENTORÍA A LA INSTALACIÓN DE LOS SISTEMAS DE PROTECCIÓN CONTRA INCENDIOS PARA LA PLANTA RIDUCO</t>
  </si>
  <si>
    <t>RIDUCO</t>
  </si>
  <si>
    <t>Luis Felipe Pérez</t>
  </si>
  <si>
    <t>COTIZACION DE LOS DISEÑOS DE SEGURIDAD HUMANA Y PROTECCIÓN CONTRA  INCENDIOS - MARSH &amp; MCLENNAN</t>
  </si>
  <si>
    <t>STUDIO SUR</t>
  </si>
  <si>
    <t>Andrea Pineda</t>
  </si>
  <si>
    <t>COTIZACION DEL ANÁLISIS DE SEGURIDAD HUMANA PARA EL PROYECTO OFICINAS MARSH &amp; MCLENNAN BOGOTÁ</t>
  </si>
  <si>
    <t>COTIZACION DE LOS DISEÑOS DE PROTECCIÓN CONTRA INCENDIOS PARA EL PROYECTO FRUTOS VERDES</t>
  </si>
  <si>
    <t>CONINTEL</t>
  </si>
  <si>
    <t>Doris Duarte</t>
  </si>
  <si>
    <t>COTIZACION DE LOS DISEÑOS DE PROTECCIÓN CONTRA INCENDIOS Y SEGURIDAD HUMANA PARA EL PROYECTO COLEGIO JHON F KENNEDY</t>
  </si>
  <si>
    <t>Álvaro Rojas</t>
  </si>
  <si>
    <t>COTIZACION DE LOS DISEÑOS DE PROTECCIÓN CONTRA INCENDIOS Y SEGURIDAD HUMANA PARA EL PROYECTO CDI ENVIGADO</t>
  </si>
  <si>
    <t>COTIZACION DE LOS DISEÑOS DE PROTECCIÓN CONTRA INCENDIOS Y SEGURIDAD HUMANA PARA EL PROYECTO TERRAZZINO SUR</t>
  </si>
  <si>
    <t>GINO</t>
  </si>
  <si>
    <t>Lina Gonzáles</t>
  </si>
  <si>
    <t>COTIZACION DE LOS DISEÑOS DE SEGURIDAD HUMANA Y PROTECCIÓN CONTRA  INCENDIOS - BOSQUE SAGRADO</t>
  </si>
  <si>
    <t>310 4242961</t>
  </si>
  <si>
    <t>Ana Maria Escobar</t>
  </si>
  <si>
    <t>COTIZACION DE LOS DISEÑOS DE PROTECCIÓN CONTRA INCENDIOS Y SEGURIDAD HUMANA PARA EL PROYECTO BLOQUES 42 Y  42A UNAL</t>
  </si>
  <si>
    <t>Johan Ferney Tamayo</t>
  </si>
  <si>
    <t>COTIZACION DE LOS DISEÑOS DE PROTECCIÓN CONTRA INCENDIOS Y SEGURIDAD HUMANA PARA EL PROYECTO RESIDENCIAL PINARES</t>
  </si>
  <si>
    <t>COTIZACION DEL RE-DISEÑO DE EXTINCIÓN DE INCENDIOS PARA EL PROYECTO PLEXA</t>
  </si>
  <si>
    <t>COTIZACION DEL ANÁLISIS DE SEGURIDAD HUMANA PARA EL PROYECTO AUDITORIO</t>
  </si>
  <si>
    <t>319 4913179</t>
  </si>
  <si>
    <t>Carlos Almanya</t>
  </si>
  <si>
    <t>COTIZACION DEL DISEÑO DE DETECCIÓN DE INCENDIOS - TIPALMA</t>
  </si>
  <si>
    <t>COTIZACION DE LOS DISEÑOS DE SEGURIDAD HUMANA Y DETECCIÓN DE INCENDIOS - ETAPA 2 PARADISE LIVING</t>
  </si>
  <si>
    <t>Isabel Vélez</t>
  </si>
  <si>
    <t>ivelez@dgbconstructora.com</t>
  </si>
  <si>
    <t>COTIZACION DE LOS DISEÑOS DE SEGURIDAD HUMANA - ETAPA 2 PARADISE LIVING</t>
  </si>
  <si>
    <t>COTIZACION REVISIÓN INSTALACIÓN DEL SISTEMA DE EXTINCIÓN DE INCENDIOS OHL - ECOCEMENTOS</t>
  </si>
  <si>
    <t>COTIZACION DEL DISEÑO DE EXTINCIÓN DE INCENDIOS - PISO DE CONSULTORIOS SALUD VEGAS</t>
  </si>
  <si>
    <t>David Velasquez</t>
  </si>
  <si>
    <t>davidvelasquez@arquitecturayconcreto.com</t>
  </si>
  <si>
    <t>COTIZACION DEL DISEÑO DE EXTITORES PORTÁTILES CONTRA INCENDIOS PARA EL PROYECTO PARQUEADERO DE BUSES</t>
  </si>
  <si>
    <t>COTIZACION DE LOS DISEÑOS DE PROTECCIÓN CONTRA INCENDIOS PARA EL PROYECTO ESTACIÓN DE SERVICIOS</t>
  </si>
  <si>
    <t>COTIZACION DE LOS DISEÑOS DE PROTECCIÓN CONTRA INCENDIOS Y SEGURIDAD HUMANA PARA EL PROYECTO ZÚÑIGA ESTELAR</t>
  </si>
  <si>
    <t xml:space="preserve">Luis Zuluaga Ramirez </t>
  </si>
  <si>
    <t>lzuluagar0626@hotmail.com</t>
  </si>
  <si>
    <t>COTIZACION DE LA VALIDACIÓN HIDRÁULICA PARA OPTIMIZACIÓN SISTEMAS NIVELES 15 al 18 - TESORO ETAPA 4</t>
  </si>
  <si>
    <t>cristiamondragon.spci@gmail.com</t>
  </si>
  <si>
    <t>COTIZACION DE LOS DISEÑOS DE PROTECCIÓN CONTRA INCENDIOS Y SEGURIDAD HUMANA PARA EL PROYECTO RESIDENCIAL ALLEGRO</t>
  </si>
  <si>
    <t>4480648 ext 122</t>
  </si>
  <si>
    <t>Juan Rico Orozco</t>
  </si>
  <si>
    <t>juanrico@centrosur.co</t>
  </si>
  <si>
    <t>COTIZACION DE LOS DISEÑOS DE PROTECCIÓN CONTRA INCENDIOS Y SEGURIDAD HUMANA PARA EL PROYECTO TORRE HIMALAYA</t>
  </si>
  <si>
    <t>RAFAEL MALDONADO LINARES</t>
  </si>
  <si>
    <t>ramali05@hotmail.com</t>
  </si>
  <si>
    <t>COTIZACION DE LOS DISEÑOS DE PROTECCIÓN CONTRA  INCENDIOS - UCI CLÍNICA LAS VEGAS</t>
  </si>
  <si>
    <t>DCS</t>
  </si>
  <si>
    <t>314 615 74 66</t>
  </si>
  <si>
    <t>José David Zuleta Muñoz</t>
  </si>
  <si>
    <t>comercial@dcs.com.co</t>
  </si>
  <si>
    <t>COTIZACION DE LOS DISEÑOS DE PROTECCIÓN CONTRA INCENDIOS PARA EL PROYECTO OFICINAS GCG EDIFICIO SAN FRANCISCO</t>
  </si>
  <si>
    <t>COTIZACION DE LA INGENIERÍA CONCEPTUAL DE LOS SISTEMAS DE PROTECCIÓN CONTRA INCENDIOS PARA EL CENTRO COMERCIAL OVIEDO</t>
  </si>
  <si>
    <t>PICSO</t>
  </si>
  <si>
    <t>Ernesto Castrillón</t>
  </si>
  <si>
    <t>ernesto.castrillon@picso.com.co</t>
  </si>
  <si>
    <t>COTIZACION DE LA REVISIÓN DE SEGURIDAD HUMANA Y LOS SISTEMAS DE PROTECCIÓN CONTRA INCENIDOS PARA CLÍNICAS</t>
  </si>
  <si>
    <t>COTIZACION DE LOS DISEÑOS DE PROTECCIÓN CONTRA INCENDIOS Y SEGURIDAD HUMANA PARA EL PROYECTO PARROQUIA SAN BENITO ABAD</t>
  </si>
  <si>
    <t>Juan Carlos Muñoz Ramirez</t>
  </si>
  <si>
    <t>arquitectojohncarlos@gmail.com</t>
  </si>
  <si>
    <t>COTIZACION DE LOS DISEÑOS DE SEGURIDAD HUMANA Y PROTECCIÓN CONTRA  INCENDIOS - TRESPALMAS</t>
  </si>
  <si>
    <t>TERRAREA</t>
  </si>
  <si>
    <t>Camila Angel</t>
  </si>
  <si>
    <t>arquitectura@grupoterrarea.com</t>
  </si>
  <si>
    <t>COTIZACION DE LOS DISEÑOS DE SEGURIDAD HUMANA Y PROTECCIÓN CONTRA  INCENDIOS - HOTEL BEMINIMAL</t>
  </si>
  <si>
    <t>TECNOBIM</t>
  </si>
  <si>
    <t>Carlos Ramírez</t>
  </si>
  <si>
    <t>tecnobimcolombia@gmail.com</t>
  </si>
  <si>
    <t>COTIZACION DEL DISEÑO SOPORTES TIPO PERA SECURETEC</t>
  </si>
  <si>
    <t>dirproyectos@securetec.com.co</t>
  </si>
  <si>
    <t>COTIZACION DEL DISEÑO FICHAS CÁLCULO DE SOPORTERÍA SEGÚN NFPA 13</t>
  </si>
  <si>
    <t xml:space="preserve">COTIZACION DE LOS DISEÑOS DE PROTECCIÓN CONTRA INCENDIOS EN REVIT PARA EL PISO 3 DE PLAZA FABRICATO </t>
  </si>
  <si>
    <t>COTIZACION DE LA CAPACITACIÓN DE LA SOPORTERÍA PARA LOS SISTEMAS DE EXTINCIÓN DE INCENDIOS CONFORME NFPA 13 Y NSR-10</t>
  </si>
  <si>
    <t>COTIZACION DE LOS DISEÑOS DE SEGURIDAD HUMANA Y PROTECCIÓN CONTRA  INCENDIOS - BODEGA 500 700 ÉXITO</t>
  </si>
  <si>
    <t>Soluciones Inmobiliarias</t>
  </si>
  <si>
    <t>Juan david Ruiz</t>
  </si>
  <si>
    <t>jdruizg@solucionesinmobiliariassas.com</t>
  </si>
  <si>
    <t>COTIZACION DE LOS DISEÑOS DE PROTECCIÓN CONTRA INCENDIOS Y SEGURIDAD HUMANA PARA EL PROYECTO ROSSET TORRE 3</t>
  </si>
  <si>
    <t>MONET</t>
  </si>
  <si>
    <t>Víctor Jiménez</t>
  </si>
  <si>
    <t>vajjimenez@hotmail.com</t>
  </si>
  <si>
    <t>COTIZACION DE LA INGENIERÍA CONCEPTUAL DE EXTINCIÓN DE INCENDIOS - PLANTA DE PASTAS CONTINENTAL GOLD</t>
  </si>
  <si>
    <t>COTIZACION DEL DISEÑO DE EXTINCIÓN DE INCENDIOS - TANQUES GLP ALMACAFÉ SOACHA</t>
  </si>
  <si>
    <t>COTIZACION DEL DISEÑO DE EXTINCIÓN DE INCENDIOS - PLANTA COSMÉTICOS WESTQUIMICA</t>
  </si>
  <si>
    <t>COTIZACION DEL DISEÑO DE EXTINCIÓN DE INCENDIOS - CEDI KOBA</t>
  </si>
  <si>
    <t>305 221 8498</t>
  </si>
  <si>
    <t>Juliana Tamayo</t>
  </si>
  <si>
    <t>jmtamayo@aia.com.co</t>
  </si>
  <si>
    <t>COTIZACION DE LOS DISEÑOS DE PROTECCIÓN CONTRA INCENDIOS Y SEGURIDAD HUMANA PARA EL PROYECTO BANCOLOMBIA LAURELES</t>
  </si>
  <si>
    <t>Por definir</t>
  </si>
  <si>
    <t>COTIZACION DE LOS DISEÑOS DE PROTECCIÓN CONTRA INCENDIOS PARA EL PROYECTO CEDI INDUCASCOS</t>
  </si>
  <si>
    <t>COTIZACION DE LOS DISEÑOS DE SEGURIDAD HUMANA Y PROTECCIÓN CONTRA  INCENDIOS - CLÍNICA DEL PRADO</t>
  </si>
  <si>
    <t>CNV</t>
  </si>
  <si>
    <t>Esteban Diaz Garcia</t>
  </si>
  <si>
    <t>esteban.diaz@cnv.com.co</t>
  </si>
  <si>
    <t>COTIZACION DE LA INGENIERÍA CONCEPTUAL DE LOS SISTEMAS DE PROTECCIÓN CONTRA INCENDIOS PARA EL PROYECTO HUMAX</t>
  </si>
  <si>
    <t>SOPORTICA</t>
  </si>
  <si>
    <t>301 747 7723</t>
  </si>
  <si>
    <t>Juan Camilo Piedrahita Mesa</t>
  </si>
  <si>
    <t>juan.piedrahita@soportica.com</t>
  </si>
  <si>
    <t>COTIZACION DEL DISEÑO DE EXTINCIÓN DE INCENDIOS PARA EL PROYECTO HUMAX</t>
  </si>
  <si>
    <t>COTIZACIÓN MODIFICACIÓN PLANOS SISTEMA EXTINCIÓN DE INCENDIOS PROYECTO VIVARÉ</t>
  </si>
  <si>
    <t>COTIZACIÓN DE LOS DISEÑOS DE PROTECCIÓN CONTRA INCENDIOS PARA EL PROYECTO SANTA ANA</t>
  </si>
  <si>
    <t>COTIZACION DE LOS DISEÑOS DE PROTECCIÓN CONTRA INCENDIOS PARA EL PROYECTO HANGAR DE 28 X 25 M</t>
  </si>
  <si>
    <t>COTIZACION DEL DISEÑO DE EXTINCIÓN DE INCENDIOS PARA EL PROYECTO CENTRO COMERCIAL SAN PEDRO PLAZA</t>
  </si>
  <si>
    <t>COTIZACION DEL DISEÑO DE EXTINCIÓN DE INCENDIOS PARA LA OFCICINA 313 DEL CCI</t>
  </si>
  <si>
    <t>COTIZACION DE LA INGENIERÍA CONCEPTUAL DE EXTINCIÓN DE INCENDIOS - PABILOPEZ</t>
  </si>
  <si>
    <t>PABILOPEZ</t>
  </si>
  <si>
    <t xml:space="preserve">	cristinagallon@hotmail.com</t>
  </si>
  <si>
    <t>COTIZACION DEL DISEÑO DE EXTINCIÓN DE INCENDIOS - CAMPAMENTO VILLA BLANCA</t>
  </si>
  <si>
    <t>Gino Montoya</t>
  </si>
  <si>
    <t>gino1037@hotmail.com</t>
  </si>
  <si>
    <t>COTIZACION DE LOS DISEÑOS DE PROTECCIÓN CONTRA  INCENDIOS - CLÍNICA DEL PRADO</t>
  </si>
  <si>
    <t>COTIZACION DEL DISEÑO DE DETECCIÓN DE INCENDIOS - AUTODICOL</t>
  </si>
  <si>
    <t>COTIZACION DEL DISEÑO DE EXTINCIÓN DE INCENDIOS - ÁREA SOCIAL FELICITY</t>
  </si>
  <si>
    <t>COTIZACION DE LOS DISEÑOS DE SEGURIDAD HUMANA Y PROTECCIÓN CONTRA  INCENDIOS - PLANTA INDUSTRIAL 7000 M2 ZONA LECHERA</t>
  </si>
  <si>
    <t>WILLIAM FLOREZ</t>
  </si>
  <si>
    <t>300 6186350</t>
  </si>
  <si>
    <t>William Florez</t>
  </si>
  <si>
    <t>willerf30@hotmail.com</t>
  </si>
  <si>
    <t>COTIZACION DE LOS DISEÑOS DE PROTECCIÓN CONTRA  INCENDIOS - CENTRO LOGÍSITICO COBERTA</t>
  </si>
  <si>
    <t>COTIZACION DE LOS DISEÑOS DE PROTECCIÓN CONTRA INCENDIOS PARA EL PROYECTO LÍNEA DE ETHANOL Y ALMACENAMIENTO</t>
  </si>
  <si>
    <t>COTIZACION DE LOS DISEÑOS DE PROTECCIÓN CONTRA INCENDIOS Y SEGURIDAD HUMANA PARA EL PROYECTO COLEGIO 5.000 M2</t>
  </si>
  <si>
    <t>COTIZACION DE LOS DISEÑOS DE PROTECCIÓN CONTRA  INCENDIOS - GOBERNACIÓN DE ANTIOQUIA</t>
  </si>
  <si>
    <t>GOBERNACION</t>
  </si>
  <si>
    <t>Cristhian Camilo Orguela</t>
  </si>
  <si>
    <t>cristhiancamilo.orjuela@antioquia.gov.co</t>
  </si>
  <si>
    <t>COTIZACION DE LOS DISEÑOS DE PROTECCIÓN CONTRA  INCENDIOS - LA STRADA Y HOTEL ESTELAR</t>
  </si>
  <si>
    <t>COTIZACION DE LOS DISEÑOS DE SEGURIDAD HUMANA Y EXTINCIÓN DE INCENDIOS - LA 42</t>
  </si>
  <si>
    <t>SEBASTIAN RAMÍREZ</t>
  </si>
  <si>
    <t>Sebastián Ramírez</t>
  </si>
  <si>
    <t>sradu85@gmail.com</t>
  </si>
  <si>
    <t>COTIZACION DE LOS DISEÑOS DE SEGURIDAD HUMANA Y EXTINCIÓN DE INCENDIOS - POLITÉCNICO DE COLOMBIA</t>
  </si>
  <si>
    <t>juan.londono@serviciosipm.com</t>
  </si>
  <si>
    <t>COTIZACION DE LA REVISIÓN DE LOS DISEÑOS DE LOS SISTEMAS DE PROTECCIÓN CONTRA INCENDIOS Y LA SEURIDAD HUMANA - CENTRO COMERCIAL MIXY</t>
  </si>
  <si>
    <t>rnesto.castrillon@picso.com.co</t>
  </si>
  <si>
    <t>COTIZACION DEL DISEÑO DE EXTINCIÓN DE INCENDIOS - LOCALES 1605 Y 1606 ED CROSS</t>
  </si>
  <si>
    <t>SARA FRANCO</t>
  </si>
  <si>
    <t>Sara Franco</t>
  </si>
  <si>
    <t>sarafrancorendon@gmail.com</t>
  </si>
  <si>
    <t>COTIZACION DE LOS DISEÑOS DE PROTECCIÓN CONTRA INCENDIOS Y SEGURIDAD HUMANA PARA EL PROYECTO BUENAVISTA</t>
  </si>
  <si>
    <t>COTIZACION DE LOS DISEÑOS DE PROTECCIÓN CONTRA INCENDIOS Y SEGURIDAD HUMANA PARA EL PROYECTO ON LIVING</t>
  </si>
  <si>
    <t>COTIZACION DE LOS DISEÑOS DE PROTECCIÓN CONTRA INCENDIOS Y SEGURIDAD HUMANA PARA EL PROYECTO KARDINAL 42</t>
  </si>
  <si>
    <t>COTIZACION DEL DISEÑO DE EXTINCIÓN DE INCENDIOS - CLÍNICA ASTORGA SALUD VEGAS</t>
  </si>
  <si>
    <t>Humberto Acevedo</t>
  </si>
  <si>
    <t>hacevedo@interve.co</t>
  </si>
  <si>
    <t>COTIZACION EVALUACIÓN DEL SISTEMA DE BOMBA CONTRA INCENDIOS - POLITÉCNICO DE COLOMBIA</t>
  </si>
  <si>
    <t>COTIZACION DEL DISEÑO DE EXTINCIÓN DE INCENDIOS - SISTEMAS DE PREACCIÓN PLAZA FABRICATO</t>
  </si>
  <si>
    <t>Mauricio Sepulveda</t>
  </si>
  <si>
    <t>mauriciosepulvedaspci@gmail.com</t>
  </si>
  <si>
    <t>COTIZACION DE LOS DISEÑOS DE SEGURIDAD HUMANA Y PROTECCIÓN CONTRA  INCENDIOS - TIERRA VERDE LOTE 4</t>
  </si>
  <si>
    <t>(+574) 4443091</t>
  </si>
  <si>
    <t>Lina Montoya</t>
  </si>
  <si>
    <t xml:space="preserve"> lmontoya@iconstructora.com.co</t>
  </si>
  <si>
    <t>COTIZACION DEL DISEÑO DEL CUARTO DE BOMBAS DE EXTINCIÓN DE INCENDIOS - ARBOLEDA DE LA ESTRELLA</t>
  </si>
  <si>
    <t>COTIZACION DE LOS DISEÑOS DE SEGURIDAD HUMANA Y PROTECCIÓN CONTRA  INCENDIOS - CANTAGIA</t>
  </si>
  <si>
    <t>MOGACON</t>
  </si>
  <si>
    <t>Omar Stiven Ríos</t>
  </si>
  <si>
    <t>srios@mogacon.com.co</t>
  </si>
  <si>
    <t>157A</t>
  </si>
  <si>
    <t>COTIZACION DEL DISEÑO DE EXTINCIÓN DE INCENDIOS PARA EL PROYECTO ÉXITO ITAGUÍ</t>
  </si>
  <si>
    <t>COTIZACION EVALUACIÓN DEL SISTEMA DE BOMBA CONTRA INCENDIOS – ÉXITO ITAGUÍ</t>
  </si>
  <si>
    <t>COTIZACION DEL ANÁLISIS DE SEGURIDAD HUMANA - PROYECTO ACRE</t>
  </si>
  <si>
    <t>SAINC</t>
  </si>
  <si>
    <t>Johana Zapata García.</t>
  </si>
  <si>
    <t>oficinatecnica@sainc.co</t>
  </si>
  <si>
    <t>COTIZACION DEL DISEÑO DE EXTINCIÓN DE INCENDIOS - LOCAL EXITO LAURELES</t>
  </si>
  <si>
    <t>Ivonne Gonzales</t>
  </si>
  <si>
    <t>proyectos@socomes.com</t>
  </si>
  <si>
    <t>COTIZACION DEL DISEÑO DE EXTINCIÓN DE INCENDIOS - LOCAL BEAUTY ICE VIVA ENVIGADO</t>
  </si>
  <si>
    <t>161A</t>
  </si>
  <si>
    <t>COTIZACION DEL DISEÑO DE EXTINCIÓN Y DETECCIÓN DE INCENDIOS PARA EL PROYECTO PLANTA DE CONCENTRADOS Y ESENCIAS
PROYECTO PLANTA DE CONCENTRADOS Y ESENCIAS</t>
  </si>
  <si>
    <t>Coca-cola femsa</t>
  </si>
  <si>
    <t>Ricardo calle</t>
  </si>
  <si>
    <t>haqmym@gmail.com</t>
  </si>
  <si>
    <t>COTIZACION REVISIÓN DE RED GENERAL Y BOMBA CONTRA INCENDIOS - CARBOQUÍMICA</t>
  </si>
  <si>
    <t>316 8787297</t>
  </si>
  <si>
    <t>COTIZACION DEL DISEÑO DE DETECCIÓN DE INCENDIOS - ACADEMIA ANTIOQUEÑA DE AVIACIÓN</t>
  </si>
  <si>
    <t>COTIZACION DE LOS DISEÑOS DE PROTECCIÓN CONTRA  INCENDIOS - BODEGA COPACABANA</t>
  </si>
  <si>
    <t>COTIZACION DE LOS DISEÑOS DE SEGURIDAD HUMANA Y PROTECCIÓN CONTRA  INCENDIOS - EDIFICIO BELEN LA PALMA</t>
  </si>
  <si>
    <t>ZANELLA INGENIERÍA</t>
  </si>
  <si>
    <t>Victor BAZALAR</t>
  </si>
  <si>
    <t>gerenciazanella@gmail.com</t>
  </si>
  <si>
    <t>COTIZACION DEL DISEÑO DE DETECCIÓN DE INCENDIOS - CASA ADMINISTRATIVA COLOMBO BRITÁNICO</t>
  </si>
  <si>
    <t>EL RÁPIDO</t>
  </si>
  <si>
    <t>Alvaro Manosalva</t>
  </si>
  <si>
    <t>licitaciones@equiposelrapido.com</t>
  </si>
  <si>
    <t>COTIZACION DE LA REVISIÓN DE LOS DISEÑOS DE LOS SISTEMAS DE PROTECCIÓN CONTRA INCENDIOS - ALKOTO PASTO</t>
  </si>
  <si>
    <t>COTIZACION DE LOS DISEÑOS DE SEGURIDAD HUMANA Y PROTECCIÓN CONTRA  INCENDIOS - ED RESONADOR IPS UNIVERSITARIA</t>
  </si>
  <si>
    <t xml:space="preserve">COTIZACION DE LOS DISEÑOS DE PROTECCIÓN CONTRA INCENDIOS EN REVIT PARA EL PISO 2.5 DE PLAZA FABRICATO </t>
  </si>
  <si>
    <t>COTIZACION DE LOS DISEÑOS DE PROTECCIÓN CONTRA  INCENDIOS - SUBESTACIONES ELECTRICARIBE</t>
  </si>
  <si>
    <t>COTIZACION DE LOS DISEÑOS DE SEGURIDAD HUMANA Y PROTECCIÓN CONTRA  INCENDIOS - EDIFICIO RESIDENCIAL MARIO CARMONA</t>
  </si>
  <si>
    <t>310 4659572</t>
  </si>
  <si>
    <t xml:space="preserve">julialzate@une.net.co </t>
  </si>
  <si>
    <t>COTIZACION DEL REDISEÑO DE EXTINCIÓN DE INCENDIOS - PLAZA FABRICATO PISOS 2 Y 3</t>
  </si>
  <si>
    <t>Dario Saldarriaga</t>
  </si>
  <si>
    <t>dsaldarriaga@interve.co</t>
  </si>
  <si>
    <t>ENTREPINOS</t>
  </si>
  <si>
    <t>Nubia Entrepinos</t>
  </si>
  <si>
    <t>entrepinos.nubia@gmail.com</t>
  </si>
  <si>
    <t>COTIZACION DE LOS DISEÑOS DE PROTECCIÓN CONTRA INCENDIOS Y SEGURIDAD HUMANA PARA EL PROYECTO TIERRA VERDE LOTE 4 SECURETEC</t>
  </si>
  <si>
    <t>COTIZACION DE LOS DISEÑOS DE SEGURIDAD HUMANA Y PROTECCIÓN CONTRA  INCENDIOS - 4800 M2 CLÍNICA NUESTRA SEÑORA DE LA PAZ</t>
  </si>
  <si>
    <t>COTIZACION DE LOS DISEÑOS DE SEGURIDAD HUMANA Y PROTECCIÓN CONTRA  INCENDIOS - TEATRO CARIBE ITAGUÍ</t>
  </si>
  <si>
    <t>COTIZACION DE LOS DISEÑOS DE SEGURIDAD HUMANA Y PROTECCIÓN CONTRA  INCENDIOS - LOCALES LOTE D RESERVA DEL RETIRO</t>
  </si>
  <si>
    <t>COTIZACION DEL SISTEMA DE EXTINCIÓN DE INCENDIOS PARA EL PARQUE INDUSTRIAL ENTRADA NORTE</t>
  </si>
  <si>
    <t>EQUIPOS RAPIDO</t>
  </si>
  <si>
    <t>COTIZACION DEL DEL MANUAL DE OPERACIONES DE LOS SISTEMAS DE PROTECCIÓN CONTRA INCENDIOS PARA EL PROYECTO FORETI</t>
  </si>
  <si>
    <t>CONSTRUGEN</t>
  </si>
  <si>
    <t>Gabriel Vélez</t>
  </si>
  <si>
    <t xml:space="preserve">gabriel.velez@construgen.com </t>
  </si>
  <si>
    <t>COTIZACION DE LOS DISEÑOS DE PROTECCIÓN CONTRA  INCENDIOS - PLANTA GLP GUACHUCAL NARIÑO</t>
  </si>
  <si>
    <t>INS</t>
  </si>
  <si>
    <t>Juan Diego Lizcano Ortiz</t>
  </si>
  <si>
    <t>director.obra@insesp.com</t>
  </si>
  <si>
    <t>COTIZACION DEL DISEÑO SOPORTES SISMORRESISTENTE 4 VÍAS SECURETEC</t>
  </si>
  <si>
    <t>COTIZACION DE LA VALIDACIÓN HIDRÁULICA PARA EL SISTEMA DE BOMBEO - CE LA CLARITA</t>
  </si>
  <si>
    <t>COTIZACION DEL DISEÑO DE DETECCIÓN DE INCENDIOS - SENDERO DEL PARQUE</t>
  </si>
  <si>
    <t>COTIZACION ACOMPAÑAMIENTO REVISIÓN SISTEMAS RCI Y DET PORTANOVA 1</t>
  </si>
  <si>
    <t>COTIZACION DEL DISEÑO DE EXTINCIÓN DE INCENDIOS PARA EL PROYECTO FRUTICOL</t>
  </si>
  <si>
    <t>COTIZACIÓN DE LOS DISEÑOS DE SEGURIDAD HUMANA Y PROTECCIÓN CONTRA INCENDIOS - BANCOLOMBIA FLORIDA</t>
  </si>
  <si>
    <t>COTIZACION DEL ANÁLISIS DE SEGURIDAD HUMANA - PROYECTO RESIDENCIAL</t>
  </si>
  <si>
    <t>ADMIRIS</t>
  </si>
  <si>
    <t>Andrés Velázquez</t>
  </si>
  <si>
    <t>avelasquez@admirisltda.com</t>
  </si>
  <si>
    <t>COTIZACION DE LOS DISEÑOS DE PROTECCIÓN CONTRA INCENDIOS PARA EL PROYECTO BLOQUES 28 Y 29 UDEA</t>
  </si>
  <si>
    <t>COTIZACION DE LOS DISEÑOS DE SEGURIDAD HUMANA Y PROTECCIÓN CONTRA  INCENDIOS - PROYECTO COPACABANA</t>
  </si>
  <si>
    <t>INGENIERÍA Y VIVIENDA</t>
  </si>
  <si>
    <t>Susana Gómez Arcila</t>
  </si>
  <si>
    <t>susanagomez@ingenieriayvivienda.com</t>
  </si>
  <si>
    <t>COTIZACION DE LOS DISEÑOS DE PROTECCIÓN CONTRA INCENDIOS Y SEGURIDAD HUMANA PARA EL PROYECTO ARDISA</t>
  </si>
  <si>
    <t>A3 CONSULTING</t>
  </si>
  <si>
    <t>Adriana Gaitán</t>
  </si>
  <si>
    <t>adriana@a3consulting.com.co</t>
  </si>
  <si>
    <t>COTIZACION DE LOS DISEÑOS DE SEGURIDAD HUMANA Y PROTECCIÓN CONTRA  INCENDIOS - CLINICA LA CEJA</t>
  </si>
  <si>
    <t>COTIZACION DE LOS DISEÑOS DE SEGURIDAD HUMANA Y PROTECCIÓN CONTRA  INCENDIOS - CLÍNICA LLANOGRANDE</t>
  </si>
  <si>
    <t>carolina@hidrofsalinas.com</t>
  </si>
  <si>
    <t>COTIZACION DE LOS DISEÑOS DE PROTECCIÓN CONTRA INCENDIOS Y SEGURIDAD HUMANA PARA EL PROYECTO BRIZZA</t>
  </si>
  <si>
    <t>COTIZACION DE LOS DISEÑOS DE SEGURIDAD HUMANA Y PROTECCIÓN CONTRA  INCENDIOS - PLAZA DE ENVIGADO</t>
  </si>
  <si>
    <t>DE SUR</t>
  </si>
  <si>
    <t>Natalia Mejía</t>
  </si>
  <si>
    <t>nataliamejia.desur@gmail.com</t>
  </si>
  <si>
    <t>COTIZACION DE LOS DISEÑOS DE SEGURIDAD HUMANA Y PROTECCIÓN CONTRA  INCENDIOS - CANCHAS EN ALTURA</t>
  </si>
  <si>
    <t>COTIZACION DEL ANÁLISIS DE SEGURIDAD HUMANA PARA EL PROYECTO CANCHA SINTÉTICA ENVIGADO</t>
  </si>
  <si>
    <t>COTIZACION DE LOS DISEÑOS DE SEGURIDAD HUMANA Y PROTECCIÓN CONTRA  INCENDIOS - ACUARELA DEL RIO</t>
  </si>
  <si>
    <t>COTIZACION DE LOS DISEÑOS DE SEGURIDAD HUMANA Y PROTECCIÓN CONTRA  INCENDIOS - EDIFICIO M45</t>
  </si>
  <si>
    <t>COTIZACION DE LA ACTUALIZACIÓN DE LOS PLANOS - PROYECTO FORETTI</t>
  </si>
  <si>
    <t>ESTRUCTURAR</t>
  </si>
  <si>
    <t>Jorge Gaitán</t>
  </si>
  <si>
    <t>jorgegaitan@estructurar.co</t>
  </si>
  <si>
    <t>COTIZACION DEL DISEÑO DE EXTINCIÓN DE INCENDIOS PARA EL PROYECTO LOCAL POLO VIVA ENVIGADO</t>
  </si>
  <si>
    <t>PROSOMA</t>
  </si>
  <si>
    <t>Adolfo Flórez</t>
  </si>
  <si>
    <t>proyectos@prosoma.com.co</t>
  </si>
  <si>
    <t>E&amp;D</t>
  </si>
  <si>
    <t xml:space="preserve">3127216 Ext.113 </t>
  </si>
  <si>
    <t>Hugo Vades Hernandez</t>
  </si>
  <si>
    <t>hugo.valdes@eyd.com.co</t>
  </si>
  <si>
    <t>COTIZACION DE LOS DISEÑOS DE SEGURIDAD HUMANA Y PROTECCIÓN CONTRA  INCENDIOS - IPS SANITY CALLE 80</t>
  </si>
  <si>
    <t>COTIZACION DE LOS DISEÑOS DE SEGURIDAD HUMANA Y PROTECCIÓN CONTRA  INCENDIOS - IPS SANITY CALLE 93</t>
  </si>
  <si>
    <t>COTIZACION DEL ANÁLISIS DE SEGURIDAD HUMANA - EDIFICIO SERVICIOS FAMILIA RIONEGRO</t>
  </si>
  <si>
    <t>CONCONCRETO</t>
  </si>
  <si>
    <t>jtriana@conconcreto.com</t>
  </si>
  <si>
    <t>COTIZACION DEL DISEÑO DE DETECCIÓN DE INCENDIOS - TORRE 4 VILLAS DEL BOSQUE</t>
  </si>
  <si>
    <t>CASA SANA</t>
  </si>
  <si>
    <t>Jose Estrada</t>
  </si>
  <si>
    <t>joseestrada@casasana.com.co</t>
  </si>
  <si>
    <t>COTIZACION DE LOS DISEÑOS DE PROTECCIÓN CONTRA INCENDIOS Y SEGURIDAD HUMANA PARA EL PROYECTO PODIUM</t>
  </si>
  <si>
    <t>COTIZACION DE LA ACTUALIZACIÓN DE LOS DISEÑOS DE EXTINCIÓN DE INCENDIOS PARA EL PROYECTO I.E. ALEJANDRO VÉLEZ</t>
  </si>
  <si>
    <t>MDC</t>
  </si>
  <si>
    <t>Francisco Javier Lengua</t>
  </si>
  <si>
    <t>gerencia@mdcingenieros.com</t>
  </si>
  <si>
    <t>COTIZACION DEL CONCEPTO TÉCNICO DE LA PROTECCIÓN DE TANQUES DE ACPM CON SISTEMA ACTUAL DE EMP – EDIFICIO INTELIGENTE</t>
  </si>
  <si>
    <t>TIGO-UNE</t>
  </si>
  <si>
    <t>Sergio Andrés López Rios</t>
  </si>
  <si>
    <t>Sergio.A.Lopez@tigo.com.co</t>
  </si>
  <si>
    <t>COTIZACION DEL DISEÑO DE EXTINCIÓN DE INCENDIOS - TANQUE DE ALCOHOL Y BODEGA DE ALMACENAMIENTO NEROLI SAS</t>
  </si>
  <si>
    <t>NEROLI</t>
  </si>
  <si>
    <t>Mónica Berrio Arboleda</t>
  </si>
  <si>
    <t>COTIZACION DE LOS DISEÑOS DE PROTECCIÓN CONTRA INCENDIOS PARA EL PROYECTO CALL CENTER MONTERÍA</t>
  </si>
  <si>
    <t>COTIZACION DE LOS DISEÑOS DE SEGURIDAD HUMANA Y PROTECCIÓN CONTRA  INCENDIOS - BEMINIMAL</t>
  </si>
  <si>
    <t>BEMINIMAL</t>
  </si>
  <si>
    <t>sebastian.giraldo@beminimal.co</t>
  </si>
  <si>
    <t>COTIZACION DE LOS DISEÑOS DE PROTECCIÓN CONTRA  INCENDIOS - OFICINA 427 PUERTO SECO</t>
  </si>
  <si>
    <t>COTIZACION DEL ANÁLISIS DE SEGURIDAD HUMANA PARA EL PROYECTO DEL EDIFICIO CLAUSTRO UNIVERSIDAD CES</t>
  </si>
  <si>
    <t>CES</t>
  </si>
  <si>
    <t>312 2411480</t>
  </si>
  <si>
    <t>Jhoam Giraldo</t>
  </si>
  <si>
    <t>obras@ces.edu.co</t>
  </si>
  <si>
    <t>COTIZACION DEL REDISEÑO DE EXTINCIÓN DE INCENDIOS - OFICINAS PISO 2 AL 9 PROYECTO UNIVERSA</t>
  </si>
  <si>
    <t>COTIZACION DEL DISEÑO DE EXTINCIÓN DE INCENDIOS - LOCAL BOGOTÁ</t>
  </si>
  <si>
    <t>COTIZACION DE LOS DISEÑOS DE SEGURIDAD HUMANA Y PROTECCIÓN CONTRA  INCENDIOS - LINZ</t>
  </si>
  <si>
    <t>LINZ</t>
  </si>
  <si>
    <t>Yessica Cardona</t>
  </si>
  <si>
    <t>yessicacardona@hotmail.com</t>
  </si>
  <si>
    <t>COTIZACION DE LOS DISEÑOS DE SEGURIDAD HUMANA Y PROTECCIÓN CONTRA  INCENDIOS - MONTRY</t>
  </si>
  <si>
    <t>COTIZACION DE LOS DISEÑOS DE PROTECCIÓN CONTRA INCENDIOS PARA EL PROYECTO LOCAL YOUR PET SANTAFE</t>
  </si>
  <si>
    <t>COTIZACION DE LOS DISEÑOS DE PROTECCIÓN CONTRA INCENDIOS PARA EL PROYECTO LOCAL BILANZ EL TESORO</t>
  </si>
  <si>
    <t>COTIZACION DE LOS DISEÑOS DE SEGURIDAD HUMANA Y PROTECCIÓN CONTRA  INCENDIOS - ALMACENAMIENTO QUÍMICOS CONTECAR CARTAGENA</t>
  </si>
  <si>
    <t>CONVEL</t>
  </si>
  <si>
    <t>300 258 90 33</t>
  </si>
  <si>
    <t>Diana Pérez</t>
  </si>
  <si>
    <t>dianaperez@convel.co</t>
  </si>
  <si>
    <t>COTIZACION DEL DISEÑO DE DETECCIÓN DE INCENDIOS - RETROFIT DETECCIÓN Y ALARMA PLANTA NOEL MEDELLÍN</t>
  </si>
  <si>
    <t>COTIZACION DE LOS DISEÑOS DE PROTECCIÓN CONTRA INCENDIOS Y SEGURIDAD HUMANA PARA EL PROYECTO ALMACEN GUATAPÉ EPM</t>
  </si>
  <si>
    <t>COTIZACION DE LOS DISEÑOS DE PROTECCIÓN CONTRA INCENDIOS Y SEGURIDAD HUMANA PARA EL PROYECTO ALMACENLOS CEDROS EPM</t>
  </si>
  <si>
    <t>COTIZACION DE LOS DISEÑOS DE SEGURIDAD HUMANA Y PROTECCIÓN CONTRA  INCENDIOS - BODEGA 1 GIRARDOTA</t>
  </si>
  <si>
    <t>COTIZACION DE LOS DISEÑOS DE SEGURIDAD HUMANA Y PROTECCIÓN CONTRA  INCENDIOS - BODEGA 2 GUARNE</t>
  </si>
  <si>
    <t>COTIZACION DE LOS DISEÑOS DE PROTECCIÓN CONTRA INCENDIOS Y SEGURIDAD HUMANA PARA EL PROYECTO KIRAL</t>
  </si>
  <si>
    <t>LINEAMIENTOS CIVILES</t>
  </si>
  <si>
    <t>Manuela Castro</t>
  </si>
  <si>
    <t>lineamientosciviles@gmail.com</t>
  </si>
  <si>
    <t>COTIZACION DE LOS DISEÑOS DE PROTECCIÓN CONTRA INCENDIOS Y SEGURIDAD HUMANA PARA EL PROYECTO MR ODD HOTELERA</t>
  </si>
  <si>
    <t>COTIZACION DE LOS DISEÑOS DE PROTECCIÓN CONTRA INCENDIOS PARA EL PROYECTO LOCAL MILAGROS VIVA ENVIGADO</t>
  </si>
  <si>
    <t>COTIZACION CONCEPTO DE SEGURIDAD HUMANA Y PROTECCIÓN CONTRA  INCENDIOS - BANCO POPULAR BOGOTÁ</t>
  </si>
  <si>
    <t>hduque@hdgerenciaintegral.com</t>
  </si>
  <si>
    <t>COTIZACION DEL DISEÑO DE DETECCIÓN DE INCENDIOS - ALICANTE</t>
  </si>
  <si>
    <t>COTIZACION DE LOS DISEÑOS DE PROTECCIÓN CONTRA INCENDIOS Y SEGURIDAD HUMANA PARA EL PROYECTO PISO 9 BIOXCELLERATOR</t>
  </si>
  <si>
    <t>COTIZACION DE LOS DISEÑOS DE PROTECCIÓN CONTRA INCENDIOS Y SEGURIDAD HUMANA PARA EL PROYECTO PISO 8 QUIROFANO UROGINE</t>
  </si>
  <si>
    <t>COTIZACIÓN CONSULTORÍA HORA INGENIERO PROTECCIÓN CONTRA INCENDIOS Y SEGURIDAD HUMANA</t>
  </si>
  <si>
    <t>AVANTE</t>
  </si>
  <si>
    <t>José Daniel Echeverri</t>
  </si>
  <si>
    <t>daniel.echeverri@avanteing.com</t>
  </si>
  <si>
    <t>COTIZACION DEL ANÁLISIS DE SEGURIDAD HUMANA - COLEGIO SAN JOSÉ DE LAS VEGAS</t>
  </si>
  <si>
    <t>COLEGIO SAN JOSÉ DE LAS VEGAS</t>
  </si>
  <si>
    <t>Daniel Hincapié</t>
  </si>
  <si>
    <t>dhincapieconsultor@gmail.com</t>
  </si>
  <si>
    <t>COTIZACION DEL DISEÑO DE EXTINCIÓN DE INCENDIOS PARA EL PROYECTO MEZANINE 70 m2 VIVA ENVIGADO</t>
  </si>
  <si>
    <t>COTIZACION DE LA INGENIERÍA CONCEPTUAL DE EXTINCIÓN DE INCENDIOS PARA LA PLANTA COMPAÑÍA DE EMPAQUES</t>
  </si>
  <si>
    <t>COTIZACION DE LOS DISEÑOS DE SEGURIDAD HUMANA Y PROTECCIÓN CONTRA  INCENDIOS - PARQUE ACUÁTICO DE ENVIGADO</t>
  </si>
  <si>
    <t>In Situ</t>
  </si>
  <si>
    <t>Paula Andrea Gonzales</t>
  </si>
  <si>
    <t xml:space="preserve">	insitu.urbanismo@gmail.com</t>
  </si>
  <si>
    <t>COTIZACION DE LOS DISEÑOS DE PROTECCIÓN CONTRA INCENDIOS Y SEGURIDAD HUMANA PARA EL PROYECTO NIÑA MARÍA</t>
  </si>
  <si>
    <t>COTIZACION DEL DISEÑO DE DETECCIÓN DE INCENDIOS - PINARES ETAPA 2</t>
  </si>
  <si>
    <t>COTIZACION DEL ANÁLISIS DE SEGURIDAD HUMANA - CLÍNICA DE OCCIDENTE TORRE C</t>
  </si>
  <si>
    <t>Juan Esteban Echeverri</t>
  </si>
  <si>
    <t xml:space="preserve">j.echeverri@condiseno.co </t>
  </si>
  <si>
    <t>COTIZACION DE LA REVISIÓN DE SEGURIDAD HUMANA Y LOS SISTEMAS DE PROTECCIÓN CONTRA INCENIDOS PARA CLÍNICAS CARIBE COLOMBIANO</t>
  </si>
  <si>
    <t>COTIZACION DEL DISEÑO DE DETECCIÓN DE INCENDIOS - CEDI SURA</t>
  </si>
  <si>
    <t>SURA</t>
  </si>
  <si>
    <t>319 3333707</t>
  </si>
  <si>
    <t>Diego Casallas</t>
  </si>
  <si>
    <t>dcasallas@sura.com.co</t>
  </si>
  <si>
    <t>COTIZACION DE LOS DISEÑOS DE SEGURIDAD HUMANA Y PROTECCIÓN CONTRA  INCENDIOS - CENTRO DE SERVICIOS SUR</t>
  </si>
  <si>
    <t>CSS</t>
  </si>
  <si>
    <t>Carmen Lopez</t>
  </si>
  <si>
    <t>carmen.lopez@prinza.com.co</t>
  </si>
  <si>
    <t>COTIZACION DE LOS DISEÑOS DE SEGURIDAD HUMANA Y PROTECCIÓN CONTRA  INCENDIOS - EDIFICIO FLORIDA NUEVA</t>
  </si>
  <si>
    <t>GRIEGOS CONSTRUCTORA</t>
  </si>
  <si>
    <t>Gabriel Byron Agudelo Cardona.</t>
  </si>
  <si>
    <t>cgriegossas@gmail.com</t>
  </si>
  <si>
    <t>COTIZACION DE LOS DISEÑOS DE PROTECCIÓN CONTRA  INCENDIOS - COLEGIO NUEVA COLONIA TURBO</t>
  </si>
  <si>
    <t>SOLUCIONES CONSTRUCTIVAS</t>
  </si>
  <si>
    <t>Santiago Ocampo</t>
  </si>
  <si>
    <t>socampo@solucionesconstructivas.co</t>
  </si>
  <si>
    <t>COTIZACIÓN DE LA INGENIERÍA CONCEPTUAL Y VERIFICACIÓN DEL SISTEMA ACTUAL DE LA PLANTA PINTUCO RIONEGRO</t>
  </si>
  <si>
    <t>EVALUACIÓN Y SELECCIÓN DE BOMBA CONTRA INCENDIOS PARA LA TERMINAL DEL SUR</t>
  </si>
  <si>
    <t>COTIZACION DE LOS DISEÑOS DE SEGURIDAD HUMANA Y PROTECCIÓN CONTRA  INCENDIOS - FUNDACIÓN INFANTIL</t>
  </si>
  <si>
    <t>Mauricio Gutierrez</t>
  </si>
  <si>
    <t>mauricio.gutierrez@spci.com.co</t>
  </si>
  <si>
    <t>COTIZACION DEL DISEÑO DE EXTINCIÓN DE INCENDIOS - CENTRO DE SERVICIOS SUR ETAPA 2</t>
  </si>
  <si>
    <t>O3 Ingeniería</t>
  </si>
  <si>
    <t>Marcela Orozco</t>
  </si>
  <si>
    <t>marcela.orozco@o3ingenieria.com</t>
  </si>
  <si>
    <t>COTIZACION DEL DISEÑO DE EXTINCIÓN DE INCENDIOS - PLANTA SAFER</t>
  </si>
  <si>
    <t>314 773 90 63</t>
  </si>
  <si>
    <t>alejandrogomezvillegas@gmail.com</t>
  </si>
  <si>
    <t>COTIZACION DE LOS DISEÑOS DE SEGURIDAD HUMANA Y PROTECCIÓN CONTRA  INCENDIOS - COLEGIO MONTESORI SEDE ORIENTE</t>
  </si>
  <si>
    <t>CONSTRUCTIVAMENTE</t>
  </si>
  <si>
    <t>Federico Duque</t>
  </si>
  <si>
    <t xml:space="preserve">
federico.duque@constructivamente.com</t>
  </si>
  <si>
    <t xml:space="preserve">COTIZACION DE LOS DISEÑOS DE PROTECCIÓN CONTRA INCENDIOS EN REVIT PARA EL PISO 4 AL 9 ETAPA 1 DE PLAZA FABRICATO </t>
  </si>
  <si>
    <t>COTIZACION DE AJUSTES AL MODELO EN REVIT Y ELABORACIÓN DE PLANOS - LUIS AMIGÓ</t>
  </si>
  <si>
    <t>COTIZACION DE LOS DISEÑOS DE SEGURIDAD HUMANA Y PROTECCIÓN CONTRA  INCENDIOS - RADIOTERAPIA PORTOAZUL</t>
  </si>
  <si>
    <t>57(4) 352 3434</t>
  </si>
  <si>
    <t>COTIZACION DE AJUSTES AL MODELO EN REVIT Y ELABORACIÓN DE PLANOS Y CANTIDADES - LUIS AMIGÓ</t>
  </si>
  <si>
    <t>CANTIDADES DE OBRA DIAGNOSTICO SISTEMA RED CONTRA INCENIDOS - IDEO</t>
  </si>
  <si>
    <t>COTIZACION DE LOS DISEÑOS DE SEGURIDAD HUMANA Y PROTECCIÓN CONTRA  INCENDIOS - CLÍNICA RENAL BELLO</t>
  </si>
  <si>
    <t>Mauricio Guzman</t>
  </si>
  <si>
    <t>mauroguzmanspci@gmail.com</t>
  </si>
  <si>
    <t>COTIZACION DE LOS DISEÑOS DE PROTECCIÓN CONTRA INCENDIOS - LOCAL 31 AVENTURA</t>
  </si>
  <si>
    <t>COTIZACION DE LOS DISEÑOS DE PROTECCIÓN CONTRA  INCENDIOS - 5 BODEGAS</t>
  </si>
  <si>
    <t>COTIZACION DE LOS DISEÑOS DE SEGURIDAD HUMANA Y PROTECCIÓN CONTRA  INCENDIOS - TORRE CASTELLO</t>
  </si>
  <si>
    <t>PERFEK</t>
  </si>
  <si>
    <t>Johana Montaya</t>
  </si>
  <si>
    <t>johana.montoya@perfek.com.co</t>
  </si>
  <si>
    <t>COTIZACION DE LOS RE-DISEÑOS DE PROTECCIÓN CONTRA INCENDIOS Y SEGURIDAD HUMANA PARA EL PROYECTO FAJAS MYD</t>
  </si>
  <si>
    <t>Héctor Valencia</t>
  </si>
  <si>
    <t>hvalencia@saha.com.co</t>
  </si>
  <si>
    <t>COTIZACION DE LOS DISEÑOS DE SEGURIDAD HUMANA Y PROTECCIÓN CONTRA  INCENDIOS - NATE</t>
  </si>
  <si>
    <t>CONTROL MAESTRO</t>
  </si>
  <si>
    <t>Andrés Felipe Tamayo Casas</t>
  </si>
  <si>
    <t>andrestamayo@controlmaestro.com.co</t>
  </si>
  <si>
    <t>EDYFICA</t>
  </si>
  <si>
    <t>Juan Manuel Russi</t>
  </si>
  <si>
    <t>juan.russi@edyfica.co</t>
  </si>
  <si>
    <t>COTIZACION DE LOS DISEÑOS DE PROTECCIÓN CONTRA  INCENDIOS - HABITACIONES LAS AMÉRICAS PISO 4</t>
  </si>
  <si>
    <t>COTIZACION DE LOS DISEÑOS DE SEGURIDAD HUMANA Y PROTECCIÓN CONTRA  INCENDIOS - PICACHO PLAZA</t>
  </si>
  <si>
    <t>INGENEXCO</t>
  </si>
  <si>
    <t>Luis Carlos Cuao</t>
  </si>
  <si>
    <t>gerencia@grupoingenexco.com</t>
  </si>
  <si>
    <t>COTIZACION DEL DISEÑO DE EXTINCIÓN DE INCENDIOS - PARQUE LOGISTICO Y EMPRESARIAL LOGIN</t>
  </si>
  <si>
    <t>PROMOTORA BICENTENARIO</t>
  </si>
  <si>
    <t>301 609 49 28</t>
  </si>
  <si>
    <t>Andrés Felipe Gómez</t>
  </si>
  <si>
    <t>director.promotorabicentenario@gmail.com</t>
  </si>
  <si>
    <t>COTIZACION DEL DISEÑO DE DETECCIÓN DE INCENDIOS - BODEGAS UMO</t>
  </si>
  <si>
    <t>312 405 4584</t>
  </si>
  <si>
    <t>ascomercial@securetec.com.co</t>
  </si>
  <si>
    <t>COTIZACION DE LOS DISEÑOS DE PROTECCIÓN CONTRA INCENDIOS Y SEGURIDAD HUMANA PARA EL PROYECTO CLÍNICA CÓRDOBA</t>
  </si>
  <si>
    <t>COTIZACION DE LOS DISEÑOS DE SEGURIDAD HUMANA Y PROTECCIÓN CONTRA  INCENDIOS - HOSPITAL CAÑAS GORDAS</t>
  </si>
  <si>
    <t>COTIZACION MODELACIÓN Y ANÁLISIS HIDRÁULICO DISEÑOS ACTUALES RCI PROYECTO MOCACCINO</t>
  </si>
  <si>
    <t>ARS SOLUCIONES</t>
  </si>
  <si>
    <t>Robinson Arcila</t>
  </si>
  <si>
    <t>robinson18e@gmail.com</t>
  </si>
  <si>
    <t>COTIZACION DE LOS DISEÑOS DE SEGURIDAD HUMANA Y PROTECCIÓN CONTRA  INCENDIOS - POBLADO CAMPESTRE</t>
  </si>
  <si>
    <t>COTIZACION DEL DISEÑO DE DETECCIÓN DE INCENDIOS - VITENZA</t>
  </si>
  <si>
    <t>COTIZACION DE LOS DISEÑOS DE SEGURIDAD HUMANA Y PROTECCIÓN CONTRA  INCENDIOS - TORRE AMBULATORIA CLÍNICA VICTORIANA</t>
  </si>
  <si>
    <t>CLINICA VICTORINA</t>
  </si>
  <si>
    <t>Juan José Bohórquez</t>
  </si>
  <si>
    <t>proyecto.torrevictoriana@gmail.com</t>
  </si>
  <si>
    <t>COTIZACION DE LOS DISEÑOS DE SEGURIDAD HUMANA Y PROTECCIÓN CONTRA  INCENDIOS - JARDÍN INFANTIL</t>
  </si>
  <si>
    <t>claudia.ramirez@edyfica.co</t>
  </si>
  <si>
    <t xml:space="preserve">COTIZACION DE LA REVISIÓN DE SEGURIDAD HUMANA Y LOS SISTEMAS DE PROTECCIÓN CONTRA INCENIDOS PARA LA CLÍNICA DE PEREIRA 6.500 M2 </t>
  </si>
  <si>
    <t>COTIZACION DE LOS DISEÑOS DE PROTECCIÓN CONTRA  INCENDIOS - QUIROFANOS EL TESORO</t>
  </si>
  <si>
    <t>COTIZACION DEL ANÁLISIS DE SEGURIDAD HUMANA - SENA LA CEJA</t>
  </si>
  <si>
    <t>300 367 50 22</t>
  </si>
  <si>
    <t>Andrés Restrepo</t>
  </si>
  <si>
    <t>arestrepoe@conconcreto.com</t>
  </si>
  <si>
    <t>COTIZACION DEL DISEÑO DE EXTINCIÓN DE INCENDIOS - INTERLLANTAS</t>
  </si>
  <si>
    <t>INTERLLANTAS</t>
  </si>
  <si>
    <t>300 4240239</t>
  </si>
  <si>
    <t>Pedro Pablo Restrepo</t>
  </si>
  <si>
    <t>pedroprpo@gmail.com</t>
  </si>
  <si>
    <t>COTIZACION DEL ANÁLISIS DE SEGURIDAD HUMANA - PRESCOLAR SAN JOSÉ DE LAS VEGAS</t>
  </si>
  <si>
    <t>Lina Marcela Quiceno</t>
  </si>
  <si>
    <t>seguridadysalud@sanjosevegas.edu.co</t>
  </si>
  <si>
    <t>COTIZACION DE LOS DISEÑOS DE SEGURIDAD HUMANA Y PROTECCIÓN CONTRA  INCENDIOS - APTOS CONQUISTADORES CLL42 CRA 63C</t>
  </si>
  <si>
    <t xml:space="preserve">FREI </t>
  </si>
  <si>
    <t>Frei Murillo</t>
  </si>
  <si>
    <t>frei.restrepo1@gmail.com</t>
  </si>
  <si>
    <t>COTIZACION DE LOS DISEÑOS DE PROTECCIÓN CONTRA  INCENDIOS - HOTEL PUERTO LIBERTADOR</t>
  </si>
  <si>
    <t>ARECA</t>
  </si>
  <si>
    <t>arecagrupoinmobiliario@gmail.com</t>
  </si>
  <si>
    <t>COTIZACION DE LOS DISEÑOS DE SEGURIDAD HUMANA Y PROTECCIÓN CONTRA  INCENDIOS - FLATS GRAND</t>
  </si>
  <si>
    <t>MÉNSULA</t>
  </si>
  <si>
    <t>Cristina Palacio</t>
  </si>
  <si>
    <t>cristinapalacio@mensulaingenieros.com</t>
  </si>
  <si>
    <t>COTIZACION DE LOS DISEÑOS DE PROTECCIÓN CONTRA  INCENDIOS - OFICINA 1 FORETTI</t>
  </si>
  <si>
    <t>COTIZACION DE LOS DISEÑOS DE SEGURIDAD HUMANA Y PROTECCIÓN CONTRA  INCENDIOS - HOTEL ORIGEN</t>
  </si>
  <si>
    <t xml:space="preserve">COTIZACIÓN DE LA MODELACIÓN Y ANÁLISIS HIDRÁULICO DE LA RED GENRAL Y TORRE 6 DEL PROYECTO BIOCITY </t>
  </si>
  <si>
    <t>Victor Saldarriaga</t>
  </si>
  <si>
    <t>victorsaldarriagaspci@gmail.com</t>
  </si>
  <si>
    <t>COTIZACION DEL ANÁLISIS DE SEGURIDAD HUMANA - CVZ CES</t>
  </si>
  <si>
    <t>JHOAM ANDRES GIRALDO GALLO</t>
  </si>
  <si>
    <t>COTIZACION DE LOS DISEÑOS DE SEGURIDAD HUMANA Y PROTECCIÓN CONTRA  INCENDIOS - APARTAMENTOS LA CEJA</t>
  </si>
  <si>
    <t>ELIAS MOLINA</t>
  </si>
  <si>
    <t>Elias Molina</t>
  </si>
  <si>
    <t>elias.molinasj@gmail.com</t>
  </si>
  <si>
    <t>COTIZACION DEL DISEÑO DE EXTINCIÓN DE INCENDIOS - TANQUES GLP CHILCO</t>
  </si>
  <si>
    <t>COTIZACION DE LOS DISEÑOS DE PROTECCIÓN CONTRA  INCENDIOS - CENTRAL CHAPARRALA</t>
  </si>
  <si>
    <t>Luis Vélez</t>
  </si>
  <si>
    <t>gerencia@prosoma.com.co</t>
  </si>
  <si>
    <t>COTIZACION DE LOS DISEÑOS DE PROTECCIÓN CONTRA  INCENDIOS - CIRUGÍA AUNA CLÍNICA LAS AMERICAS</t>
  </si>
  <si>
    <t>INTERVE</t>
  </si>
  <si>
    <t>COTIZACION DEL DISEÑO DE DETECCIÓN DE INCENDIOS - ZONAS ALMACENAMIENTO Y PRODUCTO TERMINADO PABILOPEZ</t>
  </si>
  <si>
    <t>COTIZACION DE LA REVISIÓN VISUAL DEL SISTEMA DE EXTINCIÓN DE INCENDIOS PARA
EL CC TRANVÍA PLAZA</t>
  </si>
  <si>
    <t>COTIZACION DEL DISEÑO DE EXTINCIÓN DE INCENDIOS PARA EL PROYECTO BODEGA LOGISTICA 124</t>
  </si>
  <si>
    <t>COTIZACION DE LOS DISEÑOS DE PROTECCIÓN CONTRA  INCENDIOS - CLUB HOUSE VIVA ENVIGADO</t>
  </si>
  <si>
    <t>AREAS FLEXIBLES</t>
  </si>
  <si>
    <t>319 280 96 29</t>
  </si>
  <si>
    <t>Andrés López Gallón</t>
  </si>
  <si>
    <t>arquitecto@areasflexibles.com</t>
  </si>
  <si>
    <t>COTIZACION DE LOS DISEÑOS DE SEGURIDAD HUMANA Y PROTECCIÓN CONTRA  INCENDIOS - BANCOLOMBIA FIC48</t>
  </si>
  <si>
    <t>andrea.sanchez@studiosur.net</t>
  </si>
  <si>
    <t>COTIZACION DE LOS DISEÑOS DE SEGURIDAD HUMANA Y PROTECCIÓN CONTRA  INCENDIOS - BORAL RIONEGRO</t>
  </si>
  <si>
    <t>Cristian Londoño Montoya</t>
  </si>
  <si>
    <t>cristianlondono@mensulaingenieros.com</t>
  </si>
  <si>
    <t>COTIZACION DIAGNÓSTICO SEGURIDAD HUMANA Y PROTECCIÓN CONTRA INCENDIOS - La FLA</t>
  </si>
  <si>
    <t>RISK</t>
  </si>
  <si>
    <t>Carlos Alberto Gil Valencia</t>
  </si>
  <si>
    <t>carlos.gil@risksg.com</t>
  </si>
  <si>
    <t>COTIZACION DE LOS DISEÑOS DE PROTECCIÓN CONTRA  INCENDIOS - LABORATORIO CLINICA LAS AMÉRICAS</t>
  </si>
  <si>
    <t>COTIZACION DE LOS DISEÑOS DE SEGURIDAD HUMANA Y PROTECCIÓN CONTRA  INCENDIOS - EDIFICIO BLOQUE 3 SONSÓN UDEA</t>
  </si>
  <si>
    <t>COTIZACION DE LOS DISEÑOS DE SEGURIDAD HUMANA Y PROTECCIÓN CONTRA  INCENDIOS - CAMPO NUEVO</t>
  </si>
  <si>
    <t>COTIZACION PLANOS ASBUILT PLAZA FABRICATO PISO 1</t>
  </si>
  <si>
    <t>COTIZACION DEL DISEÑO DE DETECCIÓN DE INCENDIOS - MALL COMERCIAL CIMARRONAS</t>
  </si>
  <si>
    <t>CIMARRONAS</t>
  </si>
  <si>
    <t>301 3859970</t>
  </si>
  <si>
    <t>Juan Carlos Gallego</t>
  </si>
  <si>
    <t>sptcimarronas@gmail.com</t>
  </si>
  <si>
    <t>COTIZACION DE LOS DISEÑOS DE PROTECCIÓN CONTRA  INCENDIOS - PLANTA RIONEGRO CLC</t>
  </si>
  <si>
    <t>COTIZACION DE LOS DISEÑOS DE SEGURIDAD HUMANA Y PROTECCIÓN CONTRA  INCENDIOS - PLANTA RDC INDURAL</t>
  </si>
  <si>
    <t>DGB</t>
  </si>
  <si>
    <t>Paula Jimenez</t>
  </si>
  <si>
    <t>pjimenezdgb@gmail.com</t>
  </si>
  <si>
    <t>COTIZACION DEL DISEÑO DE DETECCIÓN DE INCENDIOS - ACRE</t>
  </si>
  <si>
    <t>COTIZACION CONCEPTO TÉCNICO DE PROTECCIÓN TANQUE DE ACPM EDIFICIO EPM</t>
  </si>
  <si>
    <t>INFRATELCO</t>
  </si>
  <si>
    <t>312 7726924</t>
  </si>
  <si>
    <t>Andres Muñoz</t>
  </si>
  <si>
    <t>infratelcosas@gmail.com</t>
  </si>
  <si>
    <t>COTIZACION DEL DISEÑO DE EXTINCIÓN DE INCENDIOS PARA EL PROYECTO BODEGA SECADO ECOCEMENTOS</t>
  </si>
  <si>
    <t>COTIZACION DE LOS DISEÑOS DE PROTECCIÓN CONTRA  INCENDIOS - ALAMEDA</t>
  </si>
  <si>
    <t>ARPRE</t>
  </si>
  <si>
    <t>Luz Marina Restrepo</t>
  </si>
  <si>
    <t>elarpre.deco@gmail.com</t>
  </si>
  <si>
    <t>COTIZACION DEL ANÁLISIS DE SEGURIDAD HUMANA - HOUSSING</t>
  </si>
  <si>
    <t>JHON ARISTIZABAL</t>
  </si>
  <si>
    <t>311 4337099</t>
  </si>
  <si>
    <t>John Aristizabal</t>
  </si>
  <si>
    <t>jad@unoendiez.com.co</t>
  </si>
  <si>
    <t>COTIZACION DE LOS DISEÑOS DE PROTECCIÓN CONTRA  INCENDIOS - AGN PERÚ</t>
  </si>
  <si>
    <t>FPSG</t>
  </si>
  <si>
    <t xml:space="preserve">alvaromanosalva@sfiregroup.com </t>
  </si>
  <si>
    <t>COTIZACION DE LOS DISEÑOS DE SEGURIDAD HUMANA Y PROTECCIÓN CONTRA  INCENDIOS - CAOBA</t>
  </si>
  <si>
    <t>Laura Montoya</t>
  </si>
  <si>
    <t>lmontoyaspci@gmail.com</t>
  </si>
  <si>
    <t>COTIZACION DE LOS DISEÑOS DE SEGURIDAD HUMANA Y PROTECCIÓN CONTRA  INCENDIOS - PRATO</t>
  </si>
  <si>
    <t>COTIZACION DE LOS DISEÑOS DE SEGURIDAD HUMANA Y PROTECCIÓN CONTRA  INCENDIOS - LIVORINO</t>
  </si>
  <si>
    <t>COTIZACION DE LOS DISEÑOS DE SEGURIDAD HUMANA Y PROTECCIÓN CONTRA  INCENDIOS - BODEGA ITAGUÍ LAFLA</t>
  </si>
  <si>
    <t>COTIZACION DE LOS DISEÑOS DE SEGURIDAD HUMANA Y PROTECCIÓN CONTRA  INCENDIOS - ENTREMONTES</t>
  </si>
  <si>
    <t>Alejandro Yepes</t>
  </si>
  <si>
    <t>alejandroyepes@ingenieriayvivienda.com</t>
  </si>
  <si>
    <t>COTIZACION DE LOS DISEÑOS DE SEGURIDAD HUMANA Y PROTECCIÓN CONTRA  INCENDIOS - TOPICARIO</t>
  </si>
  <si>
    <t>TROPICARIO</t>
  </si>
  <si>
    <t>300 864 37 10</t>
  </si>
  <si>
    <t>COTIZACION DE LOS DISEÑOS DE SEGURIDAD HUMANA Y PROTECCIÓN CONTRA  INCENDIOS - SIER BUCARAMANGA</t>
  </si>
  <si>
    <t>Paola López Cadavid</t>
  </si>
  <si>
    <t>paolopez@ensambleespaciosvivos.com</t>
  </si>
  <si>
    <t>COTIZACION DE LOS DISEÑOS DE EXTINCIÓN DE  INCENDIOS - ACUARELA DEL RIO</t>
  </si>
  <si>
    <t>COTIZACION DE LOS DISEÑOS DE SEGURIDAD HUMANA Y PROTECCIÓN CONTRA  INCENDIOS - ZIMA</t>
  </si>
  <si>
    <t>COTIZACION DEL ANÁLISIS DE SEGURIDAD HUMANA PARA EL PROYECTO BLOQUE 42 A UNAL</t>
  </si>
  <si>
    <t>UNAL</t>
  </si>
  <si>
    <t>COTIZACION DEL DISEÑO DE DETECCIÓN DE INCENDIOS - VINOS Y LICORES SAS</t>
  </si>
  <si>
    <t>COTIZACION DE LOS DISEÑOS DE SEGURIDAD HUMANA Y PROTECCIÓN CONTRA  INCENDIOS - PLANTA DE ALIMENTOS GUARNE</t>
  </si>
  <si>
    <t>ESPIRAL</t>
  </si>
  <si>
    <t>Cristian Marín</t>
  </si>
  <si>
    <t>cristian.marin@espiral.com.co</t>
  </si>
  <si>
    <t>COTIZACION DEL DISEÑO DE DETECCIÓN DE INCENDIOS PARA EL PROYECTO LA MARINA</t>
  </si>
  <si>
    <t>COTIZACION DEL ANÁLISIS DE SEGURIDAD HUMANA PARA EL PROYECTO CAMPO NUEVO</t>
  </si>
  <si>
    <t>COTIZACION DEL DISEÑO DE DETECCIÓN DE INCENDIOS PARA EL PROYECTO PLANTA ITAGUÍ</t>
  </si>
  <si>
    <t>COLPA</t>
  </si>
  <si>
    <t>Juan Camilo Betancur</t>
  </si>
  <si>
    <t>colpafireinnovationsas@gmail.com</t>
  </si>
  <si>
    <t>COTIZACION DEL ANÁLISIS DE SEGURIDAD HUMANA PARA EL PROYECTO CENTRO DE NEGOCIOS SUR</t>
  </si>
  <si>
    <t>COTIZACIÓN DEL SISTEMA DE EXTINCIÓN DE INCENDIOS PARA EL PROYECTO BLOQUE 41 UNAL</t>
  </si>
  <si>
    <t>COTIZACION DE LOS DISEÑOS DE SEGURIDAD HUMANA Y PROTECCIÓN CONTRA  INCENDIOS - APTOS BELÉN</t>
  </si>
  <si>
    <t>COTIZACION EVALUACIÓN DEL SISTEMA DE BOMBA CONTRA INCENDIOS - MITSUBISHI ELECTRIC</t>
  </si>
  <si>
    <t>MITSUBISHI</t>
  </si>
  <si>
    <t>Carolina Castaño</t>
  </si>
  <si>
    <t>carolina.castano@melcol.com.co</t>
  </si>
  <si>
    <t>COTIZACION DE LOS DISEÑOS DE SEGURIDAD HUMANA Y PROTECCIÓN CONTRA  INCENDIOS - EDIFICIO BE SIDE</t>
  </si>
  <si>
    <t>COTIZACION DE LOS DISEÑOS DE SEGURIDAD HUMANA Y PROTECCIÓN CONTRA  INCENDIOS - EDIFICIO ATMÓSFERA</t>
  </si>
  <si>
    <t>COTIZACION DEL DISEÑO DE EXTINCIÓN DE INCENDIOS VORTEX - SAN CRISTOBAL Y FRAIJANES</t>
  </si>
  <si>
    <t>HIDROMAQ</t>
  </si>
  <si>
    <t>(502) 5874-6870</t>
  </si>
  <si>
    <t>Julio Llamas</t>
  </si>
  <si>
    <t>jllamas@hidromaq-gt.com</t>
  </si>
  <si>
    <t>COTIZACION DE LOS DISEÑOS DE SEGURIDAD HUMANA Y PROTECCIÓN CONTRA  INCENDIOS - LA HEREDIA</t>
  </si>
  <si>
    <t>CONTEX</t>
  </si>
  <si>
    <t>jzapata@contex.com.co</t>
  </si>
  <si>
    <t>COTIZACION DE LOS DISEÑOS DE SEGURIDAD HUMANA Y PROTECCIÓN CONTRA  INCENDIOS - TRIBUNALES LA ALPUJARRA</t>
  </si>
  <si>
    <t>3508866 Ext 130</t>
  </si>
  <si>
    <t>Elizabeth Acevedo</t>
  </si>
  <si>
    <t>elizabethacevedo@convel.co</t>
  </si>
  <si>
    <t>COTIZACION DE LOS DISEÑOS DE SEGURIDAD HUMANA Y PROTECCIÓN CONTRA  INCENDIOS - CGR SEDE RISARALDA</t>
  </si>
  <si>
    <t>VHZ INGENIERÍA</t>
  </si>
  <si>
    <t>Daniel Sánchez</t>
  </si>
  <si>
    <t>administracion@vhz-ingenieria.com</t>
  </si>
  <si>
    <t>COTIZACION DE REVISIÓN Y PRUEBAS DE LOS SISTEMAS DE PROTECCIÓN CONTRA INCENDIOS INSTALADOS Y LA SEGURIDAD HUMANA PARA EL PROYECTO SQUARE</t>
  </si>
  <si>
    <t>Yury Vélez</t>
  </si>
  <si>
    <t>yvelez@hdgerenciaintegral.com</t>
  </si>
  <si>
    <t>COTIZACION DE LOS DISEÑOS DE PROTECCIÓN CONTRA INCENDIOS Y SEGURIDAD HUMANA PARA EL PROYECTO HOSPITAL</t>
  </si>
  <si>
    <t>COTIZACION DEL DISEÑO DE EXTINCIÓN DE INCENDIOS - TANQUES GLP PLANTA JUMBO</t>
  </si>
  <si>
    <t>COTIZACION DEL DISEÑO DE EXTINCIÓN DE INCENDIOS - TANQUES GLP PLANTA PUERTO SALGAR</t>
  </si>
  <si>
    <t>COTIZACION DEL DISEÑO DE EXTINCIÓN DE INCENDIOS PARA EL PROYECTO LOCAL SANTA PARRILLA VIVA ENVIGADO</t>
  </si>
  <si>
    <t>SANTA PARRILLA</t>
  </si>
  <si>
    <t>Juan David Ochoa</t>
  </si>
  <si>
    <t>juan.8arq@gmail.com</t>
  </si>
  <si>
    <t>COTIZACION DE LOS DISEÑOS DE SEGURIDAD HUMANA Y PROTECCIÓN CONTRA  INCENDIOS - PROYECTO SAN ANTONIO</t>
  </si>
  <si>
    <t>COTIZACION DE LOS DISEÑOS DE SEGURIDAD HUMANA Y EXTINCIÓN DE INCENDIOS - PISO 11 QUIRÓFANOS SALUD VEGAS</t>
  </si>
  <si>
    <t>COTIZACION DE LOS DISEÑOS DE SEGURIDAD HUMANA Y PROTECCIÓN CONTRA  INCENDIOS - SATURNO</t>
  </si>
  <si>
    <t>ALEJANDRO GÓMEZ</t>
  </si>
  <si>
    <t>COTIZACIÓN DEL ANÁLISIS DE SEGURIADAD HUMANA PARA PROYECTO ACUARELA DEL RIO</t>
  </si>
  <si>
    <t>COTIZACION DEL ANÁLISIS DE SEGURIDAD HUMANA PARA EL PROYECTO UPTOWN 127</t>
  </si>
  <si>
    <t>COTIZACION DE LOS DISEÑOS DE PROTECCIÓN CONTRA INCENDIOS Y SEGURIDAD HUMANA PARA EL PROYECTO AWA</t>
  </si>
  <si>
    <t>William Hernandez</t>
  </si>
  <si>
    <t xml:space="preserve">william.hernandez@construgen.com </t>
  </si>
  <si>
    <t>COTIZACION DE LOS DISEÑOS DE SEGURIDAD HUMANA Y PROTECCIÓN CONTRA  INCENDIOS - EDIFICIO FONADE</t>
  </si>
  <si>
    <t>COTIZACION DEL DISEÑO DE EXTINCIÓN DE INCENDIOS - TORRE DE SERVICIOS PLAZA FABRICATO</t>
  </si>
  <si>
    <t>CONEXO</t>
  </si>
  <si>
    <t>John Jaramillo</t>
  </si>
  <si>
    <t>jjaramillo@conexoinmobiliario.com</t>
  </si>
  <si>
    <t>Juan Camilo Echavarría</t>
  </si>
  <si>
    <t>dir.comercial@spcisas.com.co</t>
  </si>
  <si>
    <t>COTIZACION DE LOS DISEÑOS DE PROTECCIÓN CONTRA  INCENDIOS - CENTRO ACEROS</t>
  </si>
  <si>
    <t>PEDRO PABLO RESTREPO</t>
  </si>
  <si>
    <t>Pedro Pablo Restrepo Santa Maria.</t>
  </si>
  <si>
    <t>COTIZACIÓN DEL ANÁLISIS DE SEGURIADAD HUMANA PARA PROYECTO SENA LA CEJA</t>
  </si>
  <si>
    <t>COTIZACION DE LOS DISEÑOS DE SEGURIDAD HUMANA Y PROTECCIÓN CONTRA  INCENDIOS - SPIAGGIA DI CARTAGENA</t>
  </si>
  <si>
    <t>IA&amp;C</t>
  </si>
  <si>
    <t>314 667 5509</t>
  </si>
  <si>
    <t>Andres Reinosa</t>
  </si>
  <si>
    <t>andresreinosa@iayc.co</t>
  </si>
  <si>
    <t>COTIZACION DE LOS DISEÑOS DE SEGURIDAD HUMANA Y PROTECCIÓN CONTRA  INCENDIOS - CARTÓN DE COLOMBIA</t>
  </si>
  <si>
    <t>3123618 ext: 2111</t>
  </si>
  <si>
    <t>Blanca Saldarriaga Restrepo</t>
  </si>
  <si>
    <t>blancasaldarriaga@arquitecturayconcreto.com</t>
  </si>
  <si>
    <t>COTIZACION DE COMISIONAMIENTO Y PRUEBAS DE LOS SISTEMAS DE PROTECCIÓN CONTRA INCENDIOS INSTALADOS EN LA CENTRAL AMOYA</t>
  </si>
  <si>
    <t>COTIZACION DEL DISEÑO DE EXTINCIÓN DE INCENDIOS - PARKLOG</t>
  </si>
  <si>
    <t>COTIZACION DE LOS DISEÑOS DE SEGURIDAD HUMANA Y PROTECCIÓN CONTRA  INCENDIOS - PTAR TRANVÍA</t>
  </si>
  <si>
    <t>COTIZACION PLANOS ASBUILT VIVA ENVIGADO</t>
  </si>
  <si>
    <t>COTIZACION DEL ANÁLISIS DE SEGURIDAD HUMANA PARA EL PROYECTO VIVE</t>
  </si>
  <si>
    <t>COTIZACION REVISIÓN Y CONSULTORÍA DEL SISTEMA DE PROTECCIÓN CONTRA INCENDIOS QUARTIER</t>
  </si>
  <si>
    <t>QUARTIER</t>
  </si>
  <si>
    <t>310 8372505</t>
  </si>
  <si>
    <t xml:space="preserve">Juan Fernando </t>
  </si>
  <si>
    <t>okobra3@gmail.com</t>
  </si>
  <si>
    <t>COTIZACION DEL DISEÑO DE EXTINCIÓN DE INCENDIOS PARA EL PROYECTO BODEGA CRUZ ROJA GUAYABAL MEDELLÍN</t>
  </si>
  <si>
    <t>CRUZ ROJA</t>
  </si>
  <si>
    <t>312 2543533</t>
  </si>
  <si>
    <t>Juan Camilo Gomez Bustamante</t>
  </si>
  <si>
    <t>jcgomez@crantioquia.org.co</t>
  </si>
  <si>
    <t>COTIZACION DEL DISEÑO DE DETECCIÓN DE INCENDIOS - SUBESTACIONES ELECTRICARIBE</t>
  </si>
  <si>
    <t>Andrés Mauricio Correa</t>
  </si>
  <si>
    <t>proyectos@procoi.com</t>
  </si>
  <si>
    <t>CONSTRUTEC</t>
  </si>
  <si>
    <t>Heydy Natalia Marín</t>
  </si>
  <si>
    <t>heydynaty@gmail.com</t>
  </si>
  <si>
    <t>COTIZACION PLANOS DE SEGURIDAD HUMANA - DISTRITO AVIGNON</t>
  </si>
  <si>
    <t>INDUSTRIAS CRUCE</t>
  </si>
  <si>
    <t>Juan Manuel Serrano</t>
  </si>
  <si>
    <t>jmaserrano@gmail.com</t>
  </si>
  <si>
    <t>COTIZACION DEL DISEÑO DE EXTINCIÓN DE INCENDIOS PARA LA PLANTA DE MITSUBISHI ELECTRIC BELLO</t>
  </si>
  <si>
    <t>COTIZACION DE LOS DISEÑOS DE SEGURIDAD HUMANA Y PROTECCIÓN CONTRA  INCENDIOS - HOGAR CALDAS</t>
  </si>
  <si>
    <t>FUNDACIÓN EMILIANI</t>
  </si>
  <si>
    <t>315 451 00 01</t>
  </si>
  <si>
    <t>Gustavo Betancourt</t>
  </si>
  <si>
    <t>Gustavo.betancourt@homeideal.com.co</t>
  </si>
  <si>
    <t>COTIZACION DEL DISEÑO DE EXTINCIÓN DE INCENDIOS PARA EL PROYECTO ÁREA PISO 1 VIVA ENVIGADO – 1.000 m2 APROX</t>
  </si>
  <si>
    <t>COTIZACION DEL DISEÑO DE EXTINCIÓN DE INCENDIOS PARA EL PROYECTO ÁREA PISO 1 VIVA ENVIGADO – 2.000 m2 APROX</t>
  </si>
  <si>
    <t>COTIZACION DEL DISEÑO DE EXTINCIÓN DE INCENDIOS PARA EL PROYECTO ÁREA PISO 1 VIVA ENVIGADO – 4.500 m2 APROX</t>
  </si>
  <si>
    <t>COTIZACION DEL ANÁLISIS DE SEGURIDAD HUMANA - HYGGE PALMAS</t>
  </si>
  <si>
    <t>COTIZACION DEL ANÁLISIS DE SEGURIDAD HUMANA - PARQUE DEL SOL</t>
  </si>
  <si>
    <t>COTIZACION DE LOS DISEÑOS DE PROTECCIÓN CONTRA INCENDIOS - EMPANADAS</t>
  </si>
  <si>
    <t>COTIZACION DEL DISEÑO DE EXTINCIÓN DE INCENDIOS - ZONAS DESPROTEGIDAS PLAZA FABRICATO</t>
  </si>
  <si>
    <t>COTIZACION DEL DISEÑO DE EXTINCIÓN DE INCENDIOS - ALTIPAL GIRARDOTA</t>
  </si>
  <si>
    <t>ALTIPAL</t>
  </si>
  <si>
    <t>Juan Carlos Diaz Mayorga</t>
  </si>
  <si>
    <t>juan.diaz@altipal.com.co</t>
  </si>
  <si>
    <t>COTIZACION DEL ANÁLISIS DE SEGURIDAD HUMANA - GO LIVING</t>
  </si>
  <si>
    <t>INTERVENTORIA FCR</t>
  </si>
  <si>
    <t>Aura Taborda</t>
  </si>
  <si>
    <t>interventoriagoliving@gmail.com</t>
  </si>
  <si>
    <t>COTIZACION DE LOS DISEÑOS DE PROTECCIÓN CONTRA INCENDIOS Y SEGURIDAD HUMANA PARA EL EDIFICIO CARVAJAL PABÓN</t>
  </si>
  <si>
    <t>RRP ARQUITECTOS</t>
  </si>
  <si>
    <t>310 4300137</t>
  </si>
  <si>
    <t>COTIZACION DE LOS DISEÑOS DE SEGURIDAD HUMANA Y PROTECCIÓN CONTRA  INCENDIOS - SAINT JOSEPH</t>
  </si>
  <si>
    <t>JAIME AGUILAR</t>
  </si>
  <si>
    <t>320 7254044</t>
  </si>
  <si>
    <t>Jaime Andrés Aguilar</t>
  </si>
  <si>
    <t xml:space="preserve">	aguilargomez@une.net.co</t>
  </si>
  <si>
    <t>COTIZACION DE LOS DISEÑOS DE SEGURIDAD HUMANA Y PROTECCIÓN CONTRA  INCENDIOS - ARARAT</t>
  </si>
  <si>
    <t>COTIZACION DE LOS DISEÑOS DE SEGURIDAD HUMANA Y PROTECCIÓN CONTRA  INCENDIOS - TESORO LIVING</t>
  </si>
  <si>
    <t>COTIZACION DE LOS DISEÑOS DE SEGURIDAD HUMANA Y PROTECCIÓN CONTRA  INCENDIOS - NUEVA SEDE CLÍNICA SOHEC</t>
  </si>
  <si>
    <t>COTIZACION DE LOS DISEÑOS DE SEGURIDAD HUMANA Y PROTECCIÓN CONTRA  INCENDIOS - CALLE FLORA</t>
  </si>
  <si>
    <t>TRAZOS URBANOS</t>
  </si>
  <si>
    <t>314-773-93-14</t>
  </si>
  <si>
    <t>Ana Paulina Isaza E.</t>
  </si>
  <si>
    <t>paulinaisaza@trazosurbanos.com.co</t>
  </si>
  <si>
    <t>COTIZACION DEL DISEÑO DE EXTINCIÓN DE INCENDIOS - INVERPRIMOS</t>
  </si>
  <si>
    <t>INVERPRIMOS</t>
  </si>
  <si>
    <t>COTIZACION DEL RE-DISEÑO DE DETECCIÓN DE INCENDIOS - CAMINO REAL</t>
  </si>
  <si>
    <t>SANTIAGO ROJAS</t>
  </si>
  <si>
    <t>Aurora Rios</t>
  </si>
  <si>
    <t>proyectos@santiagorojas.com.co</t>
  </si>
  <si>
    <t>COTIZACION DEL DISEÑO DE DETECCIÓN DE INCENDIOS - HALL CAJEROS VALLEDUPAR</t>
  </si>
  <si>
    <t>COTIZACION DEL ANÁLISIS DE SEGURIDAD HUMANA PARA LA UNIVERSIDAD CES SEDE APARTADÓ</t>
  </si>
  <si>
    <t>316 5793596</t>
  </si>
  <si>
    <t>Carlos Andrés Saldarriaga</t>
  </si>
  <si>
    <t xml:space="preserve">obras@ces.edu.co </t>
  </si>
  <si>
    <t>COTIZACION DEL DISEÑO DE EXTINCIÓN DE INCENDIOS - DECATHLON PLAZA FABRICATO</t>
  </si>
  <si>
    <t>COTIZACION DEL DISEÑO DE EXTINCIÓN DE INCENDIOS - PARQUEADEROS PISOS 4 Y 4_5 PLAZA FABRICATO</t>
  </si>
  <si>
    <t>COTIZACION DEL ANÁLISIS DE SEGURIDAD HUMANA - EDIFICIO USO MIXTO</t>
  </si>
  <si>
    <t>ASHES FIRE</t>
  </si>
  <si>
    <t>direccionregional@ashesfire.co</t>
  </si>
  <si>
    <t>COTIZACION DEL DISEÑO DE EXTINCIÓN DE INCENDIOS - PARQ 4 Y 4_5 T SERVICIOS Y DECATLHON PLAZA FABRICATO</t>
  </si>
  <si>
    <t>COTIZACION DE LOS DISEÑOS DE SEGURIDAD HUMANA Y PROTECCIÓN CONTRA  INCENDIOS - HOSPITAL SANTA FÉ DE ANTIOQUIA</t>
  </si>
  <si>
    <t>HOSPITAL SANTA FE DE ANTIOQUIA</t>
  </si>
  <si>
    <t>310 3215538</t>
  </si>
  <si>
    <t>Bibiana Maldonado</t>
  </si>
  <si>
    <t>robibimaldonado@hotmail.com</t>
  </si>
  <si>
    <t>COTIZACION DE LOS DISEÑOS DE PROTECCIÓN CONTRA INCENDIOS Y SEGURIDAD HUMANA PARA EL PROYECTO PANORAMA BOREAL</t>
  </si>
  <si>
    <t>COTIZACIÓN DE LA ASESORÍA EN LA SELECCIÓN DEL INSTALADOR DE LA RCI PARA LA BODEGA KOBA COLOMBIA</t>
  </si>
  <si>
    <t>FONDO INMOBILIARIO COLOMBIA</t>
  </si>
  <si>
    <t>311 6277293</t>
  </si>
  <si>
    <t>Federico Vélez Giraldo</t>
  </si>
  <si>
    <t>fevgiral@bancolombia.com.co</t>
  </si>
  <si>
    <t>COTIZACIÓN DE LA ASESORÍA EN LA INSTALACIÓN DEL SISTEMA DE EXTINCIÓN DE INCENIDOS PARA LA BODEGA KOBA COLOMBIA</t>
  </si>
  <si>
    <t>COTIZACION DE LOS DISEÑOS DE PROTECCIÓN CONTRA INCENDIOS Y SEGURIDAD HUMANA PARA EL PROYECTO 4 BODEGAS GIRARDOTA</t>
  </si>
  <si>
    <t>COTIZACION DEL DISEÑO DE DETECCIÓN DE INCENDIOS - VENAVER</t>
  </si>
  <si>
    <t>COTIZACION DEL DISEÑO DE EXTINCIÓN DE INCENDIOS PARA LAS ÁREAS DEL PISO 1 Y EL ÁREA DEL PISO 3 VIVA ENVIGADO</t>
  </si>
  <si>
    <t>COTIZACION DE LOS DISEÑOS DE PROTECCIÓN CONTRA  INCENDIOS - REFORMA FARMACIA CLINICA DEL PRADO</t>
  </si>
  <si>
    <t>Elizabeth Barrientos</t>
  </si>
  <si>
    <t>elizabeth.barrientos@cnv.com.co</t>
  </si>
  <si>
    <t>COTIZACION DEL ANÁLISIS DE SEGURIDAD HUMANA PARA EL PROYECTO CENTRO DE REFLEXIÓN LOS GÓMEZ</t>
  </si>
  <si>
    <t>ROW TECNOLOGÍA</t>
  </si>
  <si>
    <t>310 4017512</t>
  </si>
  <si>
    <t>Camilo López Giraldo</t>
  </si>
  <si>
    <t xml:space="preserve">clopez@rowtecnologia.com </t>
  </si>
  <si>
    <t>COTIZACION DEL ANÁLISIS DE SEGURIDAD HUMANA PARA EL PROYECTO COLEGIO ITAGUÍ</t>
  </si>
  <si>
    <t>COTIZACION DE LOS DISEÑOS DE PROTECCIÓN CONTRA INCENDIOS Y SEGURIDAD HUMANA PARA EL PROYECTO RESTAURANTE 200 M IBAGUÉ</t>
  </si>
  <si>
    <t>COTIZACION DEL DISEÑO DE EXTINCIÓN DE INCENDIOS - PROTECCIÓN ARCHIVOS FM200</t>
  </si>
  <si>
    <t>COTIZACIÓN DE LA AUDITORÍA DE OBRA PARA LAS ETAPAS 2 Y 3 DEL PROYECTO PRIMEIRO</t>
  </si>
  <si>
    <t>PRIMEIRO</t>
  </si>
  <si>
    <t>300 2218400</t>
  </si>
  <si>
    <t>Dairon Andrés Obando</t>
  </si>
  <si>
    <t>daironobando@estructurar.co</t>
  </si>
  <si>
    <t>COTIZACION DE LOS DISEÑOS DE SEGURIDAD HUMANA Y PROTECCIÓN CONTRA  INCENDIOS - BODEGA DISLICORES</t>
  </si>
  <si>
    <t>COTIZACION DE LOS DISEÑOS DE SEGURIDAD HUMANA Y PROTECCIÓN CONTRA  INCENDIOS - DOVLE</t>
  </si>
  <si>
    <t>321 753 86 61</t>
  </si>
  <si>
    <t>Rafael Cabrera</t>
  </si>
  <si>
    <t>rafaelcabrera@iayc.co</t>
  </si>
  <si>
    <t>COTIZACION DE LOS DISEÑOS DE SEGURIDAD HUMANA Y PROTECCIÓN CONTRA  INCENDIOS - MASAYA</t>
  </si>
  <si>
    <t>Camila de Bedout</t>
  </si>
  <si>
    <t>camila.debedout@cnv.com.co</t>
  </si>
  <si>
    <t>COTIZACION DEL DISEÑO DEL SISTEMA DE BOMBEO DE EXTINCIÓN DE INCENDIOS PARA LA PLANTA CARBOQUÍMICA</t>
  </si>
  <si>
    <t>COTIZACION DEL DISEÑO DE EXTINCIÓN DE INCENDIOS - CENTRO COMRCIAL IDEO</t>
  </si>
  <si>
    <t>COTIZACION DEL DISEÑO DE DETECCIÓN DE INCENDIOS - CEDI FALABELLA</t>
  </si>
  <si>
    <t>FIRE MARSHALL</t>
  </si>
  <si>
    <t>José Manuel Maya</t>
  </si>
  <si>
    <t>josemaya@firemarshal.com.co</t>
  </si>
  <si>
    <t>ALEJANDRO VELASQUEZ</t>
  </si>
  <si>
    <t>Alejandro Velásquez</t>
  </si>
  <si>
    <t>ing.luisalejandrov@gmail.com</t>
  </si>
  <si>
    <t>COTIZACION DE LOS DISEÑOS DE SEGURIDAD HUMANA Y PROTECCIÓN CONTRA  INCENDIOS - COLSÁNITA BOGOTÁ</t>
  </si>
  <si>
    <t>COTIZACION DEL ANÁLISIS DE SEGURIDAD HUMANA - COLEGIO REGGIO EMILIA</t>
  </si>
  <si>
    <t>REGGIO EMILIA</t>
  </si>
  <si>
    <t>317 4405204</t>
  </si>
  <si>
    <t>Fredy Flórez</t>
  </si>
  <si>
    <t>COTIZACION DEL DISEÑO DE EXTINCIÓN DE INCENDIOS VORTEX - CASA BICENTENARIO PERÚ</t>
  </si>
  <si>
    <t>COTIZACION DE LOS DISEÑOS DE PROTECCIÓN CONTRA INCENDIOS PARA EL PROYECTO LOCAL 18A41 FIC 48</t>
  </si>
  <si>
    <t>COTIZACION DEL DISEÑO DE EXTINCIÓN DE INCENDIOS PARA EL PROYECTO ALKOMPRAR PLAZA JARDÍN</t>
  </si>
  <si>
    <t>COTIZACION DE LOS DISEÑOS DE PROTECCIÓN CONTRA INCENDIOS PARA EL PROYECTO BODEGA LOGISTRAL</t>
  </si>
  <si>
    <t>COTIZACION DE LOS DISEÑOS DE SEGURIDAD HUMANA Y PROTECCIÓN CONTRA INCENDIOS - SACUDETE BARRANQUILLA</t>
  </si>
  <si>
    <t>ALEJANDRO RESTREPO</t>
  </si>
  <si>
    <t>Alejandro Restrepo</t>
  </si>
  <si>
    <t>alejandrorestrepom@gmail.com</t>
  </si>
  <si>
    <t>COTIZACION DEL DISEÑO DE EXTINCIÓN DE INCENDIOS - BODEGA 600 LATAM</t>
  </si>
  <si>
    <t>COTIZACION DEL DISEÑO DE EXTINCIÓN DE INCENDIOS - BODEGA 6 NORTIKO PARQUE EMPRESARIAL</t>
  </si>
  <si>
    <t>COTIZACION DE LOS DISEÑOS DE SEGURIDAD HUMANA Y PROTECCIÓN CONTRA  INCENDIOS - PLAZA DE MARINILLA</t>
  </si>
  <si>
    <t>300 5766369</t>
  </si>
  <si>
    <t xml:space="preserve">estevancastano@gmail.com </t>
  </si>
  <si>
    <t>COTIZACION DEL DISEÑO DE EXTINCIÓN DE INCENDIOS - ENERGIZAR EOH</t>
  </si>
  <si>
    <t>HECTOR MOLINA</t>
  </si>
  <si>
    <t>Hector Molina</t>
  </si>
  <si>
    <t>hemolinaconstrucciones@gmail.com</t>
  </si>
  <si>
    <t>COTIZACION DE LOS DISEÑOS DE PROTECCIÓN CONTRA INCENDIOS Y SEGURIDAD HUMANA PARA EL PROYECTO COLEGIO REGGIO EMILIA</t>
  </si>
  <si>
    <t>COTIZACION DEL DISEÑO DE DETECCIÓN DE INCENDIOS - HALL CAJEROS CAMINO REAL</t>
  </si>
  <si>
    <t>302 2806727</t>
  </si>
  <si>
    <t>Vnessa Ramirez</t>
  </si>
  <si>
    <t>COTIZACION EVALUACIÓN TÉCNICA SISTEMA DE DETECCIÓN ALMACAFE BUGA</t>
  </si>
  <si>
    <t>(+57) (1) 6463060 Ext: 15134</t>
  </si>
  <si>
    <t>Luis Fernando Jaramillo García</t>
  </si>
  <si>
    <t>ljaramillog@sura.com.co</t>
  </si>
  <si>
    <t>COTIZACION DE LOS DISEÑOS DE SEGURIDAD HUMANA Y PROTECCIÓN CONTRA  INCENDIOS - SHOPPING BOULEVARD</t>
  </si>
  <si>
    <t>ARQUITECTURA AVANZADA</t>
  </si>
  <si>
    <t>300 4142021</t>
  </si>
  <si>
    <t>Luis Salgado</t>
  </si>
  <si>
    <t>COTIZACION DE LOS DISEÑOS DE SEGURIDAD HUMANA Y PROTECCIÓN CONTRA  INCENDIOS - SAN ANTONIO MALL</t>
  </si>
  <si>
    <t>COTIZACION DE LOS DISEÑOS DE PROTECCIÓN CONTRA  INCENDIOS - COOFINEP POBLADO</t>
  </si>
  <si>
    <t>COTIZACION DE LOS DISEÑOS DE PROTECCIÓN CONTRA INCENDIOS Y SEGURIDAD HUMANA PARA EL PROYECTO HOTEL LA 30</t>
  </si>
  <si>
    <t>Gustavo Canchila Montalvo</t>
  </si>
  <si>
    <t>gustavo.canchila@udea.edu.co</t>
  </si>
  <si>
    <t>COTIZACION DEL ANÁLISIS DE SEGURIDAD HUMANA PARA EL PROYECTO BENEDICTINE PARK</t>
  </si>
  <si>
    <t>COTIZACION DE LOS DISEÑOS DE SEGURIDAD HUMANA Y PROTECCIÓN CONTRA  INCENDIOS - ELEMENTARY MEDELLÍN</t>
  </si>
  <si>
    <t>Luis Migule Atehortua</t>
  </si>
  <si>
    <t xml:space="preserve">	luismiguel.atehortua@constructivamente.com</t>
  </si>
  <si>
    <t>COTIZACION DEL DISEÑO DE EXTINCIÓN DE INCENDIOS PARA EL PROYECTO BODEGA DE PRODUCTO TERMINADO DE FRITOS</t>
  </si>
  <si>
    <t>INGESED</t>
  </si>
  <si>
    <t>313 5401714</t>
  </si>
  <si>
    <t>Eliana Isabel Cardona</t>
  </si>
  <si>
    <t>comercial@ingesed.com</t>
  </si>
  <si>
    <t>COTIZACION DEL RE-DISEÑO DE EXTINCIÓN DE INCENDIOS - PARQUEADERO ARAGUA PRIMAVERA</t>
  </si>
  <si>
    <t>COTIZACION DEL DISEÑO DE EXTINCIÓN DE INCENDIOS - REDISTRIBUCIÓN DE ROCIADORES CENTRO DE INVESTIGACIÓN ISA</t>
  </si>
  <si>
    <t>312 7577141</t>
  </si>
  <si>
    <t>Nestor García</t>
  </si>
  <si>
    <t>nestor.garcia@espiral.com.co</t>
  </si>
  <si>
    <t>COTIZACION DEL DISEÑO DE DETECCIÓN DE INCENDIOS - CASETA SOC ISA</t>
  </si>
  <si>
    <t>COTIZACION DEL ANÁLISIS DE SEGURIDAD HUMANA - PROYECTO GENOMA PISO 8 CES</t>
  </si>
  <si>
    <t>(57) (4) 444 0555</t>
  </si>
  <si>
    <t>Carlos Saldarriaga</t>
  </si>
  <si>
    <t>casaldarriaga@ces.edu.co</t>
  </si>
  <si>
    <t>COTIZACION DEL DISEÑO DE DETECCIÓN DE INCENDIOS - HALL CAJEROS VILLANUEVA</t>
  </si>
  <si>
    <t>COTIZACION DEL DISEÑO DE EXTINCIÓN DE INCENDIOS - REDISTRIBUCIÓN DE ROCIADORES LABORATORIOS GENOMA PISO 8 CES</t>
  </si>
  <si>
    <t>COTIZACION DE LOS DISEÑOS DE PROTECCIÓN CONTRA INCENDIOS Y SEGURIDAD HUMANA PARA EL PROYECTO PLAZA DE FLORES</t>
  </si>
  <si>
    <t>COTIZACION DEL DISEÑO DE DETECCIÓN DE INCENDIOS - ANDIRENT</t>
  </si>
  <si>
    <t>ANDIRENT</t>
  </si>
  <si>
    <t>312 2803148</t>
  </si>
  <si>
    <t>Mari Cruz Arango</t>
  </si>
  <si>
    <t>auxiliarmedellin@andirent.co</t>
  </si>
  <si>
    <t>COTIZACION DE VISITAS DE ACOMPAÑAMIENTO A LA INSTALACIÓN DE LOS SISTEMAS DE PROTECCIÓN CONTRA INCENDIOS DEL PROYECTO PRIMEIRO</t>
  </si>
  <si>
    <t>COTIZACION DEL ANÁLISIS DE SEGURIDAD HUMANA - LABORATORIOS ICMT</t>
  </si>
  <si>
    <t>GLOBAL ARQUITECTURA</t>
  </si>
  <si>
    <t>Nadia Arango Muñoz</t>
  </si>
  <si>
    <t>presupuestosglobalayc@gmail.com</t>
  </si>
  <si>
    <t>COTIZACION DE LOS DISEÑOS DE SEGURIDAD HUMANA Y PROTECCIÓN CONTRA  INCENDIOS - HOSPICE PILARICA</t>
  </si>
  <si>
    <t>EUGENIO LARA</t>
  </si>
  <si>
    <t>Eugenio Lara</t>
  </si>
  <si>
    <t>genios23@hotmail.com</t>
  </si>
  <si>
    <t>DISEÑO DEL SISTEMA DE EXTINCIÓN DE INCENDIOS PARA LOS TANQUE DE GLP PARA MSC COMPANY</t>
  </si>
  <si>
    <t>314 7537411</t>
  </si>
  <si>
    <t xml:space="preserve">proyectos@prosoma.com.co </t>
  </si>
  <si>
    <t>COTIZACION DE LOS PLANOS Y CANTIDADES DEL SISTEMA DE EXTINCIÓN DE INCENDIOS PARA EL PROYECTO LUIS AMIGÓ</t>
  </si>
  <si>
    <t>PSCI</t>
  </si>
  <si>
    <t>COTIZACION DEL DISEÑO DE EXTINCIÓN DE INCENDIOS - SMART FIT PLAZA FABRICATO</t>
  </si>
  <si>
    <t>SMARTFIT</t>
  </si>
  <si>
    <t>Maria Camila Amaya</t>
  </si>
  <si>
    <t>amayamariac09@gmail.com</t>
  </si>
  <si>
    <t>COTIZACION DEL DISEÑO DE DETECCIÓN DE INCENDIOS - CDI EL DORADO</t>
  </si>
  <si>
    <t>MARIO GALLEGO</t>
  </si>
  <si>
    <t>Mario Gallego</t>
  </si>
  <si>
    <t>COTIZACION DEL DISEÑO DE DETECCIÓN DE INCENDIOS - CDI EL LIBANO</t>
  </si>
  <si>
    <t>COTIZACION DE LOS DISEÑOS DE PROTECCIÓN CONTRA INCENDIOS PARA EL PROYECTO COLOMBINA PLANTA HELADOS</t>
  </si>
  <si>
    <t>COLOMBINA</t>
  </si>
  <si>
    <t>314 8051569</t>
  </si>
  <si>
    <t>Lina Alejandra Duque</t>
  </si>
  <si>
    <t>laduque@colombina.com</t>
  </si>
  <si>
    <t>COTIZACION DE LOS DISEÑOS DE SEGURIDAD HUMANA Y PROTECCIÓN CONTRA  INCENDIOS - LA BRIZUELA</t>
  </si>
  <si>
    <t>COTIZACION DE LOS DISEÑOS DE SEGURIDAD HUMANA Y DETECCIÓN DE INCENDIOS - COCINAS OCULTAS</t>
  </si>
  <si>
    <t>COTIZACION DEL DISEÑO DE EXTINCIÓN DE INCENDIOS - ALMACÉN PARQUEADERO DMODA</t>
  </si>
  <si>
    <t>COTIZACION DE LOS DISEÑOS DE PROTECCIÓN CONTRA  INCENDIOS - SUBESTACIÓN GUADALUPE IV</t>
  </si>
  <si>
    <t>COTIZACION DEL ANÁLISIS DE SEGURIDAD HUMANA - SAN NICOLAS</t>
  </si>
  <si>
    <t>HIDRO F SALINAS</t>
  </si>
  <si>
    <t>COTIZACION DE LOS DISEÑOS DE SEGURIDAD HUMANA Y PROTECCIÓN CONTRA  INCENDIOS - CUARTO DE CONTROL XM ISA</t>
  </si>
  <si>
    <t>COTIZACION DEL DISEÑO DE EXTINCIÓN DE INCENDIOS PARA EL PROYECTO SUMMIT MEDELLÍN</t>
  </si>
  <si>
    <t>COTIZACION DE LOS DISEÑOS DE SEGURIDAD HUMANA Y PROTECCIÓN CONTRA  INCENDIOS - PLAZA DE MERCADO SANTUARIO</t>
  </si>
  <si>
    <t>SHARU</t>
  </si>
  <si>
    <t>Juan Fernando Aguirre</t>
  </si>
  <si>
    <t>administrativo@sharu.com.co</t>
  </si>
  <si>
    <t>COTIZACION DEL DISEÑO DE EXTINCIÓN DE INCENDIOS - PARQUE EMPRESARIAL TABLAZA</t>
  </si>
  <si>
    <t>LA TABLAZA</t>
  </si>
  <si>
    <t>300 2922609</t>
  </si>
  <si>
    <t>tavojaramillo@gmail.com</t>
  </si>
  <si>
    <t>COTIZACION DE LOS DISEÑOS DE PROTECCIÓN CONTRA  INCENDIOS - PLANTA RESIDUOS SÓLIDOS Y COGENERACIÓN DE ENERGÍA</t>
  </si>
  <si>
    <t>Juan Pérez</t>
  </si>
  <si>
    <t>COTIZACION DEL DISEÑO DE EXTINCIÓN DE INCENDIOS - REDISTRIBUCIÓN DE ROCIADORES COSD</t>
  </si>
  <si>
    <t>COTIZACION DE LOS DISEÑOS DE PROTECCIÓN CONTRA  INCENDIOS - INCODOL MAYORCA</t>
  </si>
  <si>
    <t>COTIZACION DE LOS DISEÑOS DE PROTECCIÓN CONTRA  INCENDIOS - GUARNETEX</t>
  </si>
  <si>
    <t>GUARNETEX</t>
  </si>
  <si>
    <t>COTIZACION CONCEPTO RED CONTRA INCENDIOS COLSUBSIDIO BOGOTÁ</t>
  </si>
  <si>
    <t xml:space="preserve">AVANTE </t>
  </si>
  <si>
    <t>Jose Daniel Echeverri</t>
  </si>
  <si>
    <t>COTIZACION DE LOS DISEÑOS DE SEGURIDAD HUMANA Y PROTECCIÓN CONTRA INCENDIOS - RIO</t>
  </si>
  <si>
    <t>URCO</t>
  </si>
  <si>
    <t>COTIZACION DEL DISEÑO DE DETECCIÓN DE INCENDIOS - HALL CAEROS LA PLAZUELA CARTAGENA</t>
  </si>
  <si>
    <t>COTIZACION DE LOS DISEÑOS DE PROTECCIÓN CONTRA  INCENDIOS - SILOS DE CARBÓN BRINSA</t>
  </si>
  <si>
    <t>COTIZACION DEL DISEÑO DE EXTINCIÓN DE INCENDIOS - SOTANO ASTORGA</t>
  </si>
  <si>
    <t>Juan Esteban Bernal</t>
  </si>
  <si>
    <t>jbernal@interve.co</t>
  </si>
  <si>
    <t>COTIZACION DE LOS DISEÑOS DE SEGURIDAD HUMANA Y PROTECCIÓN CONTRA  INCENDIOS - EDIFICIO BELÉN</t>
  </si>
  <si>
    <t>HECTOR MIRANDA</t>
  </si>
  <si>
    <t>Hector Miranda</t>
  </si>
  <si>
    <t>hmiranda528@gmail.com</t>
  </si>
  <si>
    <t>COTIZACION DEL DISEÑO DE EXTINCIÓN DE INCENDIOS - CONSULTORIO 1848-1849 EL TESORO</t>
  </si>
  <si>
    <t>Mauricio Palencia</t>
  </si>
  <si>
    <t>COTIZACION DEL DISEÑO DE DETECCIÓN DE INCENDIOS - LABORATORIO GENOMA PISO 8 CES</t>
  </si>
  <si>
    <t>Martha Ferrer</t>
  </si>
  <si>
    <t>mferrer@interve.co</t>
  </si>
  <si>
    <t>COTIZACION DEL DISEÑO DE DETECCIÓN DE INCENDIOS - AMONTE TORRE 4</t>
  </si>
  <si>
    <t>COTIZACION DE LA REVISIÓN VISUAL DEL SISTEMA DE EXTINCIÓN DE INCENIDOS PARA BODENORTE</t>
  </si>
  <si>
    <t>319 5981312</t>
  </si>
  <si>
    <t>Laura Duque</t>
  </si>
  <si>
    <t>Proyectos2@jomarkseguridad.com</t>
  </si>
  <si>
    <t>COTIZACION DEL DISEÑO DE EXTINCIÓN DE INCENDIOS - REDISEÑO VITHA</t>
  </si>
  <si>
    <t>COTIZACION DEL ANÁLISIS DE SEGURIDAD HUMANA - PATIO PERDOMO</t>
  </si>
  <si>
    <t>COTIZACION DEL ANÁLISIS DE SEGURIDAD HUMANA - MEDERI</t>
  </si>
  <si>
    <t>COTIZACION DE LOS DISEÑOS DE SEGURIDAD HUMANA Y PROTECCIÓN CONTRA  INCENDIOS - VILLA VERDE TORRE 2</t>
  </si>
  <si>
    <t>310 3939739</t>
  </si>
  <si>
    <t>victorsadarriaga.spci@gmail.com</t>
  </si>
  <si>
    <t>COTIZACION DE LOS DISEÑOS DE PROTECCIÓN CONTRA  INCENDIOS - CDI LOS ARAUJOS</t>
  </si>
  <si>
    <t>GRUPO M INGENIERÍA</t>
  </si>
  <si>
    <t>317 6655401</t>
  </si>
  <si>
    <t>Juan Pablo Martínez</t>
  </si>
  <si>
    <t>Juan.martinez@grupomingenieria.com.co</t>
  </si>
  <si>
    <t>COTIZACION DE LOS DISEÑOS DE PROTECCIÓN CONTRA  INCENDIOS - HOSPITAL LA CEJA PISO 2</t>
  </si>
  <si>
    <t>ALVARO MAYA</t>
  </si>
  <si>
    <t xml:space="preserve">312 297 78 10   </t>
  </si>
  <si>
    <t>Alvaro Maya</t>
  </si>
  <si>
    <t>ahmayac@hotmail.com</t>
  </si>
  <si>
    <t>COTIZACION DEL DISEÑO DE DETECCIÓN DE INCENDIOS - BANCOLOMBIA SAN NICOLAS</t>
  </si>
  <si>
    <t>COTIZACION DE LOS DISEÑOS DE PROTECCIÓN CONTRA  INCENDIOS - KFC PLAZA FABRICATO</t>
  </si>
  <si>
    <t>COTIZACION DEL DISEÑO DE DETECCIÓN DE INCENDIOS - PROYECTO CHINCHINÁ CALDAS</t>
  </si>
  <si>
    <t>COTIZACION DEL ANÁLISIS DE SEGURIDAD HUMANA - COPROCENVA</t>
  </si>
  <si>
    <t>COPROCENVA</t>
  </si>
  <si>
    <t>Henry Rodríguez</t>
  </si>
  <si>
    <t>analistap1.aprovisionamiento@coprocenva.coop</t>
  </si>
  <si>
    <t>COTIZACION DEL DISEÑO DE EXTINCIÓN DE INCENDIOS - COPROCENVA</t>
  </si>
  <si>
    <t>COTIZACION DEL DISEÑO DE EXTINCIÓN DE INCENDIOS - EDIFICIO 45 PISOS</t>
  </si>
  <si>
    <t>COTIZACION DEL RE-DISEÑOS DE SEGURIDAD HUMANA Y DETECCIÓN DE INCENDIOS - TRES CANTOS TORRE 2 APTOS</t>
  </si>
  <si>
    <t>CONSTRUIR OBRAS CIVILES</t>
  </si>
  <si>
    <t>300 8113522</t>
  </si>
  <si>
    <t>Katty Milena Castro</t>
  </si>
  <si>
    <t>trescantosk@gmail.com</t>
  </si>
  <si>
    <t>COTIZACION DEL DISEÑO DE EXTINCIÓN DE INCENDIOS - CEDI SOCODA GUARNE</t>
  </si>
  <si>
    <t>SOCODA</t>
  </si>
  <si>
    <t>Jorge Velez</t>
  </si>
  <si>
    <t>jorge.velez@socoda.com.co</t>
  </si>
  <si>
    <t>COTIZACION DE LOS DISEÑOS DE SEGURIDAD HUMANA Y DETECCIÓN DE INCENDIOS - PARQ SUBTERRANEO PLAZA 26</t>
  </si>
  <si>
    <t>Alca Ingeniería S.A.S.</t>
  </si>
  <si>
    <t>Arturo Castro</t>
  </si>
  <si>
    <t>arturoalcaingenieria@gmail.com</t>
  </si>
  <si>
    <t>COTIZACION DE LOS DISEÑOS DE SEGURIDAD HUMANA Y PROTECCIÓN CONTRA  INCENDIOS - LOTE SAN ANTONIO</t>
  </si>
  <si>
    <t>PERSPECTIVAS CIVILES</t>
  </si>
  <si>
    <t>Teresita Hernandez</t>
  </si>
  <si>
    <t>perspectivasciviles@gmail.com</t>
  </si>
  <si>
    <t>COTIZACION DE LOS DISEÑOS DE SEGURIDAD HUMANA Y PROTECCIÓN CONTRA  INCENDIOS - TORRE VELONA</t>
  </si>
  <si>
    <t>COTIZACION DEL ANÁLISIS DE SEGURIDAD HUMANA - ARUS SEDE ITAGUÍ</t>
  </si>
  <si>
    <t>COTIZACION DEL ANÁLISIS DE SEGURIDAD HUMANA PARA EL PROYECTO AMÓNIKO</t>
  </si>
  <si>
    <t>JUAN CAMILO CARDONA</t>
  </si>
  <si>
    <t>311 3693748</t>
  </si>
  <si>
    <t>Juan Camilo Cardona</t>
  </si>
  <si>
    <t>jcardonm@gmail.com</t>
  </si>
  <si>
    <t>COTIZACION DE LOS DISEÑOS DE SEGURIDAD HUMANA Y PROTECCIÓN CONTRA  INCENDIOS - LOTE CASA CECILIA</t>
  </si>
  <si>
    <t>SOLUCIONES CIVILES</t>
  </si>
  <si>
    <t>Gustavo Aguirre</t>
  </si>
  <si>
    <t>gaguirre@solciviles.com</t>
  </si>
  <si>
    <t>COTIZACION DE LOS DISEÑOS DE SEGURIDAD HUMANA Y PROTECCIÓN CONTRA  INCENDIOS - CLÍNICA REINA VICTORIA POPAYÁN</t>
  </si>
  <si>
    <t>COTIZACION DEL DISEÑO DE DETECCIÓN DE INCENDIOS - BODEGAS ZOFIVA</t>
  </si>
  <si>
    <t>301 2154484</t>
  </si>
  <si>
    <t>Luisa Montoya</t>
  </si>
  <si>
    <t>luisa.montoya@espiral.com.co</t>
  </si>
  <si>
    <t>COTIZACION DEL ANÁLISIS DE SEGURIDAD HUMANA - COLTEJER</t>
  </si>
  <si>
    <t>COTIZACION DE LOS DISEÑOS DE SEGURIDAD HUMANA Y PROTECCIÓN CONTRA  INCENDIOS - CLINICA COMEDAL</t>
  </si>
  <si>
    <t>CONINSA RAMON H</t>
  </si>
  <si>
    <t>Mario León Hincapié Quiceno</t>
  </si>
  <si>
    <t>mhincapie@coninsa.co</t>
  </si>
  <si>
    <t>COTIZACION DEL RE-DISEÑO DE EXTINCIÓN DE INCENDIOS - PARQUEADEROS FIORENZA</t>
  </si>
  <si>
    <t>COTIZACION DEL DISEÑO DE EXTINCIÓN DE INCENDIOS - UNIVERSIDAD DEL SUR</t>
  </si>
  <si>
    <t>COTIZACION DE LOS DISEÑOS DE PROTECCIÓN CONTRA  INCENDIOS - BANCOLOMBIA SAN PEDRO</t>
  </si>
  <si>
    <t>COTIZACION DEL DISEÑO DE DETECCIÓN DE INCENDIOS - HALL DE CAJEROS CARRERA 15 CALI</t>
  </si>
  <si>
    <t xml:space="preserve">Vanessa Ramirez </t>
  </si>
  <si>
    <t>COTIZACION DEL ANÁLISIS DE SEGURIDAD HUMANA - PATIO USME</t>
  </si>
  <si>
    <t>COTIZACION DE LOS DISEÑOS DE SEGURIDAD HUMANA Y PROTECCIÓN CONTRA  INCENDIOS - OFICINAS IGT</t>
  </si>
  <si>
    <t>317 6461961</t>
  </si>
  <si>
    <t>jorge.escobar@espiralstudio.co</t>
  </si>
  <si>
    <t>COTIZACION DEL DISEÑO DE EXTINCIÓN DE INCENDIOS - LOCAL 2 DISTRITO 90</t>
  </si>
  <si>
    <t>COTIZACION DE LOS DISEÑOS DE SEGURIDAD HUMANA Y PROTECCIÓN CONTRA  INCENDIOS - LOCAL COMERCIAL LA VAQUITA</t>
  </si>
  <si>
    <t>NUART</t>
  </si>
  <si>
    <t>(301) 504-58-57</t>
  </si>
  <si>
    <t>Santiago Mora</t>
  </si>
  <si>
    <t>direccionuart@gmail.co</t>
  </si>
  <si>
    <t>COTIZACION DE LOS DISEÑOS DE PROTECCIÓN CONTRA INCENDIOS - CENTRO DE ENCUENTRO CIUDADANO</t>
  </si>
  <si>
    <t>TIP INTERVENTORÍA</t>
  </si>
  <si>
    <t>320 6647758</t>
  </si>
  <si>
    <t>Alejandra Barrientos</t>
  </si>
  <si>
    <t>interventoriacecv@tipinterventoria.com</t>
  </si>
  <si>
    <t>COTIZACION DE LA VALIDACIÓN HIDRÁULICA PARA LA RED GENERAL - PINTUCO</t>
  </si>
  <si>
    <t>COTIZACION DE LOS DISEÑOS DE SEGURIDAD HUMANA Y PROTECCIÓN CONTRA  INCENDIOS - EQUIPOS Y LABORATORIOS</t>
  </si>
  <si>
    <t>Hector Camelo</t>
  </si>
  <si>
    <t>hectorcamelo@estructurar.co</t>
  </si>
  <si>
    <t>COTIZACION DE LOS DISEÑOS DE PROTECCIÓN CONTRA  INCENDIOS - INCODOL ETAPA 4</t>
  </si>
  <si>
    <t>COTIZACION DE LOS DISEÑOS DE SEGURIDAD HUMANA Y PROTECCIÓN CONTRA  INCENDIOS - BODEGA TECNAS</t>
  </si>
  <si>
    <t xml:space="preserve"> daironobando@estructurar.co</t>
  </si>
  <si>
    <t>COTIZACION DE LOS DISEÑOS DE SEGURIDAD HUMANA Y PROTECCIÓN CONTRA  INCENDIOS - METROFRENOS</t>
  </si>
  <si>
    <t>LUIS GERMAN LONDOÑO</t>
  </si>
  <si>
    <t>310 407 75 61.</t>
  </si>
  <si>
    <t>Luis Germán Londoño</t>
  </si>
  <si>
    <t>LGLONDON@gmail.com</t>
  </si>
  <si>
    <t>COTIZACION DE LOS DISEÑOS DE SEGURIDAD HUMANA Y PROTECCIÓN CONTRA  INCENDIOS - PEAJES CONCESIÓN VIA 40 BOGOTA</t>
  </si>
  <si>
    <t>Cristian Alvarez</t>
  </si>
  <si>
    <t>cristian.alvarez@cnv.com.co</t>
  </si>
  <si>
    <t>COTIZACION DEL ANÁLISIS DE SEGURIDAD HUMANA - OFICINAS ALQUERIA</t>
  </si>
  <si>
    <t>Laura Arias</t>
  </si>
  <si>
    <t>laura.arias@studiosur.net</t>
  </si>
  <si>
    <t>COTIZACION DEL DISEÑO DE EXTINCIÓN DE INCENDIOS - REMINGTON TORRE 2</t>
  </si>
  <si>
    <t>AUTOMATIZACION Y BOMBEO</t>
  </si>
  <si>
    <t>Sebastian Toro</t>
  </si>
  <si>
    <t>serviciotecnicoayb@hotmail.com</t>
  </si>
  <si>
    <t>COTIZACIÓN DEL DISEÑO DE SEGURIDAD HUMANA PRADO BOSA</t>
  </si>
  <si>
    <t>OSPINAS</t>
  </si>
  <si>
    <t xml:space="preserve">57 1 3267060 Ext 126 </t>
  </si>
  <si>
    <t>Andrea Poveda</t>
  </si>
  <si>
    <t>andrea.poveda@ospinas.com.co</t>
  </si>
  <si>
    <t>COTIZACIÓN DEL DISEÑO DE DETECCIÓN DE INCENDIOS PRADO BOSA</t>
  </si>
  <si>
    <t>COTIZACION DE LA REVISIÓN VISUAL DEL SISTEMA DE EXTINCIÓN DE INCENIDOS PARA AGROSAVIA TIBATÁ</t>
  </si>
  <si>
    <t>AGROSAVIA</t>
  </si>
  <si>
    <t>Jenny Zoraida Cotame Torres</t>
  </si>
  <si>
    <t>jcotame@agrosavia.co</t>
  </si>
  <si>
    <t>COTIZACION DE LOS DISEÑOS DE SEGURIDAD HUMANA Y PROTECCIÓN CONTRA  INCENDIOS - CORPORACIÓN HOGAR</t>
  </si>
  <si>
    <t>LONDOÑO GOMEZ</t>
  </si>
  <si>
    <t>300 6159091</t>
  </si>
  <si>
    <t>Lina Saldarriaga</t>
  </si>
  <si>
    <t>lsaldarriaga@londonogomez.com</t>
  </si>
  <si>
    <t>MODELACIÓN Y CÁLCULOS DEL SISTEMA DE DETECCIÓN DE INCENDIOS PARA PLANTA INDUSTRIAL</t>
  </si>
  <si>
    <t>SERIINCO</t>
  </si>
  <si>
    <t>francisco.unda@seriinco.com</t>
  </si>
  <si>
    <t>COTIZACION DEL DISEÑO DE EXTINCIÓN DE INCENDIOS - CENTRO LOGÍSTICO</t>
  </si>
  <si>
    <t>COTIZACION DE LOS DISEÑOS DE PROTECCIÓN CONTRA  INCENDIOS - PLASPEL TOCANCIPA</t>
  </si>
  <si>
    <t>COTIZACION DE LOS DISEÑOS DE PROTECCIÓN CONTRA  INCENDIOS - LOCAL LECOLLEZIONI CC SANTAFE</t>
  </si>
  <si>
    <t>COTIZACION DE LA VALIDACIÓN HIDRÁULICA DE LA RED GENERAL Y SISTEMAS DE ROCIADORES DE PBA EXISTENTES Y LA PARA LA PLANTA PINTUCO RIONEGRO</t>
  </si>
  <si>
    <t>COTIZACION AUDOTIRÍA TÉCNICA SISTEMA DE DETECCIÓN PLANTA IFF BOGOTÁ</t>
  </si>
  <si>
    <t>IFF</t>
  </si>
  <si>
    <t xml:space="preserve">317 437 4917 </t>
  </si>
  <si>
    <t>Juan Velandia</t>
  </si>
  <si>
    <t>Juan.Velandia@iff.com</t>
  </si>
  <si>
    <t>COTIZACION DE LOS DISEÑOS DE PROTECCIÓN CONTRA  INCENDIOS - CONSULTORIO CG EL TESORO</t>
  </si>
  <si>
    <t>COTIZACION DE LOS DISEÑOS DE PROTECCIÓN CONTRA  INCENDIOS - CONSULTORIO AT EL TESORO</t>
  </si>
  <si>
    <t>COTIZACION DE LOS DISEÑOS DE SEGURIDAD HUMANA Y PROTECCIÓN CONTRA  INCENDIOS - OBRA DEL AIRE</t>
  </si>
  <si>
    <t>COTIZACION DEL ANÁLISIS DE SEGURIDAD HUMANA - EDIFICIO ADMINISTRATIVO</t>
  </si>
  <si>
    <t>DESur</t>
  </si>
  <si>
    <t>natalia.mejia@desur.gov.co</t>
  </si>
  <si>
    <t>COTIZACION DEL ANÁLISIS DE SEGURIDAD HUMANA - CANCHAS EN ALTURA</t>
  </si>
  <si>
    <t>COTIZACION DE LOS DISEÑOS DE SEGURIDAD HUMANA Y DETECCIÓN DE INCENDIOS - CASA PERÚ</t>
  </si>
  <si>
    <t>Gino</t>
  </si>
  <si>
    <t>COTIZACION DE LOS DISEÑOS DE PROTECCIÓN CONTRA  INCENDIOS - CUIDARTE SIEMPRE</t>
  </si>
  <si>
    <t>PROJECT &amp; SOLUTION</t>
  </si>
  <si>
    <t>311 3079477</t>
  </si>
  <si>
    <t>Sebastián Lopez</t>
  </si>
  <si>
    <t>gerencia@projectsolutions.com.co</t>
  </si>
  <si>
    <t>COTIZACION DEL DISEÑO DE NOTIFICACIÓN Y ALARMA DE INCENDIOS - COLEGIO ALCÁZARES</t>
  </si>
  <si>
    <t>314 8299536</t>
  </si>
  <si>
    <t>Lady lopez</t>
  </si>
  <si>
    <t>lady.lopez@spci.com.co</t>
  </si>
  <si>
    <t>COTIZACION DE LOS DISEÑOS DE PROTECCIÓN CONTRA  INCENDIOS - INSTITUTO PASTORAL DEL CLERO</t>
  </si>
  <si>
    <t>HUGO DONADO</t>
  </si>
  <si>
    <t>316 5393372</t>
  </si>
  <si>
    <t>Hugo Donado</t>
  </si>
  <si>
    <t>hudinco@gmail.com</t>
  </si>
  <si>
    <t>COTIZACION DE LOS DISEÑOS DE SEGURIDAD HUMANA Y PROTECCIÓN CONTRA  INCENDIOS - CAM BELLO</t>
  </si>
  <si>
    <t>José David Zuleta</t>
  </si>
  <si>
    <t>COTIZACION DE LOS DISEÑOS DE SEGURIDAD HUMANA Y PROTECCIÓN CONTRA  INCENDIOS - PAO Bello</t>
  </si>
  <si>
    <t>COTIZACION DEL DISEÑO DE DETECCIÓN DE INCENDIOS - HALL DE CAJEROS DIBULLA</t>
  </si>
  <si>
    <t>302 2295772</t>
  </si>
  <si>
    <t>Isabel Tamayo</t>
  </si>
  <si>
    <t>COTIZACION DEL DISEÑO DE DETECCIÓN DE INCENDIOS Y SEGURIDAD HUMANA - BANCOLOMBIA GALAPA</t>
  </si>
  <si>
    <t>COTIZACION DE LOS DISEÑOS DE PROTECCIÓN CONTRA  INCENDIOS - KFC CALLE 10</t>
  </si>
  <si>
    <t>COTIZACION DEL DISEÑO DE EXTINCIÓN DE INCENDIOS - FARMACIA COLSUBSIDIO INDUSTRIALES</t>
  </si>
  <si>
    <t>COLSUBSIDIO</t>
  </si>
  <si>
    <t>312 3655246</t>
  </si>
  <si>
    <t>Santiago Tobón</t>
  </si>
  <si>
    <t>santtoce@colsubsidio.com</t>
  </si>
  <si>
    <t>COTIZACION DEL DISEÑO DE EXTINCIÓN DE INCENDIOS - SUPERBOWLING ENVIGADO</t>
  </si>
  <si>
    <t>SUPERBOWLING ENVIGADO</t>
  </si>
  <si>
    <t>300 6603063</t>
  </si>
  <si>
    <t>Juan Manuel Moreno</t>
  </si>
  <si>
    <t>Buena_mesa@hotmail.com</t>
  </si>
  <si>
    <t>COTIZACION DE LOS DISEÑOS DE PROTECCIÓN CONTRA  INCENDIOS - DELLA NONA</t>
  </si>
  <si>
    <t>316 440 3625</t>
  </si>
  <si>
    <t>John González</t>
  </si>
  <si>
    <t>johngonzalez@ensambleespaciosvivos.com</t>
  </si>
  <si>
    <t>COTIZACION DEL DISEÑO DE EXTINCIÓN DE INCENDIOS - AMPLIACION HLM</t>
  </si>
  <si>
    <t>O3 INGENIERÍA</t>
  </si>
  <si>
    <t>COTIZACION DE LOS DISEÑOS DE SEGURIDAD HUMANA Y PROTECCIÓN CONTRA  INCENDIOS - OBRA ITAGUI</t>
  </si>
  <si>
    <t>KEAR</t>
  </si>
  <si>
    <t>Viviana Sanchéz</t>
  </si>
  <si>
    <t>coordinacion@krearingenieria.com</t>
  </si>
  <si>
    <t>COTIZACION DEL DISEÑO DE DETECCIÓN Y ALARMA DE INCENDIOS - ANDERCOL BARBOSA</t>
  </si>
  <si>
    <t>ANDERCOL</t>
  </si>
  <si>
    <t>David Mauricio</t>
  </si>
  <si>
    <t>david.zuluaga@andercol.com.co</t>
  </si>
  <si>
    <t>COTIZACION DE LOS DISEÑOS DE SEGURIDAD HUMANA Y PROTECCIÓN CONTRA  INCENDIOS - OLIVEIRA CAMPESTRE</t>
  </si>
  <si>
    <t>COTIZACION DE LA ELABORACIÓN DEL PLAN MAESTRO CONTRA INCENDIOS - BODEGA REDICOL</t>
  </si>
  <si>
    <t>REDICOL</t>
  </si>
  <si>
    <t>304 611 82 48</t>
  </si>
  <si>
    <t>JENIFER FARFÁN CASALLAS</t>
  </si>
  <si>
    <t>COTIZACION DE LOS DISEÑOS DE SEGURIDAD HUMANA Y PROTECCIÓN CONTRA  INCENDIOS - HOTEL DON IVAN LA 10</t>
  </si>
  <si>
    <t>COTIZACION DE LOS DISEÑOS DE PROTECCIÓN CONTRA  INCENDIOS - OFICINA LEMONT</t>
  </si>
  <si>
    <t>COTIZACION DE LOS DISEÑOS DE SEGURIDAD HUMANA Y PROTECCIÓN CONTRA  INCENDIOS - HOTEL CÚCUTA 450 M2</t>
  </si>
  <si>
    <t>COTIZACION DE LOS DISEÑOS DE SEGURIDAD HUMANA Y PROTECCIÓN CONTRA  INCENDIOS - AKI ETAPA 1</t>
  </si>
  <si>
    <t>COTIZACION DE LOS DISEÑOS DE SEGURIDAD HUMANA Y PROTECCIÓN CONTRA  INCENDIOS - UCO30</t>
  </si>
  <si>
    <t>COTIZACION DE LOS PLANOS DE SEÑALIZACIÓN DE EMERGENCIA Y EXTINTORES PORTÁTILES PARA EL COLEGIO JOSÉ MARÍA BERRIO</t>
  </si>
  <si>
    <t>JOSÉ MARIA BERRIO</t>
  </si>
  <si>
    <t>320 6325420</t>
  </si>
  <si>
    <t>Lina Cortés</t>
  </si>
  <si>
    <t>dircalidadytalentohumano@josema.edu.co</t>
  </si>
  <si>
    <t>COTIZACION DEL ANÁLISIS DE LOS SISTEMAS DE EXTINCIÓN DE INCENDIOS - CERÁMICA ITALIA</t>
  </si>
  <si>
    <t>317 7085077</t>
  </si>
  <si>
    <t>Jhonatan Acosta</t>
  </si>
  <si>
    <t>jacosta@conconcreto.com</t>
  </si>
  <si>
    <t>COTIZACION DEL DISEÑO DE EXTINCIÓN DE INCENDIOS - LOCAL 3097 PLAZA FABRICATO</t>
  </si>
  <si>
    <t>COTIZACION DEL DISEÑO DE EXTINCIÓN DE INCENDIOS - LOCAL 225 VIVA ENVIGADO</t>
  </si>
  <si>
    <t>COTIZACION DEL DISEÑO DE EXTINCIÓN DE INCENDIOS - BANCOLOMBIA C3</t>
  </si>
  <si>
    <t>COTIZACION DE LOS DISEÑOS DE PROTECCIÓN CONTRA  INCENDIOS - FISCALÍA CALI</t>
  </si>
  <si>
    <t>SP INMOBILIARIA</t>
  </si>
  <si>
    <t>Alejandra Ochoa Ospina</t>
  </si>
  <si>
    <t>alejandra.ochoa@sp-ing.com.co</t>
  </si>
  <si>
    <t>COTIZACION DEL DISEÑO DE DETECCIÓN DE INCENDIOS - LUZMA I Y II</t>
  </si>
  <si>
    <t>dir.tecnico@spcisas.com.co</t>
  </si>
  <si>
    <t>COTIZACION ACOMPAÑAMIENTO COTIZACIÓN DETECCIÓN DE INCENDIOS - LUZMA I Y II</t>
  </si>
  <si>
    <t>COTIZACION DEL DISEÑO DE DETECCIÓN DE INCENDIOS PARA EL PROYECTO BAÑOS VIVA SINCELEJO</t>
  </si>
  <si>
    <t>COTIZACION DE LOS DISEÑOS DE PROTECCIÓN CONTRA  INCENDIOS - POLO CLUB PLAZA FABRICATO</t>
  </si>
  <si>
    <t>COTIZACION DE LA REVISIÓN DE SEGURIDAD HUMANA Y LOS SISTEMAS DE PROTECCIÓN CONTRA INCENDIOS PARA CLÍNICAS CALI</t>
  </si>
  <si>
    <t>COTIZACION DE LOS DISEÑOS DE PROTECCIÓN CONTRA  INCENDIOS - FORESTA 3</t>
  </si>
  <si>
    <t>321 4826168</t>
  </si>
  <si>
    <t>Ana María Restrepo</t>
  </si>
  <si>
    <t xml:space="preserve"> costosypresupuestos1@spcisas.com.co</t>
  </si>
  <si>
    <t>COTIZACION DE LOS DISEÑOS DE PROTECCIÓN CONTRA  INCENDIOS - BODEGA 172 ZONA FRANCA RIONEGRO</t>
  </si>
  <si>
    <t>320 7187533</t>
  </si>
  <si>
    <t>dir.proyectos5@spcisas.com.co</t>
  </si>
  <si>
    <t>COTIZACION DE LOS DISEÑOS DE SEGURIDAD HUMANA Y PROTECCIÓN CONTRA  INCENDIOS - ESPUMAS PLÁSTICAS MEDELLÍN</t>
  </si>
  <si>
    <t>COTIZACION DE LOS DISEÑOS DE SEGURIDAD HUMANA Y PROTECCIÓN CONTRA  INCENDIOS - MIRASUR</t>
  </si>
  <si>
    <t>CONSTRUCCIONES ALCALÁ</t>
  </si>
  <si>
    <t>301 6356046</t>
  </si>
  <si>
    <t>Orlando Gallo</t>
  </si>
  <si>
    <t>bravo259@hotmail.com</t>
  </si>
  <si>
    <t>COTIZACION DEL DISEÑO DE EXTINCIÓN DE INCENDIOS - LOCAL QBANO PLAZA FABRICATO</t>
  </si>
  <si>
    <t>COTIZACION DE LOS DISEÑOS DE PROTECCIÓN CONTRA  INCENDIOS - DISLICORES LEMONT</t>
  </si>
  <si>
    <t>COTIZACION DE LOS DISEÑOS DE PROTECCIÓN CONTRA  INCENDIOS - LOCAL 1028 PLAZA FABRICATO</t>
  </si>
  <si>
    <t>COTIZACION DEL DISEÑO DE DETECCIÓN DE INCENDIOS - CARVAJAL</t>
  </si>
  <si>
    <t>COTIZACION DEL ANÁLISIS DE SEGURIDAD HUMANA PARA EL PROYECTO CENTRO DE NEGOCIOS AGROPECUARIOS</t>
  </si>
  <si>
    <t>INGENIOBIM</t>
  </si>
  <si>
    <t>301 4331389</t>
  </si>
  <si>
    <t>Juan Camilo Builes</t>
  </si>
  <si>
    <t>jcamilo.builes@ingeniobim.co</t>
  </si>
  <si>
    <t>OBRASDE</t>
  </si>
  <si>
    <t>(+574) 444 54 53</t>
  </si>
  <si>
    <t>Jhon Fernando Gómez</t>
  </si>
  <si>
    <t>john.gomez@obrasde.com</t>
  </si>
  <si>
    <t>COTIZACION DEL DISEÑO DE EXTINCIÓN DE INCENDIOS - PARQUE DE LAS AGUAS</t>
  </si>
  <si>
    <t>WELD</t>
  </si>
  <si>
    <t>301 6819545</t>
  </si>
  <si>
    <t>Alejandro Lopera</t>
  </si>
  <si>
    <t>COTIZACION DEL DISEÑO DE EXTINCIÓN DE INCENDIOS - LOCAL 3040 PLAZA FABRICATO</t>
  </si>
  <si>
    <t>COTIZACION DEL DISEÑO DE DETECCIÓN DE INCENDIOS - ALMACAFÉ BUGA</t>
  </si>
  <si>
    <t>COTIZACION DEL DISEÑO DE EXTINCIÓN DE INCENDIOS - LOCAL 3082 PLAZA FABRICATO</t>
  </si>
  <si>
    <t>COTIZACION DEL DISEÑO DE DETECCIÓN DE INCENDIOS PARA EL PROYECTO PASILLO PISO 2 VIVA SINCELEJO</t>
  </si>
  <si>
    <t>COTIZACION DEL DISEÑO DE EXTINCIÓN DE INCENDIOS - LOCAL 2009 PLAZA FABRICATO</t>
  </si>
  <si>
    <t>COTIZACION DE LOS DISEÑOS DE PROTECCIÓN CONTRA  INCENDIOS - INCODOL</t>
  </si>
  <si>
    <t>INMA</t>
  </si>
  <si>
    <t>Johan Alexis Moreno Valencia</t>
  </si>
  <si>
    <t>jmoreno@inma.com.co</t>
  </si>
  <si>
    <t>COTIZACION DEL DISEÑO DE EXTINCIÓN DE INCENDIOS - LOCAL FRUTA FRESCA PLAZA FABRICATO</t>
  </si>
  <si>
    <t>COTIZACION DEL DISEÑO DEL CUARTO DE BOMBAS DE EXTINCIÓN DE INCENDIOS - MIRASUR RIONEGRO</t>
  </si>
  <si>
    <t>COTIZACION DEL DISEÑO DE DETECCIÓN DE INCENDIOS - ZONA COMÚN ETAPA 3 VIVA SINCELEJO</t>
  </si>
  <si>
    <t>COTIZACION DEL DISEÑO DE EXTINCIÓN DE INCENDIOS - LOCAL LA CENTRAL 120 M2</t>
  </si>
  <si>
    <t>COTIZACION DEL DISEÑO DE DETECCIÓN DE INCENDIOS PARA EL PROYECTO TANQUES GLP PLEXA</t>
  </si>
  <si>
    <t>COTIZACION DE LOS DISEÑOS DE PROTECCIÓN CONTRA  INCENDIOS - PLANTA CORONA CALDAS</t>
  </si>
  <si>
    <t>COTIZACION DEL DISEÑO DE EXTINCIÓN DE INCENDIOS - LOCAL 0107 LEMONT</t>
  </si>
  <si>
    <t>COTIZACION DE LOS DISEÑOS DE PROTECCIÓN CONTRA  INCENDIOS - LA JAGGUA</t>
  </si>
  <si>
    <t>Maria Camila Velasquez</t>
  </si>
  <si>
    <t>mcvelasquez@contex.com.co</t>
  </si>
  <si>
    <t>COTIZACION DE LOS DISEÑOS DE PROTECCIÓN CONTRA  INCENDIOS - Local 3029 Plaza Fabricato</t>
  </si>
  <si>
    <t>GIOVANNY CORREA</t>
  </si>
  <si>
    <t>Giovanny Correa</t>
  </si>
  <si>
    <t>COTIZACION DE LOS DISEÑOS DE PROTECCIÓN CONTRA  INCENDIOS - FONTIBÓN</t>
  </si>
  <si>
    <t>COTIZACION DE LOS DISEÑOS DE SEGURIDAD HUMANA Y PROTECCIÓN CONTRA  INCENDIOS - LAGOS ETAPA 1</t>
  </si>
  <si>
    <t>3207091752- 44795490</t>
  </si>
  <si>
    <t>COTIZACION DE LOS DISEÑOS DE PROTECCIÓN CONTRA  INCENDIOS - LOCAL 2023 PLAZA FABRICATO</t>
  </si>
  <si>
    <t xml:space="preserve">COTIZACION DEL DISEÑO DE DETECCIÓN DE INCENDIOS PARA EL PROYECTO IE LICEO ANTIOQUEÑO
</t>
  </si>
  <si>
    <t>CONTEIN SAS</t>
  </si>
  <si>
    <t>Edgar</t>
  </si>
  <si>
    <t>e.rodriguez@constelec.com</t>
  </si>
  <si>
    <t>COTIZACION DEL DISEÑO DE DETECCIÓN DE INCENDIOS - HALL DE CAJEROS CC RONDA REAL</t>
  </si>
  <si>
    <t>COTIZACION DEL DISEÑO DE EXTINCIÓN DE INCENDIOS - LOCAL 0101 LEMONT</t>
  </si>
  <si>
    <t>COTIZACION DE LOS DISEÑOS DE SEGURIDAD HUMANA Y PROTECCIÓN CONTRA INCENDIOS- RUTA 39 ETAPA 4</t>
  </si>
  <si>
    <t>321 482 61 68</t>
  </si>
  <si>
    <t>Ana Maria Restrepo</t>
  </si>
  <si>
    <t>costosypresupuestos1@spcisas.com.co</t>
  </si>
  <si>
    <t>COTIZACION DE LOS DISEÑOS DE PROTECCIÓN CONTRA  INCENDIOS - PARQUE INDUSTRIAL ELITE 2</t>
  </si>
  <si>
    <t>COTIZACION DEL DISEÑO DE DETECCIÓN DE INCENDIOS - SIDEL</t>
  </si>
  <si>
    <t>(051)646 3060 Ext. 15133</t>
  </si>
  <si>
    <t>Cindy Lorena Robayo Benitez</t>
  </si>
  <si>
    <t>clrobayo@sura.com.co</t>
  </si>
  <si>
    <t>COTIZACION DE LOS DISEÑOS DE SEGURIDAD HUMANA Y PROTECCIÓN CONTRA  INCENDIOS - CLÍNICA DE TRAUMATOLOGÍA</t>
  </si>
  <si>
    <t>Nakary Garcia Romero</t>
  </si>
  <si>
    <t>COTIZACION DE LOS DISEÑOS DE SEGURIDAD HUMANA Y PROTECCIÓN CONTRA  INCENDIOS - LEGADO</t>
  </si>
  <si>
    <t>COTIZACION DEL DISEÑO DE EXTINCIÓN DE INCENDIOS PARA EL PROYECTO LOCAL 2006 PLAZA FABRICATO</t>
  </si>
  <si>
    <t>COTIZACION DEL ANÁLISIS DE SEGURIDAD HUMANA PARA EL PROYECTO LOGIKA SIBERIA BODEGA 12</t>
  </si>
  <si>
    <t>Pilar Arango Restrepo</t>
  </si>
  <si>
    <t>Emailparangor@conconcreto.com</t>
  </si>
  <si>
    <t>COTIZACION DEL MODELO EN AUTOSPRINK Y CÁLCULOS HIDRÁULICOS PARA EL PROYECTO ÉXITO CEDI SIBERIA</t>
  </si>
  <si>
    <t>314 6082856</t>
  </si>
  <si>
    <t>produccion@spcisas.com.co</t>
  </si>
  <si>
    <t>COTIZACION DEL DISEÑO DE EXTINCIÓN DE INCENDIOS - ALKOMPRAR PLAZA FABRICATO</t>
  </si>
  <si>
    <t>David Lopera Medina</t>
  </si>
  <si>
    <t>COTIZACION DEL DISEÑO DE EXTINCIÓN DE INCENDIOS -  LOCAL 1011B YOM YOM PLAZA FABRICATO</t>
  </si>
  <si>
    <t>COTIZACION DE LOS DISEÑOS DE PROTECCIÓN CONTRA INCENDIOS Y SEGURIDAD HUMANA PARA EL PROYECTO CEDRO AZUL</t>
  </si>
  <si>
    <t>LINK INMOBILIARIA</t>
  </si>
  <si>
    <t>316-2454557-(4) 4441787</t>
  </si>
  <si>
    <t>JUAN CARLOS OLMOS T.</t>
  </si>
  <si>
    <t>j.olmos@link-inmobiliario.com</t>
  </si>
  <si>
    <t>COTIZACION DE LOS DISEÑOS DE SEGURIDAD HUMANA Y PROTECCIÓN CONTRA  INCENDIOS - LIVING 27</t>
  </si>
  <si>
    <t>COTIZACION DE LOS DISEÑOS DE SEGURIDAD HUMANA Y PROTECCIÓN CONTRA  INCENDIOS - VEGAS 48</t>
  </si>
  <si>
    <t>COTIZACION DEL DISEÑO DE EXTINCIÓN DE INCENDIOS PARA EL PROYECTO LOCAL D’GRACIA PLAZA FABRICATO</t>
  </si>
  <si>
    <t>COTIZACION DE LOS DISEÑOS DE PROTECCIÓN CONTRA INCENDIOS Y SEGURIDAD HUMANA PARA EL PROYECTO PLANTA CABARRIA IQA</t>
  </si>
  <si>
    <t>CABARRIA IQA SAS</t>
  </si>
  <si>
    <t>(+57-1)3190100  Ext. 710</t>
  </si>
  <si>
    <t>Juan Carlos Blanco Bermudez</t>
  </si>
  <si>
    <t>jefe.mantenimiento@cabarria.com</t>
  </si>
  <si>
    <t>COTIZACION DE LOS DISEÑOS DE PROTECCIÓN CONTRA INCENDIOS Y SEGURIDAD HUMANA PARA EL PROYECTO PLANTA DE BENFICIO</t>
  </si>
  <si>
    <t>COTIZACION DE LOS DISEÑOS DE PROTECCIÓN CONTRA  INCENDIOS - SUBESTACIÓN FUNDACIÓN</t>
  </si>
  <si>
    <t>HIDRAULICA Y MONTAJES</t>
  </si>
  <si>
    <t>Evelyn Rojas</t>
  </si>
  <si>
    <t xml:space="preserve">COTIZACION DE LOS DISEÑOS DE PROTECCIÓN CONTRA INCENDIOS PARA EL PROYECTO EDIFICIO AMERICANA LA PLAYA
</t>
  </si>
  <si>
    <t>PROJECT &amp; SOLUCTIONS</t>
  </si>
  <si>
    <t>Sebastian Lopez Duque</t>
  </si>
  <si>
    <t>COTIZACION DE LOS DISEÑOS DE PROTECCIÓN CONTRA INCENDIOS Y SEGURIDAD HUMANA PARA EL PROYECTO MONTECARLO</t>
  </si>
  <si>
    <t>4488372-3104057513</t>
  </si>
  <si>
    <t>Claudia Marcela Ramirez</t>
  </si>
  <si>
    <t xml:space="preserve">COTIZACION DEL DISEÑO DE EXTINCIÓN DE INCENDIOS PARA EL PROYECTO ORAL LASER SALUD VEGAS
</t>
  </si>
  <si>
    <t>CAD</t>
  </si>
  <si>
    <t>Alejandra Sanchez</t>
  </si>
  <si>
    <t>arquitecta.alejandrasanchez@gmail.com</t>
  </si>
  <si>
    <t>COTIZACION DEL DISEÑO DE DETECCIÓN DE INCENDIOS PARA EL LOCAL 3040 PLAZA FABRICATO</t>
  </si>
  <si>
    <t xml:space="preserve">COTIZACION DEL DISEÑO DE DETECCIÓN DE INCENDIOS PARA EL PROYECTO GREEN PARK BARRANQUILLA
</t>
  </si>
  <si>
    <t>dir.proyectos3@spcisas.com.co</t>
  </si>
  <si>
    <t>COTIZACION DE LOS DISEÑOS DE PROTECCIÓN CONTRA INCENDIOS PARA EL PROYECTO THE MUSAS PLAZA FABRICATO</t>
  </si>
  <si>
    <t>Guillermo León Mejía</t>
  </si>
  <si>
    <t>COTIZACION DE LOS DISEÑOS DE PROTECCIÓN CONTRA INCENDIOS PARA EL PROYECTO MACA REPOSTERIA LOCAL 4138</t>
  </si>
  <si>
    <t>3206678830-3222886 ext 106</t>
  </si>
  <si>
    <t>COTIZACION DE LOS DISEÑOS DE PROTECCIÓN CONTRA INCENDIOS PARA EL PROYECTO TORRES DE AGUA</t>
  </si>
  <si>
    <t>DIANA VANEGAS</t>
  </si>
  <si>
    <t>Diana Vanegas</t>
  </si>
  <si>
    <t>COTIZACION DE LOS DISEÑOS DE SEGURIDAD HUMANA Y PROTECCIÓN CONTRA  INCENDIOS - MONTECARLO</t>
  </si>
  <si>
    <t>COTIZACION DEL DISEÑO DE EXTINCIÓN DE INCENDIOS PARA EL PROYECTO CONDOR</t>
  </si>
  <si>
    <t>H.B FULLER</t>
  </si>
  <si>
    <t>574 3788239</t>
  </si>
  <si>
    <t>Daniel Montoya Osorio</t>
  </si>
  <si>
    <t>daniel.montoya@hbfuller.com</t>
  </si>
  <si>
    <t>COTIZACION DE LOS DISEÑOS DE PROTECCIÓN CONTRA  INCENDIOS - LOCAL 331 PLAZA ARRAYANES</t>
  </si>
  <si>
    <t>F.P Services SAS</t>
  </si>
  <si>
    <t>Yhonatan Marin Ochoa</t>
  </si>
  <si>
    <t>proyectos@fpservices.com.co</t>
  </si>
  <si>
    <t>COTIZACION DEL DISEÑO DE EXTINCIÓN DE INCENDIOS PARA EL PROYECTO LOCAL 1460 EL TESORO</t>
  </si>
  <si>
    <t>COTIZACION DE LOS DISEÑOS DE SEGURIDAD HUMANA Y PROTECCIÓN CONTRA INCENDIOS - LAVORÉ</t>
  </si>
  <si>
    <t xml:space="preserve">COTIZACION DE LOS DISEÑOS DE PROTECCIÓN CONTRA INCENDIOS PARA EL PROYECTO EDIFICIO ALCALDIA ENVIGADO
</t>
  </si>
  <si>
    <t>MUNICIPIO DE ENVIGADO</t>
  </si>
  <si>
    <t>3394000 EXT 4564</t>
  </si>
  <si>
    <t>Juan David Henao Osorio</t>
  </si>
  <si>
    <t>Juan.Henaoo@envigado.gov.co</t>
  </si>
  <si>
    <t xml:space="preserve">COTIZACION DEL ANÁLISIS DE SEGURIDAD HUMANA PARA EL PROYECTO UNIDAD DEPORTIVA DEL SUR
</t>
  </si>
  <si>
    <t>ALEJANDRO VELÁSQUEZ</t>
  </si>
  <si>
    <t>Luis Alejandro Velasquez</t>
  </si>
  <si>
    <t>COTIZACION DE LOS DISEÑOS DE PROTECCIÓN CONTRA INCENDIOS - MIRASUR</t>
  </si>
  <si>
    <t xml:space="preserve">COTIZACION DE LOS DISEÑOS DE PROTECCIÓN CONTRA INCENDIOS PARA EL PROYECTO PORTERÍA PARCELACIÓN
</t>
  </si>
  <si>
    <t>Daniel Ceballos Sanchez</t>
  </si>
  <si>
    <t>eceballos@contex.com.co</t>
  </si>
  <si>
    <t>COTIZACION DE LOS DISEÑOS DE PROTECCIÓN CONTRA INCENDIOS Y SEGURIDAD HUMANA PARA EL PROYECTO BELÉN</t>
  </si>
  <si>
    <t>SIERRA STUDIO ARQUITECTURA</t>
  </si>
  <si>
    <t>Andres Felipe Sierra</t>
  </si>
  <si>
    <t>asierra@sierrastudio.com.co</t>
  </si>
  <si>
    <t xml:space="preserve">COTIZACION DE LOS DISEÑOS DE PROTECCIÓN CONTRA INCENDIOS Y SEGURIDAD HUMANA PARA EL PROYECTO ENREJARDINES
</t>
  </si>
  <si>
    <t>3123618 ext 2111</t>
  </si>
  <si>
    <t>COTIZACION DEL DISEÑO DE EXTINCIÓN DE INCENDIOS PARA EL PROYECTO PARQUE LOGISTICO ZONA - INTERIOR BODEGAS</t>
  </si>
  <si>
    <t xml:space="preserve">
COTIZACION DEL DISEÑO DE EXTINCIÓN DE INCENDIOS PARA EL PROYECTO LOCAL SALA DE VENTAS 3058C</t>
  </si>
  <si>
    <t>COTIZACION DEL DISEÑO DE EXTINCIÓN DE INCENDIOS PARA EL PROYECTO LOCAL TALLER 120 EN S1</t>
  </si>
  <si>
    <t>COTIZACION DE LOS DISEÑOS DE PROTECCIÓN CONTRA INCENDIOS Y SEGURIDAD HUMANA PARA EL PROYECTO HOTEL HEISS</t>
  </si>
  <si>
    <t>Harlen Trespalacios</t>
  </si>
  <si>
    <t>harlentrespalacios@trazosurbanos.com.co</t>
  </si>
  <si>
    <t>COTIZACION DE LOS DISEÑOS DE PROTECCIÓN CONTRA INCENDIOS Y SEGURIDAD HUMANA PARA EL PROYECTO AMPLIACIÓN CENTRO COMERCIAL VIVA ENVIGADO</t>
  </si>
  <si>
    <t>COTIZACION DE MODELACIÓN RCI PARA POSTERIOR EVALUACIÓN DEL SISTEMA DE BOMBA CONTRA INCENDIOS – PROYECTO NAKAR</t>
  </si>
  <si>
    <t xml:space="preserve">COTIZACION DE LOS DISEÑOS DE PROTECCIÓN CONTRA INCENDIOS PARA EL PROYECTO LENS 4 YOU TESORO.
</t>
  </si>
  <si>
    <t>COTIZACION DEL DISEÑO DE EXTINCIÓN DE INCENDIOS PARA EL PROYECTO LOCAL 3016 PLAZA FABRICATO</t>
  </si>
  <si>
    <t>COTIZACION DEL DISEÑO DE EXTINCIÓN DE INCENDIOS PARA EL PROYECTO BATA Y BUBBLER GUMMERS</t>
  </si>
  <si>
    <t> 3127578120</t>
  </si>
  <si>
    <t>Gustavo Alberto Montoya Alvarez</t>
  </si>
  <si>
    <t>gustavomontoya@arquitecturayconcreto.com</t>
  </si>
  <si>
    <t xml:space="preserve">COTIZACION DE LOS DISEÑOS DE PROTECCIÓN CONTRA INCENDIOS PARA EL PROYECTO PUNTO DE VISTA SURA PLAZA FABRICATO
</t>
  </si>
  <si>
    <t>COTIZACION EVALUACIÓN DEL SISTEMA DE BOMBA CONTRA INCENDIOS - MONTERREY</t>
  </si>
  <si>
    <t>SERVIMAT</t>
  </si>
  <si>
    <t>Mayerly Diaz</t>
  </si>
  <si>
    <t>proyectos@servimatcolombia.com</t>
  </si>
  <si>
    <t>COTIZACION DE LOS DISEÑOS DE PROTECCIÓN CONTRA INCENDIOS PARA EL PROYECTO SECTOR ALTOS DE TINAJAS-MARINILLA - ANTIOQUIA</t>
  </si>
  <si>
    <t>CON-AXION SAS</t>
  </si>
  <si>
    <t>(4) 440 9310</t>
  </si>
  <si>
    <t xml:space="preserve">Juan Aristizabal Guisao </t>
  </si>
  <si>
    <t>jaristizabal@con-axion.com</t>
  </si>
  <si>
    <t>COTIZACION DEL DISEÑO DE EXTINCIÓN DE INCENDIOS PARA EL PROYECTO LOCAL 3074 RAV TOYS BELLO</t>
  </si>
  <si>
    <t>Mauricio Dávila Restrepo</t>
  </si>
  <si>
    <t>mdavila@conexoinmobiliario.com</t>
  </si>
  <si>
    <t>COTIZACION DE LOS DISEÑOS DE PROTECCIÓN CONTRA INCENDIOS Y SEGURIDAD HUMANA PARA EL PROYECTO EDIFICO FUENTE LABRADA</t>
  </si>
  <si>
    <t>INMOBILIARIA SCUADRA SAS</t>
  </si>
  <si>
    <t>Juan Camilo Jaramillo Rozo</t>
  </si>
  <si>
    <t>selvaticast@escuadra.com.co</t>
  </si>
  <si>
    <t>COTIZACION DEL DISEÑO DE DETECCIÓN DE INCENDIOS PARA EL PROYECTO BANCOLOMBIA HALL DE AUTOSERVICIO CP GUAYABAL</t>
  </si>
  <si>
    <t xml:space="preserve">COTIZACION DE LOS DISEÑOS DE PROTECCIÓN CONTRA INCENDIOS PARA EL PROYECTO LOCAL LE COLLEZIONI C.C TESORO MEDELLIN
</t>
  </si>
  <si>
    <t xml:space="preserve">COTIZACION DE LOS DISEÑOS DE PROTECCIÓN CONTRA INCENDIOS PARA EL PROYECTO LOCAL CATALÁN LEMONT
</t>
  </si>
  <si>
    <t>COTIZACION DEL DISEÑO DE DETECCIÓN DE INCENDIOS PARA EL PROYECTO PARQUE ARTES Y OFICIOS Y CENTRO ADMINISTRATIVO MUNICIPAL</t>
  </si>
  <si>
    <t>FOURWAY</t>
  </si>
  <si>
    <t>Jorge A Cano García</t>
  </si>
  <si>
    <t>gerenciafw@hotmail.com</t>
  </si>
  <si>
    <t>COTIZACION DEL DISEÑO DE EXTINCIÓN DE INCENDIOS PARA EL PROYECTO PARQUE ARTES Y OFICIOS Y CENTRO ADMINISTRATIVO MUNICIPAL</t>
  </si>
  <si>
    <t xml:space="preserve">COTIZACION DEL DISEÑO DE EXTINCIÓN DE INCENDIOS PARA EL PROYECTO LOCAL 3081 PLAZA FABRICATO
</t>
  </si>
  <si>
    <t xml:space="preserve">
COTIZACION DE LOS DISEÑOS DE PROTECCIÓN CONTRA INCENDIOS PARA EL PROYECTO CATTLEYA TORRE 2</t>
  </si>
  <si>
    <t>CIVILES</t>
  </si>
  <si>
    <t xml:space="preserve">NELSON HORACIO VALLEJO HERNANDEZ </t>
  </si>
  <si>
    <t>residenteciviles1@civiles-sas.com</t>
  </si>
  <si>
    <t>COTIZACION DEL DISEÑO DE EXTINCIÓN DE INCENDIOS PARA EL PROYECTO AQUA TORRE 3 Y 4</t>
  </si>
  <si>
    <t>COTIZACION DEL DISEÑO DE EXTINCIÓN DE INCENDIOS PARA EL PROYECTO LOCAL 3077 ESPUMAS MEDELLIN PLAZA FABRICATO</t>
  </si>
  <si>
    <t>COTIZACION DE LOS DISEÑOS DE DETECCIÓN DE INCENDIOS Y SEGURIDAD HUMANA PARA EL PROYECTO DEVIMAR</t>
  </si>
  <si>
    <t>COTIZACION DEL DISEÑO DE EXTINCIÓN DE INCENDIOS - SHUT DE BASURAS NOGALES</t>
  </si>
  <si>
    <t>Camilo Vález</t>
  </si>
  <si>
    <t>dir.proyectos4@spcisas.com.co</t>
  </si>
  <si>
    <t>COTIZACION DEL DISEÑO DE EXTINCIÓN DE INCENDIOS PARA EL PROYECTO LOCAL 243 VIVA ENVIGADO</t>
  </si>
  <si>
    <t>Julián Zapata</t>
  </si>
  <si>
    <t>ing.residente4@spcisas.com.co</t>
  </si>
  <si>
    <t>COTIZACION DE LOS DISEÑOS DE PROTECCIÓN CONTRA INCENDIOS Y SEGURIDAD HUMANA PARA EL PROYECTO LAVORÉ</t>
  </si>
  <si>
    <t>Laura Zapata Yepes</t>
  </si>
  <si>
    <t>residenteobra@insigniasa.com.co</t>
  </si>
  <si>
    <t>COTIZACION DE LOS DISEÑOS DE EXTINCIÓN DE INCENDIOS Y SEGURIDAD HUMANA PARA EL PROYECTO LA SEDE DE AGROSVIA EN TIBATÁ</t>
  </si>
  <si>
    <t>COTIZACION DEL DISEÑO DE EXTINCIÓN DE INCENDIOS - AUTOMATIZACIÓN DILUVIO FULLER</t>
  </si>
  <si>
    <t xml:space="preserve">COTIZACION DE LOS DISEÑOS DE PROTECCIÓN CONTRA INCENDIOS PARA EL PROYECTO LOCAL MILAGROS PLAZA FABRICATO
</t>
  </si>
  <si>
    <t>Diana Cadona</t>
  </si>
  <si>
    <t>dianacardona@inhauser.co</t>
  </si>
  <si>
    <t>COTIZACION DE LOS DISEÑOS DE PROTECCIÓN CONTRA INCENDIOS PARA EL PROYECTO LOCAL SANTA LEÑA PLAZA FABRICATO</t>
  </si>
  <si>
    <t xml:space="preserve">COTIZACION DEL DISEÑO DE EXTINCIÓN DE INCENDIOS PARA EL PROYECTO NEUROPACIFICO
</t>
  </si>
  <si>
    <t xml:space="preserve">Coninser s.a.s </t>
  </si>
  <si>
    <t>J. Felipe cardona g.</t>
  </si>
  <si>
    <t>Coninser@une.net.co - Felicast91@hotmail.com</t>
  </si>
  <si>
    <t>COTIZACION DEL DISEÑO DE EXTINCIÓN DE INCENDIOS PARA EL PROYECTO QUIROFANOS EL TESORO</t>
  </si>
  <si>
    <t>COTIZACION DEL ANÁLISIS DE SEGURIDAD HUMANA PARA EL PROYECTO SABANETA</t>
  </si>
  <si>
    <t>COTIZACION DE LOS DISEÑOS DE PROTECCIÓN CONTRA INCENDIOS Y SEGURIDAD HUMANA PARA EL PROYECTO CENTRO DE INTEGRACIÓN FAMILIAR MARINILLA</t>
  </si>
  <si>
    <t xml:space="preserve"> 313 652 5800 </t>
  </si>
  <si>
    <t>Catalina Jaramillo</t>
  </si>
  <si>
    <t>catalina.catajara9@gmail.com</t>
  </si>
  <si>
    <t>COTIZACION DEL ANÁLISIS DE SEGURIDAD HUMANA PARA EL PROYECTO COLECCIONES BIOLOGICAS</t>
  </si>
  <si>
    <t>Daniel Cordoba</t>
  </si>
  <si>
    <t>arquitecta.danielacordoba@gmail.com</t>
  </si>
  <si>
    <t>COTIZACION DE LOS DISEÑOS DE PROTECCIÓN CONTRA INCENDIOS Y SEGURIDAD HUMANA PARA EL PROYECTO SENA GÓMEZ PLATA</t>
  </si>
  <si>
    <t>DESUR</t>
  </si>
  <si>
    <t>Susana Cardona</t>
  </si>
  <si>
    <t>susana.cardona@desur.gov.co</t>
  </si>
  <si>
    <t xml:space="preserve">COTIZACION DE LOS DISEÑOS DE PROTECCIÓN CONTRA INCENDIOS PARA EL PROYECTO DAVITA HIDRO MEDELLIN
</t>
  </si>
  <si>
    <t>COINSI</t>
  </si>
  <si>
    <t>Jhonatan A Hincapie</t>
  </si>
  <si>
    <t>disenos@coinsi.com</t>
  </si>
  <si>
    <t>COTIZACION DE LOS PLANOS AS-BUIT DE EXTINCIÓN Y DETECCIÓN DE INCEIDOS - CLÍNICA DÁVITA</t>
  </si>
  <si>
    <t>COTIZACION DE LOS DISEÑOS DE PROTECCIÓN CONTRA INCENDIOS Y SEGURIDAD HUMANA PARA EL PROYECTO UNIVERSA TORRE EMPRESARIAL</t>
  </si>
  <si>
    <t xml:space="preserve">COTIZACION DE LOS DISEÑOS DE PROTECCIÓN CONTRA INCENDIOS Y SEGURIDAD HUMANA PARA EL PROYECTO BODEGAS PRIMAVERA Y RANSA
</t>
  </si>
  <si>
    <t>Sebastian Giraldo Hoyos</t>
  </si>
  <si>
    <t>sebastiangiraldo@mensulaingenieros.com</t>
  </si>
  <si>
    <t>COTIZACION DEL DISEÑO DE EXTINCIÓN DE INCENDIOS PARA EL PROYECTO - VINALI</t>
  </si>
  <si>
    <t>Procoi Colombia S.A.</t>
  </si>
  <si>
    <t>3128931510 - 3204078385</t>
  </si>
  <si>
    <t>Edwin Leonardo Carvajal</t>
  </si>
  <si>
    <t>residente2@procoi.com</t>
  </si>
  <si>
    <t>COTIZACION DE LOS DISEÑOS DE PROTECCIÓN CONTRA INCENDIOS - OPAV CALDAS</t>
  </si>
  <si>
    <t>310 2677466</t>
  </si>
  <si>
    <t>Juan David Vanegas</t>
  </si>
  <si>
    <t xml:space="preserve">gerencia.operacion@spcisas.com.co </t>
  </si>
  <si>
    <t>COTIZACION DEL DISEÑO DE EXTINCIÓN DE INCENDIOS PARA EL PROYECTO LOCAL 2028 STOP PLAZA FABRICATO</t>
  </si>
  <si>
    <t>COTIZACION DEL DISEÑO DE EXTINCIÓN DE INCENDIOS PARA EL PROYECTO LOCAL 2029 YOYO PLAZA FABRICATO</t>
  </si>
  <si>
    <t>COTIZACION DEL DISEÑO DE DETECCIÓN DE INCENDIOS PARA EL PROYECTO BANCOLOMBIA HALL PLAZA MINORISTA</t>
  </si>
  <si>
    <t>COTIZACION DEL DISEÑO DEL CUARTO DE BOMBAS DE EXTINCIÓN DE INCENDIOS - MIRASOL RIONEGRO</t>
  </si>
  <si>
    <t>FUNDACIÓN COMPARTIR</t>
  </si>
  <si>
    <t xml:space="preserve"> 320 5531813</t>
  </si>
  <si>
    <t>Juan Fernando Vargas</t>
  </si>
  <si>
    <t>admobra@fundacioncompartir.org</t>
  </si>
  <si>
    <t>COTIZACIÓN DEL REDISEÑO DE SEGURIDAD HUMANA Y EXTINCIÓN DE INCENDIOS PISO 11 SALUD VEGAS</t>
  </si>
  <si>
    <t xml:space="preserve">INTERVÉ </t>
  </si>
  <si>
    <t>Gloria Sierra</t>
  </si>
  <si>
    <t>gsierra@interve.co</t>
  </si>
  <si>
    <t>COTIZACION DE LOS DISEÑOS DE PROTECCIÓN CONTRA INCENDIOS PARA EL PROYECTO LOCAL COMERCIAL MERCADO OK</t>
  </si>
  <si>
    <t>Julian David Camacho- Estebal Olano</t>
  </si>
  <si>
    <t>ascomercial2@securetec.com.co</t>
  </si>
  <si>
    <t xml:space="preserve">COTIZACION DEL ANÁLISIS DE SEGURIDAD HUMANA PARA EL PROYECTO EDIFICIO PARQUEADEROS TORRE B ETAPA 2
</t>
  </si>
  <si>
    <t xml:space="preserve"> 444 0555 Ext. 1517/1112</t>
  </si>
  <si>
    <t xml:space="preserve">Carlos Andres Saldarriaga </t>
  </si>
  <si>
    <t xml:space="preserve">COTIZACION DEL DISEÑO DE DETECCIÓN DE INCENDIOS PARA EL PROYECTO FRIGOMAGDALENA
</t>
  </si>
  <si>
    <t>Sergio Rodriguez</t>
  </si>
  <si>
    <t>diseno4@gyd.com.co</t>
  </si>
  <si>
    <t>COTIZACION DE LOS DISEÑOS DE PROTECCIÓN CONTRA INCENDIOS PARA EL PROYECTO CENFIS CIUDAD JARDIN</t>
  </si>
  <si>
    <t>COTIZACION DEL ANÁLISIS DE SEGURIDAD HUMANA PARA EL PROYECTO DISCOTECA</t>
  </si>
  <si>
    <t>Cuadra por Cuadra</t>
  </si>
  <si>
    <t>310 469 8012</t>
  </si>
  <si>
    <t>CARLOS MUNERA VELEZ</t>
  </si>
  <si>
    <t>carlos.munera@cuadraporcuadra.com</t>
  </si>
  <si>
    <t xml:space="preserve">COTIZACION DE LOS DISEÑOS DE PROTECCIÓN CONTRA INCENDIOS PARA EL PROYECTO BODEGAS GUAYABAL
</t>
  </si>
  <si>
    <t>Peter Mauricio Valderrama Perea</t>
  </si>
  <si>
    <t>residente4@procoi.com</t>
  </si>
  <si>
    <t>COTIZACION DEL DISEÑO DE EXTINCIÓN DE INCENDIOS PARA EL PROYECTO LOCAL COMFAMA CIS PLAZA FABRICATO</t>
  </si>
  <si>
    <t>INTERVET</t>
  </si>
  <si>
    <t>310 386 17 63</t>
  </si>
  <si>
    <t>Dario Antonio Saldarriaga Ramirez</t>
  </si>
  <si>
    <t>COTIZACION DEL DISEÑO DE EXTINCIÓN DE INCENDIOS PARA EL PROYECTO INTEXZONA - URBANISMO</t>
  </si>
  <si>
    <t>COTIZACION DE VISITAS DE ACOMPAÑAMIENTO A LA OBRA MITSUBISHI ELECTRIC</t>
  </si>
  <si>
    <t>Wilton Gabriel Grajales</t>
  </si>
  <si>
    <t xml:space="preserve">Wilton.Grisales@melcol.com.co </t>
  </si>
  <si>
    <t>COTIZACION DE LOS DISEÑOS DE PROTECCIÓN CONTRA INCENDIOS PARA EL PROYECTO CIUDADELA COMPLEX</t>
  </si>
  <si>
    <t>COMPLEX</t>
  </si>
  <si>
    <t>Jorge Ferrer</t>
  </si>
  <si>
    <t>operaciones@complexllanogrande.com</t>
  </si>
  <si>
    <t>COTIZACION DE REVISIÓN DE SEGURIDAD HUMANA Y EXTINCIÓN DE INCENDIOS - CLÍNICA DE OCCIDENTE DE CALI</t>
  </si>
  <si>
    <t>CLINICA OCCIDENTE CALI</t>
  </si>
  <si>
    <t>313 8889026</t>
  </si>
  <si>
    <t>María del Mar Vásquez</t>
  </si>
  <si>
    <t>maria.vasquez@clinicadeoccidente.com</t>
  </si>
  <si>
    <t>COTIZACION DE LOS DISEÑOS DE PROTECCIÓN CONTRA INCENDIOS PARA EL PROYECTO LOCAL KOAJ MAYORCA</t>
  </si>
  <si>
    <t>Laura Duque Betancur</t>
  </si>
  <si>
    <t>proyectos2@jomarkseguridad.com</t>
  </si>
  <si>
    <t xml:space="preserve">COTIZACION DE LOS DISEÑOS DE PROTECCIÓN CONTRA INCENDIOS PARA EL PROYECTO STAFF MUSIC ACADEMY
</t>
  </si>
  <si>
    <t>Zerohuell</t>
  </si>
  <si>
    <t>Luis Alberto Lopez Nieto</t>
  </si>
  <si>
    <t>lalopez@utp.edu.co</t>
  </si>
  <si>
    <t>COTIZACION DE LOS DISEÑOS DE PROTECCIÓN CONTRA INCENDIOS Y SEGURIDAD HUMANA PARA EL PROYECTO DISCOTECA</t>
  </si>
  <si>
    <t>COTIZACION DE LOS DISEÑOS DE PROTECCIÓN CONTRA INCENDIOS PARA EL PROYECTO AULAS PISOO 11 Y 12 DEL EDIFICIO DE PARQUEADEROS</t>
  </si>
  <si>
    <t>Ingeniería Estructural S.A.S</t>
  </si>
  <si>
    <t>COTIZACION DE VALIDACIÓN EN CAMPO PARA MOVIMIENTO DE BOMBA CONTRA INCENDIOS - SAN PEDRO PLAZA</t>
  </si>
  <si>
    <t>dir.mantenimiento@spcisas.com.co</t>
  </si>
  <si>
    <t>COTIZACION DEL DISEÑO DE EXTINCIÓN DE INCENDIOS PARA EL PROYECTO LOCAL FLAMINGO PLAZA FABRICATO</t>
  </si>
  <si>
    <t>gerencia.operacion@spcisas.com.co</t>
  </si>
  <si>
    <t>COTIZACION DE LA INSPECCIÓN Y PRUEBAS DE ACEPTACIÓN - YORK LUXURY SUITES</t>
  </si>
  <si>
    <t>ACEIS</t>
  </si>
  <si>
    <t>317 5106432</t>
  </si>
  <si>
    <t>Wendy Juliana Carmona</t>
  </si>
  <si>
    <t>administracion.york@bluedoors.co</t>
  </si>
  <si>
    <t>COTIZACION DE LA REVISIÓN VISUAL DEL SISTEMA DE EXTINCIÓN DE INCENDIOS PARA EL CC DIAMANTE</t>
  </si>
  <si>
    <t>dir.proyectos2@spcisas.com.co</t>
  </si>
  <si>
    <t>COTIZACION DE LOS DISEÑOS DE PROTECCIÓN CONTRA INCENDIOS Y SEGURIDAD HUMANA PARA EL PROYECTO CLINICA AUNA LAS AMERICAS CR 80</t>
  </si>
  <si>
    <t>COTIZACION DEL ANÁLISIS DE SEGURIDAD HUMANA PARA EL PROYECTO BALCONES DE RIASCOS</t>
  </si>
  <si>
    <t>Stratego</t>
  </si>
  <si>
    <t>Daniela Henao Correa</t>
  </si>
  <si>
    <t>d.henao@stratego.com.co</t>
  </si>
  <si>
    <t>COTIZACION DE LOS DISEÑOS DE PROTECCIÓN CONTRA INCENDIOS PARA EL PROYECTO EDIFICIO BORNEO 2 PH</t>
  </si>
  <si>
    <t>BORNEO</t>
  </si>
  <si>
    <t>Luis Fernando Lopez</t>
  </si>
  <si>
    <t>borneo2ph@hotmail.com</t>
  </si>
  <si>
    <t>COTIZACION DEL DISEÑO DE EXTINCIÓN DE INCENDIOS PARA EL PROYECTO LOCAL 212 VIVA BARRANQUILLA</t>
  </si>
  <si>
    <t xml:space="preserve">COTIZACION DEL ANÁLISIS DE SEGURIDAD HUMANA PARA EL PROYECTO EDIFICIO CONFIAR
</t>
  </si>
  <si>
    <t>SOLIDA VIVIENDA SOLIDARIA</t>
  </si>
  <si>
    <t>4487500 ext 4912</t>
  </si>
  <si>
    <t>Yaddy Giron Martinez</t>
  </si>
  <si>
    <t>yaddy.giron@solida.com.co</t>
  </si>
  <si>
    <t>COTIZACION DEL ANÁLISIS DE SEGURIDAD HUMANA PARA EL PROYECTO FLORES DEL CAMPO</t>
  </si>
  <si>
    <t>COTIZACION DE LOS DISEÑOS DE PROTECCIÓN CONTRA INCENDIOS PARA EL PROYECTO DE LOLITA PLAZA FABRICATO</t>
  </si>
  <si>
    <t>FP SERVICES SAS</t>
  </si>
  <si>
    <t>COTIZACION DEL DISEÑO DE EXTINCIÓN DE INCENDIOS PARA EL PROYECTO SUNEDU</t>
  </si>
  <si>
    <t>FIRE PROTECTION SOLUTIONS GROUP, LLC</t>
  </si>
  <si>
    <t>ALVARO MANOSALVA</t>
  </si>
  <si>
    <t>alvaromanosalva@sfiregroup.com</t>
  </si>
  <si>
    <t xml:space="preserve">COTIZACION DEL DISEÑO DE DETECCIÓN DE INCENDIOS PARA EL PROYECTO GREEN B
</t>
  </si>
  <si>
    <t>COTIZACION DEL DISEÑO DE DETECCIÓN DE INCENDIOS PARA EL PROYECTO CENTRO COMERCIAL EL DIAMANTE</t>
  </si>
  <si>
    <t>Cristiam Mondragón Cortes</t>
  </si>
  <si>
    <t>COTIZACION DEL DISEÑO DE DETECCIÓN DE INCENDIOS PARA EL PROYECTO BALANCE PHARMA SAS</t>
  </si>
  <si>
    <t>COTIZACION DE LOS DISEÑOS DE PROTECCIÓN CONTRA INCENDIOS PARA EL PROYECTO VINYL COLOR’S</t>
  </si>
  <si>
    <t>HSEQ</t>
  </si>
  <si>
    <t>Laura Daniela Torres</t>
  </si>
  <si>
    <t>latorresp96@gmail.com</t>
  </si>
  <si>
    <t>COTIZACION DEL DISEÑO DE EXTINCIÓN DE INCENDIOS PARA EL PROYECTO AL PARQUE</t>
  </si>
  <si>
    <t xml:space="preserve">COTIZACION DEL DISEÑO DE DETECCIÓN DE INCENDIOS PARA EL PROYECTO INGENIO RISARALDA
</t>
  </si>
  <si>
    <t>COTIZACION DEL DISEÑO DE EXTINCIÓN DE INCENDIOS - PROYECTO OFICINA 1201 CCI</t>
  </si>
  <si>
    <t>COTIZACION DEL DISEÑO DE DETECCIÓN DE INCENDIOS PARA EL PROYECTO EDIFICIO CLINICA DEL PRADO</t>
  </si>
  <si>
    <t>COTIZACION DEL DISEÑO DE DETECCIÓN DE INCENDIOS PARA EL PROYECTO BANCOLOMBIA HALL DE CAJEROS SEVILLA</t>
  </si>
  <si>
    <t>COTIZACION DEL ANÁLISIS DE SEGURIDAD HUMANA PARA EL PROYECTO PROYECTO ED. AMBULATORIO CES</t>
  </si>
  <si>
    <t>CLINICA CES</t>
  </si>
  <si>
    <t>5767272- Ext 7387</t>
  </si>
  <si>
    <t>Leidy Alzate Quintero</t>
  </si>
  <si>
    <t>leidyalzateq@clinicaces.edu.co</t>
  </si>
  <si>
    <t>COTIZACION DEL DISEÑO DE EXTINCIÓN DE INCENDIOS PARA EL PROYECTO CONSULTORIO 450m2</t>
  </si>
  <si>
    <t>Taller Sintesis Arquitectura</t>
  </si>
  <si>
    <t>Farhid Maya</t>
  </si>
  <si>
    <t xml:space="preserve">COTIZACION DEL DISEÑO DE EXTINCIÓN DE INCENDIOS PARA EL PROYECTO EDIFICIO HOSPITALARIO 2.000m2
</t>
  </si>
  <si>
    <t xml:space="preserve">COTIZACION DEL DISEÑO DE EXTINCIÓN DE INCENDIOS PARA EL PROYECTO FARMACIA 200 m2
</t>
  </si>
  <si>
    <t xml:space="preserve">COTIZACION DE LOS DISEÑOS DE PROTECCIÓN CONTRA INCENDIOS Y SEGURIDAD HUMANA PARA EL PROYECTO VALLE VERDE TORRE </t>
  </si>
  <si>
    <t>COTIZACION DE LOS DISEÑOS DE PROTECCIÓN CONTRA INCENDIOS Y SEGURIDAD HUMANA PARA EL PROYECTO CENTRO DE ATENCIÓN DE VETERINARIA</t>
  </si>
  <si>
    <t>Constructor Civil</t>
  </si>
  <si>
    <t>Faber Esneider Villa Cardona</t>
  </si>
  <si>
    <t>fabervilla1@gmail.com</t>
  </si>
  <si>
    <t xml:space="preserve">COTIZACION DEL DISEÑO DE EXTINCIÓN DE INCENDIOS PARA EL PROYECTO SINERGIA EL POBLADO CAMARA DE COMERCIO
</t>
  </si>
  <si>
    <t>COTIZACION DE LOS DISEÑOS DE PROTECCIÓN CONTRA INCENDIOS Y SEGURIDAD HUMANA PARA EL PROYECTO HOTEL LA CASTELLANA</t>
  </si>
  <si>
    <t>Valeria Haydar Valderrama</t>
  </si>
  <si>
    <t>valeria.haydar@upb.edu.co</t>
  </si>
  <si>
    <t>COTIZACION DEL DISEÑO DE EXTINCIÓN DE INCENDIOS - CERÁMICA ITALIA</t>
  </si>
  <si>
    <t>Lina Daza</t>
  </si>
  <si>
    <t xml:space="preserve">idaza@conconcreto.com                 </t>
  </si>
  <si>
    <t>COTIZACIÓN DE LA INGENIERÍA CONCEPTUAL EXTINCIÓN DE INCENDIOS Y SEGURIDAD HUMANA - LABORATORIO GASURE</t>
  </si>
  <si>
    <t>NATIVA INGENIERIA</t>
  </si>
  <si>
    <t>COTIZACION DE LOS DISEÑOS DE PROTECCIÓN CONTRA INCENDIOS Y SEGURIDAD HUMANA PARA EL PROYECTO LAS LOMAS</t>
  </si>
  <si>
    <t>444 54 53</t>
  </si>
  <si>
    <t>JHON FERNANDO GÓMEZ MARÍN</t>
  </si>
  <si>
    <t>COTIZACION DEL ANÁLISIS DE SEGURIDAD HUMANA PARA EL PROYECTO DCO</t>
  </si>
  <si>
    <t>COTIZACION DE LOS DISEÑOS DE PROTECCIÓN CONTRA INCENDIOS Y SEGURIDAD HUMANA PARA EL PROYECTO PRANA ENVIGADO</t>
  </si>
  <si>
    <t>Gustavo Aguirre Arcila</t>
  </si>
  <si>
    <t>COTIZACION DE LOS DISEÑOS DE PROTECCIÓN CONTRA INCENDIOS Y SEGURIDAD HUMANA PARA EL PROYECTO LA VIDA ES BELLA 2</t>
  </si>
  <si>
    <t>COTIZACION DE LOS DISEÑOS DE SEGURIDAD HUMANA Y PROTECCIÓN CONTRA  INCENDIOS - COMFAMA BELLO</t>
  </si>
  <si>
    <t>MARCOS ESTEBAN</t>
  </si>
  <si>
    <t>Marcos Esteban Guerra</t>
  </si>
  <si>
    <t>meguerra0811@gmail.com</t>
  </si>
  <si>
    <t>COTIZACION DEL DISEÑO DE EXTINCIÓN DE INCENDIOS PARA EL PROYECTO SALUD VEGAS TORRE MÉDICA P.H</t>
  </si>
  <si>
    <t>Alejandra Sánchez</t>
  </si>
  <si>
    <t>COTIZACION DE LOS DISEÑOS DE PROTECCIÓN CONTRA INCENDIOS Y SEGURIDAD HUMANA PARA EL PROYECTO WAKE EL TESORO</t>
  </si>
  <si>
    <t xml:space="preserve">COTIZACION DE LOS DISEÑOS DE PROTECCIÓN CONTRA INCENDIOS PARA EL PROYECTO SEMPER LASER MEDELLIN
</t>
  </si>
  <si>
    <t>Hefex Red Contra Incendios</t>
  </si>
  <si>
    <t>305 4504268</t>
  </si>
  <si>
    <t xml:space="preserve">Juan Agudelo </t>
  </si>
  <si>
    <t>juan.agudelo@hefex.co</t>
  </si>
  <si>
    <t>COTIZACION DEL DISEÑO DE EXTINCIÓN DE INCENDIOS PARA EL PROYECTO T-RRAZO</t>
  </si>
  <si>
    <t>Johana Montoya Zapata</t>
  </si>
  <si>
    <t>Johana.montoya@perfek.com.co</t>
  </si>
  <si>
    <t xml:space="preserve">COTIZACION DE LOS DISEÑOS DE PROTECCIÓN CONTRA INCENDIOS PARA EL PROYECTO SUBESTACIONES DE ENERGIA
</t>
  </si>
  <si>
    <t>Jonathan Hincapie</t>
  </si>
  <si>
    <t>COTIZACION DEL ANÁLISIS DE SEGURIDAD HUMANA PARA EL PROYECTO SENA GÓMEZ PLATA</t>
  </si>
  <si>
    <t>COTIZACION DE LOS DISEÑOS DE PROTECCIÓN CONTRA INCENDIOS Y SEGURIDAD HUMANA PARA EL PROYECTO T-RRAZO</t>
  </si>
  <si>
    <t>COTIZACION DE LOS DISEÑOS DE PROTECCIÓN CONTRA INCENDIOS PARA EL PROYECTO LOCAL COLMEDICOS</t>
  </si>
  <si>
    <t>COTIZACION DEL DISEÑO DE EXTINCIÓN DE INCENDIOS PARA EL PROYECTO BODENORTE</t>
  </si>
  <si>
    <t xml:space="preserve">COTIZACION DE LOS DISEÑOS DE PROTECCIÓN CONTRA INCENDIOS Y SEGURIDAD HUMANA PARA EL PROYECTO COMFAMA SURA ARANJUEZ
</t>
  </si>
  <si>
    <t>PROYECTOS &amp; ESTRUCTURAS S.A.</t>
  </si>
  <si>
    <t>4075496-4075302</t>
  </si>
  <si>
    <t>JUAN C QUINTERO R</t>
  </si>
  <si>
    <t>arquitectura1@pye.com.co</t>
  </si>
  <si>
    <t>320 6350734</t>
  </si>
  <si>
    <t>Maria Isabel Correa</t>
  </si>
  <si>
    <t>maria.correa@espiral.com.co</t>
  </si>
  <si>
    <t>COTIZACION DEL DISEÑO DE DETECCIÓN DE INCENDIOS PARA EL PROYECTO BANCOLOMBIA HALL DE CAJEROS ORBE PLAZA</t>
  </si>
  <si>
    <t>COTIZACION DEL DISEÑO DE EXTINCIÓN DE INCENDIOS PARA EL PROYECTO HANGARES</t>
  </si>
  <si>
    <t xml:space="preserve">
COTIZACION DE LOS DISEÑOS DE PROTECCIÓN CONTRA INCENDIOS Y SEGURIDAD HUMANA PARA EL PROYECTO WAKE 2.0</t>
  </si>
  <si>
    <t>Luis Felipe Arboleda Monsalve</t>
  </si>
  <si>
    <t>farboleda@interve.co</t>
  </si>
  <si>
    <t>COTIZACION DE LOS DISEÑOS DE PROTECCIÓN CONTRA INCENDIOS Y SEGURIDAD HUMANA PARA EL PROYECTO AGUA MARINA</t>
  </si>
  <si>
    <t>Gino Alejandro Montoya Mazo</t>
  </si>
  <si>
    <t>COTIZACION DE LOS DISEÑOS DE PROTECCIÓN CONTRA INCENDIOS - EDIFICIO ALEJANDRÍA</t>
  </si>
  <si>
    <t>COTIZACION ING DETALLE SEGURIDAD HUMANA Y PROTECCIÓN CONTRA  INCENDIOS - ESTACIÓN TRANSFERENCIA EPM</t>
  </si>
  <si>
    <t>EPM</t>
  </si>
  <si>
    <t>(+57) 3006206534</t>
  </si>
  <si>
    <t>Brandet Omar</t>
  </si>
  <si>
    <t>Brandet.Maya@epm.com.co</t>
  </si>
  <si>
    <t>COTIZACION DE LOS DISEÑOS DE PROTECCIÓN CONTRA INCENDIOS PARA EL PROYECTO CONSULTORIOS ODONTOLOGICOS EL TESORO TORRE MEDICA  2</t>
  </si>
  <si>
    <t>COTIZACION DE LOS DISEÑOS DE PROTECCIÓN CONTRA INCENDIOS PARA EL PROYECTO LOCAL COMERCIAL EL DUENDE</t>
  </si>
  <si>
    <t>COTIZACION DEL DISEÑO DE EXTINCIÓN DE INCENDIOS PARA EL PROYECTO EDIFICIO MUNICIPIO DE GUARNE</t>
  </si>
  <si>
    <t>COTIZACION DEL DISEÑO DE EXTINCIÓN DE INCENDIOS PARA EL PROYECTO ÉXITO 170</t>
  </si>
  <si>
    <t xml:space="preserve">COTIZACION DEL DISEÑO DE EXTINCIÓN DE INCENDIOS PARA EL PROYECTO ÉXITO COUNTRY
</t>
  </si>
  <si>
    <t>COTIZACION DEL DISEÑO DE EXTINCIÓN DE INCENDIOS PARA EL PROYECTO ÉXITO LAS AMERICAS</t>
  </si>
  <si>
    <t>COTIZACION DEL DISEÑO DE EXTINCIÓN DE INCENDIOS PARA EL PROYECTO CLINICA FRESENIUS BELLO</t>
  </si>
  <si>
    <t>COTIZACION DEL DISEÑO DE EXTINCIÓN DE INCENDIOS PARA EL PROYECTO EXTRACCIÓN COCINA SALA VIP AEROPUERTO EL DORADO</t>
  </si>
  <si>
    <t>RIZKO</t>
  </si>
  <si>
    <t>Carlos Quintero</t>
  </si>
  <si>
    <t>cakintero@gmail.com</t>
  </si>
  <si>
    <t>COTIZACION DE LOS DISEÑOS DE PROTECCIÓN CONTRA INCENDIOS PARA EL PROYECTO EXTRACCIÓN COCINA SALA VIP AEROPUERTO EL DORADO</t>
  </si>
  <si>
    <t>COTIZACION DE LOS DISEÑOS DE PROTECCIÓN CONTRA INCENDIOS PARA EL PROYECTO EIMALAWA</t>
  </si>
  <si>
    <t xml:space="preserve">COTIZACION DE LOS DISEÑOS DE PROTECCIÓN CONTRA INCENDIOS Y SEGURIDAD HUMANA PARA EL PROYECTO CANTAGIRONE VERDDE 
</t>
  </si>
  <si>
    <t>COTIZACION DEL DISEÑO DE EXTINCIÓN DE INCENDIOS PARA EL PROYECTO LIVEVOX EDIFICIO CROSS</t>
  </si>
  <si>
    <t>Livevox</t>
  </si>
  <si>
    <t>COTIZACION DE LOS DISEÑOS DE PROTECCIÓN CONTRA INCENDIOS Y SEGURIDAD HUMANA PARA El PROYECTO -DE CAMBIL 93 SMART HOUSE</t>
  </si>
  <si>
    <t>COTIZACION DEL ANÁLISIS DE SEGURIDAD HUMANA PARA EL PROYECTO ZANETTI T4</t>
  </si>
  <si>
    <t>COTIZACION DEL DISEÑO DE EXTINCIÓN DE INCENDIOS PARA EL PROYECTO PARQUER MUNDO AVENTURA</t>
  </si>
  <si>
    <t>CORPARQUES</t>
  </si>
  <si>
    <t>Carlos H. Noguera Gomez</t>
  </si>
  <si>
    <t>cnoguera@corparques.co</t>
  </si>
  <si>
    <t>COTIZACION EVALUACIÓN DEL SISTEMA DE BOMBA CONTRA INCENDIOS - POLITÉCNICO DE COLOMBIA BLOQUES 2 Y 3</t>
  </si>
  <si>
    <t>POLITECNICO</t>
  </si>
  <si>
    <t>321 6354438</t>
  </si>
  <si>
    <t>Duber Castrillón</t>
  </si>
  <si>
    <t>rectoria@politecnicodecolombia.edu.co</t>
  </si>
  <si>
    <t>COTIZACION DEL DISEÑO DE EXTINCIÓN DE INCENDIOS PARA EL PROYECTO LOCAL MOVISTAR VIVA SINCELEJO</t>
  </si>
  <si>
    <t>COTIZACION DE LOS DISEÑOS DE PROTECCIÓN CONTRA INCENDIOS Y SEGURIDAD HUMANA PARA EL PROYECTO BODEGAS TECNAS</t>
  </si>
  <si>
    <t>Ya estaba cotizado</t>
  </si>
  <si>
    <t>COTIZACION DE LOS DISEÑOS DE PROTECCIÓN CONTRA INCENDIOS Y SEGURIDAD HUMANA PARA EL PROYECTO MONTANO</t>
  </si>
  <si>
    <t>COTIZACION DE LOS DISEÑOS DE PROTECCIÓN CONTRA INCENDIOS Y SEGURIDAD HUMANA PARA EL PROYECTO 23 LIVING</t>
  </si>
  <si>
    <t>COTIZACION DEL DISEÑO DE EXTINCIÓN DE INCENDIOS PARA EL PROYECTO LOCAL 0139 SALUD VEGAS</t>
  </si>
  <si>
    <t>ANDREA</t>
  </si>
  <si>
    <t>Andrea Santiago Rodriguez</t>
  </si>
  <si>
    <t>ingandreasantiago@hotmail.com</t>
  </si>
  <si>
    <t>COTIZACION DE LOS DISEÑOS DE PROTECCIÓN CONTRA INCENDIOS - CONSULTORIO COLMEDICOS MAYORCA</t>
  </si>
  <si>
    <t>Julián Gutiérrez</t>
  </si>
  <si>
    <t>julian.gutierrez@espiral.com.co</t>
  </si>
  <si>
    <t>COTIZACION DEL DISEÑO DE EXTINCIÓN DE INCENDIOS PARA EL PROYECTO OFICINA 1602 COLMEDICOS</t>
  </si>
  <si>
    <t>COTIZACION DEL DISEÑO DE EXTINCIÓN DE INCENDIOS PARA EL PROYECTO LOCAL DISTRITO CAFETERO</t>
  </si>
  <si>
    <t>AMBITO TALLER</t>
  </si>
  <si>
    <t>Felipe Zapata</t>
  </si>
  <si>
    <t>info@ambitotaller.com</t>
  </si>
  <si>
    <t xml:space="preserve">
COTIZACION DEL DISEÑO DE DETECCIÓN DE INCENDIOS PARA EL PROYECTO VALOR</t>
  </si>
  <si>
    <t>Ensamble Espacios Vivos</t>
  </si>
  <si>
    <t>Paola Lopez</t>
  </si>
  <si>
    <t>COTIZACION DE LOS DISEÑOS DE SEGURIDAD HUMANA Y EXTINCIÓN DE INCENDIOS - HACIENDA NIQUIA T6</t>
  </si>
  <si>
    <t>Arquitectura y Concreto</t>
  </si>
  <si>
    <t>Blanca Saldarriaga</t>
  </si>
  <si>
    <t>COTIZACION DE LOS DISEÑOS DE PROTECCIÓN CONTRA  INCENDIOS - LOCAL COCHPN EXPRESS MIXY LOS COLORES</t>
  </si>
  <si>
    <t>SENSIBLE</t>
  </si>
  <si>
    <t>Steven Tabares</t>
  </si>
  <si>
    <t>hola@sensibleestudio.com</t>
  </si>
  <si>
    <t>COTIZACION EVALUACIÓN DEL SISTEMA CON LA NUEVA BOMBA CONTRA INCENDIOS – MIRASOL RIONEGRO</t>
  </si>
  <si>
    <t>301 7119154</t>
  </si>
  <si>
    <t>Wilson Javier Castro</t>
  </si>
  <si>
    <t>dir.obramirasol@fundacioncompartir.org</t>
  </si>
  <si>
    <t>COTIZACION DEL ANÁLISIS DE SEGURIDAD HUMANA PARA EL PROYECTO ZARZZO</t>
  </si>
  <si>
    <t>360INGENIERIA</t>
  </si>
  <si>
    <t>300 476 66 92</t>
  </si>
  <si>
    <t>Carlos Gomez</t>
  </si>
  <si>
    <t>360proyectosingenieria@gmail.com</t>
  </si>
  <si>
    <t>COTIZACION DEL ANÁLISIS DE SEGURIDAD HUMANA PARA EL PROYECTO LA LINDE LAS LOMAS</t>
  </si>
  <si>
    <t>COTIZACION DEL DISEÑO DE EXTINCIÓN DE INCENDIOS - LOCAL SPA UÑAS WINE PLAZA FABRICATO</t>
  </si>
  <si>
    <t>COTIZACION DEL DISEÑO DE EXTINCIÓN DE INCENDIOS - LOCAL 02125 PLAZA FABRICATO</t>
  </si>
  <si>
    <t xml:space="preserve"> COTIZACION DE LOS DISEÑOS DE SEGURIDAD HUMANA Y PROTECCIÓN CONTRA  INCENDIOS - ON LIVING</t>
  </si>
  <si>
    <t>311 6101334</t>
  </si>
  <si>
    <t>Sebastián Rojas Villa</t>
  </si>
  <si>
    <t>sebastian.rojasvi@gmail.com</t>
  </si>
  <si>
    <t>COTIZACION DE LOS DISEÑOS DE PROTECCIÓN CONTRA  INCENDIOS - FARMATODO LA SEBASTIANA</t>
  </si>
  <si>
    <t>ZUPETROL</t>
  </si>
  <si>
    <t>310 4559932</t>
  </si>
  <si>
    <t>Edwin Zuluaga</t>
  </si>
  <si>
    <t>ed@zupetrol.com</t>
  </si>
  <si>
    <t>COTIZACION DE LOS DISEÑOS DE PROTECCIÓN CONTRA INCENDIOS - CASA NAMASTÉ</t>
  </si>
  <si>
    <t>IDEAS TANGIBLES</t>
  </si>
  <si>
    <t>318 5444110</t>
  </si>
  <si>
    <t>Jhon Esteban Ochoa</t>
  </si>
  <si>
    <t>residente@ideastangibles.co</t>
  </si>
  <si>
    <t>COTIZACION DEL ANÁLISIS DE SEGURIDAD HUMANA PARA EL PROYECTO FRUTOS VERDES TORRE 10-11-12</t>
  </si>
  <si>
    <t>CVAARQUITECTOS</t>
  </si>
  <si>
    <t>Crisitina Velez</t>
  </si>
  <si>
    <t>cva.arquitectos@gmail.com</t>
  </si>
  <si>
    <t xml:space="preserve">COTIZACION DEL DISEÑO DE EXTINCIÓN DE INCENDIOS PARA EL PROYECTO LA LINDE LAS LOMAS
</t>
  </si>
  <si>
    <t>COTIZACION DE MATRIZ SEGURIDAD HUMANA PROYECTOS DE INVERSIÓN EN SALUD - BANCOLOMBIA</t>
  </si>
  <si>
    <t>COTIZACION DEL ANÁLISIS DE SEGURIDAD HUMANA PARA EL PROYECTO HOTEL SOMOS MANILA</t>
  </si>
  <si>
    <t>A5</t>
  </si>
  <si>
    <t>residente1@a5arquitectura.com</t>
  </si>
  <si>
    <t>COTIZACION DE LOS DISEÑOS DE PROTECCIÓN CONTRA INCENDIOS - TRADHE</t>
  </si>
  <si>
    <t>COTIZACION DEL ANÁLISIS DE SEGURIDAD HUMANA -CRUZ VERDE BOGOTÁ</t>
  </si>
  <si>
    <t>COTIZACION DEL ANÁLISIS DE SEGURIDAD HUMANA PARA EL PROYECTO URBAN SALITRE ZURICH 3</t>
  </si>
  <si>
    <t>Lawrence Rodríguez</t>
  </si>
  <si>
    <t>Jorge.rodriguez@ospinas.com.co</t>
  </si>
  <si>
    <t xml:space="preserve">COTIZACION DE LOS DISEÑOS DE PROTECCIÓN CONTRA INCENDIOS Y SEGURIDAD HUMANA PARA EL PROYECTO HOSPITAL DEPARTAMENTAL DE NARIÑO
</t>
  </si>
  <si>
    <t>No se cotizó</t>
  </si>
  <si>
    <t xml:space="preserve">COTIZACION DE LOS DISEÑOS DE PROTECCIÓN CONTRA INCENDIOS Y SEGURIDAD HUMANA PARA EL PROYECTO NORTIKO
</t>
  </si>
  <si>
    <t>Elisa Pantoja Bohorquez</t>
  </si>
  <si>
    <t>epantoja@contex.com.co</t>
  </si>
  <si>
    <t>COTIZACION DEL DISEÑO DE EXTINCIÓN DE INCENDIOS PARA EL PROYECTO LOCAL 0115 LEMONT</t>
  </si>
  <si>
    <t>COTIZACION DEL DISEÑO DE EXTINCIÓN DE INCENDIOS PARA EL PROYECTO HOTEL SOMOS MANILA</t>
  </si>
  <si>
    <t>Manuel D Angulo</t>
  </si>
  <si>
    <t>lidertecnico@coinsi.com</t>
  </si>
  <si>
    <t>COTIZACION DEL ANÁLISIS DE SEGURIDAD HUMANA - SIGMA OSF RFP</t>
  </si>
  <si>
    <t>COTIZACION DEL DISEÑO DEL CUARTO DE BOMBAS DE EXTINCIÓN DE INCENDIOS - DEBORA ARANGO</t>
  </si>
  <si>
    <t>COTIZACION DEL DISEÑO DE EXTINCIÓN DE INCENDIOS - COLEGIO ALCÁZARES</t>
  </si>
  <si>
    <t xml:space="preserve">COTIZACION DE LOS DISEÑOS DE PROTECCIÓN CONTRA INCENDIOS PARA EL PROYECTO LOCAL CENTRO COMERCIAL VIVA LA CEJA
</t>
  </si>
  <si>
    <t>camilo.quintero@spci.com.co</t>
  </si>
  <si>
    <t>COTIZACION DEL DISEÑO DE DETECCIÓN DE INCENDIOS - PARQUE EMPRESARIAL RIONEGRO</t>
  </si>
  <si>
    <t>COTIZACION DEL DISEÑO DE EXTINCIÓN DE INCENDIOS PARA EL PROYECTO BODEGA 3 DEL PARQUE DE BODEGAS</t>
  </si>
  <si>
    <t xml:space="preserve"> Berince SAS</t>
  </si>
  <si>
    <t>Cristina Lamb</t>
  </si>
  <si>
    <t>berincesas@gmail.com</t>
  </si>
  <si>
    <t>COTIZACION DE LOS DISEÑOS DE SEGURIDAD HUMANA Y PROTECCIÓN CONTRA INCENDIOS - DP8 TOWER</t>
  </si>
  <si>
    <t>INVERSIONES Y CONSTRUCCIONES APOLO</t>
  </si>
  <si>
    <t>300 8384379</t>
  </si>
  <si>
    <t>Jaime Alonso Londoño</t>
  </si>
  <si>
    <t>jalon.apolo21@gmail.com</t>
  </si>
  <si>
    <t>COTIZACION DEL DISEÑO DE EXTINCIÓN DE INCENDIOS - PROYECTO RESIDENCIAL ARAUCA</t>
  </si>
  <si>
    <t>IPROIN CONSTRUCTORA</t>
  </si>
  <si>
    <t>321 2182029</t>
  </si>
  <si>
    <t>Marlón Pastrana</t>
  </si>
  <si>
    <t>Ingenieria@iproin.com.co</t>
  </si>
  <si>
    <t>COTIZACION DEL ANÁLISIS DE SEGURIDAD HUMANA PARA EL PROYECTO EDIFICIO JOLET</t>
  </si>
  <si>
    <t>Idea Base SAS</t>
  </si>
  <si>
    <t>Natalia Fernández Garcés</t>
  </si>
  <si>
    <t>arqjunior@ideabasearquitectos.com</t>
  </si>
  <si>
    <t>COTIZACION DEL DISEÑO DEL CUARTO DE BOMBAS Y EVALUACIÓN DEL SISTEMA DISEÑADO - MIRASOL RIONEGRO</t>
  </si>
  <si>
    <t xml:space="preserve">Luis Vargas Gámez </t>
  </si>
  <si>
    <t>COTIZACION DE LA INGENIERÍA CONCEPTUAL DE EXTINCIÓN DE INCENDIOS - COMPAÑÍA DE EMPAQUES</t>
  </si>
  <si>
    <t>COMPAÑÍA DE EMPAQUES</t>
  </si>
  <si>
    <t>301 2051599</t>
  </si>
  <si>
    <t>Edwin Andrés Cortes</t>
  </si>
  <si>
    <t>edwin.cortes@grupoexcala.com</t>
  </si>
  <si>
    <t>COTIZACION DE LOS DISEÑOS DE SEGURIDAD HUMANA Y PROTECCIÓN CONTRA INCENDIOS - PROYECTO NUEVO COMPAÑÍA DE EMPAQUES</t>
  </si>
  <si>
    <t>COTIZACION DE LOS DISEÑOS DE SEGURIDAD HUMANA Y PROTECCIÓN CONTRA  INCENDIOS - HOTEL SOMOS MANILA</t>
  </si>
  <si>
    <t xml:space="preserve">Carolina </t>
  </si>
  <si>
    <t>COTIZACION DEL ANÁLISIS DE SEGURIDAD HUMANA - CATTLEYA TORRE 2</t>
  </si>
  <si>
    <t>COTIZACION DE LOS DISEÑOS DE SEGURIDAD HUMANA Y PROTECCIÓN CONTRA INCENDIOS - COMPAÑÍA DE EMPAQUES</t>
  </si>
  <si>
    <t>COTIZACION DE LOS DISEÑOS DE PROTECCIÓN CONTRA  INCENDIOS - BANCOLOMBIA PLAZA FABRICATO</t>
  </si>
  <si>
    <t>COTIZACION DEL DISEÑO DE EXTINCIÓN DE INCENDIOS - 408 SALUD VEGAS</t>
  </si>
  <si>
    <t>COTIZACION DEL ANÁLISIS DE SEGURIDAD HUMANA - TORRE 3 CERROS DE AVELLANEDA</t>
  </si>
  <si>
    <t>YADDY SOLIDA</t>
  </si>
  <si>
    <t>COTIZACION DEL ANÁLISIS DE SEGURIDAD HUMANA - EL CARMEN COLONIAL</t>
  </si>
  <si>
    <t>FP CIVILES</t>
  </si>
  <si>
    <t>COTIZACIÓN DISEÑOS CASA NAMASTE</t>
  </si>
  <si>
    <t>COTIZACION DE LA INGENIERÍA CONCEPTUAL DE EXTINCIÓN DE INCENDIOS - CLÍNICA LAS VEGAS</t>
  </si>
  <si>
    <t>CLINICA LAS VEGAS</t>
  </si>
  <si>
    <t>301 3527048</t>
  </si>
  <si>
    <t>Mario Salud y Servicios</t>
  </si>
  <si>
    <t xml:space="preserve">COTIZACION DEL DISEÑO DE EXTINCIÓN DE INCENDIOS PARA EL PROYECTO TORRE SILVESTRE
</t>
  </si>
  <si>
    <t>06/12/20221</t>
  </si>
  <si>
    <t>COTIZACION DEL ANÁLISIS DE SEGURIDAD HUMANA PARA EL PROYECTO CERROS DE AVELLANEDA TORRE 3</t>
  </si>
  <si>
    <t>COTIZACION DE LOS DISEÑOS DE PROTECCIÓN CONTRA INCENDIOS Y SEGURIDAD HUMANA PARA EL PROYECTO RESERVA DEL CARMEN</t>
  </si>
  <si>
    <t>Jhon Fernando Gomez Marin</t>
  </si>
  <si>
    <t>COTIZACION DEL DISEÑO DE EXTINCIÓN DE INCENDIOS PARA EL PROYECTO CENTRO DE NEGOCIOS SUR “TATA” ETAPA 3</t>
  </si>
  <si>
    <t>Juan Diego Echeverry</t>
  </si>
  <si>
    <t>jecheverri@londonogomez.com</t>
  </si>
  <si>
    <t>COTIZACION DE LOS DISEÑOS DE PROTECCIÓN CONTRA INCENDIOS Y SEGURIDAD HUMANA PARA EL PROYECTO QUARZZO</t>
  </si>
  <si>
    <t>Vanessa Zapata</t>
  </si>
  <si>
    <t>Vanessazapata.fcr@gmail.com</t>
  </si>
  <si>
    <t>COTIZACION DE LOS DISEÑOS DE PROTECCIÓN CONTRA INCENDIOS Y SEGURIDAD HUMANA PARA EL PROYECTO BELO HORIZONTE</t>
  </si>
  <si>
    <t>COTIZACION DEL DISEÑO DE EXTINCIÓN DE INCENDIOS - ÍNDIGO</t>
  </si>
  <si>
    <t>Carlos Enrique Henao</t>
  </si>
  <si>
    <t>carlos.henao@seriinco.com</t>
  </si>
  <si>
    <t>COTIZACION DE LOS DISEÑOS DE SEGURIDAD HUMANA Y PROTECCIÓN CONTRA  INCENDIOS - BAXTER</t>
  </si>
  <si>
    <t>BAXTER</t>
  </si>
  <si>
    <t>Sebastián Fonseca</t>
  </si>
  <si>
    <t>sebastian_fonseca@baxter.com</t>
  </si>
  <si>
    <t>COTIZACION DEL ANÁLISIS DE SEGURIDAD HUMANA - FLORES DEL CAMPO</t>
  </si>
  <si>
    <t>COTIZACION DEL DISEÑO DE EXTINCIÓN DE INCENDIOS - HALL DE CAJEROS AYAPEL</t>
  </si>
  <si>
    <t>COTIZACION DEL DISEÑO DE EXTINCIÓN DE INCENDIOS PARA EL PROYECTO HOSTERIA FARALLONES</t>
  </si>
  <si>
    <t>COTIZACION DE LOS DISEÑOS DE PROTECCIÓN CONTRA INCENDIOS Y SEGURIDAD HUMANA PARA EL PROYECTO TORRE SILVESTRE</t>
  </si>
  <si>
    <t>3M</t>
  </si>
  <si>
    <t>David Ochoa</t>
  </si>
  <si>
    <t>ingenieria@3mingenieros.com.co</t>
  </si>
  <si>
    <t>COTIZACION EVALUACIÓN TÉCNICA SISTEMAS PROTECCIÓN DE INCENDIOS UDEA FRONTINO</t>
  </si>
  <si>
    <t>COTIZACION DEL ANÁLISIS DE SEGURIDAD HUMANA PARA EL PROYECTO PSCINAS DEL INDER</t>
  </si>
  <si>
    <t>4801300 Ext. 116</t>
  </si>
  <si>
    <t>Carolina Gómez Mosquera</t>
  </si>
  <si>
    <t>COTIZACION DE LOS DISEÑOS DE PROTECCIÓN CONTRA INCENDIOS PARA EL PROYECTO TERRAVANA APARTAMENTOS</t>
  </si>
  <si>
    <t>314 6305217</t>
  </si>
  <si>
    <t>Lina María Restrepo Saldarriaga</t>
  </si>
  <si>
    <t>Lrestrepo@con-axion.com</t>
  </si>
  <si>
    <t>COTIZACION DEL DISEÑO DE EXTINCIÓN DE INCENDIOS - KOBA GIRARDOTA</t>
  </si>
  <si>
    <t>COTIZACION DEL DISEÑO DE EXTINCIÓN DE INCENDIOS PARA EL PROYECTO KOAJ ALEGRA</t>
  </si>
  <si>
    <t>JOMARK SEGURIDAD</t>
  </si>
  <si>
    <t>Daniel Echeverry Pérez</t>
  </si>
  <si>
    <t>proyectos3@jomarkseguridad.com</t>
  </si>
  <si>
    <t>COTIZACION DE LOS DISEÑOS DE SEGURIDAD HUMANA Y PROTECCIÓN CONTRA  INCENDIOS - PROYECTO 23 LIVING</t>
  </si>
  <si>
    <t>COTIZACION DEL DISEÑO DE EXTINCIÓN DE INCENDIOS - IBC CALDAS</t>
  </si>
  <si>
    <t>COTIZACION DEL DISEÑO DE DETECCIÓN DE INCENDIOS - ATENEA FAMLIA SANCELA</t>
  </si>
  <si>
    <t>COTIZACION DE LOS DISEÑOS DE PROTECCIÓN CONTRA INCENDIOS Y SEGURIDAD HUMANA PARA EL PROYECTO PLANTA Mr BONO</t>
  </si>
  <si>
    <t>SERVICIO IPM</t>
  </si>
  <si>
    <t>301 542 1412</t>
  </si>
  <si>
    <t>COTIZACION DE LOS DISEÑOS DE PROTECCIÓN CONTRA INCENDIOS PARA EL PROYECTO CAMINO DEL VIENTO TORRE 4</t>
  </si>
  <si>
    <t>BIENES Y BIENES</t>
  </si>
  <si>
    <t xml:space="preserve"> 311 - 8500 Ext.187</t>
  </si>
  <si>
    <t>Jazzmín Restrepo Ortiz</t>
  </si>
  <si>
    <t>jrestrepo@bienesybienes.com.co</t>
  </si>
  <si>
    <t>COTIZACION DEL DISEÑO SOPORTES SISMORRESISTENTE ZENÚ SPCI</t>
  </si>
  <si>
    <t>Gustavo Canchila</t>
  </si>
  <si>
    <t>Ana Maria Restrepo Mayo</t>
  </si>
  <si>
    <t>ana.restrepo@spci.com.co</t>
  </si>
  <si>
    <t>COTIZACION DE LOS DISEÑOS DE PROTECCIÓN CONTRA INCENDIOS PARA EL PROYECTO PLANTA COOLFOOD</t>
  </si>
  <si>
    <t>INGENIO BIM</t>
  </si>
  <si>
    <t>Luisa Fernanda Londoño Ciro</t>
  </si>
  <si>
    <t xml:space="preserve">luisa.londono@ingeniobim.co </t>
  </si>
  <si>
    <t>COTIZACION DE REVISIÓN Y PRUEBAS DE LOS SISTEMAS DE PROTECCIÓN CONTRA INCENDIOS INSTALADOS Y LA SEGURIDAD HUMANA PARA EL PROYECTO BIO26</t>
  </si>
  <si>
    <t>57 312 2967935</t>
  </si>
  <si>
    <t>Maria Teresa</t>
  </si>
  <si>
    <t>mlopez@hdgerenciaintegral.com</t>
  </si>
  <si>
    <t>COTIZACION DE LOS DISEÑOS DE EXTINCIÓN DE INCENDIOS Y SEGURIDAD HUMANA PARA EL PROYECTO LOCAL COMFAMA CIS PLAZA FABRICATO</t>
  </si>
  <si>
    <t>COTIZACION DEL DISEÑO DE EXTINCIÓN DE INCENDIOS - VORTEX AEROCAFE</t>
  </si>
  <si>
    <t>SFIRE</t>
  </si>
  <si>
    <t>(57) 3108227462</t>
  </si>
  <si>
    <t>COTIZACION DE LOS DISEÑOS DE PROTECCIÓN CONTRA INCENDIOS PARA EL PROYECTO FELICITY TORRE 3 Y 4</t>
  </si>
  <si>
    <t>COTIZACION DE LOS DISEÑOS DE PROTECCIÓN CONTRA INCENDIOS PARA EL PROYECTO URBANIZACION SAN MIGUEL</t>
  </si>
  <si>
    <t>COTIZACION DEL DISEÑO DE EXTINCIÓN DE INCENDIOS PARA EL PROYECTO OFICINA JOMARK</t>
  </si>
  <si>
    <t>COTIZACION DEL DISEÑO DE EXTINCIÓN DE INCENDIOS PARA EL PROYECTO TANQUES SUR Y NORTE</t>
  </si>
  <si>
    <t>COTIZACION DE LOS DISEÑOS DE PROTECCIÓN CONTRA INCENDIOS PARA EL PROYECTO NOMBRE PROYECTO OFICINA JOMARK</t>
  </si>
  <si>
    <t>COTIZACION DEL DISEÑO DE EXTINCIÓN DE INCENDIOS PARA EL PROYECTO VIVACE TORRE 3</t>
  </si>
  <si>
    <t>310 420 3649</t>
  </si>
  <si>
    <t>Mauricio Guzmán Urrea</t>
  </si>
  <si>
    <t>mauricio.guzman@spci.com.co</t>
  </si>
  <si>
    <t xml:space="preserve">
COTIZACION DEL DISEÑO DE EXTINCIÓN DE INCENDIOS PARA EL PROYECTO LOCAL GLOW PARTY 11</t>
  </si>
  <si>
    <t>COTIZACION DEL DISEÑO DE EXTINCIÓN DE INCENDIOS PARA EL PROYECTO LOCAL KUBIKA 7</t>
  </si>
  <si>
    <t>COTIZACION DE LOS DISEÑOS DE PROTECCIÓN CONTRA INCENDIOS PARA EL PROYECTO MALL ZONA SUR</t>
  </si>
  <si>
    <t>PROJECT&amp;SOLUCTION</t>
  </si>
  <si>
    <t>Sebastián López Duque</t>
  </si>
  <si>
    <t xml:space="preserve">COTIZACION DE LOS DISEÑOS DE PROTECCIÓN CONTRA INCENDIOS PARA EL PROYECTO CES CENTRO AMBULATORIO CONSULTA EXTERNA CLINICA
</t>
  </si>
  <si>
    <t xml:space="preserve">COTIZACION DEL ANÁLISIS DE SEGURIDAD HUMANA PARA EL PROYECTO COLSANITAS CARTAGENA DEL MAR
</t>
  </si>
  <si>
    <t>COTIZACION DE LOS RE-DISEÑOS DE PROTECCIÓN CONTRA INCENDIOS Y SEGURIDAD HUMANA PARA EL PROYECTO MAZANTI ETAPA 1 Y 2</t>
  </si>
  <si>
    <t>Diana Marcela Cardona Lopez</t>
  </si>
  <si>
    <t>direccionmazanti@gmail.com</t>
  </si>
  <si>
    <t>COTIZACION DE LOS DISEÑOS DE SEGURIDAD HUMANA Y PROTECCIÓN CONTRA  INCENDIOS - BANREP BOGOTA</t>
  </si>
  <si>
    <t>Diana Perez</t>
  </si>
  <si>
    <t xml:space="preserve">dianaperez@convel.co </t>
  </si>
  <si>
    <t>COTIZACION DE REVISIÓN DE LOS DISEÑOS DE PROTECCIÓN CONTRA INCENDIO - PROYECTO DV</t>
  </si>
  <si>
    <t>57 314 619 81 44</t>
  </si>
  <si>
    <t>Angela Bravo</t>
  </si>
  <si>
    <t>angelabravo@mensulaingenieros.com</t>
  </si>
  <si>
    <t xml:space="preserve">COTIZACION DEL ANÁLISIS DE SEGURIDAD HUMANA PARA EL PROYECTO PISCINAS DEL COMPLEJO ACUATICO
</t>
  </si>
  <si>
    <t xml:space="preserve"> 4801300 Ext. 137</t>
  </si>
  <si>
    <t>Olmes Fernando Rodríguez Álzate</t>
  </si>
  <si>
    <t>olmes.rodriguez@desur.gov.co</t>
  </si>
  <si>
    <t>COTIZACION DEL ANÁLISIS DE SEGURIDAD HUMANA - CEDI MARINILLA</t>
  </si>
  <si>
    <t>314 8646158</t>
  </si>
  <si>
    <t>Francisco Restrepo</t>
  </si>
  <si>
    <t>fjrestrepo@conconcreto.com</t>
  </si>
  <si>
    <t>COTIZACION DEL ANÁLISIS DE SEGURIDAD HUMANA - AMPLIACIÓN SEDE PALMIRA</t>
  </si>
  <si>
    <t xml:space="preserve">COTIZACION DE LOS DISEÑOS DE PROTECCIÓN CONTRA INCENDIOS Y SEGURIDAD HUMANA PARA EL PROYECTO LEGADO ETAPA 1
</t>
  </si>
  <si>
    <t>LUZ STELLA IBARRA ARCILA</t>
  </si>
  <si>
    <t>stellaibarra@gmail.com</t>
  </si>
  <si>
    <t>COTIZACION DE LOS DISEÑOS DE PROTECCIÓN CONTRA INCENDIOS Y SEGURIDAD HUMANA PARA EL PROYECTO RUTA 39</t>
  </si>
  <si>
    <t>COTIZACION DEL DISEÑO DE EXTINCIÓN DE INCENDIOS PARA EL PROYECTO COMPLEX</t>
  </si>
  <si>
    <t>COTIZACION DE LOS DISEÑOS DE PROTECCIÓN CONTRA INCENDIOS PARA EL PROYECTO SAJONIA</t>
  </si>
  <si>
    <t>Astrid Jhoana Montoya Arias</t>
  </si>
  <si>
    <t>amontoya@contex.com.co</t>
  </si>
  <si>
    <t>COTIZACION DE LOS DISEÑOS DE PROTECCIÓN CONTRA INCENDIOS Y SEGURIDAD HUMANA PARA EL PROYECTO MOKARA</t>
  </si>
  <si>
    <t>Daniela Vélez Cortés</t>
  </si>
  <si>
    <t>danielavelez.fcr@gmail.com</t>
  </si>
  <si>
    <t>COTIZACION DEL DISEÑO DE DETECCIÓN DE INCENDIOS PARA EL PROYECTO AGENCIA MEDELLIN</t>
  </si>
  <si>
    <t>Daniel Uribe Sierra</t>
  </si>
  <si>
    <t>daniel.uribe@spci.com.co</t>
  </si>
  <si>
    <t>COTIZACION DE LOS DISEÑOS DE PROTECCIÓN CONTRA INCENDIOS Y SEGURIDAD HUMANA PARA EL PROYECTO FRAGUA (BELVERDE 3)</t>
  </si>
  <si>
    <t>COTIZACION DE LOS DISEÑOS DE PROTECCIÓN CONTRA INCENDIOS PARA EL PROYECTO CLINICA BEILLÍN</t>
  </si>
  <si>
    <t>SOLUCIONES INMOBILIARIAS</t>
  </si>
  <si>
    <t>Julian David Giraldo Pineda</t>
  </si>
  <si>
    <t>jgiraldo@solucionesinmobiliariassas.com6</t>
  </si>
  <si>
    <t>COTIZACION DE LOS DISEÑOS DE PROTECCIÓN CONTRA INCENDIOS Y SEGURIDAD HUMANA PARA EL PROYECTO MAZANTI ETAPA 1 Y 2 REV-B</t>
  </si>
  <si>
    <t>COTIZACION DE LOS DISEÑOS DE PROTECCIÓN CONTRA INCENDIOS Y SEGURIDAD HUMANA PARA EL PROYECTO BESIDE</t>
  </si>
  <si>
    <t>CRISTIAN GAÑAN</t>
  </si>
  <si>
    <t>Cristian Gañan</t>
  </si>
  <si>
    <t>COTIZACION DE LOS DISEÑOS DE PROTECCIÓN CONTRA INCENDIOS Y SEGURIDAD HUMANA PARA EL PROYECTO LOCAL DE SERREZUELA</t>
  </si>
  <si>
    <t>Santiago Rojas</t>
  </si>
  <si>
    <t>Maria Aurora Rios Ballesteros</t>
  </si>
  <si>
    <t xml:space="preserve">COTIZACION DEL DISEÑO DE EXTINCIÓN DE INCENDIOS PARA EL PROYECTO BODEGA YUMBO
</t>
  </si>
  <si>
    <t>COTIZACION DEL DISEÑO DE DETECCIÓN DE INCENDIOS PARA EL PROYECTO BANCOLOMBIA HALL DE AUTOSERVICIOS PALMETTO</t>
  </si>
  <si>
    <t>Isabel Cristina Jaramillo Pérez</t>
  </si>
  <si>
    <t>COTIZACION DE LOS DISEÑOS DE PROTECCIÓN CONTRA INCENDIOS PARA EL PROYECTO LOCAL 3061B</t>
  </si>
  <si>
    <t>COTIZACION DE LOS DISEÑOS DE PROTECCIÓN CONTRA INCENDIOS PARA EL PROYECTO LOCAL NUEVO TALLER</t>
  </si>
  <si>
    <t>COTIZACION DE LOS DISEÑOS DE EXTINCIÓN DE INCENDIOS PARA EL PROYECTO LOCAL 131 LEMONT</t>
  </si>
  <si>
    <t>COTIZACION DE LOS DISEÑOS DE PROTECCIÓN CONTRA INCENDIOS PARA EL PROYECTO TERRAZINO</t>
  </si>
  <si>
    <t>TERRAZINO</t>
  </si>
  <si>
    <t>313 6214678</t>
  </si>
  <si>
    <t>linagonzalez@terrazino.co</t>
  </si>
  <si>
    <t>COTIZACION DE LOS DISEÑOS DE PROTECCIÓN CONTRA INCENDIOS Y SEGURIDAD HUMANA PARA EL PROYECTO COLEGIO LA SALLE</t>
  </si>
  <si>
    <t>COTIZACION DEL ANÁLISIS DE SEGURIDAD HUMANA PARA EL PROYECTO MIN TORRE 3</t>
  </si>
  <si>
    <t>COTIZACION DEL DISEÑO DE EXTINCIÓN DE INCENDIOS PARA EL PROYECTO LOCAL SYNLAB CENTRO COMERCIAL VIVA ENVIGADO</t>
  </si>
  <si>
    <t>COTIZACION DE LOS DISEÑOS DE PROTECCIÓN CONTRA INCENDIOS Y SEGURIDAD HUMANA PARA EL PROYECTO TERRAZINO LIVING</t>
  </si>
  <si>
    <t>TERRAZINO SAS</t>
  </si>
  <si>
    <t>Lina Gonzalez</t>
  </si>
  <si>
    <t>COTIZACION DEL LEVANTAMIENTO DE EXTINCIÓN DE INCENDIOS - COMFAMA CITY PLAZA</t>
  </si>
  <si>
    <t xml:space="preserve">COTIZACION DEL ANÁLISIS DE SEGURIDAD HUMANA PARA EL PROYECTO LA PURISIMA
</t>
  </si>
  <si>
    <t>COTIZACION DEL DISEÑO DE EXTINCIÓN DE INCENDIOS PARA EL PROYECTO PRIMERA ETAPA DEL PROYECTO PALERMO</t>
  </si>
  <si>
    <t>Manuela Acevedo Callejas</t>
  </si>
  <si>
    <t>manaceve@bancolombia.com.co</t>
  </si>
  <si>
    <t>COTIZACION DEL ANÁLISIS DE SEGURIDAD HUMANA PARA LA PRIMERA ETAPA DEL PROYECTO PALERMO</t>
  </si>
  <si>
    <t>COTIZACION DEL ANÁLISIS DE SEGURIDAD HUMANA PARA EL PROYECTO CENTRO COMERCIAL GRAN PLAZA SOACHA</t>
  </si>
  <si>
    <t>Andrés Restrepo Escobar</t>
  </si>
  <si>
    <t xml:space="preserve"> arestrepoe@conconcreto.com</t>
  </si>
  <si>
    <t>COTIZACION DE LOS DISEÑOS DE PROTECCIÓN CONTRA INCENDIOS Y SEGURIDAD HUMANA PARA EL PROYECTO HARAS DE SANTA LUCIA</t>
  </si>
  <si>
    <t xml:space="preserve">320 666 1899 </t>
  </si>
  <si>
    <t>Santiago López González</t>
  </si>
  <si>
    <t>santiagolopez@mensulaingenieros.com</t>
  </si>
  <si>
    <t>COTIZACION REVISIÓN Y PRUEBAS SISTEMAS CONTRA INCENDIOS INSTALADOS Y LA SEGURIDAD HUMANA PARA EL PROYECTO SALUD VEGAS</t>
  </si>
  <si>
    <t>COTIZACION DEL DISEÑO DE EXTINCIÓN DE INCENDIOS PARA EL PROYECTO CONSULTORIO EN AMSTERDAN OFTALMOLOGICO</t>
  </si>
  <si>
    <t>A.L. GAS POR RED &amp; REDES CONTRA INCENDIO S.A.S</t>
  </si>
  <si>
    <t xml:space="preserve">Alejandro López Gómez </t>
  </si>
  <si>
    <t>COTIZACION DE LOS DISEÑOS DE PROTECCIÓN CONTRA INCENDIOS PARA EL PROYECTO CAMPOSOL</t>
  </si>
  <si>
    <t>COTIZACION DE LOS DISEÑOS DE PROTECCIÓN CONTRA INCENDIOS Y SEGURIDAD HUMANA PARA EL PROYECTO PARQUE CHIGUÍ</t>
  </si>
  <si>
    <t>valeriahaydar@gmail.com</t>
  </si>
  <si>
    <t>COTIZACION DE LOS DISEÑOS DE PROTECCIÓN CONTRA INCENDIOS Y SEGURIDAD HUMANA PARA EL PROYECTO EDIFICIO OLAVE</t>
  </si>
  <si>
    <t>AGROINDUSTRIALES HIDRÁULICA DIAZ</t>
  </si>
  <si>
    <t>Daniel Felipe Diaz</t>
  </si>
  <si>
    <t>dfelipediaz@gmail.com</t>
  </si>
  <si>
    <t xml:space="preserve">COTIZACION DEL DISEÑO DE EXTINCIÓN DE INCENDIOS PARA EL PROYECTO HOTEL GO
</t>
  </si>
  <si>
    <t>Project&amp;Solution</t>
  </si>
  <si>
    <t>COTIZACION DE LOS DISEÑOS DE PROTECCIÓN CONTRA INCENDIOS Y SEGURIDAD HUMANA PARA EL PROYECTO MENTE PLENA</t>
  </si>
  <si>
    <t>LAB.INMOBILIARIO</t>
  </si>
  <si>
    <t>Maria Paulina Cuca</t>
  </si>
  <si>
    <t>arquitectura@labinmobiliario.com</t>
  </si>
  <si>
    <t xml:space="preserve">COTIZACION DEL DISEÑO DE EXTINCIÓN DE INCENDIOS PARA EL PROYECTO DISTRITO VERA ETAPA B4
</t>
  </si>
  <si>
    <t>COTIZACION DE LOS DISEÑOS DE PROTECCIÓN CONTRA INCENDIOS PARA EL PROYECTO VAXTHERA</t>
  </si>
  <si>
    <t>INTERVE SAS</t>
  </si>
  <si>
    <t>Interventoría Preoperativa</t>
  </si>
  <si>
    <t>STRATEGO</t>
  </si>
  <si>
    <t>Daniel Henao Correa</t>
  </si>
  <si>
    <t xml:space="preserve">COTIZACION DEL ANÁLISIS DE SEGURIDAD HUMANA PARA EL PROYECTO BOSKETO
</t>
  </si>
  <si>
    <t>COTIZACION DEL DISEÑO DE EXTINCIÓN DE INCENDIOS PARA EL PROYECTO VILLAGE</t>
  </si>
  <si>
    <t>OVIEDO</t>
  </si>
  <si>
    <t>Marcel M Agudelo Ramirez</t>
  </si>
  <si>
    <t>direccionoperativa@oviedo.com.co</t>
  </si>
  <si>
    <t>COTIZACION DEL DISEÑO DE DETECCIÓN DE INCENDIOS PARA EL PROYECTO PLANTA DE ALMACENAMIENTO</t>
  </si>
  <si>
    <t>COTIZACION DE LOS DISEÑOS DE PROTECCIÓN CONTRA INCENDIOS PARA EL PROYECTO PLANTA DE ALMACENAMIENTO</t>
  </si>
  <si>
    <t>COTIZACION DE LOS DISEÑOS DE PROTECCIÓN CONTRA INCENDIOS PARA EL PROYECTO G1 CONNECTA</t>
  </si>
  <si>
    <t>Oscar Hernandez</t>
  </si>
  <si>
    <t>Oscar.AcunaHernandez@teleperformance.com</t>
  </si>
  <si>
    <t xml:space="preserve">COTIZACION DE LOS DISEÑOS DE PROTECCIÓN CONTRA INCENDIOS PARA EL PROYECTO ESCUELA FERNANDO GONZALEZ DE ENVIGADO
</t>
  </si>
  <si>
    <t>Marcela Jimenez</t>
  </si>
  <si>
    <t>COTIZACION DE LOS DISEÑOS DE PROTECCIÓN CONTRA INCENDIOS PARA EL PROYECTO PORTAL SANTAFE</t>
  </si>
  <si>
    <t>ESPACIOS DE HOGAR</t>
  </si>
  <si>
    <t>Juan David Giraldo</t>
  </si>
  <si>
    <t>espaciosdehogar@gmail.com</t>
  </si>
  <si>
    <t>COTIZACION DE LOS DISEÑOS DE PROTECCIÓN CONTRA INCENDIOS Y SEGURIDAD HUMANA PARA EL PROYECTO DIAGNOSTICO IPS BOGOTA</t>
  </si>
  <si>
    <t>Condiseño</t>
  </si>
  <si>
    <t>COTIZACION DE LOS DISEÑOS DE PROTECCIÓN CONTRA INCENDIOS Y SEGURIDAD HUMANA PARA EL PROYECTO PIENSALO BIEN SAN ANTERO</t>
  </si>
  <si>
    <t xml:space="preserve"> 310 468 0508</t>
  </si>
  <si>
    <t>Juan Pablo Grajales Gómez</t>
  </si>
  <si>
    <t>COTIZACION DE LOS DISEÑOS DE EXTINCIÓN DE INCENDIOS PARA EL PROYECTO HACEB</t>
  </si>
  <si>
    <t>Ana Maria Restrepo Mayo.</t>
  </si>
  <si>
    <t xml:space="preserve">COTIZACION DE LOS DISEÑOS DE PROTECCIÓN CONTRA INCENDIOS Y SEGURIDAD HUMANA PARA EL PROYECTO INDECAP
</t>
  </si>
  <si>
    <t>BRICK CONSTRUCCION&amp;ARQUITECTURA</t>
  </si>
  <si>
    <t xml:space="preserve">322-16-91 </t>
  </si>
  <si>
    <t>Omar Ivan Garcia Montoya.</t>
  </si>
  <si>
    <t>ingenieriabrickcya@gmail.com</t>
  </si>
  <si>
    <t>COTIZACION DEL DISEÑO DE DETECCIÓN DE INCENDIOS PARA EL PROYECTO IVS SEDE ESPECIALIZADA 4636</t>
  </si>
  <si>
    <t>COTIZACION DEL DISEÑO DE EXTINCIÓN DE INCENDIOS PARA EL PROYECTO IVS SEDE ESPECIALIZADA 4636</t>
  </si>
  <si>
    <t>COTIZACION DEL ANÁLISIS DE SEGURIDAD HUMANA PARA EL PROYECTO FORTINET</t>
  </si>
  <si>
    <t>SS STUDIO SUR</t>
  </si>
  <si>
    <t>LAURA ARIAS ABAD</t>
  </si>
  <si>
    <t>COTIZACION DEL DISEÑO DE EXTINCIÓN DE INCENDIOS PARA EL PROYECTO UNIVERSIDAD LUIS AMIGO</t>
  </si>
  <si>
    <t>Cristiam Gustavo Mondragón Cortés</t>
  </si>
  <si>
    <t>cristiam.mondragon@spci.com.co</t>
  </si>
  <si>
    <t>COTIZACION DEL ANÁLISIS DE SEGURIDAD HUMANA PARA EL PROYECTO CENTRO DE ACONDICIONAMIENTO</t>
  </si>
  <si>
    <t>Simon Mesa Betancur</t>
  </si>
  <si>
    <t>simon.mesa@desur.gov.co</t>
  </si>
  <si>
    <t>COTIZACION DEL DISEÑO DE EXTINCIÓN DE INCENDIOS PARA EL PROYECTO PLANTA DE PINTURAS</t>
  </si>
  <si>
    <t>COTIZACION DE LOS DISEÑOS DE PROTECCIÓN CONTRA  INCENDIOS - ESTACIÓN DE GAS TIPO VENTILADOR</t>
  </si>
  <si>
    <t>INGENIERÍA DE RIEGOS</t>
  </si>
  <si>
    <t>Luis Esteban Ramírez</t>
  </si>
  <si>
    <t xml:space="preserve">COTIZACION DEL DISEÑO DE EXTINCIÓN DE INCENDIOS PARA EL PROYECTO LAYOUT CDBQ
</t>
  </si>
  <si>
    <t>301 4201614</t>
  </si>
  <si>
    <t>jrodriguez@ingesed.com</t>
  </si>
  <si>
    <t>COTIZACION DEL DISEÑO DE DETECCIÓN DE INCENDIOS PARA EL PROYECTO PLANTA SUMICOL</t>
  </si>
  <si>
    <t>Sumicol</t>
  </si>
  <si>
    <t xml:space="preserve"> (311) 532 70 51</t>
  </si>
  <si>
    <t>Juan Felipe Gil</t>
  </si>
  <si>
    <t>fgil@corona.com.co</t>
  </si>
  <si>
    <t>COTIZACION DEL DISEÑO DE EXTINCIÓN DE INCENDIOS PARA EL PROYECTO PLANTA SUMICOL</t>
  </si>
  <si>
    <t>COTIZACION DE LOS DISEÑOS DE PROTECCIÓN CONTRA INCENDIOS PARA EL PROYECTO OFICINA</t>
  </si>
  <si>
    <t>Soluciones Civiles</t>
  </si>
  <si>
    <t>CONINSA RAMÓN H</t>
  </si>
  <si>
    <t>300 3501774</t>
  </si>
  <si>
    <t>Wilson Sanchez</t>
  </si>
  <si>
    <t xml:space="preserve">wilsonsanchez@coninsa.co </t>
  </si>
  <si>
    <t>DEBORA ARANGO VARIOS SERVICIOS</t>
  </si>
  <si>
    <t>LUIS LÓPEZ</t>
  </si>
  <si>
    <t>Luis Alberto López</t>
  </si>
  <si>
    <t xml:space="preserve">lalopez@utp.edu.co </t>
  </si>
  <si>
    <t>COTIZACION DEL ANÁLISIS DE SEGURIDAD HUMANA PARA EL PROYECTO IUE</t>
  </si>
  <si>
    <t>4801300 Ext. 128</t>
  </si>
  <si>
    <t>Alejandra Cuervo Gómez</t>
  </si>
  <si>
    <t>alejandra.cuervo@desur.gov.co</t>
  </si>
  <si>
    <t>COTIZACION DE LOS DISEÑOS DE PROTECCIÓN CONTRA INCENDIOS Y SEGURIDAD HUMANA PARA EL PROYECTO JUAN PABLO II ETAPA 1B</t>
  </si>
  <si>
    <t>SÓLIDA VIVIENDA</t>
  </si>
  <si>
    <t>COTIZACION DE LOS DISEÑOS DE PROTECCIÓN CONTRA INCENDIOS PARA EL PROYECTO COLEGIO LA SALLE DE ENVIGADO</t>
  </si>
  <si>
    <t>Sóportica ingenieria &amp; arquitectura</t>
  </si>
  <si>
    <t>David Guzmán Ortega</t>
  </si>
  <si>
    <t>david.guzman@soportica.com</t>
  </si>
  <si>
    <t>COTIZACION DE LOS DISEÑOS DE PROTECCIÓN CONTRA INCENDIOS PARA EL PROYECTO SURA VAXTHERA</t>
  </si>
  <si>
    <t>COTIZACION DEL DISEÑO DE EXTINCIÓN DE INCENDIOS PARA EL PROYECTO CITTE</t>
  </si>
  <si>
    <t>Jorge Quinto Lora Cogollo</t>
  </si>
  <si>
    <t>dirproyectos@socomes.com</t>
  </si>
  <si>
    <t>COTIZACION DEL ANÁLISIS DE SEGURIDAD HUMANA PARA EL PROYECTO BILANCO DE MAYORCA</t>
  </si>
  <si>
    <t>COTIZACION DE LOS DISEÑOS DE PROTECCIÓN CONTRA INCENDIOS PARA EL PROYECTO LAUREL LIVINGS</t>
  </si>
  <si>
    <t>COTIZACION DE LOS DISEÑOS DE PROTECCIÓN CONTRA INCENDIOS PARA EL PROYECTO BODEGA CÚCUTA</t>
  </si>
  <si>
    <t>Harol Mauricio Camacho Ramirez</t>
  </si>
  <si>
    <t>gerencia@securetec.com.co</t>
  </si>
  <si>
    <t>COTIZACION DEL DIAGNÓSTICO DE LOS SISTEMAS DE PROTECCIÓN CONTRA INCENDIOS DE LA FLA</t>
  </si>
  <si>
    <t>LAFLA</t>
  </si>
  <si>
    <t>310 4473509</t>
  </si>
  <si>
    <t>risksolutiong@gmail.com</t>
  </si>
  <si>
    <t>COTIZACION DE LOS DISEÑOS DE PROTECCIÓN CONTRA INCENDIOS - CENTRO COMERCIAL OVIEDO</t>
  </si>
  <si>
    <t>COTIZACION DE LOS DISEÑOS DE PROTECCIÓN CONTRA INCENDIOS Y SEGURIDAD HUMANA PARA EL PROYECTO PISO 4 DE LA CASA DE LA MUSICA EPM</t>
  </si>
  <si>
    <t>COTIZACION DEL ANÁLISIS DE SEGURIDAD HUMANA PARA EL PROYECTO PATINODROMO PUG LAS CHIMENEAS</t>
  </si>
  <si>
    <t>COTIZACION DE LOS DISEÑOS DE PROTECCIÓN CONTRA  INCENDIOS - PROYECTO URBIT</t>
  </si>
  <si>
    <t>COTIZACION DE LOS DISEÑOS DE SEGURIDAD HUMANA Y PROTECCIÓN CONTRA  INCENDIOS - PROYECTO CLINICA AUNA LAS AMERICAS CR 80</t>
  </si>
  <si>
    <t>COTIZACION DE LOS DISEÑOS DE PROTECCIÓN CONTRA INCENDIOS Y SEGURIDAD HUMANA PARA EL PROYECTO ESCUELA Y CLINICA VETERINARIA</t>
  </si>
  <si>
    <t>María Teresa López</t>
  </si>
  <si>
    <t>COTIZACION DEL DISEÑO DE DETECCIÓN DE INCENDIOS PARA EL PROYECTO RANSA PRIMAVERA</t>
  </si>
  <si>
    <t>Francisco Jose Unda</t>
  </si>
  <si>
    <t>COTIZACION DEL DISEÑO DE EXTINCIÓN DE INCENDIOS PARA EL PROYECTO PISO 7 OFICINAS</t>
  </si>
  <si>
    <t xml:space="preserve">
COTIZACION DE LOS DISEÑOS DE PROTECCIÓN CONTRA INCENDIOS Y SEGURIDAD HUMANA PARA EL PROYECTO SANTA LUCIA</t>
  </si>
  <si>
    <t>305 293 45 11</t>
  </si>
  <si>
    <t>Camila Jimenez Olaya</t>
  </si>
  <si>
    <t>cjimenez@coninsa.co</t>
  </si>
  <si>
    <t>COTIZACION DE LA CAPACITACIÓN DE LA NORMATIVIDAD Y CONCEPTOS BÁSICOS DE PROTECCIÓN CONTRA INCENDIOS</t>
  </si>
  <si>
    <t>Viking</t>
  </si>
  <si>
    <t>Alejandro García</t>
  </si>
  <si>
    <t>COTIZACION DE LOS DISEÑOS DE PROTECCIÓN CONTRA INCENDIOS Y SEGURIDAD HUMANA PARA EL PROYECTO EDIFICIO CALASANZ DE 1.300 m2</t>
  </si>
  <si>
    <t>Viviana Monsalve Patiño</t>
  </si>
  <si>
    <t>asistente@santiagorojas.com.co</t>
  </si>
  <si>
    <t xml:space="preserve">COTIZACION DEL ANÁLISIS DE SEGURIDAD HUMANA PARA EL PROYECTO VITHA
</t>
  </si>
  <si>
    <t>304 245 58 81</t>
  </si>
  <si>
    <t>Carlos Andres Quintero Ángel</t>
  </si>
  <si>
    <t>carlos.quintero@bienesybienes.com.co</t>
  </si>
  <si>
    <t>COTIZACION DE LOS DISEÑOS DE PROTECCIÓN CONTRA INCENDIOS Y SEGURIDAD HUMANA PARA EL PROYECTO SANTA LUCIA</t>
  </si>
  <si>
    <t>25/03/20222</t>
  </si>
  <si>
    <t>COTIZACION DE LOS DISEÑOS DE PROTECCIÓN CONTRA INCENDIOS Y SEGURIDAD HUMANA PARA EL PROYECTO ENTREPALMERAS ETAPA 1</t>
  </si>
  <si>
    <t>G4 Proyectos Inmobiliarios</t>
  </si>
  <si>
    <t>SANDRA VALENCIA G.</t>
  </si>
  <si>
    <t>s.valencia@g4ingenieros.com</t>
  </si>
  <si>
    <t xml:space="preserve">
COTIZACION DE LOS DISEÑOS DE PROTECCIÓN CONTRA INCENDIOS PARA EL PROYECTO OFICINA COLFONDOS CCI</t>
  </si>
  <si>
    <t>COTIZACION DE LOS DISEÑOS DE PROTECCIÓN CONTRA INCENDIOS Y SEGURIDAD HUMANA PARA EL PROYECTO CEDI TIERRAGRO RIONEGRO</t>
  </si>
  <si>
    <t>TIERRAGRO</t>
  </si>
  <si>
    <t xml:space="preserve"> 3128940268 y 3053765233</t>
  </si>
  <si>
    <t>Carlos Augusto Rojas Alvarez</t>
  </si>
  <si>
    <t>ceditierragrodirecciondeobra@gmail.com</t>
  </si>
  <si>
    <t>COTIZACION DE LA REVISIÓN DE SEGURIDAD HUMANA Y PROTECCIÓN CONTRA INCENDIOS - PROYECTO OFICINA ONE VANTAGE</t>
  </si>
  <si>
    <t>COTIZACION DEL DISEÑO DE EXTINCIÓN DE INCENDIOS - PROYECTO IUE</t>
  </si>
  <si>
    <t>Jonathan Hincapié</t>
  </si>
  <si>
    <t xml:space="preserve">disenos@coinsi.com </t>
  </si>
  <si>
    <t>COTIZACION DEL DISEÑO DE EXTINCIÓN DE INCENDIOS - PROYECTO CONSULTORIOS DE PSICOLOGIA</t>
  </si>
  <si>
    <t>COTIZACION DEL ANÁLISIS DE SEGURIDAD HUMANA - HOTEL MARRIOT MEDELLÍN</t>
  </si>
  <si>
    <t>FGA</t>
  </si>
  <si>
    <t>312 2425139</t>
  </si>
  <si>
    <t>Luis Bernardo Saldarriaga</t>
  </si>
  <si>
    <t xml:space="preserve"> concejoenvigadofga@gmail.com</t>
  </si>
  <si>
    <t>COTIZACION DEFINICIÓN CARGA DE OCUPACIÓN - HOTEL MARRIOT MEDELLÍN</t>
  </si>
  <si>
    <t>MARRIOT</t>
  </si>
  <si>
    <t>310 4593241</t>
  </si>
  <si>
    <t>Julián Patiño</t>
  </si>
  <si>
    <t>julianp@icaroconsulting.com.co</t>
  </si>
  <si>
    <t>COTIZACION DEL ANÁLISIS DE SEGURIDAD HUMANA - LAFLA</t>
  </si>
  <si>
    <t>REVISIÓN DE LOS SISTEMAS DE PROYTECCIÓN CONTRA INCENDIOS Y SEGURIDAD HUMANA PARA SPIAGGIA DI CARTAGENA</t>
  </si>
  <si>
    <t>Andrés Reinosa</t>
  </si>
  <si>
    <t>COTIZACION DEL DISEÑO DE EXTINCIÓN DE INCENDIOS PARA EL PROYECTO HANGARA CARTAGENA</t>
  </si>
  <si>
    <t>COTIZACION DE LOS DISEÑOS DE PROTECCIÓN CONTRA INCENDIOS Y SEGURIDAD HUMANA PARA EL PROYECTO VIVIENDAS FOREVER</t>
  </si>
  <si>
    <t>322 89 07</t>
  </si>
  <si>
    <t>Héctor Camilo Mejía Villa</t>
  </si>
  <si>
    <t>camilomejia@trazosurbanos.com.co</t>
  </si>
  <si>
    <t>COTIZACION DE LOS DISEÑOS DE PROTECCIÓN CONTRA INCENDIOS Y SEGURIDAD HUMANA PARA EL PROYECTO CALMO</t>
  </si>
  <si>
    <t>MENSULA SA</t>
  </si>
  <si>
    <t>574 4795490</t>
  </si>
  <si>
    <t>Crstian Londoño</t>
  </si>
  <si>
    <t>COTIZACION DEL DISEÑO DE EXTINCIÓN DE INCENDIOS - BODEGA PRIMERA</t>
  </si>
  <si>
    <t>COTIZACION DE LOS PLANOS AS-BUIT ESTACIÓN DE POLICÍA LAS PLAMAS</t>
  </si>
  <si>
    <t>300 4899024</t>
  </si>
  <si>
    <t xml:space="preserve">alvaro.rojas@rrp.com.co </t>
  </si>
  <si>
    <t>COTIZACIÓN DE MODELACIÓN Y REPORTES DE CÁLCULO…...</t>
  </si>
  <si>
    <t>COTIZACION DE LOS DISEÑOS DE PROTECCIÓN CONTRA INCENDIOS PARA EL PROYECTO EPSA SEDE 2</t>
  </si>
  <si>
    <t>COTIZACION DEL ANÁLISIS DE SEGURIDAD HUMANA PARA EL PROYECTO BODEGA 2B PARQUE INDUSTRIAL LOGIKA MADRID</t>
  </si>
  <si>
    <t>parangor@conconcreto.com</t>
  </si>
  <si>
    <t>COTIZACION DEL DIAGNÓSTICO, PRUEBA E INGENIERÍA CONCEPTUAL DE LOS SISTEMAS DE PROTECCIÓN CONTRA INCENDIOS DE LA FÁBRICA DE LICORES Y ALCOHOLES DE ANTIOQUIA EICE</t>
  </si>
  <si>
    <t>German Eduardo Plata</t>
  </si>
  <si>
    <t>germaneduardo.plata@fla.com.co</t>
  </si>
  <si>
    <t xml:space="preserve">COTIZACION DE LOS DISEÑOS DE PROTECCIÓN CONTRA INCENDIOS PARA EL PROYECTO PLANTAS ENVASADORAS Y ALMACENADORA DE GLP
</t>
  </si>
  <si>
    <t>COTIZACION DE LOS DISEÑOS DE PROTECCIÓN CONTRA INCENDIOS PARA EL PROYECTO TORRE 3 DE PLANTE</t>
  </si>
  <si>
    <t xml:space="preserve"> (4) 440 9310</t>
  </si>
  <si>
    <t>Juan Aristizabal Guisao</t>
  </si>
  <si>
    <t>COTIZACION DE LA REVISIÓN DEL ESTUDIO DE SEGURIDAD HUMANA - PROYECTOS UNIVERSIDAD DEL VALLE - REV C</t>
  </si>
  <si>
    <t>300 2426006</t>
  </si>
  <si>
    <t>Daniel Guzman Duque</t>
  </si>
  <si>
    <t>daniel.guzman@ingeniobim.co</t>
  </si>
  <si>
    <t>COTIZACION DE LOS DISEÑOS DE PROTECCIÓN CONTRA INCENDIOS Y SEGURIDAD HUMANA PARA EL PROYECTO EDIFICIO LA CEJA-EL CARMEN</t>
  </si>
  <si>
    <t>COTIZACION DE LOS DISEÑOS DE PROTECCIÓN CONTRA INCENDIOS Y SEGURIDAD HUMANA PARA EL PROYECTO VIBRATTO</t>
  </si>
  <si>
    <t>CENTRO SUR</t>
  </si>
  <si>
    <t>4480648 Ext 122</t>
  </si>
  <si>
    <t>Daniel Pernett Patiño</t>
  </si>
  <si>
    <t>danielpernett@centrosur.co</t>
  </si>
  <si>
    <t>143B</t>
  </si>
  <si>
    <t>COTIZACION DE LOS DISEÑOS DE SEGURIDAD HUMANA Y PROTECCION CONTRA INCENDIOS</t>
  </si>
  <si>
    <t>COTIZACION DE LOS DISEÑOS DE PROTECCIÓN CONTRA INCENDIOS Y SEGURIDAD HUMANA PARA EL PROYECTO SONATTO</t>
  </si>
  <si>
    <t>Ana Melisa Blanco Vélez</t>
  </si>
  <si>
    <t>ablanco@contex.com.co</t>
  </si>
  <si>
    <t>COTIZACION DE LOS DISEÑOS DE PROTECCIÓN CONTRA INCENDIOS PARA EL PROYECTO AGROVETERINARIA</t>
  </si>
  <si>
    <t xml:space="preserve">Agroveterinaria la Once </t>
  </si>
  <si>
    <t>Guillermo Hincapie Zabala</t>
  </si>
  <si>
    <t xml:space="preserve">COTIZACION DEL DISEÑO DE DETECCIÓN DE INCENDIOS PARA EL PROYECTO MERKA AHORRO </t>
  </si>
  <si>
    <t>310 5104288</t>
  </si>
  <si>
    <t>COTIZACION DEL DISEÑO DE EXTINCIÓN DE INCENDIOS PARA EL PROYECTO MERKA AHORRO</t>
  </si>
  <si>
    <t>COTIZACION DE LOS DISEÑOS DE PROTECCIÓN CONTRA INCENDIOS Y SEGURIDAD HUMANA PARA EL PROYECTO LICEO FRANCES</t>
  </si>
  <si>
    <t>DANIEL LÓPEZ SÁNCHEZ</t>
  </si>
  <si>
    <t>ingenierotecnico1@g4ingenieros.com</t>
  </si>
  <si>
    <t>COTIZACION DE LOS DISEÑOS DE PROTECCIÓN CONTRA INCENDIOS Y SEGURIDAD HUMANA PARA EL PROYECTO BALCONES MIRAFLOREZ</t>
  </si>
  <si>
    <t>COTIZACION DE LOS DISEÑOS DE PROTECCIÓN CONTRA INCENDIOS PARA EL PROYECTO PLANTAS ENVASADORAS Y ALMACENADORAS DE GLP</t>
  </si>
  <si>
    <t>CHILCO</t>
  </si>
  <si>
    <t>Paola Lechter</t>
  </si>
  <si>
    <t>paolalechter@chilco.com.co</t>
  </si>
  <si>
    <t>MODELACIÓN Y CÁLCULOS DEL SISTEMA DE DETECCIÓN DE INCENDIOS PARA BIODESTILERIA</t>
  </si>
  <si>
    <t xml:space="preserve">
COTIZACION DE LOS DISEÑOS DE PROTECCIÓN CONTRA INCENDIOS PARA EL PROYECTO BATA LOCAL 115</t>
  </si>
  <si>
    <t>COTIZACION DEL ANÁLISIS DE SEGURIDAD HUMANA PARA EL PROYECTO ARTES DEBORA ARANGO</t>
  </si>
  <si>
    <t>Conintec S.A.S</t>
  </si>
  <si>
    <t>Juan Sebastian Henao.</t>
  </si>
  <si>
    <t>interventoriadeboraetapa2@gmail.com</t>
  </si>
  <si>
    <t>COTIZACION DEL DISEÑO DE EXTINCIÓN DE INCENDIOS PARA EL PROYECTO PLANTA DE LIQUIDOS INYECTABLES</t>
  </si>
  <si>
    <t>New Stetic</t>
  </si>
  <si>
    <t>CIRO ALFONSO ATUESTA</t>
  </si>
  <si>
    <t>gerencia.atca@gmail.com</t>
  </si>
  <si>
    <t>COTIZACION DEL DISEÑO DE EXTINCIÓN DE INCENDIOS PARA EL PROYECTO CONSULTORIOS EL TESORO</t>
  </si>
  <si>
    <t>BYR</t>
  </si>
  <si>
    <t>Daniel Cardona</t>
  </si>
  <si>
    <t xml:space="preserve">	dcardona@byr.com.co</t>
  </si>
  <si>
    <t>COTIZACION DEL DISEÑO DE DETECCIÓN DE INCENDIOS PARA EL PROYECTO TEATRO METROPOLITANO</t>
  </si>
  <si>
    <t xml:space="preserve">Maribel Osorio E.  </t>
  </si>
  <si>
    <t>COTIZACION DEL LEVANTAMIENTO SISTEMAS PROTECCIÓN DE INCENDIOS - ED SAN MARTIN</t>
  </si>
  <si>
    <t>311 8973306</t>
  </si>
  <si>
    <t>Natalia Cruz</t>
  </si>
  <si>
    <t>nataliacruz@mensulaingenieros.com</t>
  </si>
  <si>
    <t>COTIZACIÓN SISTEMA DE EXTINCIÓN DE INCENDIOS VORTEX - VAXTHERA</t>
  </si>
  <si>
    <t>COTIZACION DE LOS DISEÑOS DE PROTECCIÓN CONTRA INCENDIOS Y SEGURIDAD HUMANA PARA EL PROYECTO MADERA</t>
  </si>
  <si>
    <t>27/04/2022</t>
  </si>
  <si>
    <t>314 8855316</t>
  </si>
  <si>
    <t>Yeison Gonzalez</t>
  </si>
  <si>
    <t>yeisongonzalez@mensulaingenieros.com</t>
  </si>
  <si>
    <t>COTIZACION DE LOS DISEÑOS DE PROTECCIÓN CONTRA INCENDIOS Y SEGURIDAD HUMANA PARA EL PROYECTO VIP LAGOS</t>
  </si>
  <si>
    <t>COTIZACION DE LOS DISEÑOS DE PROTECCIÓN CONTRA INCENDIOS PARA EL PROYECTO FRUTOS VERDES TORRE 10,11 Y 12</t>
  </si>
  <si>
    <t>320 7972462</t>
  </si>
  <si>
    <t>Martha Isabel García T.</t>
  </si>
  <si>
    <t>coordinacion@conintel.com.co</t>
  </si>
  <si>
    <t xml:space="preserve">COTIZACION DEL DISEÑO DE EXTINCIÓN DE INCENDIOS PARA EL PROYECTO INSTITUCION UNIVERSITARIA DE ENVIGADO
</t>
  </si>
  <si>
    <t>COTIZACION DEL ANÁLISIS DE SEGURIDAD HUMANA PARA EL PROYECTO P.H ALEXA PANAMA</t>
  </si>
  <si>
    <t>COTIZACION DEL DISEÑO DE EXTINCIÓN DE INCENDIOS PARA EL PROYECTO ZONA DE ALIMENTACION</t>
  </si>
  <si>
    <t>COTIZACION DEL DISEÑO DE EXTINCIÓN DE INCENDIOS PARA EL PROYECTO TERRA</t>
  </si>
  <si>
    <t>COTIZACION DE LOS DISEÑOS DE PROTECCIÓN CONTRA INCENDIOS Y SEGURIDAD HUMANA PARA EL PROYECTO CLINICA GRANADA META</t>
  </si>
  <si>
    <t xml:space="preserve">COTIZACION DE LOS DISEÑOS DE PROTECCIÓN CONTRA INCENDIOS Y SEGURIDAD HUMANA PARA EL PROYECTO CLINICA GRANADA META
</t>
  </si>
  <si>
    <t xml:space="preserve"> 312 405 4584</t>
  </si>
  <si>
    <t xml:space="preserve">Maribel Osorio E. </t>
  </si>
  <si>
    <t xml:space="preserve">COTIZACION DEL DISEÑO DE EXTINCIÓN DE INCENDIOS PARA EL PROYECTO BODEGAS SCALPI
</t>
  </si>
  <si>
    <t>COTIZACION DEL DISEÑO DE EXTINCIÓN DE INCENDIOS PARA EL PROYECTO ECUADOR</t>
  </si>
  <si>
    <t>No se hizo</t>
  </si>
  <si>
    <t>COTIZACION DEL DISEÑO DE EXTINCIÓN DE INCENDIOS PARA EL PROYECTO CENTRO COMERCIAL SANDIEGO</t>
  </si>
  <si>
    <t>IPM</t>
  </si>
  <si>
    <t xml:space="preserve">COTIZACION DEL DISEÑO DE DETECCIÓN DE INCENDIOS PARA EL PROYECTO LABORATORIO </t>
  </si>
  <si>
    <t>COTIZACION DEL DISEÑO DE EXTINCIÓN DE INCENDIOS PARA EL PROYECTO AQUA ETAPA 1</t>
  </si>
  <si>
    <t>COTIZACION MODELACIÓN Y ANÁLISIS HIDRÁULICO DISEÑOS ACTUALES RCI PROYECTO TERRA</t>
  </si>
  <si>
    <t xml:space="preserve">
COTIZACION DE LOS DISEÑOS DE DETECCIÓN DE INCENDIOS Y SEGURIDAD HUMANA PARA EL PROYECTO RIVERS PALMS ETAPA 1
</t>
  </si>
  <si>
    <t>Cesar López Muñoz</t>
  </si>
  <si>
    <t>cesarlopez@convel.co</t>
  </si>
  <si>
    <t>COTIZACION DE LOS DISEÑOS DE EXTINCIÓN DE INCENDIOS Y SEGURIDAD HUMANA PARA EL PROYECTO REMODELACION DEL EDICIFIO DE LA FORD</t>
  </si>
  <si>
    <t>AYC</t>
  </si>
  <si>
    <t>Jorge Luis Cadavid Betancur</t>
  </si>
  <si>
    <t>jbetancur@arquitecturayconcreto.com</t>
  </si>
  <si>
    <t>COTIZACION DEL DISEÑO DE EXTINCIÓN DE INCENDIOS PARA EL PROYECTO LOCAL 08 DISTRITO 90</t>
  </si>
  <si>
    <t>Mauricio Guzman Urrea</t>
  </si>
  <si>
    <t>COTIZACION DE LOS DISEÑOS DE PROTECCIÓN CONTRA INCENDIOS PARA EL PROYECTO KENWORTH</t>
  </si>
  <si>
    <t>Cristiam Gustavo Mondragón Cortes</t>
  </si>
  <si>
    <t>COTIZACION DE LOS DISEÑOS DE SEGURIDAD HUMANA Y PROTECCIÓN CONTRA INCENDIOS - PROYECTO LA VIDA ES BELLA 2 ETAPA 1</t>
  </si>
  <si>
    <t>COTIZACION DE LOS DISEÑOS DE SEGURIDAD HUMANA Y PROTECCIÓN CONTRA  INCENDIOS - RIO</t>
  </si>
  <si>
    <t>COTIZACION DE LOS DISEÑOS DE PROTECCIÓN CONTRA INCENDIOS PARA EL PROYECTO BODEGA AVERY DENNINSON</t>
  </si>
  <si>
    <t>Jomark Seguridad</t>
  </si>
  <si>
    <t>COTIZACION DE LOS DISEÑOS DE EXTINCIÓN DE INCENDIOS Y SEGURIDAD HUMANA PARA EL PROYECTO RIO</t>
  </si>
  <si>
    <t>COTIZACION DE LOS DISEÑOS DE EXTINCIÓN DE INCENDIOS Y SEGURIDAD HUMANA PARA EL PROYECTO GREEN LIVING</t>
  </si>
  <si>
    <t>API</t>
  </si>
  <si>
    <t>Esteban Escobar Galindo</t>
  </si>
  <si>
    <t>esteban.escobar@apicdecolombia.com</t>
  </si>
  <si>
    <t>COTIZACION DEL DISEÑO DE EXTINCIÓN DE INCENDIOS PARA EL PROYECTO CONGELADOS RANSA</t>
  </si>
  <si>
    <t>COTIZACION DE LOS DISEÑOS DE PROTECCIÓN CONTRA INCENDIOS - FOSO BODEGA CORRUGADOR PAPELSA</t>
  </si>
  <si>
    <t>311 3391008</t>
  </si>
  <si>
    <t>COTIZACION DEL DISEÑO DE EXTINCIÓN DE INCENDIOS - BODEGA CORRUGADOR Y ROLLOS PAPELSA</t>
  </si>
  <si>
    <t>COTIZACION DE LOS PLANOS DE SEÑALIZACIÓN DE EMERGENCIA PROYECTO PROYECTO MIRASOL</t>
  </si>
  <si>
    <t>COTIZACION CONCEPTO TÉCNICO PUERTAS CORTAFUEGO Y BARANDAS - PROYECTO MIRASOL</t>
  </si>
  <si>
    <t xml:space="preserve">COTIZACIÓN DEL REDISEÑO Y AS BUILT DE EXTINCIÓN DE INCENDIOS  PARA EL PROYECTO ACUARELA DEL RIO </t>
  </si>
  <si>
    <t>INTERVENTORIA OBRA MITSUBISHI</t>
  </si>
  <si>
    <t>MANDALACOTIZACION DEL RE-DISEÑO DEL CUARTO DE BOMBAS - MANDALA</t>
  </si>
  <si>
    <t>COTIZACION DE LOS DISEÑOS DE PROTECCIÓN CONTRA INCENDIOS Y SEGURIDAD HUMANA PARA EL PROYECTO ENTREVILLAS</t>
  </si>
  <si>
    <t>CONSTRUCCIONES E INTERVENCIONES ASOCIATIVAS</t>
  </si>
  <si>
    <t>Anabel Ortiz Campo</t>
  </si>
  <si>
    <t>villaterrat2@gmail.com</t>
  </si>
  <si>
    <t>COTIZACION DE LOS DISEÑOS DE PROTECCIÓN CONTRA INCENDIOS Y SEGURIDAD HUMANA PARA EL PROYECTO SUITES MONTENEGRO</t>
  </si>
  <si>
    <t>Alejandro Montoya Mazo.</t>
  </si>
  <si>
    <t>COTIZACION DE LOS DISEÑOS DE PROTECCIÓN CONTRA INCENDIOS Y SEGURIDAD HUMANA PARA EL PROYECTO MIXTO POLITAN</t>
  </si>
  <si>
    <t>COTIZACION DE LOS DISEÑOS DE PROTECCIÓN CONTRA INCENDIOS Y SEGURIDAD HUMANA PARA EL PROYECTO RODEO DE LA MONTAÑA</t>
  </si>
  <si>
    <t>FCR</t>
  </si>
  <si>
    <t xml:space="preserve"> Vanessa Zapata</t>
  </si>
  <si>
    <t>COTIZACION DEL DISEÑO DE EXTINCIÓN DE INCENDIOS - OPAV CALDAS</t>
  </si>
  <si>
    <t>COTIZACION DEL DISEÑO DE EXTINCIÓN DE INCENDIOS PARA EL PROYECTO PLAZA DE MERCADO DE SAN VICENTE</t>
  </si>
  <si>
    <t>NO SE PRESENTA</t>
  </si>
  <si>
    <t>COTIZACION DEL ANÁLISIS DE SEGURIDAD HUMANA PARA EL PROYECTO TALLERES Y EDIFICIO ADMINISTRATIVO DE LA TERMINAL DE CONTENEDORES DE CARTAGENA</t>
  </si>
  <si>
    <t>Diego Alejandro Zapata Agudelo</t>
  </si>
  <si>
    <t>dzapata@conconcreto.com</t>
  </si>
  <si>
    <t>COTIZACION DEL ANÁLISIS DE SEGURIDAD HUMANA PARA EL PROYECTO BODEGA PARA ALMACENAMIENTO DE CAFÉ</t>
  </si>
  <si>
    <t>COTIZACION DE LOS DISEÑOS DE PROTECCIÓN CONTRA INCENDIOS PARA EL PROYECTO ZONAS COMUNES BOSQUE SANTO</t>
  </si>
  <si>
    <t>Construcciones Javier Londoño</t>
  </si>
  <si>
    <t>Laura Restrepo</t>
  </si>
  <si>
    <t>lrestrepo@javierlondono.com.co</t>
  </si>
  <si>
    <t>COTIZACION DEL DISEÑO DE EXTINCIÓN DE INCENDIOS PARA EL PROYECTO CLINICA MEDELLIN SEDE OCCIDENTE</t>
  </si>
  <si>
    <t>MODELACIÓN Y CÁLCULOS DEL SISTEMA DE DETECCIÓN DE INCENDIOS PARA UN NIVEL DE SURA INDUSTRIALES</t>
  </si>
  <si>
    <t>COTIZACION DE LOS DISEÑOS DE PROTECCIÓN CONTRA INCENDIOS Y SEGURIDAD HUMANA PARA EL PROYECTO BRUJA MAGICA</t>
  </si>
  <si>
    <t>COTIZACION DE LOS DISEÑOS DE PROTECCIÓN CONTRA INCENDIOS Y SEGURIDAD HUMANA PARA EL PROYECTO LABORATORIO CLINICO</t>
  </si>
  <si>
    <t>Jhon A. Rodríguez Nieto</t>
  </si>
  <si>
    <t>COTIZACION DE LOS DISEÑOS DE PROTECCIÓN CONTRA INCENDIOS PARA EL PROYECTO BODEGA PROMISION</t>
  </si>
  <si>
    <t>COTIZACION DE LOS DISEÑOS DE PROTECCIÓN CONTRA INCENDIOS Y SEGURIDAD HUMANA PARA EL PROYECTO VISTA VERDE CARMEN DE VIBORAL</t>
  </si>
  <si>
    <t>COTIZACION DEL ANÁLISIS DE SEGURIDAD HUMANA PARA EL PROYECTO CONTREE PALMAS</t>
  </si>
  <si>
    <t>Julián Osorio Gómez</t>
  </si>
  <si>
    <t>jjosorio@conconcreto.com</t>
  </si>
  <si>
    <t>COTIZACION DE LOS DISEÑOS DE PROTECCIÓN CONTRA INCENDIOS Y SEGURIDAD HUMANA PARA EL PROYECTO MENTE PLENA ENVIGADO</t>
  </si>
  <si>
    <t>Simon Agudelo Zuluaga</t>
  </si>
  <si>
    <t>simon.agudelo@labinmobiliario.com</t>
  </si>
  <si>
    <t xml:space="preserve">COTIZACION DE LOS DISEÑOS DE PROTECCIÓN CONTRA INCENDIOS Y SEGURIDAD HUMANA PARA EL PROYECTO CEDI ALSEC </t>
  </si>
  <si>
    <t>COTIZACION DE LOS DISEÑOS DE PROTECCIÓN CONTRA INCENDIOS Y SEGURIDAD HUMANA PARA EL PROYECTO PLANTA CEDI ALSEC</t>
  </si>
  <si>
    <t xml:space="preserve">COTIZACION DEL ANÁLISIS DE SEGURIDAD HUMANA - PROYECTOBODEGA PARA ALMACENAMIENTO DE CAFE </t>
  </si>
  <si>
    <t>COTIZACION DEL ANÁLISIS DE SEGURIDAD HUMANA - PROYECTOBODEGA PARA TALLERSE</t>
  </si>
  <si>
    <t>COTIZACION DEL DISEÑO DE DETECCIÓN DE INCENDIOS PARA EL PROYECTO BODEGA IAVET</t>
  </si>
  <si>
    <t xml:space="preserve">COTIZACION DEL DISEÑO DE DETECCIÓN DE INCENDIOS PARA EL PROYECTO ALMIRAN
</t>
  </si>
  <si>
    <t>COTIZACION DE LOS DISEÑOS DE PROTECCIÓN CONTRA INCENDIOS Y SEGURIDAD HUMANA PARA EL PROYECTO ZETA HOME</t>
  </si>
  <si>
    <t>313 7229683</t>
  </si>
  <si>
    <t>David Restrepo</t>
  </si>
  <si>
    <t>david.restrepo1205@gmail.com</t>
  </si>
  <si>
    <t>COTIZACION DE LOS DISEÑOS DE PROTECCIÓN CONTRA INCENDIOS Y SEGURIDAD HUMANA PARA EL PROYECTO ONE LIVING EAST</t>
  </si>
  <si>
    <t>COTIZACION DEL DISEÑO DE DETECCIÓN DE INCENDIOS PARA EL PROYECTO EDIFICIO PRANA</t>
  </si>
  <si>
    <t>Centro Empresarial Prana 26</t>
  </si>
  <si>
    <t>Jorge Betancur</t>
  </si>
  <si>
    <t>ce.prana26@gmail.com</t>
  </si>
  <si>
    <t>COTIZACION DE LA REVISIÓN DE SEGURIDAD HUMANA Y PROTECCIÓN CONTRA INCENDIOS - PROYECTO DIAGNOSTICO IPS BARRANQUILLA</t>
  </si>
  <si>
    <t>COTIZACION DEL DISEÑO DE EXTINCIÓN DE INCENDIOS - PARQUEADERO DE MOTOS VIVA ENVIGADO</t>
  </si>
  <si>
    <t>COTIZACION DE LOS DISEÑOS DE PROTECCIÓN CONTRA INCENDIOS Y SEGURIDAD HUMANA PARA EL PROYECTO BODEGAS ZONA 3 (B10, B11, B25)</t>
  </si>
  <si>
    <t>ESCUADRAS SAS</t>
  </si>
  <si>
    <t xml:space="preserve">Oscar Gerardo Castro Espinosa </t>
  </si>
  <si>
    <t>obrazonaescuadra@gmail.com</t>
  </si>
  <si>
    <t xml:space="preserve">COTIZACION DE LOS DISEÑOS DE PROTECCIÓN CONTRA INCENDIOS Y SEGURIDAD HUMANA PARA EL PROYECTO ARBOLEDA DE SAN ANTONIO ETAPA 3 Y ETAPA 4
</t>
  </si>
  <si>
    <t>INSERCO</t>
  </si>
  <si>
    <t>Leandro Herrera Gutierrez</t>
  </si>
  <si>
    <t>directorlean@inserco.com.co</t>
  </si>
  <si>
    <t>COTIZACION DE LOS DISEÑOS DE PROTECCIÓN CONTRA INCENDIOS PARA EL PROYECTO CLUB EL PRADO</t>
  </si>
  <si>
    <t>Cristina Tobón Villa</t>
  </si>
  <si>
    <t>cesarllanosarquitectura@gmail.com</t>
  </si>
  <si>
    <t>COTIZACION DEL DISEÑO DE DETECCIÓN DE INCENDIOS - OFICINAS PLANTA DE PINTURAS PPG</t>
  </si>
  <si>
    <t xml:space="preserve">COTIZACION DE LOS DISEÑOS DE PROTECCIÓN CONTRA INCENDIOS PARA EL PROYECTO FUSGASUGÁ
</t>
  </si>
  <si>
    <t>Viviana Julieth Monsalve Patiño</t>
  </si>
  <si>
    <t>COTIZACIÓN DE VISITA Y GENERACIÓN DE CANTIDADES DE OBRA SOBRE FALTANTES DE EXTINCIÓN EN JARDINES DE LLANOGRANDE</t>
  </si>
  <si>
    <t>COTIZACION DE LOS DISEÑOS DE PROTECCIÓN CONTRA INCENDIOS Y SEGURIDAD HUMANA PARA EL PROYECTO EDIFICIO SAN LUCAS</t>
  </si>
  <si>
    <t>Asesorías Balbin</t>
  </si>
  <si>
    <t>Santiago Cardona Balbin</t>
  </si>
  <si>
    <t>COTIZACION DE LOS PLANOS AS-BUIT DE EXTINCIÓN DE INCENIDOS - VIVAS</t>
  </si>
  <si>
    <t>COTIZACIÓN ELABORACIÓN PLACAS PARA RISER COOMEVA BELLO</t>
  </si>
  <si>
    <t>COTIZACION DE LOS DISEÑOS DE PROTECCIÓN CONTRA INCENDIOS PARA EL PROYECTO BODEGAS QUIMTIA</t>
  </si>
  <si>
    <t>COTIZACION DE LOS DISEÑOS DE PROTECCIÓN CONTRA INCENDIOS Y SEGURIDAD HUMANA PARA EL PROYECTO QUIROFANOS ESMERAL</t>
  </si>
  <si>
    <t>COTIZACION DEL DISEÑO DE EXTINCIÓN DE INCENDIOS PARA EL PROYECTO EDIFICIO DE IDIOMAS PISO 8 Y 9 UNIVERSIDAD EAFIT</t>
  </si>
  <si>
    <t>COTIZACION DE REVISIÓN DE LOS SISTEMAS DE PROTECCIÓN CONTRA INCENDIOS INSTALADOS PARADISE LIVING</t>
  </si>
  <si>
    <t>PROCIC</t>
  </si>
  <si>
    <t>25/05/2022</t>
  </si>
  <si>
    <t>Lina Bustamante</t>
  </si>
  <si>
    <t>direccionobra@procicsas.com</t>
  </si>
  <si>
    <t>COTIZACION DE LOS DISEÑOS DE PROTECCIÓN CONTRA INCENDIOS - PISOS 6 Y 7 PROYECTO CHELSEA</t>
  </si>
  <si>
    <t>314 6454239</t>
  </si>
  <si>
    <t>Carmenza Guzmán</t>
  </si>
  <si>
    <t xml:space="preserve">carmenza.guzman@urco.com.co </t>
  </si>
  <si>
    <t>COTIZACION DE LOS DISEÑOS DE SEGURIDAD HUMANA Y PROTECCIÓN CONTRA INCENDIOS - SOLEI ETAPA 1</t>
  </si>
  <si>
    <t>CONALTURA</t>
  </si>
  <si>
    <t>Victor Alfonso Monsalve</t>
  </si>
  <si>
    <t>vmonsalve@conaltura.com,</t>
  </si>
  <si>
    <t>COTIZACION DE LOS DISEÑOS DE PROTECCIÓN CONTRA INCENDIOS Y SEGURIDAD HUMANA PARA EL PROYECTO ISLANDIA</t>
  </si>
  <si>
    <t>Harol Mauricio Camacho Ramírez</t>
  </si>
  <si>
    <t>COTIZACION DEL ANÁLISIS DE SEGURIDAD HUMANA PARA EL PROYECTO LOTE 2 PUG CHIMENEAS</t>
  </si>
  <si>
    <t>COTIZACION DE LOS DISEÑOS DE PROTECCIÓN CONTRA INCENDIOS Y SEGURIDAD HUMANA PARA EL PROYECTO LIFF</t>
  </si>
  <si>
    <t>313 6576937</t>
  </si>
  <si>
    <t>Gabriel Tamayo</t>
  </si>
  <si>
    <t>gjtamayo@gmail.com</t>
  </si>
  <si>
    <t>COTIZACION DE LOS DISEÑOS DE PROTECCIÓN CONTRA INCENDIOS PARA EL PROYECTO ZONAS COMUNES PRIMEIRO</t>
  </si>
  <si>
    <t>Dairon Andrés Obando Velásquez</t>
  </si>
  <si>
    <t>COTIZACION DE LOS DISEÑOS DE PROTECCIÓN CONTRA INCENDIOS PARA EL PROYECTO AMPLIACION DE COSTADO SUR CLINICA EL ROSARIO EL TESORO</t>
  </si>
  <si>
    <t>COTIZACION DE LOS DISEÑOS DE PROTECCIÓN CONTRA INCENDIOS Y SEGURIDAD HUMANA PARA EL PROYECTO CLINICA EL ROSARIO EL TESORO</t>
  </si>
  <si>
    <t>COTIZACION DEL DISEÑO DE DETECCIÓN DE INCENDIOS - LOCAL COMERCIAL EDIFICIO CROSS</t>
  </si>
  <si>
    <t>COTIZACION DEL ANÁLISIS DE SEGURIDAD HUMANA PARA EL PROYECTO EDIFICIOS UNIDADES FUNCIONALES RUTA 40 EN COLOMBIA</t>
  </si>
  <si>
    <t>COTIZACION DE LOS DISEÑOS DE PROTECCIÓN CONTRA INCENDIOS - 3 CASTILLOS PLANTA 1</t>
  </si>
  <si>
    <t>COTIZACION DE LOS DISEÑOS DE PROTECCIÓN CONTRA INCENDIOS - 3 CASTILLOS PLANTA 2</t>
  </si>
  <si>
    <t>COTIZACION DEL REDISEÑO DE EXTINCIÓN PARA EL PROYECTO MIRASUR</t>
  </si>
  <si>
    <t>Construcciones Alcalá</t>
  </si>
  <si>
    <t>COTIZACION DE LOS DISEÑOS DE PROTECCIÓN CONTRA INCENDIOS PARA EL PROYECTO BODEGA TRUHER SABANETA</t>
  </si>
  <si>
    <t>COTIZACION DE LOS DISEÑOS DE PROTECCIÓN CONTRA INCENDIOS PARA EL PROYECTO FUNDACION LUPINES</t>
  </si>
  <si>
    <t>ANDRES FELIPE REINOSA V.</t>
  </si>
  <si>
    <t>COTIZACION DE LOS DISEÑOS DE SEGURIDAD HUMANA Y EXTINCIÓN DE INCENDIOS - MEGACENTER</t>
  </si>
  <si>
    <t>COTIZACION DE LOS DISEÑOS DE SEGURIDAD HUMANA Y PROTECCIÓN CONTRA INCENDIOS - CLÍNICA DEL ROSARIO EL TESORO</t>
  </si>
  <si>
    <t xml:space="preserve">COTIZACION DE LOS DISEÑOS DE DETECCIÓN DE INCENDIOS Y SEGURIDAD HUMANA PARA EL PROYECTO PLANTA RECOVIL
</t>
  </si>
  <si>
    <t>SMART FIRE PROTECCION</t>
  </si>
  <si>
    <t>COTIZACION DEL DISEÑO DE EXTINCIÓN DE INCENDIOS - CLÍNICA DEL ROSARIO EL TESORO</t>
  </si>
  <si>
    <t xml:space="preserve">COTIZACION DEL ANÁLISIS DE SEGURIDAD HUMANA PARA EL PROYECTO BODEGA B10-11-12-13
</t>
  </si>
  <si>
    <t>COTIZACION DEL DISEÑO DE DETECCIÓN DE INCENDIOS PARA EL PROYECTO LOCA 234 NAVISSI BARRANQUILLA</t>
  </si>
  <si>
    <t>COTIZACION DE LOS DISEÑOS DE PROTECCIÓN CONTRA INCENDIOS Y SEGURIDAD HUMANA PARA EL PROYECTO SERRANIA CAMPESTRE</t>
  </si>
  <si>
    <t>Leandro Herrera Gutiérrez</t>
  </si>
  <si>
    <t xml:space="preserve">COTIZACION DEL DISEÑO DE EXTINCIÓN DE INCENDIOS PARA EL PROYECTO TANQUES DE ALMACENAMIENTO
</t>
  </si>
  <si>
    <t xml:space="preserve">COTIZACION DEL DISEÑO DE EXTINCIÓN DE INCENDIOS PARA EL PROYECTO LOCAL 1013 CENTRO COMERCIAL INICIO
</t>
  </si>
  <si>
    <t>C.C INICIO</t>
  </si>
  <si>
    <t>Mafe Chaux</t>
  </si>
  <si>
    <t>mafe.focusdi@gmail.com</t>
  </si>
  <si>
    <t>COTIZACION DE LOS DISEÑOS DE PROTECCIÓN CONTRA INCENDIOS PARA EL PROYECTO CENTRO LOGISTICO BIKE HOUSE LA ESTRELLA</t>
  </si>
  <si>
    <t>COTIZACION DE LOS DISEÑOS DE PROTECCIÓN CONTRA INCENDIOS PARA EL PROYECTO EDIFICIO TORRE MAYOR</t>
  </si>
  <si>
    <t>Pendiente</t>
  </si>
  <si>
    <t>COTIZACION DE LOS DISEÑOS DE PROTECCIÓN CONTRA INCENDIOS PARA EL PROYECTO EDIFICIO ADMINISTRATIVO DE LAS BODEGAS DE CENTRO ACEROS</t>
  </si>
  <si>
    <t>TANQUE DE ESPUMA</t>
  </si>
  <si>
    <t>NO SE ENVIÓ</t>
  </si>
  <si>
    <t>COTIZACION DEL DISEÑO DE DETECCIÓN DE INCENDIOS PARA EL PROYECTO VITA</t>
  </si>
  <si>
    <t>16/06/2022</t>
  </si>
  <si>
    <t>COTIZACION DE LOS DISEÑOS DE PROTECCIÓN CONTRA INCENDIOS PARA EL PROYECTO EDIFICIO ADMINISTRATIVO LOGIN</t>
  </si>
  <si>
    <t>COTIZACION DEL DIAGNÓSTICO DE SEGURIDAD HUMANA Y PROTECCIÓN CONTRA INCENDIOS - PROYECTO IPS TOLIMA</t>
  </si>
  <si>
    <t>Sebastián Herran</t>
  </si>
  <si>
    <t>s.herran@condiseno.co</t>
  </si>
  <si>
    <t xml:space="preserve">COTIZACION DE LOS DISEÑOS DE PROTECCIÓN CONTRA INCENDIOS PARA EL PROYECTO ANTILLAS
</t>
  </si>
  <si>
    <t>Contex</t>
  </si>
  <si>
    <t>Melisa blanco Velez</t>
  </si>
  <si>
    <t>mblanco@contex.com.co</t>
  </si>
  <si>
    <t xml:space="preserve">COTIZACION DE LOS DISEÑOS DE PROTECCIÓN CONTRA INCENDIOS Y SEGURIDAD HUMANA PARA EL PROYECTO KALA
</t>
  </si>
  <si>
    <t>Santiago Cardona Balvin</t>
  </si>
  <si>
    <t>santi.car9@hotmail.com</t>
  </si>
  <si>
    <t>COTIZACION DEL ANÁLISIS DE SEGURIDAD HUMANA PARA EL PROYECTO EPSA 2</t>
  </si>
  <si>
    <t>Camilo Gómez Aguirre</t>
  </si>
  <si>
    <t>camilogomez@convel.co</t>
  </si>
  <si>
    <t>COTIZACION DEL DISEÑO DE DETECCIÓN DE INCENDIOS PARA EL PROYECTO LOCAL NAVISSI CENTRO COMERCIAL VIVA BARRANQUILLA</t>
  </si>
  <si>
    <t>Jahir Manrique Rodriguez</t>
  </si>
  <si>
    <t>jahir.manrique@spci.com.co</t>
  </si>
  <si>
    <t>COTIZACION DE LOS DISEÑOS DE PROTECCIÓN CONTRA INCENDIOS PARA EL PROYECTO OFICINAS N.12</t>
  </si>
  <si>
    <t>Hidromaq</t>
  </si>
  <si>
    <t>COTIZACION DEL DISEÑO DE EXTINCIÓN DE INCENDIOS PARA EL PROYECTO REFORMA INDUSTRIALES SURA</t>
  </si>
  <si>
    <t>COTIZACION DEL ANÁLISIS DE SEGURIDAD HUMANA PARA EL PROYECTO BLAK BOX Y CENTRO DE PRATICAS EN LA SEDE DE EMPRENDIMIENTO, INNOVACION Y CREACION</t>
  </si>
  <si>
    <t>UNIVERSIDAD DEL ROSARIO</t>
  </si>
  <si>
    <t>IVONNE VANESA CABALLERO LUNA</t>
  </si>
  <si>
    <t>ivonnev.caballero@urosario.edu.co</t>
  </si>
  <si>
    <t>COTIZACION DEL DISEÑO DE EXTINCIÓN DE INCENDIOS - BODEGA BERHNAL</t>
  </si>
  <si>
    <t>Berhnal de Colombia</t>
  </si>
  <si>
    <t>317 6370047</t>
  </si>
  <si>
    <t>Felipe Berhnal</t>
  </si>
  <si>
    <t>COTIZACION DE LOS DISEÑOS DE PROTECCIÓN CONTRA INCENDIOS PARA EL PROYECTO SERVIENTREGA PEREIRA</t>
  </si>
  <si>
    <t xml:space="preserve">
COTIZACION DEL DISEÑO DE DETECCIÓN DE INCENDIOS PARA EL PROYECTO SERVIENTREGA VILLAVICENCIO</t>
  </si>
  <si>
    <t>COTIZACIÓN DE VISITA GRAN COLOMBIA GOLD - SEGOVIA</t>
  </si>
  <si>
    <t>24/06/2022</t>
  </si>
  <si>
    <t>COTIZACION DEL DIAGNÓSTICO DE EXTINCIÓN DE INCENIDOS PARA HOSPITAL DE ALTA COMPLEJIDAD EN LA CIUDAD DE PEREIRA DE 9.000 M2</t>
  </si>
  <si>
    <t>COTIZACION DE LOS DISEÑOS DE PROTECCIÓN CONTRA INCENDIOS Y SEGURIDAD HUMANA PARA EL PROYECTO BRISA CAMPESTRE TORRE 6</t>
  </si>
  <si>
    <t>COTIZACION DE LOS DISEÑOS DE PROTECCIÓN CONTRA INCENDIOS Y SEGURIDAD HUMANA PARA EL PROYECTO MAIORES</t>
  </si>
  <si>
    <t>CANTAGIRONE</t>
  </si>
  <si>
    <t>Isabel Cristina Botero Lopez</t>
  </si>
  <si>
    <t>proyectosbim@cantagirone.com</t>
  </si>
  <si>
    <t>COTIZACION DE LOS DISEÑOS DE PROTECCIÓN CONTRA INCENDIOS PARA EL PROYECTO NATÉ</t>
  </si>
  <si>
    <t>COTIZACION DE LOS DISEÑOS DE PROTECCIÓN CONTRA INCENDIOS Y SEGURIDAD HUMANA PARA EL PROYECTO CANTAGIRONE 180</t>
  </si>
  <si>
    <t>Isabel Cristina Botero López</t>
  </si>
  <si>
    <t>COTIZACION DE LOS DISEÑOS DE PROTECCIÓN CONTRA INCENDIOS Y SEGURIDAD HUMANA PARA EL PROYECTO EPSA 2</t>
  </si>
  <si>
    <t xml:space="preserve"> 350 88 66 - Ext. 182</t>
  </si>
  <si>
    <t>COTIZACION DEL DISEÑO DE DETECCIÓN DE INCENDIOS PARA EL PROYECTO CEMEX</t>
  </si>
  <si>
    <t>(502) 42156502</t>
  </si>
  <si>
    <t>COTIZACION DEL PRE-DISEÑO DE EXTINCIÓN DE INCENDIOS - KOBA GIRARDOTA</t>
  </si>
  <si>
    <t>COTIZACION DEL DISEÑO DE EXTINCIÓN DE INCENDIOS -  PROYECTO CALLE BISTRÓ VIVA VILLAVICENCIO</t>
  </si>
  <si>
    <t>COTIZACION DEL DISEÑO DE EXTINCIÓN DE INCENDIOS PARA EL PROYECTO BODEGAS CORBETA</t>
  </si>
  <si>
    <t>International Business Professional</t>
  </si>
  <si>
    <t>310 745 7260</t>
  </si>
  <si>
    <t>maribel.osorioespinosa@gmail.com</t>
  </si>
  <si>
    <t xml:space="preserve">COTIZACION DEL DISEÑO DE EXTINCIÓN DE INCENDIOS PARA EL PROYECTO TORRE SERVICIOS CONSULTORIOS
</t>
  </si>
  <si>
    <t xml:space="preserve"> DARIO A. SALDARRIAGA R.</t>
  </si>
  <si>
    <t>COTIZACION DEL ANÁLISIS DE SEGURIDAD HUMANA PARA EL PROYECTO TORRE SERVICIOS CONSULTORIOS</t>
  </si>
  <si>
    <t>COTIZACION DE LOS DISEÑOS DE PROTECCIÓN CONTRA INCENDIOS - VINAZA INGENIO RISARALDA</t>
  </si>
  <si>
    <t>COTIZACION DE LOS DISEÑOS DE SEGURIDAD HUMANA Y PROTECCIÓN CONTRA INCENDIOS - EDIFICIO ZONAS HÚMEDAS MARROCO</t>
  </si>
  <si>
    <t>VÉRTICE</t>
  </si>
  <si>
    <t>321 6438520</t>
  </si>
  <si>
    <t>Luz Aleidy Cuartas</t>
  </si>
  <si>
    <t xml:space="preserve">l.cuartas@verticeing.com </t>
  </si>
  <si>
    <t>COTIZACION DE LOS DISEÑOS DE SEGURIDAD HUMANA Y PROTECCIÓN CONTRA INCENDIOS - HOTEL AIMARA</t>
  </si>
  <si>
    <t>COTIZACION DE LOS DISEÑOS DE PROTECCIÓN CONTRA INCENDIOS Y SEGURIDAD HUMANA PARA EL PROYECTO FUNDACION UDEA</t>
  </si>
  <si>
    <t>Abel de la Torre</t>
  </si>
  <si>
    <t>abelplasencia@convel.co</t>
  </si>
  <si>
    <t>COTIZACION DE LOS DISEÑOS DE PROTECCIÓN CONTRA INCENDIOS PARA EL PROYECTO FUNDACION UDEA</t>
  </si>
  <si>
    <t>COTIZACION DEL DISEÑO DE EXTINCIÓN DE INCENDIOS PARA EL PROYECTO VITHA AJUSTE</t>
  </si>
  <si>
    <t>COTIZACION DE LOS DISEÑOS DE PROTECCIÓN CONTRA INCENDIOS Y SEGURIDAD HUMANA PARA EL PROYECTO UNIVERSIDAD LUIS AMIGÓ</t>
  </si>
  <si>
    <t>Juan Pablo Grajales Gomez</t>
  </si>
  <si>
    <t>COTIZACION DE LOS DISEÑOS DE PROTECCIÓN CONTRA INCENDIOS Y SEGURIDAD HUMANA PARA EL PROYECTO LOOP HOUSINN</t>
  </si>
  <si>
    <t>COTIZACION DEL ANÁLISIS DE SEGURIDAD HUMANA PARA EL PROYECTO HOSPITAL DE PASTO</t>
  </si>
  <si>
    <t>COTIZACION DE LOS DISEÑOS DE PROTECCIÓN CONTRA INCENDIOS Y SEGURIDAD HUMANA PARA EL PROYECTO ADMICI</t>
  </si>
  <si>
    <t xml:space="preserve"> 300 864 37 10</t>
  </si>
  <si>
    <t>COTIZACION DEL ANÁLISIS DE SEGURIDAD HUMANA PARA EL PROYECTO TORRE PUERTO AZUL</t>
  </si>
  <si>
    <t>Ladis Sender Valencia Carrillo</t>
  </si>
  <si>
    <t>COTIZACION DEL DISEÑO DE DETECCIÓN DE INCENDIOS PARA EL PROYECTO PLANTA ORANGE FAMILIA RIONEGRO</t>
  </si>
  <si>
    <t>Alvaro Eduardo Garcia Lopez</t>
  </si>
  <si>
    <t>alvaro.garcia@seriinco.com</t>
  </si>
  <si>
    <t>COTIZACION DEL DISEÑO DE DETECCIÓN DE INCENDIOS PARA EL PROYECTO LOCAL 111 MIMOS CAUCASIA</t>
  </si>
  <si>
    <t>COTIZACION DE LOS DISEÑOS DE PROTECCIÓN CONTRA INCENDIOS Y SEGURIDAD HUMANA PARA EL PROYECTO EDIFICIO</t>
  </si>
  <si>
    <t>Socomes</t>
  </si>
  <si>
    <t xml:space="preserve">COTIZACION DEL DISEÑO DE EXTINCIÓN DE INCENDIOS PARA EL PROYECTO PARQUE INDUSTRIAL GUARNE P.H
</t>
  </si>
  <si>
    <t>Prosperar SAS</t>
  </si>
  <si>
    <t>316 482 26 08</t>
  </si>
  <si>
    <t>Robinson Rivera Henao</t>
  </si>
  <si>
    <t>copropiedades2@une.net.co</t>
  </si>
  <si>
    <t xml:space="preserve">COTIZACION HORAS DIBUJANTE SECURETEC
</t>
  </si>
  <si>
    <t>16/07/2022</t>
  </si>
  <si>
    <t>Andrés Felipe Hernández Cardona</t>
  </si>
  <si>
    <t>&lt;ahernandez@solucionesinmobiliariassas.com</t>
  </si>
  <si>
    <t>COTIZACION DEL DISEÑO DE EXTINCIÓN DE INCENDIOS PARA EL PROYECTO LOCAL PISO 5 ORIENTAL</t>
  </si>
  <si>
    <t>DARIO A. SALDARRIAGA R.</t>
  </si>
  <si>
    <t xml:space="preserve">COTIZACION DEL DISEÑO DE DETECCIÓN DE INCENDIOS PARA EL PROYECTO QUARZZO
</t>
  </si>
  <si>
    <t>COTIZACION DE LOS DISEÑOS DE PROTECCIÓN CONTRA INCENDIOS PARA EL PROYECTO CANELIA</t>
  </si>
  <si>
    <t>Angela Daniela Toro Ceron</t>
  </si>
  <si>
    <t>angela.toro@bienesybienes.com.co</t>
  </si>
  <si>
    <t>COTIZACION DE LOS DISEÑOS DE SEGURIDAD HUMANA Y PROTECCIÓN CONTRA INCENDIOS - PROYECTO FUNDACION UDEA</t>
  </si>
  <si>
    <t>CONVECCIÓN</t>
  </si>
  <si>
    <t>21/07/2022</t>
  </si>
  <si>
    <t>301 3491498</t>
  </si>
  <si>
    <t>Jorge Lopez</t>
  </si>
  <si>
    <t>jorge.lopez@conveccion.com</t>
  </si>
  <si>
    <t>COTIZACION DEL ANÁLISIS DE SEGURIDAD HUMANA - PROYECTO SAN JORGE TORRES 1 Y 2</t>
  </si>
  <si>
    <t>Juan Gabriel Sánchez</t>
  </si>
  <si>
    <t>jugsanch@bancolombia.com.co</t>
  </si>
  <si>
    <t>COTIZACION DE LOS DISEÑOS DE PROTECCIÓN CONTRA INCENDIOS PARA EL PROYECTO SILVESTRA MALL COMERCIAL</t>
  </si>
  <si>
    <t>COTIZACION DE LOS DISEÑOS DE PROTECCIÓN CONTRA INCENDIOS PARA EL PROYECTO NUVICA BLOQUE 4 CASAS</t>
  </si>
  <si>
    <t>COTIZACION DE LOS DISEÑOS DE PROTECCIÓN CONTRA INCENDIOS PARA EL PROYECTO NUVICA CASA ESQUINERA</t>
  </si>
  <si>
    <t>COTIZACION DEL ANÁLISIS DE SEGURIDAD HUMANA PARA EL PROYECTO EDIFICIO GUARNE</t>
  </si>
  <si>
    <t>Yaddy Girón Martínez</t>
  </si>
  <si>
    <t>COTIZACION DEL ANÁLISIS DE SEGURIDAD HUMANA PARA EL PROYECTO TORRES DE ALTAMIRA</t>
  </si>
  <si>
    <t xml:space="preserve"> M+D CONSTRUCTORA</t>
  </si>
  <si>
    <t>601-7451900</t>
  </si>
  <si>
    <t>Angelica Cely</t>
  </si>
  <si>
    <t>lcely@mdconstructora.com</t>
  </si>
  <si>
    <t>COTIZACION DE LOS DISEÑOS DE PROTECCIÓN CONTRA INCENDIOS Y SEGURIDAD HUMANA PARA EL PROYECTO MENORCA</t>
  </si>
  <si>
    <t>MORERA ARBELAEZ SAS</t>
  </si>
  <si>
    <t>Claudia Hincapié</t>
  </si>
  <si>
    <t>COTIZACION DEL DISEÑO DE EXTINCIÓN DE INCENDIOS PARA EL PROYECTO PLANTA DE PRODUCCION ESPUMA DE POLIERUTANO</t>
  </si>
  <si>
    <t>28/07/20222</t>
  </si>
  <si>
    <t>Cristiam Gustavo Mondragon Cortes</t>
  </si>
  <si>
    <t>COTIZACION DE LOS PLANOS RECORD DE DETECCIÓN DE INCENDIOS PARA ESTOCOLMO</t>
  </si>
  <si>
    <t>27/07/20222</t>
  </si>
  <si>
    <t>unespacioarquitectos</t>
  </si>
  <si>
    <t>Juan Esteban Ramírez</t>
  </si>
  <si>
    <t>unespacioarquitectos@gmail.com</t>
  </si>
  <si>
    <t>COTIZACION DE LOS DISEÑOS DE PROTECCIÓN CONTRA INCENDIOS PARA EL PROYECTO BODEGA REFRIGERADA</t>
  </si>
  <si>
    <t>COTIZACION DEL ANÁLISIS DE SEGURIDAD HUMANA PARA EL PROYECTO JERONIMO MARTINS</t>
  </si>
  <si>
    <t xml:space="preserve">COTIZACION DEL DISEÑO DE DETECCIÓN DE INCENDIOS PARA EL PROYECTO DIACO
</t>
  </si>
  <si>
    <t xml:space="preserve">COTIZACION DEL DISEÑO DE EXTINCIÓN DE INCENDIOS PARA EL PROYECTO DIACO
</t>
  </si>
  <si>
    <t>COTIZACION DEL DISEÑO DE DETECCIÓN DE INCENDIOS PARA EL PROYECTO LOCAL 271 CC VIVA ENVIGADO</t>
  </si>
  <si>
    <t>COTIZACION DEL ANÁLISIS DE SEGURIDAD HUMANA PARA EL PROYECTO CENTRO DE EVENTOS</t>
  </si>
  <si>
    <t>Mary Luz Henao Cadavid</t>
  </si>
  <si>
    <t>mlhenao@conconcreto.com</t>
  </si>
  <si>
    <t>COTIZACION DE LOS DISEÑOS DE PROTECCIÓN CONTRA INCENDIOS Y SEGURIDAD HUMANA PARA EL PROYECTO EL EDEN ETAPA 1</t>
  </si>
  <si>
    <t>Claudia Marcela Ramirez Gomez</t>
  </si>
  <si>
    <t>COTIZACION DEL DISEÑO DE EXTINCIÓN DE INCENDIOS PARA EL PROYECTO ZONAS COMUNES PISO 1 JARDINES DE LLANO GRANDE</t>
  </si>
  <si>
    <t xml:space="preserve">
COTIZACION DEL ANÁLISIS DE SEGURIDAD HUMANA PARA EL PROYECTO INSTITUTO PASTORAL DEL CLERO – RODEO SANTA ANA</t>
  </si>
  <si>
    <t>HUNDINCO</t>
  </si>
  <si>
    <t>COTIZACION DE LOS DISEÑOS DE PROTECCIÓN CONTRA INCENDIOS Y SEGURIDAD HUMANA PARA EL PROYECTO SAN JORGE</t>
  </si>
  <si>
    <t>FIC</t>
  </si>
  <si>
    <t>COTIZACION DE LOS DISEÑOS DE PROTECCIÓN CONTRA INCENDIOS Y SEGURIDAD HUMANA PARA EL PROYECTO CANTAGIRONE VERDDE</t>
  </si>
  <si>
    <t xml:space="preserve">(604) 322 86 25  ext 120 </t>
  </si>
  <si>
    <t>COTIZACION DEL DIAGNÓSTICO DE SEGURIDAD HUMANA Y PROTECCIÓN CONTRA INCENDIOS - PROYECTO IBAGUÉ</t>
  </si>
  <si>
    <t>COTIZACION DE LOS DISEÑOS DE PROTECCIÓN CONTRA INCENDIOS Y SEGURIDAD HUMANA PARA EL PROYECTO PLANTA EDITORIAL PILOTO DE GUARNE</t>
  </si>
  <si>
    <t>COTIZACION DE LA INGENIERÍA CONCEPTUAL Y BÁSICA DEL SISTEMA DE EXTINCIÓN DE INCENDIOS PARA LA MINA EL SILENCIO GCG</t>
  </si>
  <si>
    <t>COTIZACION DEL DISEÑO DE EXTINCIÓN DE INCENDIOS PARA EL PROYECTO BURITICÁ CENTRO DE DISTRIBUCIÓN ALIMENTOS-PLANTA HIGABRA</t>
  </si>
  <si>
    <t>COMEX INTERNACIONAL SAS</t>
  </si>
  <si>
    <t>316 496 20 26</t>
  </si>
  <si>
    <t>omercial@comexinternacional.com.co</t>
  </si>
  <si>
    <t xml:space="preserve">
COTIZACION DEL DISEÑO DE EXTINCIÓN DE INCENDIOS PARA EL PROYECTO ZONA DE MEZZANINE OFICINAS</t>
  </si>
  <si>
    <t>Juan Dacid Ossa Salazar</t>
  </si>
  <si>
    <t>comercial@comexinternacional.com.co</t>
  </si>
  <si>
    <t xml:space="preserve">314 619 81 44 </t>
  </si>
  <si>
    <t>Angela María Bravo Zapata</t>
  </si>
  <si>
    <t xml:space="preserve">COTIZACION DEL ANÁLISIS DE SEGURIDAD HUMANA PARA EL PROYECTO FUNDACION UNIVERSITARIA MARIA CANO
</t>
  </si>
  <si>
    <t>CONYMAC INGENIERIA Y CONSTRUCCIONES SAS.</t>
  </si>
  <si>
    <t>Luis Fernando Restrepo Molina</t>
  </si>
  <si>
    <t>luiferrestrepo@gmail.com</t>
  </si>
  <si>
    <t>COTIZACION DEL DISEÑO DE EXTINCIÓN DE INCENDIOS PARA EL PROYECTO BAXTER</t>
  </si>
  <si>
    <t xml:space="preserve">COTIZACION DE LOS DISEÑOS DE PROTECCIÓN CONTRA INCENDIOS Y SEGURIDAD HUMANA PARA EL PROYECTO CONFITECOL PLANTA DE CHICLES
</t>
  </si>
  <si>
    <t>COTIZACION DE LOS DISEÑOS DE PROTECCIÓN CONTRA INCENDIOS - PROYECTO PALERMO</t>
  </si>
  <si>
    <t>MAB INGENIERÍA</t>
  </si>
  <si>
    <t>313 8974765</t>
  </si>
  <si>
    <t>Hartmann S. Borda P.</t>
  </si>
  <si>
    <t xml:space="preserve">hborda@mab.com.co </t>
  </si>
  <si>
    <t>COTIZACION DEL DIAGNÓSTICO DE SEGURIDAD HUMANA Y PROTECCIÓN CONTRA INCENDIOS - UNICENTRO VILLAVICENCIO</t>
  </si>
  <si>
    <t>COTIZACION DEL DISEÑO DE EXTINCIÓN DE INCENDIOS PARA EL PROYECTO PISO 6 SALUD VEGAS</t>
  </si>
  <si>
    <t>COTIZACION DEL DISEÑO DE EXTINCIÓN DE INCENDIOS PARA EL PROYECTO BODEGA 152 TANIA</t>
  </si>
  <si>
    <t xml:space="preserve">COTIZACION DE LOS DISEÑOS DE PROTECCIÓN CONTRA INCENDIOS Y SEGURIDAD HUMANA PARA EL PROYECTO IPS BASICAS SAN NICOLAS </t>
  </si>
  <si>
    <t>Andrés Felipe Hernandez Cardona</t>
  </si>
  <si>
    <t>ahernandez@solucionesinmobiliariassas.com</t>
  </si>
  <si>
    <t>COTIZACION DE LOS DISEÑOS DE PROTECCIÓN CONTRA INCENDIOS Y SEGURIDAD HUMANA PARA EL PROYECTO CLINICA LAS VEGAS</t>
  </si>
  <si>
    <t>Grupo Quiron Salud</t>
  </si>
  <si>
    <t>604 315 9000 Ext: 8600</t>
  </si>
  <si>
    <t>Nathalie Orozco Arboleda</t>
  </si>
  <si>
    <t>Proyectos@clinicalasvegas.com</t>
  </si>
  <si>
    <t>COTIZACION DEL DISEÑO DE EXTINCIÓN DE INCENDIOS PARA EL PROYECTO COMUNNITY HUB</t>
  </si>
  <si>
    <t xml:space="preserve">COTIZACION DE LOS DISEÑOS DE PROTECCIÓN CONTRA INCENDIOS PARA EL PROYECTO LOCAL DOGGER AEROPUERTO BARRANQUILLA
</t>
  </si>
  <si>
    <t>Espiral</t>
  </si>
  <si>
    <t xml:space="preserve">Cristian Marin </t>
  </si>
  <si>
    <t>COTIZACION DE LOS DISEÑOS DE PROTECCIÓN CONTRA INCENDIOS Y SEGURIDAD HUMANA PARA EL PROYECTO SR LOTE 6A</t>
  </si>
  <si>
    <t>COTIZACION DEL DISEÑO DE DETECCIÓN DE INCENDIOS PARA EL PROYECTO CENTRO COMERCIAL VIVA BARRANQUILLA</t>
  </si>
  <si>
    <t>Jahir Manrique</t>
  </si>
  <si>
    <t>COTIZACION DE LOS DISEÑOS DE PROTECCIÓN CONTRA INCENDIOS Y SEGURIDAD HUMANA PARA EL PROYECTO EDIFICIO ZELECT APARTAMENTOS</t>
  </si>
  <si>
    <t>COTIZACION DEL DISEÑO DE DETECCIÓN DE INCENDIOS PARA EL PROYECTO OFICINAS LA INDUSTRIA INC</t>
  </si>
  <si>
    <t>COTIZACION DEL DISEÑO DE DETECCIÓN DE INCENDIOS PARA EL PROYECTO PLANTA REFORMA NIVEL 1 CONSULTA PAF</t>
  </si>
  <si>
    <t>CLINICA LAS AMERICAS</t>
  </si>
  <si>
    <t>Milton Andrés Garzón</t>
  </si>
  <si>
    <t>milton.garzon@lasamericas.com.co</t>
  </si>
  <si>
    <t>COTIZACION DE LOS DISEÑOS DE PROTECCIÓN CONTRA INCENDIOS PARA EL PROYECTO DISTRI PLAZA ETAPA 1</t>
  </si>
  <si>
    <t>COTIZACION DEL ANÁLISIS DE SEGURIDAD HUMANA - ED ENSAMBLE HA BICICLETAS</t>
  </si>
  <si>
    <t>24/08/2022</t>
  </si>
  <si>
    <t>300 3404902</t>
  </si>
  <si>
    <t>Pilar Arango</t>
  </si>
  <si>
    <t>COTIZACION DE LOS DISEÑOS DE SEGURIDAD HUMANA Y PROTECCIÓN CONTRA INCENDIOS - PROYECTO CLINICA LAS VEGAS</t>
  </si>
  <si>
    <t>25/08/2022</t>
  </si>
  <si>
    <t>COTIZACION DEL DISEÑO DE DETECCIÓN DE INCENDIOS PARA EL PROYECTO LOCAL TISSOT CENTRO COMERCIAL VIVA</t>
  </si>
  <si>
    <t>COTIZACION DEL DISEÑO DE DETECCIÓN DE INCENDIOS - NUTRESA SEDE REGIONAL CN</t>
  </si>
  <si>
    <t>SEDIC</t>
  </si>
  <si>
    <t>Eduar Alexander Taborda Valencia</t>
  </si>
  <si>
    <t>eataborda.sedic@serviciosnutresa.com</t>
  </si>
  <si>
    <t>COTIZACION DEL DISEÑO DE OPORTES SISMORRESISTENTE NUTRESA SEDE REGIONAL CN</t>
  </si>
  <si>
    <t>COTIZACION DE LOS DISEÑOS DE PROTECCIÓN CONTRA INCENDIOS PARA EL PROYECTO SEDE COMFENALCO EN TURBO</t>
  </si>
  <si>
    <t>COTIZACION DEL DISEÑO DE DETECCIÓN DE INCENDIOS PARA EL PROYECTO EDIFICIO CAMACOL PISO 8</t>
  </si>
  <si>
    <t>29/08/202</t>
  </si>
  <si>
    <t>COTIZACION DEL ANÁLISIS DE SEGURIDAD HUMANA PARA EL PROYECTO RESIDENCIAL RUA19</t>
  </si>
  <si>
    <t>Ana Maria Torres</t>
  </si>
  <si>
    <t>COTIZACION DE LOS DISEÑOS DE PROTECCIÓN CONTRA INCENDIOS PARA EL PROYECTO LOCAL COMEX</t>
  </si>
  <si>
    <t>Juan David Ossa</t>
  </si>
  <si>
    <t>Juan Daid Ossa</t>
  </si>
  <si>
    <t>truanda@hotmail.com</t>
  </si>
  <si>
    <t>COTIZACION DE LOS DISEÑOS DE PROTECCIÓN CONTRA INCENDIOS PARA EL PROYECTO LATINA STEREO</t>
  </si>
  <si>
    <t>Jomark</t>
  </si>
  <si>
    <t>COTIZACION DE LOS DISEÑOS DE PROTECCIÓN CONTRA INCENDIOS Y SEGURIDAD HUMANA PARA EL PROYECTO DEMODA -CODING SCHOOL</t>
  </si>
  <si>
    <t>312 653 62 46</t>
  </si>
  <si>
    <t>JORGE ANDRES ROJAS C.</t>
  </si>
  <si>
    <t>jorgerojas@iayc.co</t>
  </si>
  <si>
    <t>COTIZACION DE LOS DISEÑOS DE PROTECCIÓN CONTRA INCENDIOS PARA EL PROYECTO LOCAL 131 RESTAURANTE TITPICO ANTOJO VIVA LAURELES</t>
  </si>
  <si>
    <t>Hernan Ortiz</t>
  </si>
  <si>
    <t>ccvivas@spci.com.co</t>
  </si>
  <si>
    <t>COTIZACION DEL DISEÑO DE EXTINCIÓN DE INCENDIOS PARA EL PROYECTO LA VIDA ES BELLA ETAPA 1</t>
  </si>
  <si>
    <t>COTIZACION DEL ANÁLISIS DE SEGURIDAD HUMANA PARA EL PROYECTO I.E EL SALADO</t>
  </si>
  <si>
    <t xml:space="preserve">GINO </t>
  </si>
  <si>
    <t>COTIZACION DE LOS DISEÑOS DE PROTECCIÓN CONTRA INCENDIOS PARA EL PROYECTO BILANCO MAYORCA</t>
  </si>
  <si>
    <t>COTIZACION DE LOS DISEÑOS DE SEGURIDAD HUMANA Y PROTECCIÓN CONTRA INCENDIOS - ALTO NATURA</t>
  </si>
  <si>
    <t>312 7218621</t>
  </si>
  <si>
    <t>Robinson Marulanda</t>
  </si>
  <si>
    <t>obinsonmarulanda@arquitecturayconcreto.com</t>
  </si>
  <si>
    <t>COTIZACION DEL DISEÑO DE DETECCIÓN DE INCENDIOS PARA EL PROYECTO EDIFICIO URBIT</t>
  </si>
  <si>
    <t>ELEVEN</t>
  </si>
  <si>
    <t>Gonzalo Rendon Gavira</t>
  </si>
  <si>
    <t>eleven.obras@gmail.com</t>
  </si>
  <si>
    <t>COTIZACION DE LOS DISEÑOS DE PROTECCIÓN CONTRA INCENDIOS Y SEGURIDAD HUMANA PARA EL PROYECTO LA VEGA COPACABANA</t>
  </si>
  <si>
    <t>COTIZACION DE LOS DISEÑOS DE PROTECCIÓN CONTRA INCENDIOS PARA EL PROYECTO LOCAL 9801</t>
  </si>
  <si>
    <t>Adriana Molina</t>
  </si>
  <si>
    <t>COTIZACION DE LOS DISEÑOS DE PROTECCIÓN CONTRA INCENDIOS PARA EL PROYECTO LOCAL VIVA SINCELEJO JOYROOM</t>
  </si>
  <si>
    <t>COTIZACION DE REVISIÓN DE LOS DISEÑOS DE EXTINCIÓN DE INCENDIOS - PROYECTO PLEXA</t>
  </si>
  <si>
    <t>COTIZACION DEL DISEÑO DEL CUARTO DE BOMBAS Y RED GENRAL DE EXTINCIÓN DE INCENDIOS - VIVA FONTIBÓN</t>
  </si>
  <si>
    <t>COTIZACION DEL DISEÑO DE EXTINCIÓN DE INCENDIOS PARA EL PROYECTO AUTOSPRINK LOCALES CC VIVA ENVIGADO</t>
  </si>
  <si>
    <t>Santiago Cardona Zapata</t>
  </si>
  <si>
    <t>santiago.cardona@spci.com.co</t>
  </si>
  <si>
    <t>COTIZACION DE LOS DISEÑOS DE PROTECCIÓN CONTRA INCENDIOS Y SEGURIDAD HUMANA PARA EL PROYECTO SUEÑOS DE VIDA</t>
  </si>
  <si>
    <t>Constructora Zinerco</t>
  </si>
  <si>
    <t>444 27 77 | 316 5234137</t>
  </si>
  <si>
    <t>Guillermo Galeano Restrepo</t>
  </si>
  <si>
    <t>dir.vispenol@gmail.com</t>
  </si>
  <si>
    <t>COTIZACION DEL DISEÑO DE DETECCIÓN DE INCENDIOS PARA EL PROYECTO CIGARRERIA LA ROSA</t>
  </si>
  <si>
    <t>COTIZACION DE LOS DISEÑOS DE PROTECCIÓN CONTRA INCENDIOS PARA EL PROYECTO ASTILLERO BIJAGUAL</t>
  </si>
  <si>
    <t>Mineros</t>
  </si>
  <si>
    <t>266 57 57 EXT 4197</t>
  </si>
  <si>
    <t>Daniel Felipe Melguizo Montoya</t>
  </si>
  <si>
    <t>daniel.melguizo@mineros.com.co</t>
  </si>
  <si>
    <t>COTIZACION DE LOS DISEÑOS DE PROTECCIÓN CONTRA INCENDIOS PARA EL PROYECTO INCODOL TORRE 5</t>
  </si>
  <si>
    <t>310 459 2285</t>
  </si>
  <si>
    <t>Santiago Duque Salazar</t>
  </si>
  <si>
    <t>santiagoduque@solucionesinmobiliariassas.com</t>
  </si>
  <si>
    <t>COTIZACION DE LOS DISEÑOS DE PROTECCIÓN CONTRA INCENDIOS Y SEGURIDAD HUMANA PARA EL ROYECTO BODEGA CAFÉ PERGAMINO</t>
  </si>
  <si>
    <t>COTIZACION DEL RE-DISEÑO DE SEGURIDAD HUMANA Y PROTECCIÓN CONTRA  INCENDIOS - LOCALIZA LAS VEGAS</t>
  </si>
  <si>
    <t>COTIZACION DEL DISEÑO DE EXTINCIÓN DE INCENDIOS - PLANTA TRUHER NUEVA</t>
  </si>
  <si>
    <t>COTIZACION DE LOS DISEÑOS DE SEGURIDAD HUMANA Y PROTECCIÓN CONTRA INCENDIOS - THE CORNER</t>
  </si>
  <si>
    <t xml:space="preserve">COTIZACION DEL ANÁLISIS DE SEGURIDAD HUMANA PARA EL PROYECTO BLOQUE 14 IUE </t>
  </si>
  <si>
    <t>CONINTEC SAS</t>
  </si>
  <si>
    <t>David Chavarriaga M.</t>
  </si>
  <si>
    <t>interventoriaiuebloque14@gmail.com</t>
  </si>
  <si>
    <t>COTIZACION DE LOS DISEÑOS DE SEGURIDAD HUMANA Y PROTECCIÓN CONTRA INCENDIOS - MULTIFAMILY B3</t>
  </si>
  <si>
    <t>COTIZACION DE LOS DISEÑOS DE SEGURIDAD HUMANA Y PROTECCIÓN CONTRA INCENDIOS - MALL BASALTO LA ESTRELLA</t>
  </si>
  <si>
    <t>COTIZACION DEL DISEÑO DE EXTINCIÓN DE INCENDIOS - BODEGA MM21</t>
  </si>
  <si>
    <t>ALEJANDRO</t>
  </si>
  <si>
    <t>301 3573437</t>
  </si>
  <si>
    <t>Aejandro</t>
  </si>
  <si>
    <t>COTIZACION DEL DISEÑO DE EXTINCIÓN DE INCENDIOS - ARCLAD CARTAGENA QUINTA ETAPA</t>
  </si>
  <si>
    <t>COTIZACION DE LOS DISEÑOS DE PROTECCIÓN CONTRA INCENDIOS PARA EL PROYECTO SUBESTACIONES DE ENERGIA EPM</t>
  </si>
  <si>
    <t xml:space="preserve">
COTIZACION DEL ANÁLISIS DE SEGURIDAD HUMANA PARA EL PROYECTO EDIFICIO C UNIVERSIDAD C SEDE POBLADO</t>
  </si>
  <si>
    <t>interve</t>
  </si>
  <si>
    <t xml:space="preserve"> Marcela Montoya </t>
  </si>
  <si>
    <t>mmontoya@interve.co</t>
  </si>
  <si>
    <t>COTIZACION DE LOS DISEÑOS DE SEGURIDAD HUMANA Y PROTECCIÓN CONTRA INCENDIOS - VILLALACAZAR</t>
  </si>
  <si>
    <t>21/09/2022</t>
  </si>
  <si>
    <t xml:space="preserve">COTIZACION DEL DISEÑO DE EXTINCIÓN DE INCENDIOS PARA EL PROYECTO ESCUELA DE TALLER TUMACO
</t>
  </si>
  <si>
    <t>Julian David Camacho Galvis</t>
  </si>
  <si>
    <t xml:space="preserve">COTIZACION DE LOS DISEÑOS DE PROTECCIÓN CONTRA INCENDIOS PARA EL PROYECTO LOCAL COMERCIAL AUDIFARMA
</t>
  </si>
  <si>
    <t xml:space="preserve"> 312 203 4405</t>
  </si>
  <si>
    <t xml:space="preserve">Joan Manuel Durango </t>
  </si>
  <si>
    <t>joan.manuel.durango@gmail.com</t>
  </si>
  <si>
    <t>Joan Manuel</t>
  </si>
  <si>
    <t>COTIZACION DE LOS DISEÑOS DE PROTECCIÓN CONTRA INCENDIOS PARA EL PROYECTO CENTRO COMERCIAL EL CID</t>
  </si>
  <si>
    <t>COTIZACION DE LOS DISEÑOS DE PROTECCIÓN CONTRA INCENDIOS PARA EL PROYECTO SENA SANTUARIO</t>
  </si>
  <si>
    <t>COTIZACION DE LOS DISEÑOS DE PROTECCIÓN CONTRA INCENDIOS PARA EL PROYECTO SENA APARTADÓ</t>
  </si>
  <si>
    <t>COTIZACION DE LOS DISEÑOS DE PROTECCIÓN CONTRA INCENDIOS Y SEGURIDAD HUMANA PARA EL PROYECTO EDIFICIO SERPI</t>
  </si>
  <si>
    <t>Solida</t>
  </si>
  <si>
    <t>Juliana Duque Hoyos</t>
  </si>
  <si>
    <t>juliana.hoyos@solida.com.co</t>
  </si>
  <si>
    <t xml:space="preserve">COTIZACION DE LOS DISEÑOS DE EXTINCIÓN DE INCENDIOS Y SEGURIDAD HUMANA PARA EL PROYECTO FLORES DEL CAMPO
</t>
  </si>
  <si>
    <t>Marcela Montoya Abad</t>
  </si>
  <si>
    <t>COTIZACION DEL ANÁLISIS DE SEGURIDAD HUMANA PARA EL PROYECTO CENTRO VETERINARIO ESCOBERO CES</t>
  </si>
  <si>
    <t>COTIZACION DEL DISEÑO DE EXTINCIÓN DE INCENDIOS PARA EL PROYECTO VITHA AJUSTE 2</t>
  </si>
  <si>
    <t>Jhony Aristizabal Lopez</t>
  </si>
  <si>
    <t>jaristizabal@conaltura.com</t>
  </si>
  <si>
    <t>COTIZACION DEL ANÁLISIS DE SEGURIDAD HUMANA PARA EL PROYECTO FORESTA ETAPA 4</t>
  </si>
  <si>
    <t>COTIZACION DE LOS DISEÑOS DE PROTECCIÓN CONTRA INCENDIOS PARA EL PROYECTO FORESTA ETAPA 4</t>
  </si>
  <si>
    <t>COTIZACION DE LOS DISEÑOS DE PROTECCIÓN CONTRA INCENDIOS Y SEGURIDAD HUMANA PARA EL PROYECTO BODEGA TANIA LA REGIONAL</t>
  </si>
  <si>
    <t xml:space="preserve">Jhon Jairo Gomez </t>
  </si>
  <si>
    <t>jgomez@interve.co</t>
  </si>
  <si>
    <t>COTIZACION DE LOS DISEÑOS DE PROTECCIÓN CONTRA INCENDIOS PARA EL PROYECTO BODEGA LA TOLVA CALDAS PRIMAVERA</t>
  </si>
  <si>
    <t>COTIZACION DEL ANÁLISIS DE SEGURIDAD HUMANA PARA EL PROYECTO WTW PISO 16 TORRE SIGMA</t>
  </si>
  <si>
    <t>Smurfit Kappa</t>
  </si>
  <si>
    <t>Daniela Alzate Vélez</t>
  </si>
  <si>
    <t>Daniela.Alzate@smurfitkappa.com</t>
  </si>
  <si>
    <t>COTIZACION DE LOS DISEÑOS DE PROTECCIÓN CONTRA INCENDIOS PARA EL PROYECTO CCM EVAPORADORES</t>
  </si>
  <si>
    <t>COTIZACION DE LOS DISEÑOS DE PROTECCIÓN CONTRA INCENDIOS PARA EL PROYECTO ALMACENAMIENTO DE TREMENTINA,METANOL Y TANQUE DE CONDENSADOS CONTAMINADOS</t>
  </si>
  <si>
    <t>No se envió</t>
  </si>
  <si>
    <t>COTIZACION DE LOS DISEÑOS DE PROTECCIÓN CONTRA INCENDIOS Y SEGURIDAD HUMANA PARA EL PROYECTO HOSTAL Y PARQUEADERO ELCID</t>
  </si>
  <si>
    <t>COTIZACIÓN DE VISITA Y CANTIDADES DE OBRA SOBRE FALTANTES DE EXTINCIÓN EN PISO 3 JARDINES DE LLANOGRANDE</t>
  </si>
  <si>
    <t>COTIZACION DE LOS DISEÑOS DE PROTECCIÓN CONTRA INCENDIOS - CUARTO DE BASURAS OVIEDO</t>
  </si>
  <si>
    <t>Luz Angela Caicedo Ordoñez</t>
  </si>
  <si>
    <t>COTIZACION DEL ANÁLISIS DE SEGURIDAD HUMANA PARA EL PROYECTO EDIFICIO LIMONAR EN CALI</t>
  </si>
  <si>
    <t>Coprocenva</t>
  </si>
  <si>
    <t>director.administrativo@coprocenva.coop</t>
  </si>
  <si>
    <t>Andrés Felipe Hernandez Cardona.</t>
  </si>
  <si>
    <t xml:space="preserve"> ahernandez@solucionesinmobiliariassas.com</t>
  </si>
  <si>
    <t xml:space="preserve">COTIZACION DE LOS DISEÑOS DE EXTINCIÓN DE INCENDIOS Y SEGURIDAD HUMANA PARA EL PROYECTO CLINICA PRIMAVERA VILLAVICENCIO PISO 2
</t>
  </si>
  <si>
    <t>COTIZACION DEL DISEÑO DE EXTINCIÓN DE INCENDIOS - LOCAL PLAZA FABRICATO</t>
  </si>
  <si>
    <t xml:space="preserve">Ernesto Castrillón Fernández </t>
  </si>
  <si>
    <t>COTIZACION DE LOS PLANOS AS-BUIT MIRADOR DE AYURÁ</t>
  </si>
  <si>
    <t>JORMARK</t>
  </si>
  <si>
    <t>No se presentó</t>
  </si>
  <si>
    <t>Es instalación</t>
  </si>
  <si>
    <t>COTIZACION DEL DISEÑO DE EXTINCIÓN DE INCENDIOS PARA EL PROYECTO CUARTO DE BATERÍAS Y HANGAR</t>
  </si>
  <si>
    <t>COTIZACION DEL DISEÑO DE EXTINCIÓN DE INCENDIOS PARA EL PROYECTO IN CARE SALUD VENGAS SEXTO PISO</t>
  </si>
  <si>
    <t>INCARE</t>
  </si>
  <si>
    <t>Lorena Gonzalez Monsalve</t>
  </si>
  <si>
    <t>coordinacionbiomedica@incare.com.co</t>
  </si>
  <si>
    <t>311 94 95 Ext. 103</t>
  </si>
  <si>
    <t>COTIZACION DEL DISEÑO DE DETECCIÓN DE INCENDIOS PARA EL PROYECTO LOCAL FRISBY VIVA PALMA</t>
  </si>
  <si>
    <t>COTIZACION DEL DISEÑO DE EXTINCIÓN DE INCENDIOS PARA EL PROYECTO LOCAL VIVA ENVIGADO- QBANO</t>
  </si>
  <si>
    <t>COTIZACION DE LOS DISEÑOS DE PROTECCIÓN CONTRA INCENDIOS PARA EL PROYECTO CHÉBIKA</t>
  </si>
  <si>
    <t>COTIZACION DE LOS DISEÑOS DE PROTECCIÓN CONTRA INCENDIOS PARA EL PROYECTO LINEA DE COMBUSTIBLE</t>
  </si>
  <si>
    <t>Miguel Robayo</t>
  </si>
  <si>
    <t>COTIZACION DE LA REVISIÓN DE LOS DISEÑOS DE EXTINCIÓN DE INCENDIOS - PROYECTO RANSA</t>
  </si>
  <si>
    <t>COTIZACION DEL ANÁLISIS DE SEGURIDAD HUMANA - CESDE SEDE CENTRAL</t>
  </si>
  <si>
    <t>COTIZACION DE LOS DISEÑOS DE PROTECCIÓN CONTRA INCENDIOS Y SEGURIDAD HUMANA PARA EL PROYECTO RIBERO</t>
  </si>
  <si>
    <t>intervet</t>
  </si>
  <si>
    <t>COTIZACION DEL DISEÑO DE EXTINCIÓN DE INCENDIOS PARA EL PROYECTO PARQUEADERO SUR TORRE CONSULTORIOS</t>
  </si>
  <si>
    <t>COTIZACION DE LOS DISEÑOS DE PROTECCIÓN CONTRA INCENDIOS PARA EL PROYECTO LOCAL BELINNI</t>
  </si>
  <si>
    <t>C.A.S.A</t>
  </si>
  <si>
    <t>COTIZACION DE LOS DISEÑOS DE EXTINCIÓN DE INCENDIOS Y SEGURIDAD HUMANA PARA EL PROYECTO AIRA</t>
  </si>
  <si>
    <t>bernardo.white@casa.com.co</t>
  </si>
  <si>
    <t>Bernardo White Narváez</t>
  </si>
  <si>
    <t>COTIZACION DEL LEVANTAMIENTO Y ELABORACIÓN DE CORTES ARQUITECTÓNICOS - BODEGAS ALMACENAMIENTO PPG</t>
  </si>
  <si>
    <t>No se realizó</t>
  </si>
  <si>
    <t>ALMACOL</t>
  </si>
  <si>
    <t>PRUEBAS A LOS SISTEMAS DE PROTECIÓN CONTRA INCENDIOS PARA PLANTA ALMACOL BUENAVENTURA</t>
  </si>
  <si>
    <t>COTIZACION DE LOS DISEÑOS DE PROTECCIÓN CONTRA INCENDIOS PARA BANCOLOMBIA PUERTA DEL NORTE</t>
  </si>
  <si>
    <t>COTIZACION DEL DISEÑO DE EXTINCIÓN DE INCENDIOS - REDISEÑO PISO 5 FAJAS</t>
  </si>
  <si>
    <t>Veronica Arango</t>
  </si>
  <si>
    <t>300 8248429</t>
  </si>
  <si>
    <t>director@calfa2019.com</t>
  </si>
  <si>
    <t>COTIZACION DEL DISEÑO DE EXTINCIÓN DE INCENDIOS PARA EL PROYECTO PABELLONES PLAZA MAYOR</t>
  </si>
  <si>
    <t>Maria Camila Velásquez</t>
  </si>
  <si>
    <t xml:space="preserve">COTIZACION DEL ANÁLISIS DE SEGURIDAD HUMANA PARA EL PROYECTO LORIENT
</t>
  </si>
  <si>
    <t xml:space="preserve">COTIZACION DEL DISEÑO DE EXTINCIÓN DE INCENDIOS PARA EL PROYECTO RIVER PALMS
</t>
  </si>
  <si>
    <t>DARIO ANTONIO SALDARRIAGA RAMIREZ</t>
  </si>
  <si>
    <t>COTIZACION DEL DISEÑO DE EXTINCIÓN DE INCENDIOS PARA EL PROYECTO LOCAL ORIENTAL P5 CENTRO DE ENTRENAMIENTO</t>
  </si>
  <si>
    <t>Natalia Marcela Pérez Garcia</t>
  </si>
  <si>
    <t>cadquisiciones@cantagirone.com</t>
  </si>
  <si>
    <t>(604) 322 86 25</t>
  </si>
  <si>
    <t>COTIZACION DEL DISEÑO DE DETECCIÓN DE INCENDIOS PARA EL PROYECTO CASA ENTREPINOS</t>
  </si>
  <si>
    <t>CESDE</t>
  </si>
  <si>
    <t xml:space="preserve">Gabriel Jaime Cortés Acevedo </t>
  </si>
  <si>
    <t>gcortes@cesde.edu.co</t>
  </si>
  <si>
    <t>COTIZACION DEL DISEÑO DE EXTINCIÓN DE INCENDIOS PARA EL PROYECTO BODEGA HUMEDA</t>
  </si>
  <si>
    <t>COTIZACION DEL DISEÑO DE EXTINCIÓN DE INCENDIOS PARA EL PROYECTO BODEGA SECA</t>
  </si>
  <si>
    <t>Carlos Almanya Patiño</t>
  </si>
  <si>
    <t>calmanya@jomarkseguridad.com</t>
  </si>
  <si>
    <t>COTIZACION DE LOS DISEÑOS DE PROTECCIÓN CONTRA INCENDIOS PARA EL PROYECTO CLINICA JOMARK</t>
  </si>
  <si>
    <t>mzapata@grupocolviva.com</t>
  </si>
  <si>
    <t>GrupoColviva</t>
  </si>
  <si>
    <t>Maria Eugenia Zapata</t>
  </si>
  <si>
    <t>COTIZACION DE LOS DISEÑOS DE PROTECCIÓN CONTRA INCENDIOS Y SEGURIDAD HUMANA PARA EL PROYECTO COLOR SELVA ETAPA 1</t>
  </si>
  <si>
    <t>COTIZACION DE LOS DISEÑOS DE PROTECCIÓN CONTRA INCENDIOS PARA EL PROYECTO LOCAL CONSULTORIO C.C VIVA LA CEJA</t>
  </si>
  <si>
    <t>COTIZACION DE LOS DISEÑOS DE PROTECCIÓN CONTRA INCENDIOS Y SEGURIDAD HUMANA PARA EL PROYECTO EDIFICIO BOLVAR</t>
  </si>
  <si>
    <t>ELY YOHANA TAVERA</t>
  </si>
  <si>
    <t>sraic.asistente@gmail.com</t>
  </si>
  <si>
    <t>rcigasyredes@gmail.com</t>
  </si>
  <si>
    <t xml:space="preserve">Francy González </t>
  </si>
  <si>
    <t>COTIZACION DE LOS DISEÑOS DE PROTECCIÓN CONTRA INCENDIOS PARA EL PROYECTO MALL MARINILLA</t>
  </si>
  <si>
    <t>John J. Jaramillo O</t>
  </si>
  <si>
    <t>COTIZACION DE LOS DISEÑOS DE PROTECCIÓN CONTRA INCENDIOS Y SEGURIDAD HUMANA PARA EL PROYECTO YOUNIVERSE</t>
  </si>
  <si>
    <t>RCIGASYREDES</t>
  </si>
  <si>
    <t>320 3334448</t>
  </si>
  <si>
    <t>Luis Eduardo</t>
  </si>
  <si>
    <t>luiscuartas@gmail.com</t>
  </si>
  <si>
    <t>Luis Eduardo Cuartas</t>
  </si>
  <si>
    <t>310 450 5708</t>
  </si>
  <si>
    <t xml:space="preserve">COTIZACION DE LOS DISEÑOS DE PROTECCIÓN CONTRA INCENDIOS Y SEGURIDAD HUMANA PARA EL PROYECTO HOSPITAL LA MARIA
</t>
  </si>
  <si>
    <t>COTIZACIÓN DE CAPACITACIÓN SISTEMAS CONTRA INCENDIO PARA SOLUCIONES CIVILES</t>
  </si>
  <si>
    <t>Maria Isabel</t>
  </si>
  <si>
    <t xml:space="preserve">COTIZACION DE LOS DISEÑOS DE PROTECCIÓN CONTRA INCENDIOS Y SEGURIDAD HUMANA PARA EL PROYECTO EDIFICIO DE OFICINAS
</t>
  </si>
  <si>
    <t>laura.jaramillo@cnv.com.co</t>
  </si>
  <si>
    <t>Laura Jaramillo</t>
  </si>
  <si>
    <t>COTIZACION DE LOS DISEÑOS DE PROTECCIÓN CONTRA INCENDIOS Y SEGURIDAD HUMANA PARA EL PROYECTO PREESCOLARE PINARES</t>
  </si>
  <si>
    <t>Ely Tavera</t>
  </si>
  <si>
    <t xml:space="preserve">COTIZACION DE LOS DISEÑOS DE PROTECCIÓN CONTRA INCENDIOS Y SEGURIDAD HUMANA PARA EL PROYECTO CENTRO COMERCIAL UNICENTRO CALI
</t>
  </si>
  <si>
    <t>COTIZACION DE LOS DISEÑOS DE PROTECCIÓN CONTRA INCENDIOS PARA EL PROYECTO YOUNIVERSE</t>
  </si>
  <si>
    <t>hernan.ortiz@spci.com.co</t>
  </si>
  <si>
    <t>Hernán Ortiz Grajales</t>
  </si>
  <si>
    <t>COTIZACION DE LOS DISEÑOS DE PROTECCIÓN CONTRA INCENDIOS PARA EL PROYECTO M3 STORAGE CENTRO COMERCIAL VIVA BARRANQUILLA</t>
  </si>
  <si>
    <t>PRIMARIO</t>
  </si>
  <si>
    <t>jpgarcia@primarioayd.com</t>
  </si>
  <si>
    <t>Juan Pablo Garcia</t>
  </si>
  <si>
    <t>lmontoya@iconstructora.com.co</t>
  </si>
  <si>
    <t xml:space="preserve">COTIZACION DEL DISEÑO DE EXTINCIÓN DE INCENDIOS PARA EL PROYECTO PRIMARIO AYD
</t>
  </si>
  <si>
    <t>Lina Maria Montoya Gonzalez</t>
  </si>
  <si>
    <t>COTIZACION DEL DISEÑO DE EXTINCIÓN DE INCENDIOS PARA EL PROYECTO MODELADO DISLICORES</t>
  </si>
  <si>
    <t>COTIZACION DE LOS DISEÑOS DE SEGURIDAD HUMANA Y PROTECCIÓN CONTRA INCENDIOS - VERDE VENTURA</t>
  </si>
  <si>
    <t>cristianospina@arquitecturayconcreto.com</t>
  </si>
  <si>
    <t>Cristian Ospina</t>
  </si>
  <si>
    <t>Ana Catalina Ramirez Zapata</t>
  </si>
  <si>
    <t>ana.ramirez@bienesybienes.com.co</t>
  </si>
  <si>
    <t>321 838 59 65</t>
  </si>
  <si>
    <t>COTIZACION DE LOS DISEÑOS DE PROTECCIÓN CONTRA INCENDIOS PARA EL PROYECTO ENSENEDA</t>
  </si>
  <si>
    <t>COTIZACION DE LOS DISEÑOS DE PROTECCIÓN CONTRA INCENDIOS Y SEGURIDAD HUMANA PARA EL PROYECTO ALLEGRO</t>
  </si>
  <si>
    <t>Carlos Cuello</t>
  </si>
  <si>
    <t>carlos.cuello@pcmejia.com.co</t>
  </si>
  <si>
    <t>PC Mejia Ingenieria</t>
  </si>
  <si>
    <t xml:space="preserve">COTIZACION DEL DISEÑO DE EXTINCIÓN DE INCENDIOS PARA EL PROYECTO EDUARDOÑO CARTAGENA
</t>
  </si>
  <si>
    <t>Project Solutions Integral s.a.s</t>
  </si>
  <si>
    <t>COTIZACION DE LOS DISEÑOS DE PROTECCIÓN CONTRA INCENDIOS Y SEGURIDAD HUMANA PARA EL PROYECTO MIURA</t>
  </si>
  <si>
    <t>COTIZACION DE LOS DISEÑOS DE PROTECCIÓN CONTRA INCENDIOS Y SEGURIDAD HUMANA PARA EL PROYECTO EDIFICIO SUEZ</t>
  </si>
  <si>
    <t>Zully Milena López Molina</t>
  </si>
  <si>
    <t>zmlopez@coninsa.co</t>
  </si>
  <si>
    <t>300 754 96 49</t>
  </si>
  <si>
    <t xml:space="preserve">COTIZACION DE LOS DISEÑOS DE PROTECCIÓN CONTRA INCENDIOS Y SEGURIDAD HUMANA PARA EL PROYECTO CIRUELOS ETAPA 2
</t>
  </si>
  <si>
    <t>Camilo Andrés Chávez Sandoval</t>
  </si>
  <si>
    <t>Camilo.Chavez@quironsalud.com</t>
  </si>
  <si>
    <t>CLÍNICA IMBANACO</t>
  </si>
  <si>
    <t>COTIZACION DEL DIAGNÓSTICO DE SEGURIDAD HUMANA Y LOS SISTEMAS DE PROTECCIÓN CONTRA INCENIDOS PARA LA CLINICA IBANACO GRUPO QUIRON SALUD</t>
  </si>
  <si>
    <t>Angela Daniela Toro Cerón</t>
  </si>
  <si>
    <t>COTIZACION DEL ANÁLISIS DE SEGURIDAD HUMANA PARA EL PROYECTO GALERIA COMERCIAL</t>
  </si>
  <si>
    <t>COTIZACION DE LOS DISEÑOS DE PROTECCIÓN CONTRA INCENDIOS Y SEGURIDAD HUMANA PARA EL PROYECTO KUNA</t>
  </si>
  <si>
    <t>COTIZACION DEL DISEÑO DE DETECCIÓN DE INCENDIOS PARA EL PROYECTO PISO 6 EDIFICIO SELF MEDELLIN</t>
  </si>
  <si>
    <t>JESUS ALBERTO MEZA ARCIA</t>
  </si>
  <si>
    <t>Metalcimento</t>
  </si>
  <si>
    <t>jmezaarcia@gmail.com</t>
  </si>
  <si>
    <t xml:space="preserve">COTIZACION DE LOS DISEÑOS DE PROTECCIÓN CONTRA INCENDIOS Y SEGURIDAD HUMANA PARA EL PROYECTO DE VIVIENDA SEGOVIA
</t>
  </si>
  <si>
    <t>daniel.uribe@spcisas.com.co</t>
  </si>
  <si>
    <t>COTIZACION DE LOS DISEÑOS DE PROTECCIÓN CONTRA INCENDIOS PARA EL PROYECTO SALON COMUNAL VILLA VENTURA</t>
  </si>
  <si>
    <t>COTIZACION DE REVISIÓN Y PRUEBAS DE LOS SISTEMAS DE PROTECCIÓN CONTRA INCENDIOS INSTALADOS Y LA SEGURIDAD HUMANA PARA EL PROYECTO OLIVE</t>
  </si>
  <si>
    <t>Gerencia Integral</t>
  </si>
  <si>
    <t>312 2967935</t>
  </si>
  <si>
    <t>COTIZACION DEL DISEÑO DE EXTINCIÓN DE INCENDIOS -PROYECTO FUERTE SCOUT VILLA VERDE</t>
  </si>
  <si>
    <t>COTIZACION DEL ANÁLISIS DE SEGURIDAD HUMANA PARA EL PROYECTO BODEGA TIPO N, TIPO O Y TIPO P</t>
  </si>
  <si>
    <t>BIMBAU</t>
  </si>
  <si>
    <t xml:space="preserve"> Cristiam Gustavo Mondragon Cortes</t>
  </si>
  <si>
    <t>COTIZACION DE LOS DISEÑOS DE PROTECCIÓN CONTRA INCENDIOS PARA EL PROYECTO SUBESTACIONES ELECTRICAS ESTADIO Y MAGDALENA</t>
  </si>
  <si>
    <t>COTIZACION DEL ANÁLISIS DE SEGURIDAD HUMANA - JADE</t>
  </si>
  <si>
    <t>COTIZACION DEL DISEÑO DE EXTINCIÓN DE INCENDIOS PARA EL PROYECTO REFORMA OFICINA MONITOREO CENTRO COMERCIAL VIVA COV SAN PEDRO</t>
  </si>
  <si>
    <t>Andrea Poveda Castrillón</t>
  </si>
  <si>
    <t>COTIZACION DE LOS DISEÑOS DE PROTECCIÓN CONTRA INCENDIOS PARA EL PROYECTO OFICINA 614</t>
  </si>
  <si>
    <t xml:space="preserve">COTIZACION DEL DISEÑO DE EXTINCIÓN DE INCENDIOS PARA EL PROYECTO OFICINA 1614 CCI
</t>
  </si>
  <si>
    <t>COTIZACION DEL DISEÑO DE DETECCIÓN DE INCENDIOS PARA EL PROYECTO ZONA DOS SUR</t>
  </si>
  <si>
    <t xml:space="preserve"> DARIO ANTONIO SALDARRIAGA RAMIREZ </t>
  </si>
  <si>
    <t xml:space="preserve"> 310 386 17 63</t>
  </si>
  <si>
    <t>COTIZACION DEL DISEÑO DE EXTINCIÓN DE INCENDIOS PARA EL PROYECTO PLAZA FABRICATO ETAPA 2</t>
  </si>
  <si>
    <t>COTIZACION DEL DISEÑO DE EXTINCIÓN DE INCENDIOS PARA EL PROYECTO LOCAL PLAA FABRICATO</t>
  </si>
  <si>
    <t xml:space="preserve">Nakary Garcia Romero </t>
  </si>
  <si>
    <t>Judith Elena Trujillo Ramírez</t>
  </si>
  <si>
    <t>judithelenatrujillo@gmail.com</t>
  </si>
  <si>
    <t xml:space="preserve">COTIZACION DE LOS DISEÑOS DE PROTECCIÓN CONTRA INCENDIOS Y SEGURIDAD HUMANA PARA EL PROYECTO BOSKE
</t>
  </si>
  <si>
    <t>COTIZACION DEL DISEÑO DE EXTINCIÓN DE INCENDIOS PARA EL PROYECTO CAVAS BODEGA LEBRIJA</t>
  </si>
  <si>
    <t>COTIZACION DE LA REVISIÓN DEL DISEÑO DE EXTINCIÓN DE INCENDIOS PARA EL PROYECTO BODEGA LEBRIJA</t>
  </si>
  <si>
    <t>COTIZACION DE LOS DISEÑOS DE PROTECCIÓN CONTRA INCENDIOS Y SEGURIDAD HUMANA PARA EL PROYECTO LOCALIZA LAS VEGAS PISO 2</t>
  </si>
  <si>
    <t>MARTHA LUCIA FERRER BOTERO</t>
  </si>
  <si>
    <t>COTIZACION DE LOS DISEÑOS DE PROTECCIÓN CONTRA INCENDIOS Y SEGURIDAD HUMANA PARA EL PROYECTO UNIVERSIDAD EIA BLOQUE A</t>
  </si>
  <si>
    <t>VERTICE</t>
  </si>
  <si>
    <t>Luz Aleidy Cuartas Perez</t>
  </si>
  <si>
    <t>l.cuartas@verticeing.com</t>
  </si>
  <si>
    <t xml:space="preserve">(604) 4486800 Ext. 172 </t>
  </si>
  <si>
    <t xml:space="preserve">Cristiam Gustavo Mondragon Cortes </t>
  </si>
  <si>
    <t>COTIZACION DEL ANÁLISIS DE SEGURIDAD HUMANA PARA EL PROYECTO HOSPITAL UNIVERSITARIO SAN IGNACIO</t>
  </si>
  <si>
    <t>COTIZACION DEL DISEÑO DE EXTINCIÓN DE INCENDIOS PARA EL PROYECTO EDIFICIO DE 3.400 M2</t>
  </si>
  <si>
    <t>Andres Restrepo Escobar</t>
  </si>
  <si>
    <t>COTIZACION DE LOS DISEÑOS DE PROTECCIÓN CONTRA INCENDIOS Y SEGURIDAD HUMANA PARA EL PROYECTO FANTASIA TORRE 1</t>
  </si>
  <si>
    <t>COTIZACION DE LOS DISEÑOS DE PROTECCIÓN CONTRA INCENDIOS PARA EL PROYECTO SUBESTACIONES ELECTRICAS</t>
  </si>
  <si>
    <t>COTIZACION DEL DISEÑO DE EXTINCIÓN DE INCENDIOS - COLTEFINANCIERA P6</t>
  </si>
  <si>
    <t>HIDRÁULICA Y MONTAJES</t>
  </si>
  <si>
    <t>VIVA 1A IPS</t>
  </si>
  <si>
    <t>COTIZACION DE LOS DISEÑOS DE SEGURIDAD HUMANA Y PROTECCIÓN CONTRA INCENDIOS - VIVA 1A IPS ENVIGADO</t>
  </si>
  <si>
    <t>Carlos Andrés López</t>
  </si>
  <si>
    <t>clopez@viva1a.com.co</t>
  </si>
  <si>
    <t>320 2161792</t>
  </si>
  <si>
    <t>COTIZACION DE LOS DISEÑOS DE PROTECCIÓN CONTRA INCENDIOS - EDIFICIO LA MARIA</t>
  </si>
  <si>
    <t>Eduardo Castro P.</t>
  </si>
  <si>
    <t>info@mercomputo.com</t>
  </si>
  <si>
    <t xml:space="preserve">
COTIZACION DE LOS DISEÑOS DE PROTECCIÓN CONTRA INCENDIOS PARA EL PROYECTO FABRICA DE MUEBLES</t>
  </si>
  <si>
    <t>Mercomputo</t>
  </si>
  <si>
    <t>Santiago Isaza Uribe</t>
  </si>
  <si>
    <t>santiagoisaza@convel.co</t>
  </si>
  <si>
    <t>350 88 66 ext. 148</t>
  </si>
  <si>
    <t>COTIZACION DEL DISEÑO DE EXTINCIÓN DE INCENDIOS PARA EL PROYECTO BODEGA 254 ZONA FRANCA</t>
  </si>
  <si>
    <t>COTIZACION DEL DISEÑO DE DETECCIÓN DE INCENDIOS PARA EL PROYECTO PDC</t>
  </si>
  <si>
    <t xml:space="preserve">Sebastian Lopez </t>
  </si>
  <si>
    <t>COTIZACION DE LOS DISEÑOS DE PROTECCIÓN CONTRA INCENDIOS Y SEGURIDAD HUMANA PARA EL PROYECTO CENTRO COMERCIAL SAN PEDRO DE URABA</t>
  </si>
  <si>
    <t>COTIZACION DEL DISEÑO DE EXTINCIÓN DE INCENDIOS PARA EL PROYECTO BELLOTA PARQUE INDUSTRIAL JUANCHITO</t>
  </si>
  <si>
    <t>COTIZACION REVISIÓN Y PRUEBAS SISTEMA EXTINCIÓN DE INCENDIOS INSTALADOS PARA EL PROYECTO QBOX</t>
  </si>
  <si>
    <t>MARIA GONZALEZ</t>
  </si>
  <si>
    <t>maria1998gonzalez@hotmail.com</t>
  </si>
  <si>
    <t>Maria Gonzalez</t>
  </si>
  <si>
    <t xml:space="preserve">COTIZACION DEL ANÁLISIS DE SEGURIDAD HUMANA PARA EL PROYECTO CENTRO DE FE Y ESPERANZA
</t>
  </si>
  <si>
    <t xml:space="preserve">Sebastian López </t>
  </si>
  <si>
    <t>COTIZACION DEL DISEÑO DE EXTINCIÓN DE INCENDIOS - INZOLENTE ROOFTOP</t>
  </si>
  <si>
    <t>COTIZACION DE LOS DISEÑOS DE PROTECCIÓN CONTRA INCENDIOS PARA EL PROYECTO HALL CAJEROS AEROPUERTO QUIBDÓ</t>
  </si>
  <si>
    <t>Aurora</t>
  </si>
  <si>
    <t xml:space="preserve"> Andres Mauricio Gutierrez Bohorquez</t>
  </si>
  <si>
    <t>310 389 80 43</t>
  </si>
  <si>
    <t>COTIZACION DE LOS DISEÑOS DE PROTECCIÓN CONTRA INCENDIOS PARA EL PROYECTO OFICINA CORTEZZA</t>
  </si>
  <si>
    <t>COTIZACION DEL DISEÑO DE EXTINCIÓN DE INCENDIOS - ALAMO BODEGA 1</t>
  </si>
  <si>
    <t>Muros y Techos</t>
  </si>
  <si>
    <t>Fernando Mazo</t>
  </si>
  <si>
    <t>321 8800007</t>
  </si>
  <si>
    <t>famazo@mt.com.co</t>
  </si>
  <si>
    <t>Javier Andrés Herrera Uribe</t>
  </si>
  <si>
    <t>jherrerau@conconcreto.com</t>
  </si>
  <si>
    <t xml:space="preserve">COTIZACION DEL ANÁLISIS DE SEGURIDAD HUMANA PARA EL PROYECTO MONTEBIANCO CARTAGENA
</t>
  </si>
  <si>
    <t>Mauricio Gutiérrez Bohórquez</t>
  </si>
  <si>
    <t>COTIZACION DEL DISEÑO DE EXTINCIÓN DE INCENDIOS PARA EL PROYECTO LOS ALAMOS</t>
  </si>
  <si>
    <t>COTIZACION DE LOS DISEÑOS DE PROTECCIÓN CONTRA INCENDIOS PARA EL PROYECTO LOCAL 138 VIVA SINCELEJO</t>
  </si>
  <si>
    <t>johanna.manjarres@ospinas.com.co</t>
  </si>
  <si>
    <t>Johanna Manjarres Carmona</t>
  </si>
  <si>
    <t>COTIZACION DEL ANÁLISIS DE SEGURIDAD HUMANA PARA EL PROYECTO VILLA CAMPESTRE</t>
  </si>
  <si>
    <t>COTIZACION DE LOS DISEÑOS DE PROTECCIÓN CONTRA INCENDIOS - PROYECTO MEDICAL CENTER JARDINES DE LLANOGRANDE</t>
  </si>
  <si>
    <t>COTIZACION DE LOS DISEÑOS DE PROTECCIÓN CONTRA INCENDIOS PARA EL PROYECTO ZONA COMUN VIVA PARK</t>
  </si>
  <si>
    <t>314 739 24 03</t>
  </si>
  <si>
    <t>Andrés Felipe Jiménez Rodríguez</t>
  </si>
  <si>
    <t>construccion.sacproyectos@gmail.com</t>
  </si>
  <si>
    <t xml:space="preserve">CONSTRUCCIÓN SAC PROYECTOS </t>
  </si>
  <si>
    <t xml:space="preserve">COTIZACION DE LOS DISEÑOS DE PROTECCIÓN CONTRA INCENDIOS Y SEGURIDAD HUMANA PARA EL PROYECTO EL RECINTO
</t>
  </si>
  <si>
    <t>Jhon garcia</t>
  </si>
  <si>
    <t>317 5012957</t>
  </si>
  <si>
    <t>jhhhongarcia@gmail.com</t>
  </si>
  <si>
    <t xml:space="preserve">COTIZACION DEL DISEÑO DE EXTINCIÓN DE INCENDIOS PARA EL PROYECTO CLINICA
</t>
  </si>
  <si>
    <t>Hidráulica y Montajes</t>
  </si>
  <si>
    <t>COTIZACION DEL DISEÑO DE EXTINCIÓN DE INCENDIOS PARA EL PROYECTO MICROBIOLOGIA NIVEL 3 – 230 M2</t>
  </si>
  <si>
    <t>Robinson Marulanda Guarin</t>
  </si>
  <si>
    <t>312 36 18 Ext. 2177</t>
  </si>
  <si>
    <t>robinsonmarulanda@arquitecturayconcreto.com</t>
  </si>
  <si>
    <t>COTIZACION DE LOS DISEÑOS DE PROTECCIÓN CONTRA INCENDIOS Y SEGURIDAD HUMANA PARA EL PROYECTO CURIA RIONEGRO</t>
  </si>
  <si>
    <t>COTIZACION DE LOS DISEÑOS DE SEGURIDAD HUMANA Y PROTECCIÓN CONTRA  INCENDIOS - ANTALYA</t>
  </si>
  <si>
    <t>COTIZACION DE LOS DISEÑOS DE PROTECCIÓN CONTRA INCENDIOS - PROYECTO SOLAR</t>
  </si>
  <si>
    <t>COTIZACION DEL DISEÑO DE DETECCIÓN DE INCENDIOS - LA ESTRELLA</t>
  </si>
  <si>
    <t>COTIZACION DEL DISEÑO DE DETECCIÓN DE INCENDIOS - LA MAYORISTA</t>
  </si>
  <si>
    <t>GINO MONTOYA</t>
  </si>
  <si>
    <t>COTIZACION DEL DISEÑO DE EXTINCIÓN DE INCENDIOS - MODELACIÓN Y CÁLCULOS LA CAUSA PF</t>
  </si>
  <si>
    <t>MAURICIO SEPULVEDA</t>
  </si>
  <si>
    <t>310 8227462</t>
  </si>
  <si>
    <t>301 2547727</t>
  </si>
  <si>
    <t>jhonatan.aguirre@construgen.com</t>
  </si>
  <si>
    <t>Jhonatan Aguirre Pulgarin</t>
  </si>
  <si>
    <t>=</t>
  </si>
  <si>
    <t>COTIZACION DE LOS DISEÑOS DE PROTECCIÓN CONTRA INCENDIOS Y SEGURIDAD HUMANA PARA EL PROYECTO LIBERTAD DE LA FORTUNA</t>
  </si>
  <si>
    <t>COTIZACION DE LOS DISEÑOS DE PROTECCIÓN CONTRA INCENDIOS - HOSPITAL REGIONAL DE DUITAMA</t>
  </si>
  <si>
    <t>HOSPITAL REGIONAL DE DUITAMA</t>
  </si>
  <si>
    <t xml:space="preserve">victor.saldarriaga@spci.com.co </t>
  </si>
  <si>
    <t>Luis Orlando Cepeda Zarate</t>
  </si>
  <si>
    <t>mantenimiento@hrd.gov.co</t>
  </si>
  <si>
    <t>COTIZACION DEL DISEÑO DE DETECCIÓN DE INCENDIOS - BODEGA LEBRIJA</t>
  </si>
  <si>
    <t>COTIZACION DEL DISEÑO DE EXTINCIÓN DE INCENDIOS - ÁREAS SIN PROTECCIÓN BODEGA LEBRIJA</t>
  </si>
  <si>
    <t>COTIZACION DE LOS DISEÑOS DE SEGURIDAD HUMANA Y PROTECCIÓN CONTRA INCENDIOS - OFICINAS ANDERCOL</t>
  </si>
  <si>
    <t>Luisa Londoño</t>
  </si>
  <si>
    <t>301 2311524</t>
  </si>
  <si>
    <t>luisa.londono@ingeniobim.co</t>
  </si>
  <si>
    <t>COTIZACION DE LOS DISEÑOS DE PROTECCIÓN CONTRA INCENDIOS PARA EL PROYECTO JUAN VALDÉZ C.C VIVA BARRANQUILLA</t>
  </si>
  <si>
    <t>COTIZACION DEL DISEÑO DE DETECCIÓN DE INCENDIOS PARA EL PROYECTO HOTEL AYACUCHO</t>
  </si>
  <si>
    <t>COTIZACION DEL DISEÑO DE EXTINCIÓN DE INCENDIOS PARA EL PROYECTO HOTEL AYACUCHO</t>
  </si>
  <si>
    <t>COTIZACION DE LOS DISEÑOS DE SEGURIDAD HUMANA Y PROTECCIÓN CONTRA INCENDIOS - PROYECTO ALLEGRO</t>
  </si>
  <si>
    <t>COTIZACION DE LOS DISEÑOS DE PROTECCIÓN CONTRA INCENDIOS PARA EL PROYECTO EDIFICIO LA 33</t>
  </si>
  <si>
    <t>CONSTRUCTORA  MANZANARES</t>
  </si>
  <si>
    <t>Álvaro Pérez</t>
  </si>
  <si>
    <t>312 8667618</t>
  </si>
  <si>
    <t>apb2573@yahoo.es</t>
  </si>
  <si>
    <t>Valentina Chacon</t>
  </si>
  <si>
    <t xml:space="preserve"> 4801300 Ext. 130</t>
  </si>
  <si>
    <t>valentina.chacon@desur.gov.co</t>
  </si>
  <si>
    <t xml:space="preserve">COTIZACION DEL ANÁLISIS DE SEGURIDAD HUMANA PARA EL PROYECTO JAC DEL OASIS
</t>
  </si>
  <si>
    <t>Katherine Lopez Ramirez</t>
  </si>
  <si>
    <t>equipo@4rqstudio.com</t>
  </si>
  <si>
    <t>4RQ STUDIO</t>
  </si>
  <si>
    <t>COTIZACION DE LOS DISEÑOS DE PROTECCIÓN CONTRA INCENDIOS Y SEGURIDAD HUMANA PARA EL PROYECTO CIUDAD DEL RIO</t>
  </si>
  <si>
    <t>COTIZACION DEL DISEÑO DE EXTINCIÓN DE INCENDIOS - PROYECTO VIVACE TORRE 2</t>
  </si>
  <si>
    <t>cristian.cano@lasamericas.com.co</t>
  </si>
  <si>
    <t>Cristian David Cano</t>
  </si>
  <si>
    <t>57 60 4 342 10 10</t>
  </si>
  <si>
    <t>AUNA</t>
  </si>
  <si>
    <t>COTIZACION DE LOS DISEÑOS DE PROTECCIÓN CONTRA INCENDIOS PARA EL PROYECTO HOSPITALIZACION TPH SEDE 80</t>
  </si>
  <si>
    <t>COTIZACION DE LOS DISEÑOS DE PROTECCIÓN CONTRA INCENDIOS PARA EL PROYECTO LOCAL CONSULTORIO ODONTOLOGICO C.C VIVA SINCELEJO</t>
  </si>
  <si>
    <t>Juliana Cardona</t>
  </si>
  <si>
    <t>paradigmaarquitecturasas@gmail.com</t>
  </si>
  <si>
    <t>PARADIGMA ARQUITECTURA</t>
  </si>
  <si>
    <t>COTIZACION DE LOS DISEÑOS DE PROTECCIÓN CONTRA INCENDIOS PARA EL PROYECTO CALLE 7 A</t>
  </si>
  <si>
    <t>Harold Camacho</t>
  </si>
  <si>
    <t>COTIZACION PLANOS DE SEGURIDAD HUMANA - PROYECTO FRAGUA</t>
  </si>
  <si>
    <t>317 3789177</t>
  </si>
  <si>
    <t>Elisa Pantoja</t>
  </si>
  <si>
    <t xml:space="preserve">COTIZACION DEL DISEÑO DE EXTINCIÓN DE INCENDIOS PARA EL PROYECTO GENERSOL
</t>
  </si>
  <si>
    <t>liliana.gutierrez@studiosur.net -laura.arias@studiosur.net</t>
  </si>
  <si>
    <t>COTIZACION DEL ANÁLISIS DE SEGURIDAD HUMANA PARA EL PROYECTO OFICINAS</t>
  </si>
  <si>
    <t>COTIZACION DE LOS DISEÑOS DE PROTECCIÓN CONTRA INCENDIOS PARA EL PROYECTO BANCOLOMBIA UNICENTRO</t>
  </si>
  <si>
    <t xml:space="preserve">licitaciones@spci.com.co </t>
  </si>
  <si>
    <t>IMBANACO</t>
  </si>
  <si>
    <t>COTIZACION DE LOS DISEÑOS DE PROTECCIÓN CONTRA INCENDIOS PARA EL PROYECTO PORCI CARNES</t>
  </si>
  <si>
    <t>COTIZACION DE LOS DISEÑOS DE PROTECCIÓN CONTRA INCENDIOS PARA EL PROYECTO BODEGA 23 REPOTENCIACION SCI</t>
  </si>
  <si>
    <t>kevin15batista@gmail.com</t>
  </si>
  <si>
    <t>Kevin Batista</t>
  </si>
  <si>
    <t>COTIZACION DEL ANÁLISIS DE SEGURIDAD HUMANA PARA EL PROYECTO TULIO OSPINA</t>
  </si>
  <si>
    <t>Sara Restrepo</t>
  </si>
  <si>
    <t>COTIZACION DEL DIAGNÓSTICO DE LOS SISTEMAS DE PROTECCIÓN CONTRA INCENDIOS - CLÍNICA IMBANACO CALI</t>
  </si>
  <si>
    <t>COTIZACION DEL DISEÑO SOPORTES SISMORRESISTENTE RESERVA DEL PARQUE</t>
  </si>
  <si>
    <t>aguasingenieriamed@gmail.com</t>
  </si>
  <si>
    <t>Aguas Ingeniería Medellín</t>
  </si>
  <si>
    <t>Andrés Ardila Duque</t>
  </si>
  <si>
    <t xml:space="preserve"> 3015743970-3192090844-3226861576</t>
  </si>
  <si>
    <t>COTIZACION DE LOS DISEÑOS DE PROTECCIÓN CONTRA INCENDIOS Y SEGURIDAD HUMANA PARA EL PROYECTO COLEGIO JOSE MARIA MANYANET</t>
  </si>
  <si>
    <t>Juan Alberto Fontalvo Polo</t>
  </si>
  <si>
    <t>jfontalvo@viva1a.com.co</t>
  </si>
  <si>
    <t>COTIZACION DE LOS DISEÑOS DE PROTECCIÓN CONTRA INCENDIOS Y SEGURIDAD HUMANA PARA EL PROYECTO CLINICA KRA 49B</t>
  </si>
  <si>
    <t>pduque@columbus.edu.co</t>
  </si>
  <si>
    <t xml:space="preserve"> Paula Andrea Duque</t>
  </si>
  <si>
    <t>Colegio The Columbus School</t>
  </si>
  <si>
    <t>COTIZACION DE LOS DISEÑOS DE PROTECCIÓN CONTRA INCENDIOS Y SEGURIDAD HUMANA PARA EL PROYECTO EDIFICIO NUEVO COLEGIO THE COLUMBUS SCHOOL</t>
  </si>
  <si>
    <t>312 2886611</t>
  </si>
  <si>
    <t xml:space="preserve">JORGE O. TORO MONTES  </t>
  </si>
  <si>
    <t>COTIZACION DE LOS DISEÑOS DE PROTECCIÓN CONTRA INCENDIOS Y SEGURIDAD HUMANA PARA EL PROYECTO CAFETERIA ELEMENTAL</t>
  </si>
  <si>
    <t xml:space="preserve">Con-axion S.A.S. </t>
  </si>
  <si>
    <t>jtoro@con-axion.com</t>
  </si>
  <si>
    <t>COTIZACION DE LOS DISEÑOS DE PROTECCIÓN CONTRA INCENDIOS Y SEGURIDAD HUMANA PARA EL PROYECTO VERMONTE MODIFICACION PISO 1</t>
  </si>
  <si>
    <t>Angélica Patiño</t>
  </si>
  <si>
    <t>diseno@constructoradeobras.com</t>
  </si>
  <si>
    <t>COTIZACION DEL ANÁLISIS DE SEGURIDAD HUMANA PARA EL PROYECTO LOS CAMBULOS</t>
  </si>
  <si>
    <t>Constructora Guasandi s.a.s</t>
  </si>
  <si>
    <t>323 5893023 y/o (604)5609600 ext.104.</t>
  </si>
  <si>
    <t>COTIZACION DE LOS DISEÑOS DE PROTECCIÓN CONTRA INCENDIOS Y SEGURIDAD HUMANA PARA EL PROYECTO SINCELEJO</t>
  </si>
  <si>
    <t>Oscar Andres Alvarez</t>
  </si>
  <si>
    <t>COTIZACION DE LOS DISEÑOS DE PROTECCIÓN CONTRA INCENDIOS PARA EL PROYECTO COLCHONES EL DORADO</t>
  </si>
  <si>
    <t>Coninsa</t>
  </si>
  <si>
    <t>COTIZACION DE LOS DISEÑOS DE PROTECCIÓN CONTRA INCENDIOS Y SEGURIDAD HUMANA PARA EL PROYECTO LA SALLE</t>
  </si>
  <si>
    <t>COTIZACION DEL DISEÑO DE EXTINCIÓN DE INCENDIOS - MODELACIÓN Y CÁLCULOS CONSULTORIO CALI</t>
  </si>
  <si>
    <t>obrasms84@gmail.com</t>
  </si>
  <si>
    <t>DAVID LOPERA MEDINA</t>
  </si>
  <si>
    <t xml:space="preserve">COTIZACION DE LOS DISEÑOS DE PROTECCIÓN CONTRA INCENDIOS Y SEGURIDAD HUMANA PARA EL PROYECTO CENTRAL DE SERVICIOS LA CEJA
</t>
  </si>
  <si>
    <t>COTIZACION DE LOS DISEÑOS DE PROTECCIÓN CONTRA INCENDIOS PARA EL PROYECTO PCH VENTANA</t>
  </si>
  <si>
    <t>COTIZACION DEL DISEÑO DE DETECCIÓN DE INCENDIOS - PORTAL DEL ORO</t>
  </si>
  <si>
    <t>bayron.puerta@spci.com.co</t>
  </si>
  <si>
    <t>COTIZACIÓN DE LA MODELACIÓN Y CÁLCULOS DE LA RED GENERAL Y CONEXIONES DE MANGUERA PARA EL PROYECTO GIRASOLES</t>
  </si>
  <si>
    <t>COTIZACION DEL DISEÑO DE EXTINCIÓN DE INCENDIOS - VORTEX MINIPACK</t>
  </si>
  <si>
    <t>COTIZACION DE LA REVISIÓN DE LOS DISEÑOS DE EXTINCIÓN DE INCENDIOS - MINIPACK</t>
  </si>
  <si>
    <t>COTIZACION DE LOS DISEÑOS DE PROTECCIÓN CONTRA INCENDIOS Y SEGURIDAD HUMANA PARA EL PROYECTO BANCOLOMBIA SOLEDAD</t>
  </si>
  <si>
    <t>Manuela Arboleda Pajoy</t>
  </si>
  <si>
    <t>sraic.diseno@gmail.com</t>
  </si>
  <si>
    <t>COTIZACION DEL DISEÑO DE EXTINCIÓN DE INCENDIOS - RANSA YUMBO</t>
  </si>
  <si>
    <t>COTIZACION DE LOS DISEÑOS DE SEGURIDAD HUMANA Y EXTINCIÓN DE INCENDIOS - ACUARELA DEL RIO TORRE 2</t>
  </si>
  <si>
    <t>Sebastián Rojas</t>
  </si>
  <si>
    <t>Ferroflejes</t>
  </si>
  <si>
    <t xml:space="preserve">COTIZACION DEL DISEÑO DE EXTINCIÓN DE INCENDIOS PARA EL PROYECTO FERROFELEJES
</t>
  </si>
  <si>
    <t xml:space="preserve"> Mauricio Gaviria</t>
  </si>
  <si>
    <t>maurogavi@une.net.co</t>
  </si>
  <si>
    <t>COTIZACION DEL ANÁLISIS DE SEGURIDAD HUMANA PARA EL PROYECTO RIO 53 AGUACATALA</t>
  </si>
  <si>
    <t>MACCA Desarrollo Inmobiliario</t>
  </si>
  <si>
    <t>Jorge Ivan Molano Bedoya</t>
  </si>
  <si>
    <t>jorgemolano@macca.com.co</t>
  </si>
  <si>
    <t>Julian David Cmacho Galvis</t>
  </si>
  <si>
    <t>COTIZACION DEL DISEÑO DE DETECCIÓN DE INCENDIOS PARA EL PROYECTO TEATRO METROPOLITANO JOSE GUTIERREZ GOMEZ</t>
  </si>
  <si>
    <t>COTIZACION DE LOS DISEÑOS DE SEGURIDAD HUMANA Y PROTECCIÓN CONTRA  INCENDIOS - PROYECTO BESIDE</t>
  </si>
  <si>
    <t xml:space="preserve"> COTIZACION DEL REDISEÑO DE EXTINCIÓN DE INCENDIOS - KUO</t>
  </si>
  <si>
    <t>Matria Camila Velásquez</t>
  </si>
  <si>
    <t>spc</t>
  </si>
  <si>
    <t>COTIZACION DE LOS DISEÑOS DE PROTECCIÓN CONTRA INCENDIOS - ACUEDUCTO DE BOGOTÁ</t>
  </si>
  <si>
    <t>SSTUDIO SUR</t>
  </si>
  <si>
    <t>COTIZACION DEL ANÁLISIS DE SEGURIDAD HUMANA PARA EL PROYECTO OFICINAS GOOGLE BOGOTA</t>
  </si>
  <si>
    <t>Laura Arias Abad</t>
  </si>
  <si>
    <t>COTIZACION DE LOS DISEÑOS DE PROTECCIÓN CONTRA INCENDIOS Y SEGURIDAD HUMANA PARA EL PROYECTO LOTE CAROLICA PEREIRA</t>
  </si>
  <si>
    <t xml:space="preserve">COTIZACION DEL DISEÑO DE EXTINCIÓN DE INCENDIOS PARA EL PROYECTO POLÍGONO 120
</t>
  </si>
  <si>
    <t>Maritza Muñoz</t>
  </si>
  <si>
    <t>maritzam@sohinco.com</t>
  </si>
  <si>
    <t>SOHINCO</t>
  </si>
  <si>
    <t>COTIZACION DE LOS DISEÑOS DE PROTECCIÓN CONTRA INCENDIOS PARA EL PROYECTO EDIFICIO BIENESTAR OPERARIOS COMIDISIMOS</t>
  </si>
  <si>
    <t>COTIZACION DE LOS DISEÑOS DE PROTECCIÓN CONTRA INCENDIOS Y SEGURIDAD HUMANA PARA EL PROYECTO VIVIENDA LAKE PALMS</t>
  </si>
  <si>
    <t>Jorge Andres Rojas Cadavid</t>
  </si>
  <si>
    <t>COTIZACION DE LOS DISEÑOS DE PROTECCIÓN CONTRA INCENDIOS PARA EL PROYECTO LOCAL 158A CC VIVA VILLAVICENCIO</t>
  </si>
  <si>
    <t>COTIZACION DEL DISEÑO DE DETECCIÓN DE INCENDIOS PARA EL PROYECTO WOW GALERIA ÉXITO VIVA ENVIGADO</t>
  </si>
  <si>
    <t>Juan David Ossa.</t>
  </si>
  <si>
    <t>Comex Internacional</t>
  </si>
  <si>
    <t>COTIZACION DEL DISEÑO DE EXTINCIÓN DE INCENDIOS PARA EL PROYECTO COLEGIO COLOMBUS SCHOOL COORDENAS 2019</t>
  </si>
  <si>
    <t>COTIZACION DEL DISEÑO DE EXTINCIÓN DE INCENDIOS PARA EL PROYECTO TORRE DE CONSULTORIOS</t>
  </si>
  <si>
    <t>Dario Antonio Saldarriaga</t>
  </si>
  <si>
    <t>COTIZACION DE LOS DISEÑOS DE PROTECCIÓN CONTRA INCENDIOS Y SEGURIDAD HUMANA PARA EL PROYECTO LIBERTADA DE LA FORTUNA</t>
  </si>
  <si>
    <t>Laura Duque betancur</t>
  </si>
  <si>
    <t>COTIZACION DE LOS DISEÑOS DE PROTECCIÓN CONTRA INCENDIOS PARA EL PROYECTO VILLAS DEL CARMEN</t>
  </si>
  <si>
    <t>313 731 01 01</t>
  </si>
  <si>
    <t>COTIZACION DE LOS DISEÑOS DE PROTECCIÓN CONTRA INCENDIOS Y SEGURIDAD HUMANA PARA EL PROYECTO POLÍGONO 120</t>
  </si>
  <si>
    <t>COTIZACION DE LOS DISEÑOS DE PROTECCIÓN CONTRA INCENDIOS Y SEGURIDAD HUMANA PARA EL PROYECTO MIC GUARNE</t>
  </si>
  <si>
    <t>304 5430256</t>
  </si>
  <si>
    <t>324 2594697</t>
  </si>
  <si>
    <t>316 4962026</t>
  </si>
  <si>
    <t>312 6536246</t>
  </si>
  <si>
    <t>315 3046377</t>
  </si>
  <si>
    <t xml:space="preserve">COTIZACION DEL ANÁLISIS DE SEGURIDAD HUMANA PARA EL PROYECTO LABORATORIO COLSANITAS 
</t>
  </si>
  <si>
    <t xml:space="preserve">Pilar Arango Restrepo </t>
  </si>
  <si>
    <t>COTIZACION DEL ANÁLISIS DE SEGURIDAD HUMANA PARA EL PROYECTO PUERTO AZUL</t>
  </si>
  <si>
    <t>posventasconintel@gmail.com</t>
  </si>
  <si>
    <t>Laura Gaviria</t>
  </si>
  <si>
    <t xml:space="preserve">COTIZACION DEL ANÁLISIS DE SEGURIDAD HUMANA PARA EL PROYECTO PARQUEADEROS VIERZO LIVINGS
</t>
  </si>
  <si>
    <t>CONINTEL SA</t>
  </si>
  <si>
    <t>johnvelezconsultorias@gmail.com</t>
  </si>
  <si>
    <t>John Vélez</t>
  </si>
  <si>
    <t>313 652 51 94</t>
  </si>
  <si>
    <t xml:space="preserve">COTIZACION DEL DISEÑO DE EXTINCIÓN DE INCENDIOS PARA EL PROYECTO OFICINAS
</t>
  </si>
  <si>
    <t>John Velez</t>
  </si>
  <si>
    <t>COTIZACION DE LOS DISEÑOS DE PROTECCIÓN CONTRA INCENDIOS Y SEGURIDAD HUMANA PARA EL PROYECTO POLITECNICO GRAN COLOMBIANO</t>
  </si>
  <si>
    <t>313 7851941</t>
  </si>
  <si>
    <t>316 6226809</t>
  </si>
  <si>
    <t>310 4165783</t>
  </si>
  <si>
    <t>COTIZACION DE LOS DISEÑOS DE PROTECCIÓN CONTRA INCENDIOS PARA EL PROYECTO SECRETARIA DE MOVILIDAD DE ENVIGADO</t>
  </si>
  <si>
    <t>ByR Ingeniería</t>
  </si>
  <si>
    <t>eortiz@byr.com.co</t>
  </si>
  <si>
    <t xml:space="preserve"> Edwin Alberto Ortiz</t>
  </si>
  <si>
    <t>COTIZACION DEL DISEÑO DE EXTINCIÓN DE INCENDIOS PARA EL PROYECTO TANQUES GLP</t>
  </si>
  <si>
    <t xml:space="preserve">Bayron Elicer Puerta Toro </t>
  </si>
  <si>
    <t>COTIZACION DE LOS DISEÑOS DE PROTECCIÓN CONTRA INCENDIOS PARA EL PROYECTO PROYECTO INDUSTRIAL</t>
  </si>
  <si>
    <t>COTIZACION DE LOS DISEÑOS DE PROTECCIÓN CONTRA INCENDIOS Y SEGURIDAD HUMANA PARA EL PROYECTO CEDI IBAGUE</t>
  </si>
  <si>
    <t>David Velez Valencia</t>
  </si>
  <si>
    <t>313 693 88 55</t>
  </si>
  <si>
    <t>david.velez@spci.com.co</t>
  </si>
  <si>
    <t>COTIZACION DEL DISEÑO DE EXTINCIÓN DE INCENDIOS PARA EL PROYECTO CUARTO COV VIVA ENVIGADO</t>
  </si>
  <si>
    <t>COTIZACION DEL DISEÑO DE DETECCIÓN DE INCENDIOS PARA EL PROYECTO GUAYACANES</t>
  </si>
  <si>
    <t>COTIZACION DEL DISEÑO DE EXTINCIÓN DE INCENDIOS PARA EL PROYECTO GUAYACANES</t>
  </si>
  <si>
    <t>COTIZACION DEL DISEÑO DE DETECCIÓN DE INCENDIOS PARA EL PROYECTO PEPSICO AREA ADMINISTRATIVO</t>
  </si>
  <si>
    <t>COTIZACION DEL DISEÑO DE DETECCIÓN DE INCENDIOS PARA EL PROYECTO PEPSICO PLANTA ORIENTE</t>
  </si>
  <si>
    <t>COTIZACION DE LOS DISEÑOS DE PROTECCIÓN CONTRA INCENDIOS Y SEGURIDAD HUMANA PARA EL PROYECTO ACTION LIVING</t>
  </si>
  <si>
    <t>e.ramirez@verticeing.com</t>
  </si>
  <si>
    <t xml:space="preserve">Esteban Ramirez </t>
  </si>
  <si>
    <t>Vertice</t>
  </si>
  <si>
    <t xml:space="preserve">(604) 4486800 Ext. 138 </t>
  </si>
  <si>
    <t>COTIZACION DE LOS DISEÑOS DE PROTECCIÓN CONTRA INCENDIOS Y SEGURIDAD HUMANA PARA EL PROYECTO SAN JORGE COMERCIO</t>
  </si>
  <si>
    <t>COTIZACION DE LOS DISEÑOS DE PROTECCIÓN CONTRA INCENDIOS PARA EL PROYECTO LOCALES RESERVA PLAZA</t>
  </si>
  <si>
    <t>COTIZACION DE LOS DISEÑOS DE PROTECCIÓN CONTRA INCENDIOS PARA EL PROYECTO CHAK FOODTECH</t>
  </si>
  <si>
    <t>COTIZACION DE LOS DISEÑOS DE PROTECCIÓN CONTRA INCENDIOS Y SEGURIDAD HUMANA PARA EL PROYECTO HOTEL CLICK CLACK</t>
  </si>
  <si>
    <t>John Jairo Jaramillo Ochoa</t>
  </si>
  <si>
    <t xml:space="preserve">Cristian Londoño </t>
  </si>
  <si>
    <t>Mensula</t>
  </si>
  <si>
    <t xml:space="preserve">
COTIZACION DE LOS DISEÑOS DE PROTECCIÓN CONTRA INCENDIOS Y SEGURIDAD HUMANA PARA EL PROYECTO ALLEGRO CARTAGO
</t>
  </si>
  <si>
    <t xml:space="preserve">Nakary Garcia Romero    </t>
  </si>
  <si>
    <t>COTIZACION DE LOS DISEÑOS DE PROTECCIÓN CONTRA INCENDIOS PARA EL PROYECTO BODEGA 924 SK BOGOTA</t>
  </si>
  <si>
    <t>jorge.escobar@espiral.com.co</t>
  </si>
  <si>
    <t>COTIZACION DEL DISEÑO DE DETECCIÓN DE INCENDIOS PARA EL PROYECTO CONDOMINIO HOUZEZ</t>
  </si>
  <si>
    <t>Julio Zapata</t>
  </si>
  <si>
    <t>COTIZACION DEL DISEÑO DE EXTINCIÓN DE INCENDIOS PARA EL PROYECTO PABELLONES BLANCO Y AZUL DE PLAZA MAYOR MEDELLIN</t>
  </si>
  <si>
    <t>COTIZACION DE LOS DISEÑOS DE PROTECCIÓN CONTRA INCENDIOS Y SEGURIDAD HUMANA PARA EL PROYECTO CLINICA MEDICADIZ</t>
  </si>
  <si>
    <t>COTIZACION DE LOS DISEÑOS DE SEGURIDAD HUMANA Y PROTECCIÓN CONTRA INCENDIOS - MOTEL MARINILLA</t>
  </si>
  <si>
    <t>COTIZACION DE LOS DISEÑOS DE PROTECCIÓN CONTRA INCENDIOS - BODEGAS 9A Y 10A KCC</t>
  </si>
  <si>
    <t>COTIZACION DE LA INGENIERÍA DE DETALLE DE LOS SISTEMAS DE PROTECCIÓN CONTRA INCENDIOS - PTAR TRANVÍA</t>
  </si>
  <si>
    <t>COTIZACION DE LOS DISEÑOS DE PROTECCIÓN CONTRA INCENDIOS PARA EL PROYECTO RYO 53</t>
  </si>
  <si>
    <t>DISEÑO SANTANA</t>
  </si>
  <si>
    <t>Mauricio Gonzalez</t>
  </si>
  <si>
    <t>COTIZACION DEL DISEÑO DE DETECCIÓN DE INCENDIOS PARA EL PROYECTO LOCAL 218 WAJIRA</t>
  </si>
  <si>
    <t>COTIZACION DE LOS DISEÑOS DE PROTECCIÓN CONTRA INCENDIOS Y SEGURIDAD HUMANA PARA EL PROYECTO UNIVERSIDAD DE ANTIOQUIA</t>
  </si>
  <si>
    <t>COTIZACION DEL ANÁLISIS DE SEGURIDAD HUMANA - MONTEBIANCO CARTAGENA</t>
  </si>
  <si>
    <t>Javier Herrera Uribe</t>
  </si>
  <si>
    <t>313 6106856</t>
  </si>
  <si>
    <t>COTIZACION DE LOS DISEÑOS DE PROTECCIÓN CONTRA INCENDIOS Y SEGURIDAD HUMANA PARA EL PROYECTO MONTEFINO MONTERIA</t>
  </si>
  <si>
    <t>301 4487912</t>
  </si>
  <si>
    <t>COTIZACION DEL ANÁLISIS DE SEGURIDAD HUMANA PARA EL PROYECTO DISLICORES</t>
  </si>
  <si>
    <t xml:space="preserve"> Sebastian Bedoya Arang</t>
  </si>
  <si>
    <t>sebastianbedoya@paralelo-group.com</t>
  </si>
  <si>
    <t xml:space="preserve">
COTIZACION DEL DISEÑO DE EXTINCIÓN DE INCENDIOS PARA EL PROYECTO EDIFICIO SABANETA</t>
  </si>
  <si>
    <t>alvaro manosalva</t>
  </si>
  <si>
    <t>SFIRE GROUP</t>
  </si>
  <si>
    <t xml:space="preserve">
COTIZACION DEL DISEÑO DE EXTINCIÓN DE INCENDIOS PARA EL PROYECTO BODEGAS CARTAGENA</t>
  </si>
  <si>
    <t>COTIZACION DEL DISEÑO DE EXTINCIÓN DE INCENDIOS PARA EL PROYECTO BODEGAS RANSA CALDAS-SECOS</t>
  </si>
  <si>
    <t>COTIZACION DEL ANÁLISIS DE SEGURIDAD HUMANA PARA EL PROYECTO VOLARE ETAPA 1</t>
  </si>
  <si>
    <t>COTIZACION DEL INFORME PRELIMINAR DE SEGURIDAD HUMANA - MONTEBIANCO CARTAGENA</t>
  </si>
  <si>
    <t>Sebastian Bedoya Arang</t>
  </si>
  <si>
    <t>COTIZACION DE LOS DISEÑOS DE SEGURIDAD HUMANA Y PROTECCIÓN CONTRA INCENDIOS - CONDOMINIO HOUZEZ</t>
  </si>
  <si>
    <t>COTIZACION DE LA REVISIÓN Y PROPUESTAS DE MEJORA DE SEGURIDAD HUMANA Y PROTECCIÓN CONTRA INCENDIOS - RIOGRANDE</t>
  </si>
  <si>
    <t>Clara Liliana Vivas Tristancho</t>
  </si>
  <si>
    <t>cvivas@conaltura.com</t>
  </si>
  <si>
    <t>COTIZACION DE LOS DISEÑOS DE PROTECCIÓN CONTRA INCENDIOS Y SEGURIDAD HUMANA PARA EL PROYECTO KIVA DEL RIO</t>
  </si>
  <si>
    <t>COTIZACION DE LOS DISEÑOS DE PROTECCIÓN CONTRA INCENDIOS PARA EL PROYECTO TABLAZA LOTE 1</t>
  </si>
  <si>
    <t>COTIZACION DE LOS DISEÑOS DE SEGURIDAD HUMANA Y PROTECCIÓN CONTRA INCENDIOS - PROYECTO CLINICA MEDICADIZ</t>
  </si>
  <si>
    <t>COTIZACION DE LOS DISEÑOS DE SEGURIDAD HUMANA Y PROTECCIÓN CONTRA INCENDIOS - EDIFICIO ALCATRAZ</t>
  </si>
  <si>
    <t>COTIZACION DE LOS DISEÑOS DE SEGURIDAD HUMANA Y PROTECCIÓN CONTRA INCENDIOS - BANTUE</t>
  </si>
  <si>
    <t>17/03/2023</t>
  </si>
  <si>
    <t>COTIZACIÓN DE LOS DISEÑOS DE EXTINCIÓN DE INCENDIOS</t>
  </si>
  <si>
    <t>BANTU</t>
  </si>
  <si>
    <t>17/03/2024</t>
  </si>
  <si>
    <t xml:space="preserve">María Adelaida Jiménez </t>
  </si>
  <si>
    <t>312 2379587</t>
  </si>
  <si>
    <t>maria.jimenez@bataua.com</t>
  </si>
  <si>
    <t>Maria Camila Madrid</t>
  </si>
  <si>
    <t>312 7373927</t>
  </si>
  <si>
    <t>maria.madrid@bienesybienes.com.co</t>
  </si>
  <si>
    <t>X</t>
  </si>
  <si>
    <t>Aprobado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</si>
  <si>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</si>
  <si>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</si>
  <si>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</si>
  <si>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</si>
  <si>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</si>
  <si>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</si>
  <si>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</si>
  <si>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</si>
  <si>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</si>
  <si>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</si>
  <si>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</si>
  <si>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</si>
  <si>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COTIZACIONES APROBADAS</t>
  </si>
  <si>
    <t>COTIZACIONES RECHAZADAS</t>
  </si>
  <si>
    <t xml:space="preserve">PORCENTAJE DE APROBACION </t>
  </si>
  <si>
    <t>VALOR TOTAL COTIZACIONES</t>
  </si>
  <si>
    <t xml:space="preserve"> Yeison González</t>
  </si>
  <si>
    <t>COTIZACION DE LOS DISEÑOS DE PROTECCIÓN CONTRA INCENDIOS Y SEGURIDAD HUMANA PARA EL PROYECTO LAGOS MADEROS</t>
  </si>
  <si>
    <t>COTIZACION DEL ANÁLISIS DE SEGURIDAD HUMANA PARA EL PROYECTO CLINICA MEDELLIN POBLADO</t>
  </si>
  <si>
    <t xml:space="preserve">Sergio Rodriguez </t>
  </si>
  <si>
    <t xml:space="preserve">COTIZACION DE LOS DISEÑOS DE PROTECCIÓN CONTRA INCENDIOS PARA EL PROYECTO BODEGA HACIENDA EL PORTAL
</t>
  </si>
  <si>
    <t>COTIZACION DE LOS DISEÑOS DE PROTECCIÓN CONTRA INCENDIOS PARA EL PROYECTO ENKA</t>
  </si>
  <si>
    <t>COTIZACION DE LOS DISEÑOS DE PROTECCIÓN CONTRA INCENDIOS PARA EL PROYECTO PRIMITIV</t>
  </si>
  <si>
    <t xml:space="preserve">COTIZACION DE LOS DISEÑOS DE PROTECCIÓN CONTRA INCENDIOS Y SEGURIDAD HUMANA PARA EL PROYECTO CONDOMINIO FENIX
</t>
  </si>
  <si>
    <t>TRZ ARQUITECTURA</t>
  </si>
  <si>
    <t>Esteban Perez Betancur</t>
  </si>
  <si>
    <t>esteban.perez@tzd.com.co</t>
  </si>
  <si>
    <t xml:space="preserve">COTIZACION DEL DISEÑO DE EXTINCIÓN DE INCENDIOS PARA EL PROYECTO BANCOLOMBIA HALL CAJEROS MI PLAZA LOS ROBLES
</t>
  </si>
  <si>
    <t xml:space="preserve"> Hidráulica y Montajes</t>
  </si>
  <si>
    <t xml:space="preserve">COTIZACION DEL DISEÑO DE DETECCIÓN DE INCENDIOS PARA EL PROYECTO PISO 7 SUR
</t>
  </si>
  <si>
    <t xml:space="preserve">COTIZACION DEL DISEÑO DE DETECCIÓN DE INCENDIOS PARA EL PROYECTO PISO 10
</t>
  </si>
  <si>
    <t>EDIVA</t>
  </si>
  <si>
    <t>Jaime Vergara</t>
  </si>
  <si>
    <t>COTIZACION DEL DISEÑO DE EXTINCIÓN DE INCENDIOS PARA EL PROYECTO CIUDADELA DEL VALLE BODEGA #85</t>
  </si>
  <si>
    <t>COTIZACION DE LOS DISEÑOS DE PROTECCIÓN CONTRA INCENDIOS Y SEGURIDAD HUMANA PARA EL PROYECTO SEDE ADM BANCOLOMBIA CALI</t>
  </si>
  <si>
    <t>COTIZACION DE LOS DISEÑOS DE PROTECCIÓN CONTRA INCENDIOS Y SEGURIDAD HUMANA PARA EL PROYECTO CURTIMBRES LOTE A</t>
  </si>
  <si>
    <t>B&amp;B</t>
  </si>
  <si>
    <t>Maria Camila Madrid Quiceno</t>
  </si>
  <si>
    <t xml:space="preserve">(054) 311 - 8500 </t>
  </si>
  <si>
    <t>COTIZACION DE LOS DISEÑOS DE SEGURIDAD HUMANA Y PROTECCIÓN CONTRA INCENDIOS - EDIFICIO COMERCIAL 4 PISOS</t>
  </si>
  <si>
    <t>SUMARIO ARQUITECTURA</t>
  </si>
  <si>
    <t>Cristina Tamayo</t>
  </si>
  <si>
    <t>317 2207906</t>
  </si>
  <si>
    <t>311 3227629</t>
  </si>
  <si>
    <t>Juan Hernando Pérez</t>
  </si>
  <si>
    <t>COTIZACION DEL DISEÑO DE DETECCIÓN DE INCENDIOS PARA EL PROYECTO CENTRO EMPRESARIAL CIUDAD DEL RIO</t>
  </si>
  <si>
    <t>COTIZACION DE LOS DISEÑOS DE PROTECCIÓN CONTRA INCENDIOS PARA EL PROYECTO COCINA OCULTA CREPS</t>
  </si>
  <si>
    <t>cristina@sumario.co</t>
  </si>
  <si>
    <t>COTIZACION DE LOS DISEÑOS DE SEGURIDAD HUMANA Y EXTINCIÓN DE INCENDIOS - AL PARQUE</t>
  </si>
  <si>
    <t xml:space="preserve"> santiagoduque@solucionesinmobiliariassas.com</t>
  </si>
  <si>
    <t>COTIZACION DE LOS DISEÑOS DE PROTECCIÓN CONTRA INCENDIOS PARA EL PROYECTO CAFÉ PERGAMINO</t>
  </si>
  <si>
    <t xml:space="preserve"> MAUREN VALENCIA TORO</t>
  </si>
  <si>
    <t>maurenvalenciatoro@gmail.com</t>
  </si>
  <si>
    <t>COTIZACION DEL DISEÑO DE EXTINCIÓN DE INCENDIOS PARA EL PROYECTO MIRADOR DE LAS VEGAS</t>
  </si>
  <si>
    <t>MAUREN VALENCIA TORO</t>
  </si>
  <si>
    <t>camilo.torres@espiral.com.co</t>
  </si>
  <si>
    <t>Camilo Torres</t>
  </si>
  <si>
    <t>COTIZACION DE LOS DISEÑOS DE PROTECCIÓN CONTRA INCENDIOS PARA EL PROYECTO PLANTA  BIMBO BARRANQUILLA</t>
  </si>
  <si>
    <t>COTIZACION DE LOS DISEÑOS DE PROTECCIÓN CONTRA INCENDIOS PARA EL PROYECTO PLANTA  BIMBO ITAGUI</t>
  </si>
  <si>
    <t>COTIZACION DE LOS DISEÑOS DE PROTECCIÓN CONTRA INCENDIOS Y SEGURIDAD HUMANA PARA EL PROYECTO CALLE 7A</t>
  </si>
  <si>
    <t>COTIZACION DEL ANÁLISIS DE SEGURIDAD HUMANA PARA EL PROYECTO REASENTAMIENTO GRAMALOTE FASE 1 EN COLOMBIA</t>
  </si>
  <si>
    <t>COTIZACION DEL ANÁLISIS DE SEGURIDAD HUMANA PARA EL PROYECTO BOSQUES DE ALCALÁ</t>
  </si>
  <si>
    <t>COTIZACION DEL DISEÑO DE EXTINCIÓN DE INCENDIOS PARA EL PROYECTO HOTEL 10A</t>
  </si>
  <si>
    <t>4RQSTUDIO</t>
  </si>
  <si>
    <t>Sara Ledesma</t>
  </si>
  <si>
    <t>Julian Francisco Larrota Rojas</t>
  </si>
  <si>
    <t>jlarrota@ordenhospitalaria.org</t>
  </si>
  <si>
    <t>C SAN JUAN DE DIOS</t>
  </si>
  <si>
    <t>RISK SOLUTION GROUP</t>
  </si>
  <si>
    <t>310 4473509</t>
  </si>
  <si>
    <t>OTIZACION DEL ANÁLISIS DE SEGURIDAD HUMANA Y LA DEFINICIÓN DE LOS SISTEMAS DE PROTECCIÓN CONTRA INCENDIOS PARA EL PROYECTO CENTRAL PARK BELLO</t>
  </si>
  <si>
    <t xml:space="preserve"> Juan Camilo Quintero Bedoya</t>
  </si>
  <si>
    <t>COTIZACION DEL DISEÑO DE DETECCIÓN DE INCENDIOS - GESTIÓN CARGO</t>
  </si>
  <si>
    <t>COTIZACION DE LA REVISIÓN DE LOS DISEÑOS DE EXTINCIÓN DE INCENDIOS - PLANTA GALVANIZADO</t>
  </si>
  <si>
    <t>SOLUCIONES IRS</t>
  </si>
  <si>
    <t xml:space="preserve">	luis.ramirez@solucionesirs.com</t>
  </si>
  <si>
    <t>318 4093800</t>
  </si>
  <si>
    <t>COTIZACION DE LOS DISEÑOS DE EXTINCIÓN DE INCENDIOS Y SEGURIDAD HUMANA PARA EL PROYECTO COLEGIO BILIGUE SAN JUAN DE DIOS</t>
  </si>
  <si>
    <t>COTIZACION DEL DISEÑO DE EXTINCIÓN DE INCENDIOS - PLAZA MINORISTA</t>
  </si>
  <si>
    <t>Yadirton Vargas</t>
  </si>
  <si>
    <t>COTIZACION DE LOS PLANOS Y CÁLCULOS DE DETECCIÓN DE INCENDIOS PARA EL PROYECTO ZONA COMÚN CENTRO COMERCIAL VIVA LAURELES</t>
  </si>
  <si>
    <t>COTIZACION DEL DISEÑO DE EXTINCIÓN DE INCENDIOS PARA EL PROYECTO BODEGA MAERSK</t>
  </si>
  <si>
    <t>COTIZACION DEL DISEÑO DE DETECCIÓN DE INCENDIOS PARA EL PROYECTO LOCAL PURPURE</t>
  </si>
  <si>
    <t>COTIZACION DE LOS DISEÑOS DE SEGURIDAD HUMANA Y PROTECCIÓN CONTRA INCENDIOS - MANANTIALES</t>
  </si>
  <si>
    <t xml:space="preserve"> Laura Arias</t>
  </si>
  <si>
    <t>571 2357612</t>
  </si>
  <si>
    <t xml:space="preserve">COTIZACION DEL ANÁLISIS DE SEGURIDAD HUMANA PARA EL PROYECTO OFICINAS MASTERCARD
</t>
  </si>
  <si>
    <t>william.hernandez@construgen.com</t>
  </si>
  <si>
    <t>Willian Hernandez Mathieu</t>
  </si>
  <si>
    <t>COTIZACION DE LOS DISEÑOS DE PROTECCIÓN CONTRA INCENDIOS Y SEGURIDAD HUMANA PARA EL PROYECTO SECRETARIA DE MOVILIDAD DE ENVIGADO</t>
  </si>
  <si>
    <t xml:space="preserve">luisa.londono@ingeniobim.co  </t>
  </si>
  <si>
    <t>COTIZACION DEL ANÁLISIS DE SEGURIDAD HUMANA PARA EL PROYECTO EDIFICIO DE LABORATORIOS DE LA ESCUELA DE INGENIERIA CIVIL Y GEOMATICA DE LA UNIVERSIDAD DEL VALLE</t>
  </si>
  <si>
    <t>FIRE PROTECTION</t>
  </si>
  <si>
    <t>COTIZACION DE LOS DISEÑOS DE PROTECCIÓN CONTRA INCENDIOS PARA EL PROYECTO ECUADOR</t>
  </si>
  <si>
    <t>CARLOS GIL</t>
  </si>
  <si>
    <t>RCI INGENIERIA Y MONTAJES</t>
  </si>
  <si>
    <t>Diego Alejandro Correa Bedoya</t>
  </si>
  <si>
    <t>dacorrea@rcimontajes.co</t>
  </si>
  <si>
    <t>COTIZACION DEL DISEÑO DE DETECCIÓN DE INCENDIOS PARA EL PROYECTO BODEGA FAMILIA</t>
  </si>
  <si>
    <t>COTIZACION DE LOS DISEÑOS DE PROTECCIÓN CONTRA INCENDIOS PARA EL PROYECTO BANCOLOMBIA HALL CAJEROS CENTRO COMERCIAL UNICO</t>
  </si>
  <si>
    <t>Catalina Uribe</t>
  </si>
  <si>
    <t>Victor Hugo Saldarriaga Botero</t>
  </si>
  <si>
    <t>victor.saldarriaga@spci.com.co</t>
  </si>
  <si>
    <t>COTIZACION DEL DISEÑO DE EXTINCIÓN DE INCENDIOS PARA EL PROYECTO ZONA DISLICORES</t>
  </si>
  <si>
    <t>Jhon Anderson Rodriguez Nieto</t>
  </si>
  <si>
    <t>COTIZACION DEL DISEÑO DE EXTINCIÓN DE INCENDIOS PARA EL PROYECTO PIAMONTE APARTAMENTOS</t>
  </si>
  <si>
    <t>COTIZACION DE LA REVISIÓN DE SEGURIDAD HUMANA Y PROTECCIÓN CONTRA INCENDIOS PARA EL TEATRO DE LA UNIVESIDAD DE MEDELLÍN</t>
  </si>
  <si>
    <t>hseqsuper@gmail.com</t>
  </si>
  <si>
    <t>Comercializadora Súper Estrellas</t>
  </si>
  <si>
    <t>KARINA RUIZ ROJAS</t>
  </si>
  <si>
    <t xml:space="preserve"> 5767272- Ext 7387</t>
  </si>
  <si>
    <t>COTIZACION DEL DISEÑO DE EXTINCIÓN DE INCENDIOS PARA EL PROYECTO CENTRO AMBULATORIO TORRE MEDICA OVIEDO P4</t>
  </si>
  <si>
    <t>COTIZACION DE LOS DISEÑOS DE PROTECCIÓN CONTRA INCENDIOS PARA EL PROYECTO CLINICA MEDELLIN SEDE OCCIDENTE</t>
  </si>
  <si>
    <t>COTIZACION DE LOS DISEÑOS DE PROTECCIÓN CONTRA INCENDIOS Y SEGURIDAD HUMANA PARA EL PROYECTO CENTRO AMBULATORIO TORRE MEDICA OVIEDO P-4 CLINICA CES</t>
  </si>
  <si>
    <t>COTIZACION DEL DISEÑO DE EXTINCIÓN DE INCENDIOS - MODELACIÓN Y CÁLCULOS FIC48 PISO 15</t>
  </si>
  <si>
    <t xml:space="preserve">COTIZACION DEL DISEÑO DE EXTINCIÓN DE INCENDIOS PARA EL PROYECTO HOTEL SUPER ESTRELLA
</t>
  </si>
  <si>
    <t>COTIZACION DEL DISEÑO DE EXTINCIÓN DE INCENDIOS - MODELACIÓN Y CÁLCULOS FIC48 PISO 16</t>
  </si>
  <si>
    <t>302 2547727</t>
  </si>
  <si>
    <t>COTIZACION DEL DISEÑO DE EXTINCIÓN DE INCENDIOS - BODEGAS AVILA</t>
  </si>
  <si>
    <t>Laura Estrada</t>
  </si>
  <si>
    <t>anuri.obra@gmail.com</t>
  </si>
  <si>
    <t>57 310 7885323</t>
  </si>
  <si>
    <t>COTIZACION DE LOS DISEÑOS DE PROTECCIÓN CONTRA INCENDIOS Y SEGURIDAD HUMANA PARA EL PROYECTO HOTEL 59</t>
  </si>
  <si>
    <t>COTIZACION DEL DISEÑO DE EXTINCIÓN DE INCENDIOS PARA EL PROYECTO BODEGA LOTE 15 PARQUE INDUSTRIAL ELITE</t>
  </si>
  <si>
    <t>COTIZACION REVISIÓN Y PRUEBAS SISTEMAS CONTRA INCENDIOS Y LA SEGURIDAD HUMANA PARA EL CENTRO COMERCIAL PREMIUM PLAZA</t>
  </si>
  <si>
    <t>PREMIUM PLAZA</t>
  </si>
  <si>
    <t>Paula Herrera</t>
  </si>
  <si>
    <t>analistasst@ccpremiumplaza.com</t>
  </si>
  <si>
    <t>304 2577204</t>
  </si>
  <si>
    <t>COTIZACION DEL DISEÑO DE DETECCIÓN DE INCENDIOS - LOCAL SR WOK VIVA TUNJA</t>
  </si>
  <si>
    <t>COTIZACION DE LOS DISEÑOS DE PROTECCIÓN CONTRA INCENDIOS Y SEGURIDAD HUMANA PARA EL PROYECTO TRUITT EDIFICIO CAMPESTRE</t>
  </si>
  <si>
    <t>miguelrobayo@sfiregroup.com</t>
  </si>
  <si>
    <t>FIRE PROTECTION SOLUTIONS GROUP</t>
  </si>
  <si>
    <t>COTIZACION DE LOS DISEÑOS DE PROTECCIÓN CONTRA INCENDIOS PARA EL PROYECTO UNIVAR</t>
  </si>
  <si>
    <t>David Duque</t>
  </si>
  <si>
    <t xml:space="preserve">COTIZACION DE LOS DISEÑOS DE PROTECCIÓN CONTRA INCENDIOS PARA EL PROYECTO EDIFICIO RESIDENCIAL
</t>
  </si>
  <si>
    <t>COTIZACION PLANOS DE SEGURIDAD HUMANA - PROYECTO JAGGUA</t>
  </si>
  <si>
    <t>MIC</t>
  </si>
  <si>
    <t>Simon Uribe Mejia</t>
  </si>
  <si>
    <t>604 444 2849 – Ext. 691</t>
  </si>
  <si>
    <t>jefe.mantenimiento@mic.com.co</t>
  </si>
  <si>
    <t>COTIZACION DEL DISEÑO DE EXTINCIÓN DE INCENDIOS PARA EL PROYECTO CENTRO DE DISTRIBUCION MAQUILA INTERNACIONAL DE CONFECCION -PANAMA</t>
  </si>
  <si>
    <t xml:space="preserve">Santiago Castro </t>
  </si>
  <si>
    <t>spava@exsolven.com.co</t>
  </si>
  <si>
    <t>EXSOLVEN</t>
  </si>
  <si>
    <t>COTIZACION DE LOS DISEÑOS DE PROTECCIÓN CONTRA INCENDIOS PARA EL PROYECTO PLANTA COMPROIND</t>
  </si>
  <si>
    <t>COTIZACION DEL DISEÑO DE EXTINCIÓN DE INCENDIOS PARA EL PROYECTO CENTRO DE DISTRIBUCION LEBRIJA</t>
  </si>
  <si>
    <t>COTIZACION DE PRUBAS DE FLUJO SISTEMA DE CONEXIONES DE MANGUERA - THE COLOMBUS SCHOOL</t>
  </si>
  <si>
    <t>322 6861576</t>
  </si>
  <si>
    <t>COTIZACION DE LOS DISEÑOS DE PROTECCIÓN CONTRA INCENDIOS - ÁREAS FALTANTES ECOFLORA</t>
  </si>
  <si>
    <t xml:space="preserve">santiago.cardona@spci.com.co </t>
  </si>
  <si>
    <t>310 416 57 83</t>
  </si>
  <si>
    <t>COTIZACION DEL DISEÑO DE DETECCIÓN DE INCENDIOS PARA EL PROYECTO MIRADOR DE LAS VEGAS</t>
  </si>
  <si>
    <t>Juan Carlos Casas</t>
  </si>
  <si>
    <t>COTIZACION DEL DISEÑO DE EXTINCIÓN DE INCENDIOS PARA EL PROYECTO SEDE BELLO</t>
  </si>
  <si>
    <t>salud y salud</t>
  </si>
  <si>
    <t xml:space="preserve">COTIZACION DEL DISEÑO DE DETECCIÓN DE INCENDIOS PARA EL PROYECTO BODEGAS 20,21 Y 11 DE UNITEC
</t>
  </si>
  <si>
    <t>ANURI</t>
  </si>
  <si>
    <t>COTIZACION DEL ANÁLISIS DE SEGURIDAD HUMANA PARA EL PROYECTO PISO 8 OFICINAS MASTERCARD</t>
  </si>
  <si>
    <t>COTIZACION DE LOS DISEÑOS DE PROTECCIÓN CONTRA INCENDIOS PARA EL PROYECTO APLA COLOMBIA</t>
  </si>
  <si>
    <t>Sindy Silva</t>
  </si>
  <si>
    <t>COTIZACION DEL DISEÑO DE DETECCIÓN DE INCENDIOS PARA EL PROYECTO HALL DE CAJEROS DE JARDIN PLAZA</t>
  </si>
  <si>
    <t>08/05/02023</t>
  </si>
  <si>
    <t>ABILE CONSTRUCTORES</t>
  </si>
  <si>
    <t xml:space="preserve">Edgar Alexander López Arángo </t>
  </si>
  <si>
    <t>edgar.lopez@abile.co</t>
  </si>
  <si>
    <t>COTIZACION DEL DISEÑO DE EXTINCIÓN DE INCENDIOS PARA EL PROYECTO EDIFICIO JUANAMBU</t>
  </si>
  <si>
    <t>COTIZACION DEL DISEÑO DE DETECCIÓN DE INCENDIOS PARA EL PROYECTO FERRATORE</t>
  </si>
  <si>
    <t>09/05/02023</t>
  </si>
  <si>
    <t>Frank Jhovany Rodríguez</t>
  </si>
  <si>
    <t>frodriguez@conaltura.com</t>
  </si>
  <si>
    <t>COTIZACION DE LOS DISEÑOS DE PROTECCIÓN CONTRA INCENDIOS Y SEGURIDAD HUMANA PARA EL PROYECTO PALMA 2</t>
  </si>
  <si>
    <t xml:space="preserve">
COTIZACION DE LOS DISEÑOS DE PROTECCIÓN CONTRA INCENDIOS Y SEGURIDAD HUMANA PARA EL PROYECTO CATALANA 2</t>
  </si>
  <si>
    <t xml:space="preserve">COTIZACION DE LOS DISEÑOS DE PROTECCIÓN CONTRA INCENDIOS Y SEGURIDAD HUMANA PARA EL PROYECTO TORRE DEL CAMPO </t>
  </si>
  <si>
    <t>COTIZACION DE LOS DISEÑOS DE PROTECCIÓN CONTRA INCENDIOS Y SEGURIDAD HUMANA PARA EL PROYECTO SOLEI</t>
  </si>
  <si>
    <t>COTIZACION DE LOS DISEÑOS DE PROTECCIÓN CONTRA INCENDIOS PARA EL PROYECTO LOCAL VIVA BARRANQUILLA</t>
  </si>
  <si>
    <t xml:space="preserve">COTIZACION DE LOS DISEÑOS DE PROTECCIÓN CONTRA INCENDIOS PARA EL PROYECTO OFICINA 313 CCI
</t>
  </si>
  <si>
    <t>COTIZACION DEL DISEÑO DE DETECCIÓN DE INCENDIOS PARA EL PROYECTO SUBESTACION ELECTRICA Y CUARTOS CCM Y CCV</t>
  </si>
  <si>
    <t>COTIZACION DE LOS DISEÑOS DE PROTECCIÓN CONTRA INCENDIOS PARA EL PROYECTO CASA MONTOYA EMPLAZADO</t>
  </si>
  <si>
    <t>Jhonatan Vasquez Grajales</t>
  </si>
  <si>
    <t>COTIZACION DEL DISEÑO DE EXTINCIÓN DE INCENDIOS PARA EL PROYECTO TERRAZA HOTEL EL CIELO</t>
  </si>
  <si>
    <t xml:space="preserve">COTIZACION DE LOS DISEÑOS DE PROTECCIÓN CONTRA INCENDIOS Y SEGURIDAD HUMANA PARA EL PROYECTO TOLEDANA
</t>
  </si>
  <si>
    <t>BOMBEROS ENVIGADO</t>
  </si>
  <si>
    <t>REVISIÓN DE LOS DISEÑOS DE EXTINCIÓN Y SEGURIDAD HUMANA PARA EL PROYECTO CAM</t>
  </si>
  <si>
    <t>Laura Delgado</t>
  </si>
  <si>
    <t>ldelgado@bomberosenvigado.org</t>
  </si>
  <si>
    <t>321 8338189</t>
  </si>
  <si>
    <t>COTIZACION DE LOS DISEÑOS DE PROTECCIÓN CONTRA INCENDIOS PARA EL PROYECTO INST. DE DEPORTES Y RECREACION DE MEDELLIN</t>
  </si>
  <si>
    <t>COTIZACION DE LOS DISEÑOS DE PROTECCIÓN CONTRA INCENDIOS PARA EL PROYECTO SEDE DE IMPLESEG</t>
  </si>
  <si>
    <t>COTIZACION DE LOS DISEÑOS DE PROTECCIÓN CONTRA INCENDIOS Y SEGURIDAD HUMANA PARA EL PROYECTO LA COLINITA</t>
  </si>
  <si>
    <t>COTIZACIÓN DEL LEVANTAMIENTO Y PLANOS ASBUIT DEL SISTEMA DE EXTINCIÓN DE INCENDIOS PARA EL CENTRO COMERCIAL LA STRADA Y EL HOTEL</t>
  </si>
  <si>
    <t>COTIZACION DEL DISEÑO DE EXTINCIÓN DE INCENDIOS PARA EL PROYECTO PARQUE TECNOLOGICO DE EFICIENCIA ENERGETICA EUROCLIMA</t>
  </si>
  <si>
    <t>Juan Santiago Londoño</t>
  </si>
  <si>
    <t>Berince SAS</t>
  </si>
  <si>
    <t>COTIZACION DEL DISEÑO DE EXTINCIÓN DE INCENDIOS PARA EL PROYECTO BODEGA DE TRITURACION</t>
  </si>
  <si>
    <t>Londoño Gomez</t>
  </si>
  <si>
    <t>COTIZACION DEL ANÁLISIS DE SEGURIDAD HUMANA PARA EL PROYECTO FLAMINGO</t>
  </si>
  <si>
    <t>Lina M Saldarriaga</t>
  </si>
  <si>
    <t>lsaldarriaga@interlg.com</t>
  </si>
  <si>
    <t>3111770 ext 455</t>
  </si>
  <si>
    <t>COTIZACION DEL ANÁLISIS DE SEGURIDAD HUMANA PARA EL PROYECTO VOLARÉ TORRE 5 Y 6</t>
  </si>
  <si>
    <t>David Lopera medina</t>
  </si>
  <si>
    <t>COTIZACION DEL DISEÑO DE DETECCIÓN DE INCENDIOS PARA EL PROYECTO EDIFICIO MIRADOR DE LAS VEGAS</t>
  </si>
  <si>
    <t>COTIZACION DE LOS DISEÑOS DE PROTECCIÓN CONTRA INCENDIOS PARA EL PROYECTO EDIFICIO DE LABORATORIOS DE LA ESCUELA DE INGENIERIA CIVIL Y GEOMATICA</t>
  </si>
  <si>
    <t>COTIZACION DEL ANÁLISIS DE SEGURIDAD HUMANA PARA EL PROYECTO OFICINAS MEDELLIN</t>
  </si>
  <si>
    <t>Liliana Gutierrez</t>
  </si>
  <si>
    <t>liliana.gutierrez@studiosur.net</t>
  </si>
  <si>
    <t>COTIZACION DE VISITAS DE REVISIÓN INSTALACIÓN SISTEMAS PROTECCIÓN CONTRA INCENDIOS - OFICINAS CCI</t>
  </si>
  <si>
    <t>COTIZACION DE LOS DISEÑOS DE EXTINCIÓN DE INCENDIOS Y SEGURIDAD HUMANA PARA EL PROYECTO PARQUEADEROS MINORISTA</t>
  </si>
  <si>
    <t>COTIZACION DEL DISEÑO DE DETECCIÓN DE INCENDIOS - COLUMBUS SCHOOL</t>
  </si>
  <si>
    <t>PLASTICOMINIPET</t>
  </si>
  <si>
    <t>COTIZACION DEL DISEÑO DE DETECCIÓN DE INCENDIOS PARA EL PROYECTO PLANTA PLASTICOS</t>
  </si>
  <si>
    <t>Angie Vanessa Foronda</t>
  </si>
  <si>
    <t>4485047 ext 114</t>
  </si>
  <si>
    <t>angie.foronda@plasticosminipet.com</t>
  </si>
  <si>
    <t>COTIZACION DEL DISEÑO DE EXTINCIÓN DE INCENDIOS - C26</t>
  </si>
  <si>
    <t>Juan Naranjo</t>
  </si>
  <si>
    <t>COTIZACION DE LOS DISEÑOS DE PROTECCIÓN CONTRA INCENDIOS Y SEGURIDAD HUMANA PARA EL PROYECTO PISO 10 EDIFICIO MERIDIAN EL POBLADO</t>
  </si>
  <si>
    <t>COTIZACION DE LOS DISEÑOS DE PROTECCIÓN CONTRA INCENDIOS Y SEGURIDAD HUMANA PARA EL PROYECTO HOTEL MEDELLIN</t>
  </si>
  <si>
    <t>daniel.gomez@edyfica.co</t>
  </si>
  <si>
    <t>Daniel Gómez Velásquez</t>
  </si>
  <si>
    <t>COTIZACION DE LOS DISEÑOS DE PROTECCIÓN CONTRA INCENDIOS Y SEGURIDAD HUMANA PARA EL PROYECTO USHUAYA</t>
  </si>
  <si>
    <t>COTIZACION DE LOS DISEÑOS DE PROTECCIÓN CONTRA INCENDIOS EN REVIT PARA EL PROYECTO EDIFICIO DE LABORATORIOS DE LA ESCUELA DE INGENIERIA CIVIL Y GEOMATICA</t>
  </si>
  <si>
    <t>AYT</t>
  </si>
  <si>
    <t>Sebastian Gomez Ochoa</t>
  </si>
  <si>
    <t>sebastianochoa@arquitecturayconcreto.com</t>
  </si>
  <si>
    <t>COTIZACION DE LOS DISEÑOS DE PROTECCIÓN CONTRA INCENDIOS Y SEGURIDAD HUMANA PARA EL PROYECTO ART CITY</t>
  </si>
  <si>
    <t>fcrtamarapuerta@gmail.com</t>
  </si>
  <si>
    <t>Tamara Puerta</t>
  </si>
  <si>
    <t>COTIZACION DE LOS DISEÑOS DE PROTECCIÓN CONTRA INCENDIOS Y SEGURIDAD HUMANA PARA EL PROYECTO GARDENNIAL</t>
  </si>
  <si>
    <t>COTIZACION DEL DISEÑO DE EXTINCIÓN DE INCENDIOS PARA EL PROYECTO USHUAYA</t>
  </si>
  <si>
    <t xml:space="preserve">COTIZACION DE LOS DISEÑOS DE PROTECCIÓN CONTRA INCENDIOS Y SEGURIDAD HUMANA PARA EL PROYECTO EDIFICIO RIONEGRO
</t>
  </si>
  <si>
    <t>COTIZACION DE LOS DISEÑOS DE PROTECCIÓN CONTRA INCENDIOS Y SEGURIDAD HUMANA PARA EL PROYECTO CLINICA VETERINARIA</t>
  </si>
  <si>
    <t>COTIZACION DE LOS DISEÑOS DE PROTECCIÓN CONTRA INCENDIOS Y SEGURIDAD HUMANA PARA EL PROYECTO VIBRA PORTERIA Y ZONAS COMUNES</t>
  </si>
  <si>
    <t>COTIZACION DE LOS DISEÑOS DE PROTECCIÓN CONTRA INCENDIOS Y SEGURIDAD HUMANA PARA EL PROYECTO CENTRIKA-LIKE</t>
  </si>
  <si>
    <t>GRUPO SAN REMO</t>
  </si>
  <si>
    <t>dirobra.gruposanremo@gmail.com</t>
  </si>
  <si>
    <t>317 436 15 85</t>
  </si>
  <si>
    <t xml:space="preserve">COTIZACION DE LOS DISEÑOS DE PROTECCIÓN CONTRA INCENDIOS Y SEGURIDAD HUMANA PARA EL PROYECTO SAN ANGELO
</t>
  </si>
  <si>
    <t xml:space="preserve">Kathe.jara@hotmail.com </t>
  </si>
  <si>
    <t xml:space="preserve">WG ingenieria civil SAS </t>
  </si>
  <si>
    <t>COTIZACION DE LOS DISEÑOS DE PROTECCIÓN CONTRA INCENDIOS Y SEGURIDAD HUMANA PARA EL PROYECTO PINOCHO</t>
  </si>
  <si>
    <t>Katherine Jaramillo</t>
  </si>
  <si>
    <t>COTIZACION DE LOS DISEÑOS DE PROTECCIÓN CONTRA INCENDIOS Y SEGURIDAD HUMANA PARA EL PROYECTO BODEGA</t>
  </si>
  <si>
    <t>eidyalzateq@clinicaces.edu.co</t>
  </si>
  <si>
    <t>COTIZACION DE LOS DISEÑOS DE PROTECCIÓN CONTRA INCENDIOS PARA EL PROYECTO CES CENTRO</t>
  </si>
  <si>
    <t>COTIZACION DE LOS DISEÑOS DE PROTECCIÓN CONTRA INCENDIOS Y SEGURIDAD HUMANA PARA EL PROYECTO A22</t>
  </si>
  <si>
    <t xml:space="preserve"> Lina Maria Montoya Gonzalez</t>
  </si>
  <si>
    <t xml:space="preserve">COTIZACION DE LOS DISEÑOS DE PROTECCIÓN CONTRA INCENDIOS Y SEGURIDAD HUMANA PARA EL PROYECTO LIFF
</t>
  </si>
  <si>
    <t>Willian Hernandez</t>
  </si>
  <si>
    <t>COTIZACION DE LOS DISEÑOS DE EXTINCIÓN DE INCENDIOS Y SEGURIDAD HUMANA PARA EL PROYECTO SAN NICOLAS ETAPA 5</t>
  </si>
  <si>
    <t>Francisco Javier Restrepo Vanegas</t>
  </si>
  <si>
    <t xml:space="preserve">COTIZACION DEL ANÁLISIS DE SEGURIDAD HUMANA PARA EL PROYECTO JERONIMO MARTINS
</t>
  </si>
  <si>
    <t>FEL INGENIERIA</t>
  </si>
  <si>
    <t>ventas@felingenieria.onmicrosoft.com</t>
  </si>
  <si>
    <t>Karol Bautista Rios</t>
  </si>
  <si>
    <t>COTIZACION DE LOS DISEÑOS DE EXTINCIÓN DE INCENDIOS Y SEGURIDAD HUMANA PARA EL PROYECTO GARDEN TOWER 122</t>
  </si>
  <si>
    <t>COTIZACION DEL LEVANTAMIENTO Y PLANOS DE SEÑALIZACIÓN DE EMERGENCIA HUMANA PARA EL PROYECTO PUERTA MADERA</t>
  </si>
  <si>
    <t>COTIZACION DE LOS DISEÑOS DE PROTECCIÓN CONTRA INCENDIOS - BODEGA EN MEDELLÍN</t>
  </si>
  <si>
    <t>Martín Villegas</t>
  </si>
  <si>
    <t>320 6436169</t>
  </si>
  <si>
    <t>Héctor Gallego Cardona</t>
  </si>
  <si>
    <t>hgallego@conconcreto.com</t>
  </si>
  <si>
    <t xml:space="preserve">COTIZACION DEL ANÁLISIS DE SEGURIDAD HUMANA PARA EL PROYECTO CONTREE TORRE 2
</t>
  </si>
  <si>
    <t>COTIZACION DEL ANÁLISIS DE SEGURIDAD HUMANA PARA EL PROYECTO DE VIVIENDA CABALLEROS DE LA VIRGEN</t>
  </si>
  <si>
    <t xml:space="preserve">COTIZACION DE LOS DISEÑOS DE PROTECCIÓN CONTRA INCENDIOS Y SEGURIDAD HUMANA PARA EL PROYECTO MANANTIAL
</t>
  </si>
  <si>
    <t xml:space="preserve">COTIZACION DE LOS DISEÑOS DE PROTECCIÓN CONTRA INCENDIOS PARA EL PROYECTO PLANTA EMPACADORA </t>
  </si>
  <si>
    <t>COTIZACION DE LOS DISEÑOS DE PROTECCIÓN CONTRA INCENDIOS Y SEGURIDAD HUMANA PARA EL PROYECTO NAVIVA</t>
  </si>
  <si>
    <t xml:space="preserve">COTIZACION DEL DISEÑO DE DETECCIÓN DE INCENDIOS PARA EL PROYECTO NAVIVA
</t>
  </si>
  <si>
    <t>TRAZADOS ARQUITECTURA</t>
  </si>
  <si>
    <t>COTIZACION DE LOS DISEÑOS DE PROTECCIÓN CONTRA INCENDIOS PARA EL PROYECTO BANCOLOMBIA VILLAVICENCIO</t>
  </si>
  <si>
    <t>COTIZACION DE LOS DISEÑOS DE PROTECCIÓN CONTRA INCENDIOS - ASFALTADORA MEDELLÍN</t>
  </si>
  <si>
    <t>COTIZACION DE LOS DISEÑOS DE DETECCIÓN DE INCENDIOS Y SEGURIDAD HUMANA PARA EL PROYECTO EDIFICIO BOLIVARIANA</t>
  </si>
  <si>
    <t>COTIZACION DEL LEVANTAMIENTO Y PLANOS DE SEÑALIZACIÓN DE EMERGENCIA HUMANA PARA EL PROYECTO ARABELLA</t>
  </si>
  <si>
    <t>COTIZACION DE LOS DISEÑOS DE PROTECCIÓN CONTRA INCENDIOS PARA EL PROYECTO PLANTA EMPACADORA DE AGUACATE</t>
  </si>
  <si>
    <t>GREENLAND</t>
  </si>
  <si>
    <t>Oscar Rivas</t>
  </si>
  <si>
    <t>oscar.rivas@greenland.co</t>
  </si>
  <si>
    <t>310 5768238</t>
  </si>
  <si>
    <t xml:space="preserve"> 310 420 3649</t>
  </si>
  <si>
    <t>Olga Lucía Gallego Loaiza</t>
  </si>
  <si>
    <t xml:space="preserve"> 313 7187302</t>
  </si>
  <si>
    <t>COTIZACION DE LOS DISEÑOS DE PROTECCIÓN CONTRA INCENDIOS PARA EL PROYECTO SENA SEDE MINORISTA</t>
  </si>
  <si>
    <t>olgallego@sena.edu.co</t>
  </si>
  <si>
    <t>COTIZACION DE LOS DISEÑOS DE PROTECCIÓN CONTRA INCENDIOS Y SEGURIDAD HUMANA PARA EL PROYECTO EDIFICIO BOLIVARIANA</t>
  </si>
  <si>
    <t>igiraldo@proyectosurbanos.com.co</t>
  </si>
  <si>
    <t>COTIZACION DE LOS DISEÑOS DE PROTECCIÓN CONTRA INCENDIOS Y SEGURIDAD HUMANA PARA EL PROYECTO BODEGAS SABANETA</t>
  </si>
  <si>
    <t xml:space="preserve">Carlos A Gómez </t>
  </si>
  <si>
    <t>gerenciaproyectos@rpmedicas.co</t>
  </si>
  <si>
    <t>RPMEDICAS</t>
  </si>
  <si>
    <t>COTIZACION DEL ANÁLISIS DE SEGURIDAD HUMANA PARA EL PROYECTO ASTORGA PATIO BONITO</t>
  </si>
  <si>
    <t>CONINSA</t>
  </si>
  <si>
    <t>COTIZACION DE LOS DISEÑOS DE PROTECCIÓN CONTRA INCENDIOS Y SEGURIDAD HUMANA PARA EL PROYECTO COSTADO SUR VEGAS SUR</t>
  </si>
  <si>
    <t>COTIZACION DE LAS MODIFICACIONES A LOS DISEÑOS DE PROTECCIÓN CONTRA INCENDIOS - PTAR TRANVÍA</t>
  </si>
  <si>
    <t>COTIZACION DE LOS DISEÑOS DE PROTECCIÓN CONTRA INCENDIOS Y SEGURIDAD HUMANA PARA EL PROYECTO COLONIA ETAPA 1</t>
  </si>
  <si>
    <t>COTIZACION DE LOS DISEÑOS DE PROTECCIÓN CONTRA INCENDIOS PARA EL PROYECTO REFORMA EDIFICIO MINDALA</t>
  </si>
  <si>
    <t>COTIZACION DE LOS DISEÑOS DE PROTECCIÓN CONTRA INCENDIOS Y SEGURIDAD HUMANA PARA EL PROYECTO EL CEDRO</t>
  </si>
  <si>
    <t>310 5304562</t>
  </si>
  <si>
    <t>COTIZACION DE LOS DISEÑOS DE PROTECCIÓN CONTRA INCENDIOS Y SEGURIDAD HUMANA PARA EL PROYECTO COSTADO SUR VEGAS SUR MULTIFAMILIAR</t>
  </si>
  <si>
    <t>COTIZACION DE LOS DISEÑOS DE PROTECCIÓN CONTRA INCENDIOS Y SEGURIDAD HUMANA PARA EL PROYECTO COSTADO SUR VEGAS SUR HOTEL Y OFICINAS</t>
  </si>
  <si>
    <t>COTIZACION DE LOS DISEÑOS DE PROTECCIÓN CONTRA INCENDIOS Y SEGURIDAD HUMANA PARA EL PROYECTO COSTADO SUR VEGAS SUR COMERCIO Y PLAZOLETA</t>
  </si>
  <si>
    <t>COTIZACION DE LOS DISEÑOS DE PROTECCIÓN CONTRA INCENDIOS - PROYECTO ASTORGA PATIO BONITO</t>
  </si>
  <si>
    <t>COTIZACION DEL REDISEÑO DE LA RED GENERAL DE EXTINCIÓN DE INCENDIOS PARA EL PROYECTO CCOA</t>
  </si>
  <si>
    <t>COTIZACION DE LOS DISEÑOS DE PROTECCIÓN CONTRA INCENDIOS PARA EL PROYECTO LOCAL 302 VIVA BARRANQUILLA</t>
  </si>
  <si>
    <t>John Anderson Zapata</t>
  </si>
  <si>
    <t xml:space="preserve"> Casas Bee</t>
  </si>
  <si>
    <t>COTIZACION DEL ANÁLISIS DE SEGURIDAD HUMANA PARA EL PROYECTO CASA LAURELES</t>
  </si>
  <si>
    <t>COTIZACION DE LA REVISÓN DE LOS DISEÑOS DE EXTINCIÓN DE INCENDIOS PARA EL PROYECTO DISLICORES</t>
  </si>
  <si>
    <t>310 5104288</t>
  </si>
  <si>
    <t>COTIZACION DEL DISEÑO DE EXTINCIÓN DE INCENDIOS PARA EL PROYECTO CONTECAR</t>
  </si>
  <si>
    <t>COTIZACION DE LOS PLANOS RECORD DEL SISTEMA DE EXTINCIÓN DE INCENDIOS PARA EL PROYECTO CONTECAR</t>
  </si>
  <si>
    <t xml:space="preserve"> David Gonzalo Velez</t>
  </si>
  <si>
    <t>dvelez@contex.com.co</t>
  </si>
  <si>
    <t>COTIZACION DEL DISEÑO DE EXTINCIÓN DE INCENDIOS PARA EL PROYECTO ARANDANOS DE FONTIBON</t>
  </si>
  <si>
    <t>COTIZACION DEL DISEÑO DE EXTINCIÓN DE INCENDIOS PARA EL PROYECTO CONSULTORIO 1052 TORRE MÉDICA EL TESORO</t>
  </si>
  <si>
    <t>COTIZACION DE LOS DISEÑOS DE PROTECCIÓN CONTRA INCENDIOS PARA EL PROYECTO BODEGAS ABRACOL COPACABANA</t>
  </si>
  <si>
    <t>COTIZACION DE LOS DISEÑOS DE PROTECCIÓN CONTRA INCENDIOS PARA EL PROYECTO LOCAL NOTARIA TERCERA</t>
  </si>
  <si>
    <t>COTIZACIÓN CAPACITACIÓN Y FORMATO DE SOPORTERÍA RCI SEGÚN NFPA 13 Y NSR-10</t>
  </si>
  <si>
    <t>Johanna Rojas Vera</t>
  </si>
  <si>
    <t>johana.rojas@bienesybienes.com.co</t>
  </si>
  <si>
    <t>(604) 311 - 8500</t>
  </si>
  <si>
    <t>COTIZACION DE LOS DISEÑOS DE PROTECCIÓN CONTRA INCENDIOS Y SEGURIDAD HUMANA PARA EL PROYECTO TERRAH T1 Y T2</t>
  </si>
  <si>
    <t>COTIZACION DE LOS DISEÑOS DE DETECCIÓN DE INCENDIOS Y SEGURIDAD HUMANA PARA EL PROYECTO SECURETEC</t>
  </si>
  <si>
    <t>comercial@firesupply.com.co</t>
  </si>
  <si>
    <t>FIRE SUPPLY</t>
  </si>
  <si>
    <t>JHON JAIRO GOMEZ BARAHONA</t>
  </si>
  <si>
    <t>COTIZACION DEL DISEÑO DE EXTINCIÓN DE INCENDIOS PARA EL PROYECTO BODEGA CELTA 68</t>
  </si>
  <si>
    <t xml:space="preserve">Mauricio Gutierrez Bohorquez </t>
  </si>
  <si>
    <t>COTIZACION DEL DISEÑO DE EXTINCIÓN DE INCENDIOS PARA EL PROYECTO BODEGAS INTERLLANTAS</t>
  </si>
  <si>
    <t>COTIZACION DEL DISEÑO DE EXTINCIÓN DE INCENDIOS PARA EL PROYECTO BODEGA GRANIPACK</t>
  </si>
  <si>
    <t>COTIZACION DEL DISEÑO DE EXTINCIÓN DE INCENDIOS - OFICINA ALBERTO YEPES</t>
  </si>
  <si>
    <t>COTIZACION DE LA REVISÓN DE LOS DISEÑOS DE EXTINCIÓN DE INCENDIOS PARA EL PROYECTO CCOA</t>
  </si>
  <si>
    <t>COTIZACION DE LOS DISEÑOS DE PROTECCIÓN CONTRA INCENDIOS Y SEGURIDAD HUMANA PARA EL PROYECTO CIELOMAR CARTAGENA</t>
  </si>
  <si>
    <t>Andres Gomez Blanco</t>
  </si>
  <si>
    <t>andres.gomez@aia.com.co</t>
  </si>
  <si>
    <t>COTIZACION DE LOS DISEÑOS DE PROTECCIÓN CONTRA INCENDIOS Y SEGURIDAD HUMANA PARA EL PROYECTO PARADISE BARRANQUILLA</t>
  </si>
  <si>
    <t>COTIZACION DE LOS DISEÑOS DE PROTECCIÓN CONTRA INCENDIOS Y SEGURIDAD HUMANA PARA EL PROYECTO ROKKA</t>
  </si>
  <si>
    <t>HALL DE CAJEROS CARACOLÍ</t>
  </si>
  <si>
    <t>CAMARA DE COMERCIO</t>
  </si>
  <si>
    <t>Daniel.Vasquez@camaramedellin.com.co</t>
  </si>
  <si>
    <t>Daniel Fernando Vasquez Robles</t>
  </si>
  <si>
    <t>COTIZACION DEL DISEÑO DE EXTINCIÓN DE INCENDIOS PARA EL PROYECTO EDIFICIO LA CULTURA SEDE CENTRO</t>
  </si>
  <si>
    <t>COTIZACION DE LOS DISEÑOS DE PROTECCIÓN CONTRA INCENDIOS PARA EL PROYECTO VEOLIA CC VIVA SINCELEJO</t>
  </si>
  <si>
    <t>Daniel Guzmán Duque</t>
  </si>
  <si>
    <t>COTIZACION DEL ANÁLISIS DE SEGURIDAD HUMANA PARA EL PROYECTO NODO SEVILLA DE LA UNIVERSIDAD DEL VALLE</t>
  </si>
  <si>
    <t>Julian David Camacho</t>
  </si>
  <si>
    <t>COTIZACION DE LOS DISEÑOS DE PROTECCIÓN CONTRA INCENDIOS PARA EL PROYECTO BANCO CAJA SOCIAL MEDELLIN</t>
  </si>
  <si>
    <t>Adolfo Florez Cossio</t>
  </si>
  <si>
    <t>COTIZACION DEL DISEÑO DE DETECCIÓN DE INCENDIOS PARA EL PROYECTO CEDI REGIONAL MEDELLIN NUTRESA</t>
  </si>
  <si>
    <t>COTIZACION DEL DISEÑO DE EXTINCIÓN DE INCENDIOS PARA EL PROYECTO IN-RACK AUTECO CEDI</t>
  </si>
  <si>
    <t>COTIZACION DEL DISEÑO DE OPORTES SISMORRESISTENTE - SEDE REGIONAL MEDELLÍN NUTRESA</t>
  </si>
  <si>
    <t xml:space="preserve">COTIZACION DEL DISEÑO DE EXTINCIÓN DE INCENDIOS PARA EL PROYECTO ESPUMA GRANADA
</t>
  </si>
  <si>
    <t>Fire Protection Solutions Group</t>
  </si>
  <si>
    <t>COTIZACION DEL ANÁLISIS DE SEGURIDAD HUMANA PARA EL PROYECTO TORRE 4 AMONTE</t>
  </si>
  <si>
    <t>COTIZACION DEL DISEÑO DE DETECCIÓN DE INCENDIOS PARA EL PROYECTO SERIES SEATING</t>
  </si>
  <si>
    <t>COTIZACION DISEÑO EXTINCIÓ CUARTO DE BOMBAS ROBLEDO TDEA</t>
  </si>
  <si>
    <t>COTIZACION DE LOS DISEÑOS DE SEGURIDAD HUMANA Y EXTINCIÓN DE INCENDIOS - LOS PARRA</t>
  </si>
  <si>
    <t>COTIZACION DE LOS DISEÑOS DE PROTECCIÓN CONTRA INCENDIOS - PROYECTO LOCAL BOGOTÁ</t>
  </si>
  <si>
    <t>Alvaro Monasalva</t>
  </si>
  <si>
    <t>COTIZACION DEL DISEÑO DE DETECCIÓN DE INCENDIOS PARA EL PROYECTO GENIUS SPORTS</t>
  </si>
  <si>
    <t>COTIZACION REDISEÑOS DE SEGURIDAD HUMANA Y EXTINCIÓN DE INCENDIOS -MENTE PLENA ZUÑIGA</t>
  </si>
  <si>
    <t>MENTE PLENA ZUÑIGA</t>
  </si>
  <si>
    <t>311 3515933</t>
  </si>
  <si>
    <t>Jorge Arango</t>
  </si>
  <si>
    <t>interventoria.menteplena@gmail.com</t>
  </si>
  <si>
    <t>COTIZACION DE LOS DISEÑOS DE PROTECCIÓN CONTRA INCENDIOS - OFICINA</t>
  </si>
  <si>
    <t>COTIZACION DE LOS DISEÑOS DE SEGURIDAD HUMANA Y PROTECCIÓN CONTRA INCENDIOS - ZINNIA</t>
  </si>
  <si>
    <t>COTIZACION DE LOS DISEÑOS DE PROTECCIÓN CONTRA INCENDIOS - ABASTECIMIENTO AGUA POTABLE UNIVALLE</t>
  </si>
  <si>
    <t>COTIZACION DE LOS DISEÑOS DE PROTECCIÓN CONTRA INCENDIOS Y SEGURIDAD HUMANA - NODO SEVILLA UNIVALLE</t>
  </si>
  <si>
    <t>Eliana Isabel Cardona Ríos</t>
  </si>
  <si>
    <t>313 5401714</t>
  </si>
  <si>
    <t>COTIZACION DEL DISEÑO DE EXTINCIÓN DE INCENDIOS - PROAL 090 JARDÍN PLAZA</t>
  </si>
  <si>
    <t>COTIZACION DEL DISEÑO DE EXTINCIÓN DE INCENDIOS - SURDOZ</t>
  </si>
  <si>
    <t>COTIZACION DEL DISEÑO DE EXTINCIÓN DE INCENDIOS - STAFF MUSICAL</t>
  </si>
  <si>
    <t>Fabio Gomez Cantino</t>
  </si>
  <si>
    <t>fgomez@viva1a.com.co</t>
  </si>
  <si>
    <t>COTIZACION EVALUACIÓN SISTEMA DE BOMBEO DE EXTINCIÓN DE INCENIDOS Y DISEÑO DE HIDRANTES - VIVA FONTIBÓN</t>
  </si>
  <si>
    <t>COTIZACION DEL ANÁLISIS DE SEGURIDAD HUMANA - CLÍNICA CALLE 45B VIVA 1A IPS</t>
  </si>
  <si>
    <t>licitaciones@spci.com.co</t>
  </si>
  <si>
    <t>COTIZACION DE LOS PLANOS RECORD DE EXTINCIÓN DE INCENDIOS PARA 2 TORRE DE 26 PISOS</t>
  </si>
  <si>
    <t>COTIZACION DEL DISEÑO DE EXTINCIÓN DE INCENDIOS - 1010</t>
  </si>
  <si>
    <t>Sandra Gómez</t>
  </si>
  <si>
    <t>sandra@urbica.co</t>
  </si>
  <si>
    <t>COTIZACION DE LOS DISEÑOS DE SEGURIDAD HUMANA Y PROTECCIÓN CONTRA INCENDIOS - EDIFICIO BUCARAMANGA</t>
  </si>
  <si>
    <t>COTIZACION DE LOS DISEÑOS DE SEGURIDAD HUMANA Y PROTECCIÓN CONTRA INCENDIOS - ENTREVILLAS ETAPA 6</t>
  </si>
  <si>
    <t>COTIZACION DE LOS DISEÑOS DE PROTECCIÓN CONTRA INCENDIOS Y SEGURIDAD HUMANA PARA EL PROYECTO INVERSO V80</t>
  </si>
  <si>
    <t>COTIZACION DE LOS DISEÑOS DE SEGURIDAD HUMANA Y PROTECCIÓN CONTRA INCENDIOS - PLANTA DE VALORACIÓN Y TRATAMIENTO DE RESUDUOS</t>
  </si>
  <si>
    <t>COTIZACION DEL DISEÑO DE DETECCIÓN DE INCENDIOS - PPROYECTO ISABELITA</t>
  </si>
  <si>
    <t>COTIZACION DE LOS DISEÑOS DE SEGURIDAD HUMANA Y PROTECCIÓN CONTRA INCENDIOS - LOOP AVITUALLA</t>
  </si>
  <si>
    <t>d.tecnica@viveloop.com</t>
  </si>
  <si>
    <t>Valentina Alzate</t>
  </si>
  <si>
    <t>VIVELOOP</t>
  </si>
  <si>
    <t>COTIZACION DE LOS DISEÑOS DE SEGURIDAD HUMANA Y PROTECCIÓN CONTRA INCENDIOS - MINERATTO</t>
  </si>
  <si>
    <t>COTIZACION DEL DISEÑO DE EXTINCIÓN DE INCENDIOS - CUARTOS TÉCNICOS Y CUARTO DE MONTACARGAS LEBRIJA</t>
  </si>
  <si>
    <t>310 2677466</t>
  </si>
  <si>
    <t>juan.vanegas@spci.com.co</t>
  </si>
  <si>
    <t>COTIZACION DE LOS DISEÑOS DE PROTECCIÓN CONTRA INCENDIOS - SALA DE DESCANSO CLÍNICA DEL COUNTRY</t>
  </si>
  <si>
    <t>COTIZACION DEL DISEÑO DE EXTINCIÓN DE INCENDIOS - ED NIRVANA SANTA MARTA</t>
  </si>
  <si>
    <t>CELESTE Y PIEDRA</t>
  </si>
  <si>
    <t>Jonnatan Alvarez Rueda</t>
  </si>
  <si>
    <t>j.alvarez@celesteypiedra.com</t>
  </si>
  <si>
    <t>COTIZACION DE LOS DISEÑOS DE SEGURIDAD HUMANA Y PROTECCIÓN CONTRA INCENDIOS - TEATRO APARTADÓ</t>
  </si>
  <si>
    <t>COTIZACION DE LOS DISEÑOS DE SEGURIDAD HUMANA Y PROTECCIÓN CONTRA INCENDIOS - MUSEO MAJA</t>
  </si>
  <si>
    <t>ODA ARQUITECTURA</t>
  </si>
  <si>
    <t>310 5232629</t>
  </si>
  <si>
    <t>plablomateo@yahoo.com</t>
  </si>
  <si>
    <t>Pablo Mateo</t>
  </si>
  <si>
    <t>COTIZACION DE LOS DISEÑOS DE SEGURIDAD HUMANA Y PROTECCIÓN CONTRA INCENDIOS - WEG</t>
  </si>
  <si>
    <t>COTIZACION DEL DISEÑO DE EXTINCIÓN DE INCENDIOS - HANGARES EN CARTAGENA</t>
  </si>
  <si>
    <t>COTIZACION DE LOS DISEÑOS DE PROTECCIÓN CONTRA INCENDIOS - MANANTIALES DE SAN JOSÉ</t>
  </si>
  <si>
    <t>MANANTIALES DE SAN JOSÉ</t>
  </si>
  <si>
    <t>Yean Naranjo</t>
  </si>
  <si>
    <t>COTIZACION DE LOS DISEÑOS DE SEGURIDAD HUMANA Y PROTECCIÓN CONTRA INCENDIOS - FABRICA CABO</t>
  </si>
  <si>
    <t>APLO</t>
  </si>
  <si>
    <t>aplostudio.info@gmail.com</t>
  </si>
  <si>
    <t>Ana María Díaz</t>
  </si>
  <si>
    <t>MOLINO VIEJO</t>
  </si>
  <si>
    <t>Roman Eduardo Pineda Ruiz</t>
  </si>
  <si>
    <t>arquitectura4@molinoviejo.co</t>
  </si>
  <si>
    <t>COTIZACION DE LOS REDISEÑOS DE SEGURIDAD HUMANA Y PROTECCIÓN CONTRA INCENDIOS - BORAL</t>
  </si>
  <si>
    <t>obra.lacalleja.fcr@gmail.com</t>
  </si>
  <si>
    <t>Carlos Lizarazo</t>
  </si>
  <si>
    <t>COTIZACION DEL DISEÑO DE DETECCIÓN DE INCENDIOS PARA EL PROYECTO BODEGAS INDUSTRIALES ZONA FRANCA DEL PACIFICO</t>
  </si>
  <si>
    <t>COTIZACION DEL PLAN MAESTRO DE PROTECCIÓN CONTRA INCENDIOS - UNIQUIMICA</t>
  </si>
  <si>
    <t>COTIZACION DE LOS DISEÑOS DE SEGURIDAD HUMANA Y PROTECCIÓN CONTRA INCENDIOS - CLINICA DEL CAMPESTRE</t>
  </si>
  <si>
    <t>COTIZACION DEL DISEÑO DE EXTINCIÓN DE INCENDIOS PARA EL PROYECTO EDIFICIO ATTIC 33</t>
  </si>
  <si>
    <t>COTIZACION DE LOS DISEÑOS DE PROTECCIÓN CONTRA INCENDIOS PARA EL PROYECTO CLINICA BOLIVARIANA TORRE A,B Y BLOQUE CONSULTA EXTERNA</t>
  </si>
  <si>
    <t>CONSTRUIR SAS</t>
  </si>
  <si>
    <t>313 565 8207</t>
  </si>
  <si>
    <t xml:space="preserve"> acabadosmazanti@gmail.com</t>
  </si>
  <si>
    <t xml:space="preserve"> Juan Guillermo Usme </t>
  </si>
  <si>
    <t>COTIZACION DE LOS DISEÑOS DE PROTECCIÓN CONTRA INCENDIOS PARA EL PROYECTO LOCALES MAZANTI</t>
  </si>
  <si>
    <t>COTIZACION DEL REDISEÑO DE EXTINCIÓN DE INCENDIOS PARA LAS ÁREAS CON ESPUMA DEL PROYECTO ECOFLORA</t>
  </si>
  <si>
    <t>COTIZACION DEL DISEÑO DE DETECCIÓN DE INCENDIOS PARA EL PROYECTO BODEGA NUEVA PLASTICOS TRUHER</t>
  </si>
  <si>
    <t>COTIZACION DE LOS DISEÑOS DE PROTECCIÓN CONTRA INCENDIOS Y SEGURIDAD HUMANA PARA EL PROYECTO BODEGA 2 PARQUE INDUSTRIAL INTERCITY</t>
  </si>
  <si>
    <t>COTIZACION DE LOS DISEÑOS DE PROTECCIÓN CONTRA INCENDIOS Y SEGURIDAD HUMANA PARA EL PROYECTO LYNZ</t>
  </si>
  <si>
    <t>escapeto28@gmail.com</t>
  </si>
  <si>
    <t>Esteban Pérez Betancur</t>
  </si>
  <si>
    <t>316 7417025</t>
  </si>
  <si>
    <t>COTIZACION DE LOS DISEÑOS DE PROTECCIÓN CONTRA INCENDIOS PARA EL PROYECTO BANCOLOMBIA MALL PLAZA CALI</t>
  </si>
  <si>
    <t xml:space="preserve">COTIZACION DEL DISEÑO DE EXTINCIÓN DE INCENDIOS PARA EL PROYECTO COMERCIAL
</t>
  </si>
  <si>
    <t>John Edison Monsalve Velásquez</t>
  </si>
  <si>
    <t>ingrossosas@gmail.com</t>
  </si>
  <si>
    <t>318-6909055</t>
  </si>
  <si>
    <t>Constructora Ingrosso SAS</t>
  </si>
  <si>
    <t>COTIZACION MODELACIÓN HIDRÁULICA Y SELECCIÓN DE BOMBA CONTRA INCENDIOS - CICLOTRON</t>
  </si>
  <si>
    <t>COTIZACION DEL DISEÑO DE DETECCIÓN DE INCENDIOS - PROYECTO SABANETA ONCE22</t>
  </si>
  <si>
    <t>COTIZACION DEL DISEÑO DE EXTINCIÓN DE INCENDIOS - PROYECTO SABANETA ONCE22</t>
  </si>
  <si>
    <t>COTIZACION DEL DISEÑO DE DETECCIÓN DE INCENDIOS PARA EL PROYECTO RIO GRANDE TORRE 1</t>
  </si>
  <si>
    <t>Francisco Jose Unda Arango</t>
  </si>
  <si>
    <t xml:space="preserve"> Juan Santiago Londoño Quiceno</t>
  </si>
  <si>
    <t>COTIZACION DE LOS DISEÑOS DE PROTECCIÓN CONTRA INCENDIOS PARA EL PROYECTO UNION VITAL -ALKARAWI</t>
  </si>
  <si>
    <t>COTIZACION REVISIÓN SISTEMAS CONTRA INCENDIO Y LA SEGURIDAD HUMANA PARA EL PROYECTO AIANA VERDE</t>
  </si>
  <si>
    <t xml:space="preserve">Maria Camila Velásquez </t>
  </si>
  <si>
    <t>COTIZACION DE LOS DISEÑOS DE PROTECCIÓN CONTRA INCENDIOS PARA EL PROYECTO MAZZÚ</t>
  </si>
  <si>
    <t>IPC</t>
  </si>
  <si>
    <t>Bayron Tamayo</t>
  </si>
  <si>
    <t>btamayo@ipcproyectos.co</t>
  </si>
  <si>
    <t>Valentina Ortega Morales</t>
  </si>
  <si>
    <t>valentinaortega@mensulaingenieros.com</t>
  </si>
  <si>
    <t>311 6751810</t>
  </si>
  <si>
    <t xml:space="preserve">COTIZACION DE LOS DISEÑOS DE PROTECCIÓN CONTRA INCENDIOS Y SEGURIDAD HUMANA PARA EL PROYECTO VALLE VERDE TORRE 3
</t>
  </si>
  <si>
    <t>COTIZACION DE LOS DISEÑOS DE PROTECCIÓN CONTRA INCENDIOS Y SEGURIDAD HUMANA PARA EL PROYECTO EDIFICIO SHOJI - CURADURÍA</t>
  </si>
  <si>
    <t>COTIZACION DE LOS DISEÑOS DE PROTECCIÓN CONTRA INCENDIOS Y SEGURIDAD HUMANA PARA EL PROYECTO EDIFICIO SHOJI - CONSTRUCCIÓN</t>
  </si>
  <si>
    <t xml:space="preserve">COTIZACION DE LOS DISEÑOS DE PROTECCIÓN CONTRA INCENDIOS PARA EL PROYECTO LOCAL 138 A VIVA WAJIRA
</t>
  </si>
  <si>
    <t>Seriinco</t>
  </si>
  <si>
    <t>COTIZACION DEL DISEÑO DE DETECCIÓN DE INCENDIOS PARA EL PROYECTO BODEGA TOMA DE MUESTRAS SURA MALL DEL ESTE</t>
  </si>
  <si>
    <t xml:space="preserve">COTIZACION DEL ANÁLISIS DE SEGURIDAD HUMANA PARA EL PROYECTO BODEGA MILAGROS
</t>
  </si>
  <si>
    <t>Maria Jose Gomez</t>
  </si>
  <si>
    <t>aprendizsst@grupomilagros.com</t>
  </si>
  <si>
    <t xml:space="preserve">Milagros Enterprise Group S.A.S </t>
  </si>
  <si>
    <t>VENAVER</t>
  </si>
  <si>
    <t>venaver@une.net.co</t>
  </si>
  <si>
    <t xml:space="preserve">COTIZACION DEL DISEÑO DE DETECCIÓN DE INCENDIOS PARA EL PROYECTO PISO 13 VENAVER
</t>
  </si>
  <si>
    <t>dbetancur@aia.com.co</t>
  </si>
  <si>
    <t>Daniela Betancur Rivera</t>
  </si>
  <si>
    <t>COTIZACION DEL DISEÑO DE DETECCIÓN DE INCENDIOS PARA EL PROYECTO SAN PASCUAL</t>
  </si>
  <si>
    <t>Valeria Montoya</t>
  </si>
  <si>
    <t>COTIZACION DE LOS DISEÑOS DE DETECCIÓN DE INCENDIOS Y SEGURIDAD HUMANA PARA EL PROYECTO BANCOLOMBIA SUCURSAL SAN GIL</t>
  </si>
  <si>
    <t>alvarol@toroposada.com</t>
  </si>
  <si>
    <t>TOROPOSADA ARQUITECTOS</t>
  </si>
  <si>
    <t>COTIZACION DEL DISEÑO DE DETECCIÓN DE INCENDIOS PARA EL PROYECTO SUCURSAL CAÑAVERAL</t>
  </si>
  <si>
    <t>Alvaro Lopez Gomez</t>
  </si>
  <si>
    <t>301 4331389</t>
  </si>
  <si>
    <t>COTIZACION DE LOS DISEÑOS DE DETECCIÓN DE INCENDIOS Y SEGURIDAD HUMANA PARA EL PROYECTO NODO SEVILLA UNIVALLE</t>
  </si>
  <si>
    <t>COTIZACION DE LOS DISEÑOS DE DETECCIÓN DE INCENDIOS Y SEGURIDAD HUMANA PARA EL PROYECTO EDIFICIO DE LABORATORIOS DE LA ESCUELA DE INGENIERIA CIVIL Y GEOMATICA DE LA UNIVALLE</t>
  </si>
  <si>
    <t>COTIZACION DEL ANÁLISIS DE SEGURIDAD HUMANA PARA EL PROYECTO CCOA</t>
  </si>
  <si>
    <t>COTIZACION DEL DISEÑO DEL CUARTO DE BOMBAS CONTRA INCENDIOS PARA EL PROYECTO CCOA</t>
  </si>
  <si>
    <t>COTIZACIÓN DE LA REVISIÓN DE LOS DISEÑOS DE EXTINCIÓN DE INCENDIOS PARA DISLICORES</t>
  </si>
  <si>
    <t>COTIZACION MODELACIÓN HIDRÁULICA PARA VERIFICACIÓN DE TUBERÍA Y BOMBA CONTRA INCENDIOS - DISLICORES</t>
  </si>
  <si>
    <t>rafaelb@toroposada.com</t>
  </si>
  <si>
    <t>Rafael Botero Villa</t>
  </si>
  <si>
    <t>COTIZACION DEL DISEÑO DE DETECCIÓN DE INCENDIOS PARA EL PROYECTO TURBACO</t>
  </si>
  <si>
    <t>COTIZACION DE LOS DISEÑOS DE PROTECCIÓN CONTRA INCENDIOS PARA EL PROYECTO BELIVE</t>
  </si>
  <si>
    <t>COTIZACION DE LOS DISEÑOS DE PROTECCIÓN CONTRA INCENDIOS PARA EL PROYECTO OFICINAS ADMINISTRATIVAS COLEGIO MARYMOUNT</t>
  </si>
  <si>
    <t xml:space="preserve">COTIZACION DEL DISEÑO DE EXTINCIÓN DE INCENDIOS PARA EL PROYECTO PLANTA BACKUS ATE
</t>
  </si>
  <si>
    <t>COTIZACION DEL DISEÑO DE EXTINCIÓN DE INCENDIOS - PREACCIÓN CUARTOS COG Y PAH GRAN MANZANA</t>
  </si>
  <si>
    <t>COTIZACION DEL DISEÑO DE EXTINCIÓN DE INCENDIOS PARA EL PROYECTO HIDRANTES MONITORES TERRAZA VIVA SINCELEJO</t>
  </si>
  <si>
    <t>COTIZACION DEL DISEÑO DE EXTINCIÓN DE INCENDIOS PARA EL PROYECTO HIDRANTES MONITORES TERRAZA VIVA TUNJA</t>
  </si>
  <si>
    <t>COTIZACION DE LOS DISEÑOS DE PROTECCIÓN CONTRA INCENDIOS Y SEGURIDAD HUMANA PARA EL PROYECTO CLINICA MINSALUD</t>
  </si>
  <si>
    <t>GRUPO ÉXITO</t>
  </si>
  <si>
    <t>COTIZACION DEL ANÁLISIS DE SEGURIDAD HUMANA PARA EL PROYECTO CENTRO COMERCIAL AZUL DE ARENAS</t>
  </si>
  <si>
    <t xml:space="preserve">Cristian Rendon Osorio      </t>
  </si>
  <si>
    <t>crendono@grupo-exito.com</t>
  </si>
  <si>
    <t>COTIZACION DE REVISIÓN DE LOS SISTEMAS DE PROTECCIÓN CONTRA INCENDIO PARA EL PROYECTO AMSTERDAM</t>
  </si>
  <si>
    <t>Ricardo Vasquez Ochoa</t>
  </si>
  <si>
    <t>rvasquez@estudiotransversal.com.co</t>
  </si>
  <si>
    <t>COTIZACION DE LOS DISEÑOS DE PROTECCIÓN CONTRA INCENDIOS Y SEGURIDAD HUMANA PARA EL PROYECTO COLEGIO MONTESSORI</t>
  </si>
  <si>
    <t>Estudio Transversal</t>
  </si>
  <si>
    <t>Luis Miguel Domínguez Tobón</t>
  </si>
  <si>
    <t>ldominguezt@conconcreto.com</t>
  </si>
  <si>
    <t>Conconcreto</t>
  </si>
  <si>
    <t>COTIZACION DEL DISEÑO DE EXTINCIÓN DE INCENDIOS PARA EL PROYECTO ARENA PRIMAVERA</t>
  </si>
  <si>
    <t>COTIZACIÓN CANTIDADES DE EXTINCIÓN Y DETECCIÓN DE INCENDIOS PARA COLSÁNITAS IBAGUÉ Y BARRANCA</t>
  </si>
  <si>
    <t>Gerson Andres Marulanda Cardona</t>
  </si>
  <si>
    <t>gersonmarulanda@mensulaingenieros.com</t>
  </si>
  <si>
    <t xml:space="preserve">COTIZACION DE LOS DISEÑOS DE PROTECCIÓN CONTRA INCENDIOS Y SEGURIDAD HUMANA PARA EL PROYECTO MADERO DEL LAGO VIS
</t>
  </si>
  <si>
    <t>COTIZACION DE LOS DISEÑOS DE PROTECCIÓN CONTRA INCENDIOS Y SEGURIDAD HUMANA PARA EL PROYECTO OFICINA DE ARQUITECTURA FARMATODO</t>
  </si>
  <si>
    <t>COTIZACION DEL DISEÑO DE EXTINCIÓN DE INCENDIOS PARA EL PROYECTO LOCAL ACADEMIA DE INGLES GRAN VIA</t>
  </si>
  <si>
    <t>Santiago Moreno</t>
  </si>
  <si>
    <t>COTIZACION DE LOS DISEÑOS DE PROTECCIÓN CONTRA INCENDIOS Y SEGURIDAD HUMANA PARA EL PROYECTO BODEGA N 94</t>
  </si>
  <si>
    <t xml:space="preserve">COTIZACION DEL DISEÑO DE EXTINCIÓN DE INCENDIOS PARA EL PROYECTO BODEGA 39 INTEXZONA
</t>
  </si>
  <si>
    <t>Walter Ledesma</t>
  </si>
  <si>
    <t>wledesma@viva1a.com.co</t>
  </si>
  <si>
    <t>COTIZACION DE LOS DISEÑOS DE PROTECCIÓN CONTRA INCENDIOS Y SEGURIDAD HUMANA PARA EL PROYECTO SEDE POBLEADO MEDELLIN</t>
  </si>
  <si>
    <t xml:space="preserve">ESPIRAL </t>
  </si>
  <si>
    <t xml:space="preserve">COTIZACION DE LOS DISEÑOS DE PROTECCIÓN CONTRA INCENDIOS Y SEGURIDAD HUMANA PARA EL PROYECTO EDIFICIO CORPORATIVO-TODO DROGAS
</t>
  </si>
  <si>
    <t>COTIZACION DE LOS DISEÑOS DE PROTECCIÓN CONTRA INCENDIOS PARA EL PROYECTO PLANTA EXPORTADORA</t>
  </si>
  <si>
    <t>JOHAN FERNEY TAMAYO LOPEZ</t>
  </si>
  <si>
    <t>jtamayol@unal.edu.co</t>
  </si>
  <si>
    <t>UNIVERSIDAD NACIONAL</t>
  </si>
  <si>
    <t>COTIZACION DE LOS DISEÑOS DE PROTECCIÓN CONTRA INCENDIOS Y SEGURIDAD HUMANA PARA EL PROYECTO BLOQUE M16 UNIVERSIDAD NACIONAL DE COLOMBIA</t>
  </si>
  <si>
    <t xml:space="preserve">COTIZACION DE LOS DISEÑOS DE PROTECCIÓN CONTRA INCENDIOS PARA EL PROYECTO HALL CAJEROS MONTERIA
</t>
  </si>
  <si>
    <t xml:space="preserve"> LINA MARIA MONTOYA</t>
  </si>
  <si>
    <t>(604) 4443091</t>
  </si>
  <si>
    <t>COTIZACION DE LOS DISEÑOS DE PROTECCIÓN CONTRA INCENDIOS Y SEGURIDAD HUMANA PARA EL PROYECTO PLATAFORMA DE PARQUEADEROS BOULEVAR VERDE</t>
  </si>
  <si>
    <t>Juan José</t>
  </si>
  <si>
    <t>Good Group SAS</t>
  </si>
  <si>
    <t>COTIZACION DEL DISEÑO DE EXTINCIÓN DE INCENDIOS PARA EL PROYECTO CUARTO DE BOMBAS Y TANQUES GOOD GROUP</t>
  </si>
  <si>
    <t>COTIZACION DE REVISIÓN DE LOS DISEÑOS DE PROTECCIÓN CONTRA INCENDIO Y SEGURIDAD HUMANA - REDEPESCA</t>
  </si>
  <si>
    <t> 315 5852559</t>
  </si>
  <si>
    <t>FIREMARSHAL</t>
  </si>
  <si>
    <t>CASASBEE</t>
  </si>
  <si>
    <t>dirarquitectura@casasbee.com</t>
  </si>
  <si>
    <t>Jacobo Gallego</t>
  </si>
  <si>
    <t xml:space="preserve">COTIZACION DEL ANÁLISIS DE SEGURIDAD HUMANA PARA EL PROYECTO EL PEÑOL
</t>
  </si>
  <si>
    <t xml:space="preserve"> Victor Hugo Saldarriaga Botero</t>
  </si>
  <si>
    <t>310 393 97 39</t>
  </si>
  <si>
    <t>A&amp;C</t>
  </si>
  <si>
    <t>COTIZACION DE LOS DISEÑOS DE PROTECCIÓN CONTRA INCENDIOS Y SEGURIDAD HUMANA PARA EL PROYECTO HOTEL IROTAMA BAHIA</t>
  </si>
  <si>
    <t>COTIZACION DEL ANÁLISIS DE SEGURIDAD HUMANA PARA EL PROYECTO CAPGEMINI</t>
  </si>
  <si>
    <t>COTIZACION DE LOS DISEÑOS DE PROTECCIÓN CONTRA INCENDIOS Y SEGURIDAD HUMANA PARA EL PROYECTO BODEGA MONTACARGAS</t>
  </si>
  <si>
    <t xml:space="preserve">COTIZACION DE LOS DISEÑOS DE PROTECCIÓN CONTRA INCENDIOS Y SEGURIDAD HUMANA PARA EL PROYECTO FARMACEUTICA WEST LA ESTRELLA
</t>
  </si>
  <si>
    <t>COTIZACION DE LOS DISEÑOS DE PROTECCIÓN CONTRA INCENDIOS Y SEGURIDAD HUMANA PARA EL PROYECTO FARMACEUTICA RIONEGRO DE 6.000 M2</t>
  </si>
  <si>
    <t>misma que 378</t>
  </si>
  <si>
    <t>COTIZACION DEL REDISEÑO DE EXTINCIÓN DE INCENDIOS PARA LA RED GENERAL DEL PROYECTO ALLEGRO</t>
  </si>
  <si>
    <t xml:space="preserve">jorgemaya@centrosur.co </t>
  </si>
  <si>
    <t>Jorge Maya</t>
  </si>
  <si>
    <t>314 8881098</t>
  </si>
  <si>
    <t>Juan Fernando Franco Correa</t>
  </si>
  <si>
    <t>juanfranco@mt.com.co</t>
  </si>
  <si>
    <t>COTIZACION DE LOS DISEÑOS DE PROTECCIÓN CONTRA INCENDIOS Y SEGURIDAD HUMANA PARA EL PROYECTO VILLA GABRIELA II</t>
  </si>
  <si>
    <t>Angie Martinez</t>
  </si>
  <si>
    <t>Grupo Verticall</t>
  </si>
  <si>
    <t>asistenteadmonverticall@gmail.com</t>
  </si>
  <si>
    <t xml:space="preserve">COTIZACION DE LOS DISEÑOS DE PROTECCIÓN CONTRA INCENDIOS Y SEGURIDAD HUMANA PARA EL PROYECTO HOTEL VERTICALL
</t>
  </si>
  <si>
    <t>COTIZACION DEL ANÁLISIS DE SEGURIDAD HUMANA PARA EL PROYECTO SAN PASCUAL</t>
  </si>
  <si>
    <t>PAORQ</t>
  </si>
  <si>
    <t>Paola Andrea López Cadavid</t>
  </si>
  <si>
    <t>paolopez@paoarq.com</t>
  </si>
  <si>
    <t xml:space="preserve">COTIZACION DE LOS DISEÑOS DE PROTECCIÓN CONTRA INCENDIOS Y SEGURIDAD HUMANA PARA EL PROYECTO ISA
</t>
  </si>
  <si>
    <t xml:space="preserve">COTIZACION DE LOS DISEÑOS DE PROTECCIÓN CONTRA INCENDIOS Y SEGURIDAD HUMANA PARA EL PROYECTO HOTEL CONQUISTADORES VERTICALL
</t>
  </si>
  <si>
    <t>COTIZACION DE LOS DISEÑOS DE SEGURIDAD HUMANA Y PROTECCIÓN CONTRA INCENDIOS - CLÍNICA DE GRANDES</t>
  </si>
  <si>
    <t>22.290.000</t>
  </si>
  <si>
    <t>Susana Velásquez</t>
  </si>
  <si>
    <t>admin@studiosur.net</t>
  </si>
  <si>
    <t>312 776 4680</t>
  </si>
  <si>
    <t>COTIZACION DE LOS DISEÑOS DE PROTECCIÓN CONTRA INCENDIOS Y SEGURIDAD HUMANA PARA EL PROYECTO CALL CENTER BOGOTA</t>
  </si>
  <si>
    <t>COTIZACION DE LOS DISEÑOS DE PROTECCIÓN CONTRA INCENDIOS Y SEGURIDAD HUMANA PARA EL PROYECTO CALL CENTER MEDELLIN</t>
  </si>
  <si>
    <t>Mauricio Gutierrez Bohorquez</t>
  </si>
  <si>
    <t xml:space="preserve">COTIZACION DEL DISEÑO DE EXTINCIÓN DE INCENDIOS PARA EL PROYECTO AFRICA MALL PLAZA CALI
</t>
  </si>
  <si>
    <t>COTIZACION DEL REDISEÑO DE EXTINCIÓN DE INCENDIOS - MEZANINE BODEGA 2 Y SIAMESA DISLICORES - REV B</t>
  </si>
  <si>
    <t xml:space="preserve"> Miguel Angel Lugo Cubillos </t>
  </si>
  <si>
    <t>mlugo@viva1a.com.co</t>
  </si>
  <si>
    <t>COTIZACION DE REVISIÓN DEL SISTEMAS DE EXTINCIÓN DE INCENDIOS PARA EL PROYECTO AMSTERDAM</t>
  </si>
  <si>
    <t>COTIZACION DE LOS DISEÑOS DE PROTECCIÓN CONTRA INCENDIOS Y SEGURIDAD HUMANA PARA EL PROYECTO CLINICA 49B BARRANQUILLA VIVA 1A</t>
  </si>
  <si>
    <t>Sindy Arenas</t>
  </si>
  <si>
    <t>324 5671666</t>
  </si>
  <si>
    <t>COTIZACION DE LOS DISEÑOS DE PROTECCIÓN CONTRA INCENDIOS Y SEGURIDAD HUMANA PARA EL PROYECTO EDIFICIO DE OFICINAS BANCOLOMBIA DE 5.500 M2</t>
  </si>
  <si>
    <t xml:space="preserve"> Mario Leon Hincapie Quiceno</t>
  </si>
  <si>
    <t xml:space="preserve">COTIZACION DE LOS DISEÑOS DE PROTECCIÓN CONTRA INCENDIOS Y SEGURIDAD HUMANA PARA EL PROYECTO ODINSA 017
</t>
  </si>
  <si>
    <t>HIDRO F</t>
  </si>
  <si>
    <t>COTIZACION DEL DISEÑO DE DETECCIÓN DE INCENDIOS PARA EL PROYECTO PLANTA DE PRODUCCION CATALÁN</t>
  </si>
  <si>
    <t>Ruben Dario Villada Florez</t>
  </si>
  <si>
    <t>interventoriamontry@gmail.com</t>
  </si>
  <si>
    <t>COTIZACION DE LOS DISEÑOS DE PROTECCIÓN CONTRA INCENDIOS Y SEGURIDAD HUMANA PARA EL PROYECTO JAYA</t>
  </si>
  <si>
    <t xml:space="preserve">COTIZACION DEL DISEÑO DE EXTINCIÓN DE INCENDIOS PARA EL PROYECTO OFICINA 353 LEMONT
</t>
  </si>
  <si>
    <t>COTIZACION DE LOS DISEÑOS DE PROTECCIÓN CONTRA INCENDIOS PARA EL PROYECTO OFICINA 353 LEMONT</t>
  </si>
  <si>
    <t>COTIZACION INTERVENTORIA INSTALACIÓN EXTINCIÓN DE INCENDIOS - CLINICA 49B BARRANQUILLA VIVA 1A IPS</t>
  </si>
  <si>
    <t>COTIZACION DEL DISEÑO DE EXTINCIÓN DE INCENDIOS - CLINICA 49B BARRANQUILLA VIVA 1A IPS</t>
  </si>
  <si>
    <t>COTIZACION INTERVENTORIA INSTALACIÓN PROTECCIÓN CONTRA INCENDIOS Y SEGURIDAD HUMANA - CLINICA 49B BARRANQUILLA VIVA 1A IPS</t>
  </si>
  <si>
    <t>COTIZACION DE LOS DISEÑOS DE SEGURIDAD HUMANA Y PROTECCIÓN CONTRA INCENDIOS - EDIFICIO 15 X</t>
  </si>
  <si>
    <t>Gallardo Arquitectos</t>
  </si>
  <si>
    <t>Felipe Gallego</t>
  </si>
  <si>
    <t>302 2535464</t>
  </si>
  <si>
    <t>COTIZACION DEL ANÁLISIS DE SEGURIDAD HUMANA - PROYECTO CCOA</t>
  </si>
  <si>
    <t>INTEVE</t>
  </si>
  <si>
    <t>MUROS Y TECHOS</t>
  </si>
  <si>
    <t>604 444 4337</t>
  </si>
  <si>
    <t>COTIZACION DE LOS DISEÑOS DE PROTECCIÓN CONTRA INCENDIOS Y SEGURIDAD HUMANA PARA EL PROYECTO PARIS CITÉ</t>
  </si>
  <si>
    <t>COTIZACION DE LOS DISEÑOS DE PROTECCIÓN CONTRA INCENDIOS PARA EL PROYECTO ISHOP OVIEDO</t>
  </si>
  <si>
    <t xml:space="preserve">COTIZACION DEL DISEÑO DE DETECCIÓN DE INCENDIOS PARA EL PROYECTO SERVICENTRO EL CAMPESTRE
</t>
  </si>
  <si>
    <t>K&amp;J INGENIEROS S.A.S</t>
  </si>
  <si>
    <t>Karla Rendón</t>
  </si>
  <si>
    <t>krendon@kyjingenieros.co</t>
  </si>
  <si>
    <t>CONSTRUSERVICIOS DEL LLANO SAS.</t>
  </si>
  <si>
    <t>Sindy Gomez</t>
  </si>
  <si>
    <t>construdelllano23@gmail.com</t>
  </si>
  <si>
    <t>COTIZACION DE LOS DISEÑOS DE PROTECCIÓN CONTRA INCENDIOS Y SEGURIDAD HUMANA PARA EL PROYECTO MALL SALAMANCA EL RETIRO</t>
  </si>
  <si>
    <t>Juan Carlos Naranjo</t>
  </si>
  <si>
    <t>juannaranjo@convel.co</t>
  </si>
  <si>
    <t>COTIZACION DE LOS DISEÑOS DE PROTECCIÓN CONTRA INCENDIOS Y SEGURIDAD HUMANA PARA EL PROYECTO BODEGA FRIMAC</t>
  </si>
  <si>
    <t>H.B. Fuller</t>
  </si>
  <si>
    <t xml:space="preserve">COTIZACIÓN DE LOS DISEÑOS DE EXTINCIÓN DE INCENDIOS PARA LAS ÁREAS </t>
  </si>
  <si>
    <t>marsoluc.construcciones@gmail.com</t>
  </si>
  <si>
    <t> 320 6130130</t>
  </si>
  <si>
    <t>Hector Lopez</t>
  </si>
  <si>
    <t>COTIZACION DEL DISEÑO DE EXTINCIÓN DE INCENDIOS PARA EL PROYECTO AUDIFARMA CAF SANDIEGO</t>
  </si>
  <si>
    <t>Braian López</t>
  </si>
  <si>
    <t xml:space="preserve">Braian.Lopez@hbfuller.com </t>
  </si>
  <si>
    <t>Marsoluc Construcciones</t>
  </si>
  <si>
    <t>COTIZACION DE LOS DISEÑOS DE PROTECCIÓN CONTRA INCENDIOS - MEZANINE SPORTAGE VIVA ENVIGADO</t>
  </si>
  <si>
    <t>INFINITUM</t>
  </si>
  <si>
    <t>Manuela Arboleda</t>
  </si>
  <si>
    <t>arquitectura2@mg.com.co</t>
  </si>
  <si>
    <t>316 8704919</t>
  </si>
  <si>
    <t>COTIZACION DE LOS DISEÑOS DE PROTECCIÓN CONTRA INCENDIOS PARA EL PROYECTO LOCAL 122B REEBOK VIVA ENVIGADO</t>
  </si>
  <si>
    <t xml:space="preserve">COTIZACION DE LOS DISEÑOS DE PROTECCIÓN CONTRA INCENDIOS PARA EL PROYECTO LOCAL 176 TORRE SUR VIVA ENVIGADO
</t>
  </si>
  <si>
    <t>COTIZACION DE LOS DISEÑOS DE PROTECCIÓN CONTRA INCENDIOS PARA EL PROYECTO LOCAL 191AB VIVA ENVIGADO</t>
  </si>
  <si>
    <t>Cristiam Gustavo Mondragon</t>
  </si>
  <si>
    <t>dir.tecnico@spci.com.co</t>
  </si>
  <si>
    <t>COTIZACION DE LOS DISEÑOS DE PROTECCIÓN CONTRA INCENDIOS PARA EL PROYECTO LOCAL CC VIVA TUNJA ESPRIT</t>
  </si>
  <si>
    <t>COTIZACION DEL ANÁLISIS DE SEGURIDAD HUMANA - CLINICA 49B BARRANQUILLA VIVA_1A</t>
  </si>
  <si>
    <t>COTIZACION DEL DISEÑO DE DETECCIÓN DE INCENDIOS - CLINICA 49B BARRANQUILLA VIVA 1A IPS</t>
  </si>
  <si>
    <t>alexander.moreno@construgen.com</t>
  </si>
  <si>
    <t>Alexander Moreno Borja</t>
  </si>
  <si>
    <t>COTIZACION DE LOS DISEÑOS DE PROTECCIÓN CONTRA INCENDIOS PARA EL PROYECTO OBRA BUENA VISTA</t>
  </si>
  <si>
    <t>Johner Alejandro Payares Arango</t>
  </si>
  <si>
    <t>johner.payares@bienesybienes.com.co</t>
  </si>
  <si>
    <t>COTIZACION DEL ANÁLISIS DE SEGURIDAD HUMANA PARA EL PROYECTO SILVESTRA</t>
  </si>
  <si>
    <t>Adriana Agudelo López</t>
  </si>
  <si>
    <t>aagudelol@conconcreto.com</t>
  </si>
  <si>
    <t>COTIZACION DE LOS DISEÑOS DE PROTECCIÓN CONTRA INCENDIOS PARA EL PROYECTO LOCAL AVENTURA</t>
  </si>
  <si>
    <t>lidersst@institutodelcorazon.org.co</t>
  </si>
  <si>
    <t xml:space="preserve">Diana Paola Bravo Galvis </t>
  </si>
  <si>
    <t>COTIZACION DEL DISEÑO DE EXTINCIÓN DE INCENDIOS PARA EL PROYECTO CLINICA VIDA</t>
  </si>
  <si>
    <t>Instituto del corazon</t>
  </si>
  <si>
    <t>Humiclima</t>
  </si>
  <si>
    <t>Matias Fernandez</t>
  </si>
  <si>
    <t>mdfernandez@humiclima.com</t>
  </si>
  <si>
    <t>COTIZACION DEL DISEÑO DE EXTINCIÓN DE INCENDIOS PARA EL PROYECTO HOMS</t>
  </si>
  <si>
    <t xml:space="preserve">34 971 431 216 </t>
  </si>
  <si>
    <t xml:space="preserve"> Natalia Gonima</t>
  </si>
  <si>
    <t>ngonima@aia.com.co</t>
  </si>
  <si>
    <t>604 4037700</t>
  </si>
  <si>
    <t>COTIZACION DEL DISEÑO DE DETECCIÓN DE INCENDIOS PARA EL PROYECTO MONTANO</t>
  </si>
  <si>
    <t>COTIZACION DE LOS DISEÑOS DE PROTECCIÓN CONTRA INCENDIOS Y SEGURIDAD HUMANA PARA EL PROYECTO HALL HATOGRANDE</t>
  </si>
  <si>
    <t>construccionbazar@tipinterventoria.com</t>
  </si>
  <si>
    <t>Construcción Bazar TIP Interventoria</t>
  </si>
  <si>
    <t>Eliced Ceballos Rodriguez</t>
  </si>
  <si>
    <t>COTIZACION DE LOS DISEÑOS DE PROTECCIÓN CONTRA INCENDIOS Y SEGURIDAD HUMANA PARA EL PROYECTO BAZAR DE CONSTRUCCION RIONEGRO</t>
  </si>
  <si>
    <t>COTIZACION DE LOS DISEÑOS DE PROTECCIÓN CONTRA INCENDIOS PARA EL PROYECTO EDIFICIO CENTRAL DE LA GOBERNACION DEL HUILA</t>
  </si>
  <si>
    <t>Ingesed</t>
  </si>
  <si>
    <t>COTIZACION DEL REDISEÑO DE SEGURIDAD HUMANA PARA EL PROYECTO CONTREE TORRE 2</t>
  </si>
  <si>
    <t>COTIZACION DE LOS DISEÑOS DE SEGURIDAD HUMANA Y EXTINCIÓN DE INCENDIOS - PINTURAS PRIME</t>
  </si>
  <si>
    <t>Andres Sierra</t>
  </si>
  <si>
    <t>57 311 3901187</t>
  </si>
  <si>
    <t>COTIZACION DE LOS DISEÑOS DE SEGURIDAD HUMANA Y EXTINCIÓN DE INCENDIOS - SAN CAYETANO TORRE 3</t>
  </si>
  <si>
    <t>COTIZACION DE LOS DISEÑOS DE SEGURIDAD HUMANA Y PROTECCIÓN CONTRA INCENDIOS - SAN CAYETANO TORRE 3</t>
  </si>
  <si>
    <t>COTIZACION DEL ANÁLISIS DE SEGURIDAD HUMANA PARA EL PROYECTO SMURFIT KAPPA</t>
  </si>
  <si>
    <t>Ana María Torres</t>
  </si>
  <si>
    <t>amtorres@conconcreto.com</t>
  </si>
  <si>
    <t>COTIZACION DE LOS PLANOS RECORD DE EXTINCIÓN DE INCENDIOS PARA EL PROYECTO BAHIA</t>
  </si>
  <si>
    <t xml:space="preserve">mauricio.gutierrez@spci.com.co </t>
  </si>
  <si>
    <t xml:space="preserve"> 310 389 80 43</t>
  </si>
  <si>
    <t>COTIZACION DEL DISEÑO DE EXTINCIÓN DE INCENDIOS PARA EL PROYECTO CITY PARK LOS MOLINOS</t>
  </si>
  <si>
    <t>Ariel Gomez</t>
  </si>
  <si>
    <t>arielg@sohinco.com</t>
  </si>
  <si>
    <t xml:space="preserve">COTIZACION DEL DISEÑO DE EXTINCIÓN DE INCENDIOS PARA EL PROYECTO MIC GUARNE
</t>
  </si>
  <si>
    <t>COTIZACION DEL ANÁLISIS DE SEGURIDAD HUMANA PARA EL PROYECTO ENRUTA ETAPA 2</t>
  </si>
  <si>
    <t>COTIZACION DE LA REVISIÓN DE LOS DISEÑOS DE EXTINCIÓN DE INCENDIOS - PROYECTO BODEGA BUENCAFE</t>
  </si>
  <si>
    <t>COTIZACION DE LOS DISEÑOS DE SEGURIDAD HUMANA Y PROTECCIÓN CONTRA INCENDIOS - MISTRAL ETAPA 1</t>
  </si>
  <si>
    <t>Leonardo Luis Castillo</t>
  </si>
  <si>
    <t>lcastillo@conaltura.com</t>
  </si>
  <si>
    <t>COTIZACION DE LOS DISEÑOS DE SEGURIDAD HUMANA Y PROTECCIÓN CONTRA INCENDIOS - CATALANA ETAPA 2</t>
  </si>
  <si>
    <t>COTIZACION DE LOS DISEÑOS DE SEGURIDAD HUMANA Y PROTECCIÓN CONTRA INCENDIOS - SOLEI ETAPA 2</t>
  </si>
  <si>
    <t>COTIZACION DE LOS DISEÑOS DE SEGURIDAD HUMANA Y PROTECCIÓN CONTRA INCENDIOS - BORA ETAPA 3</t>
  </si>
  <si>
    <t>COTIZACION DE LOS REDISEÑOS DE PROTECCIÓN CONTRA INCENDIOS - LAGOS ORIGEN</t>
  </si>
  <si>
    <t>COTIZACION DEL DISEÑO DE EXTINCIÓN DE INCENDIOS - LOCAL COLBELLEZA VIVA</t>
  </si>
  <si>
    <t>Colbelleza</t>
  </si>
  <si>
    <t>Isabel Arango</t>
  </si>
  <si>
    <t>57 320 7133122</t>
  </si>
  <si>
    <t>458 B</t>
  </si>
  <si>
    <t>COTIZACIÓN DE DISEÑO DE DETECCIÓN DE INCENDIO PARA EL PROYECTO SEDE NEUROMEDICA</t>
  </si>
  <si>
    <t>COTIZACIÓN DE LA INGENIERÍA CONCEPTUAL DE EXTINCIÓN DE INCENDIOS PARA LA AMPLIACIÓN DE PLEXAPORT</t>
  </si>
  <si>
    <t>COTIZACION DEL ANÁLISIS DE SEGURIDAD HUMANA PARA EL PROYECTO MONTANO</t>
  </si>
  <si>
    <t>Natalia Gonima</t>
  </si>
  <si>
    <t xml:space="preserve"> Cristiam Gustavo Mondragon </t>
  </si>
  <si>
    <t>COTIZACION DE LOS DISEÑOS DE PROTECCIÓN CONTRA INCENDIOS PARA EL PROYECTO LOCAL COLBELLEZA</t>
  </si>
  <si>
    <t>COTIZACION DE CAPACITACIÓN EN SISTEMAS DE PROTECCIÓN CONTRA INCENDIOS - OBSTRUCCIONES</t>
  </si>
  <si>
    <t>Juan David Velez Herrera</t>
  </si>
  <si>
    <t>proyectos@clinicaelrosario.com</t>
  </si>
  <si>
    <t>CLINICA EL ROSARIO</t>
  </si>
  <si>
    <t>Juan David Vélez Herrera</t>
  </si>
  <si>
    <t>COTIZACION DEL ANÁLISIS DE SEGURIDAD HUMANA PARA EL PROYECTO CLINICA DEL ROSARIO</t>
  </si>
  <si>
    <t xml:space="preserve">COTIZACION DE LOS DISEÑOS DE PROTECCIÓN CONTRA INCENDIOS PARA EL PROYECTO CLINICA DEL ROSARIO
</t>
  </si>
  <si>
    <t>COTIZACION DE LOS DISEÑOS DE PROTECCIÓN CONTRA INCENDIOS PARA EL PROYECTO LOCAL NEW ERA</t>
  </si>
  <si>
    <t>David Fernando Cardona</t>
  </si>
  <si>
    <t>COTIZACION DE LOS DISEÑOS DE PROTECCIÓN CONTRA INCENDIOS Y SEGURIDAD HUMANA PARA EL PROYECTO RIO MANSO</t>
  </si>
  <si>
    <t>313 7163567</t>
  </si>
  <si>
    <t>COTIZACION DE VISITAS DE REVISIÓN INSTALACIÓN SISTEMAS PROTECCIÓN CONTRA INCENDIOS - LOCALES VIVA LA CEJA</t>
  </si>
  <si>
    <t>COTIZACION DEL DISEÑO DE DETECCIÓN DE INCENDIOS PARA EL PROYECTO PLANTA TRUHER SABANETA</t>
  </si>
  <si>
    <t>COTIZACION DEL DISEÑO DE DETECCIÓN DE INCENDIOS PARA EL PROYECTO CEDI VESDA</t>
  </si>
  <si>
    <t xml:space="preserve">Francisco Unda </t>
  </si>
  <si>
    <t>Jhon Jairo Arenas</t>
  </si>
  <si>
    <t>300 3020889</t>
  </si>
  <si>
    <t>COTIZACION DEL DISEÑO DE EXTINCIÓN DE INCENDIOS PARA EL PROYECTO BLAZEMASTER BOLIVIA</t>
  </si>
  <si>
    <t>COTIZACION DE LOS DISEÑOS DE PROTECCIÓN CONTRA INCENDIOS Y SEGURIDAD HUMANA PARA EL PROYECTO FAUNA SILVESTRE</t>
  </si>
  <si>
    <t>COTIZACION DE LOS DISEÑOS DE SEGURIDAD HUMANA Y PROTECCIÓN CONTRA INCENDIOS - ONDA</t>
  </si>
  <si>
    <t>UPB - ETH</t>
  </si>
  <si>
    <t>Sebastián Ramirez A</t>
  </si>
  <si>
    <t>sebra.arq@gmail.com</t>
  </si>
  <si>
    <t>COTIZACION DE LOS DISEÑOS DE PROTECCIÓN CONTRA INCENDIOS Y SEGURIDAD HUMANA PARA EL PROYECTO EDIFICIO PIÑON</t>
  </si>
  <si>
    <t>COTIZACION DE LOS DISEÑOS DE PROTECCIÓN CONTRA INCENDIOS Y SEGURIDAD HUMANA PARA EL PROYECTO EDIFICIO CEIBA</t>
  </si>
  <si>
    <t>COTIZACION DE LOS DISEÑOS DE SEGURIDAD HUMANA Y PROTECCIÓN CONTRA INCENDIOS - ENTRE SOLES</t>
  </si>
  <si>
    <t>COTIZACION PARA LA EVALUACIÓN Y CONCEPTO DE LA PROTECCIÓN CONTRA INCENDIOS PARA EL PROYECTO PANELES SOLARES GUACARI</t>
  </si>
  <si>
    <t>COTIZACION DE LOS DISEÑOS DE SEGURIDAD HUMANA Y PROTECCIÓN CONTRA INCENDIOS - PLANTA AGUACATE</t>
  </si>
  <si>
    <t>COTIZACION DE LOS DISEÑOS DE SEGURIDAD HUMANA Y PROTECCIÓN CONTRA INCENDIOS - PLANTA GARUPA</t>
  </si>
  <si>
    <t>COTIZACION DE LOS DISEÑOS DE PROTECCIÓN CONTRA INCENDIOS PARA EL PROYECTO LOCAL MALL ZONA SUR</t>
  </si>
  <si>
    <t>COTIZACION DE LOS DISEÑOS DE PROTECCIÓN CONTRA INCENDIOS - PROYECTO SABANETA ONCE22</t>
  </si>
  <si>
    <t>Lina Gil</t>
  </si>
  <si>
    <t>arqlinagil@gmail.com</t>
  </si>
  <si>
    <t>COTIZACION DE LOS DISEÑOS DE PROTECCIÓN CONTRA INCENDIOS Y SEGURIDAD HUMANA PARA EL PROYECTO HOTEL ARMONIKO</t>
  </si>
  <si>
    <t xml:space="preserve"> Diego Alejandro Correa Bedoya</t>
  </si>
  <si>
    <t>RCI MONTAJES</t>
  </si>
  <si>
    <t>COTIZACION DEL DISEÑO DE EXTINCIÓN DE INCENDIOS PARA EL PROYECTO PATIO DE MANIOBRAS RANSA PRIMAVERA</t>
  </si>
  <si>
    <t>COTIZACION DEL ANÁLISIS DE SEGURIDAD HUMANA - MALL KONDINA</t>
  </si>
  <si>
    <t>RAIZ</t>
  </si>
  <si>
    <t>coordinadorobra@gruporaiz.com.co</t>
  </si>
  <si>
    <t>Daniel Fernando Hernandez</t>
  </si>
  <si>
    <t>311 3555383</t>
  </si>
  <si>
    <t xml:space="preserve">COTIZACION DE LOS DISEÑOS DE PROTECCIÓN CONTRA INCENDIOS Y SEGURIDAD HUMANA PARA EL PROYECTO VITTRIO
</t>
  </si>
  <si>
    <t>SEBASTIAN OCHOA GOMEZ</t>
  </si>
  <si>
    <t>COTIZACION DEL DISEÑO DE DETECCIÓN DE INCENDIOS PARA EL PROYECTO LOCAL CHEVIGNON RIOHACHA</t>
  </si>
  <si>
    <t>COTIZACION DE LOS DISEÑOS DE PROTECCIÓN CONTRA INCENDIOS PARA EL PROYECTO CLINICA VIDA</t>
  </si>
  <si>
    <t>EKOSINGENIERIA</t>
  </si>
  <si>
    <t xml:space="preserve">Francisco Mejía </t>
  </si>
  <si>
    <t xml:space="preserve"> francisco.mejia@ekosingenieria.com </t>
  </si>
  <si>
    <t>COTIZACION DEL DISEÑO DE DETECCIÓN DE INCENDIOS PARA EL PROYECTO SUBESTACION COLANTA</t>
  </si>
  <si>
    <t>COTIZACION DE LOS DISEÑOS DE PROTECCIÓN CONTRA INCENDIOS PARA EL PROYECTO LOCAL 307 IKEBANNA</t>
  </si>
  <si>
    <t>COTIZACION DE LOS DISEÑOS DE PROTECCIÓN CONTRA INCENDIOS PARA EL PROYECTO LOCAL 320 VANESSA</t>
  </si>
  <si>
    <t>300 3675022</t>
  </si>
  <si>
    <t xml:space="preserve">
COTIZACION DEL ANÁLISIS DE SEGURIDAD HUMANA PARA EL PROYECTO EDIFICIO HOTEL ECOSYSTEM</t>
  </si>
  <si>
    <t>Ana María Torres Gómez</t>
  </si>
  <si>
    <t xml:space="preserve">
COTIZACION DEL ANÁLISIS DE SEGURIDAD HUMANA PARA EL PROYECTO EDIFICIOS DE ESTACIONAMIENTO AEROPUERTO EL DORADO</t>
  </si>
  <si>
    <t>GRADECO</t>
  </si>
  <si>
    <t xml:space="preserve">
Felipe Andres López Moscoso </t>
  </si>
  <si>
    <t>arquitectura@gradeco.com.co</t>
  </si>
  <si>
    <t>COTIZACION DEL ANÁLISIS DE SEGURIDAD HUMANA PARA EL PROYECTO HIGH PARK 94</t>
  </si>
  <si>
    <t xml:space="preserve">COTIZACION DE LOS DISEÑOS DE PROTECCIÓN CONTRA INCENDIOS PARA EL PROYECTO PLANTA MANTECA NACIONAL DE CHOCOLATES
</t>
  </si>
  <si>
    <t>COTIZACION DEL DISEÑO DE DETECCIÓN DE INCENDIOS PARA EL PROYECTO HIGH PARK 94</t>
  </si>
  <si>
    <t>Keyla Lorena Garcia</t>
  </si>
  <si>
    <t>keylagarcia@estructurar.co</t>
  </si>
  <si>
    <t>COTIZACION DE LOS DISEÑOS DE PROTECCIÓN CONTRA INCENDIOS PARA EL PROYECTO FASE 1 TRASLADO PLANTA PERU</t>
  </si>
  <si>
    <t>COTIZACION DE LOS DISEÑOS DE PROTECCIÓN CONTRA INCENDIOS Y SEGURIDAD HUMANA PARA EL PROYECTO AZUL</t>
  </si>
  <si>
    <t>David Esau Agudelo</t>
  </si>
  <si>
    <t>310 4198068</t>
  </si>
  <si>
    <t>COTIZACION DEL DISEÑO DE DETECCIÓN DE INCENDIOS PARA EL PROYECTO CLINICA DE CIRUGIA ESTETICA</t>
  </si>
  <si>
    <t>COTIZACION DEL DISEÑO DE DETECCIÓN DE INCENDIOS PARA EL PROYECTO HALL GRAN PLAZA ALCARAVÁN</t>
  </si>
  <si>
    <t>COTIZACION DEL DISEÑO DE EXTINCIÓN DE INCENDIOS PARA EL PROYECTO BODEGA ROLLOS FAMILIA</t>
  </si>
  <si>
    <t>JULIÁN HENAO</t>
  </si>
  <si>
    <t>COTIZACION DEL ANÁLISIS DE SEGURIDAD HUMANA - HOTEL Y COMERCIO 7.500 M2</t>
  </si>
  <si>
    <t>Julián Henao</t>
  </si>
  <si>
    <t>321 7276818</t>
  </si>
  <si>
    <t>304 6529210</t>
  </si>
  <si>
    <t>Anaduque@solucionesinmobiliairiassas.com</t>
  </si>
  <si>
    <t>Ana María Duque</t>
  </si>
  <si>
    <t>COTIZACION DEL ANÁLISIS DE SEGURIDAD HUMANA PARA EL PROYECTO TORRES DE LA ALIANZA ANDES CODIGO 183</t>
  </si>
  <si>
    <t>mallkilometrozero@gmail.com</t>
  </si>
  <si>
    <t>Yamily Quintero</t>
  </si>
  <si>
    <t>COTIZACION DE LOS DISEÑOS DE PROTECCIÓN CONTRA INCENDIOS PARA EL PROYECTO EDIFICIO FENIX</t>
  </si>
  <si>
    <t>COTIZACION DE LOS DISEÑOS DE PROTECCIÓN CONTRA INCENDIOS PARA EL PROYECTO LOCAL 130 ELEGANZA VIVA VILLAVICENCIO</t>
  </si>
  <si>
    <t xml:space="preserve">
COTIZACION DE LOS DISEÑOS DE PROTECCIÓN CONTRA INCENDIOS Y SEGURIDAD HUMANA PARA EL PROYECTO MIC GUARNE</t>
  </si>
  <si>
    <t xml:space="preserve"> daniel.guzman@ingeniobim.co   </t>
  </si>
  <si>
    <t>COTIZACION DE LOS DISEÑOS DE PROTECCIÓN CONTRA INCENDIOS Y SEGURIDAD HUMANA PARA EL PROYECTO BANCOLOMBIA RUTA N</t>
  </si>
  <si>
    <t xml:space="preserve">COTIZACION DE LOS DISEÑOS DE PROTECCIÓN CONTRA INCENDIOS PARA EL PROYECTO SISTEMA ABASTECIMIENTO ZONA 02 UNIVALLE
</t>
  </si>
  <si>
    <t>COTIZACION DE LOS DISEÑOS DE PROTECCIÓN CONTRA INCENDIOS PARA EL PROYECTO LOCAL HOUSE C.C VIVA ENVIGADO</t>
  </si>
  <si>
    <t>COTIZACION DE LOS DISEÑOS DE PROTECCIÓN CONTRA INCENDIOS Y SEGURIDAD HUMANA PARA EL PROYECTO MIRADOR DEL VALLE</t>
  </si>
  <si>
    <t xml:space="preserve"> </t>
  </si>
  <si>
    <t>oscarfcr2@gmail.com</t>
  </si>
  <si>
    <t xml:space="preserve">
COTIZACION DE LOS DISEÑOS DE PROTECCIÓN CONTRA INCENDIOS Y SEGURIDAD HUMANA PARA EL PROYECTO APARTAMENTOS VIS</t>
  </si>
  <si>
    <t>Colegio Liceo Frances</t>
  </si>
  <si>
    <t>Andrés Ramírez</t>
  </si>
  <si>
    <t>COTIZACION DE LOS DISEÑOS DE PROTECCIÓN CONTRA INCENDIOS Y SEGURIDAD HUMANA PARA EL PROYECTO LICEO COLEGIO FRANCES</t>
  </si>
  <si>
    <t>COTIZACION DEL REDISEÑO DE SEGURIDAD HUMANA - DISLICORES</t>
  </si>
  <si>
    <t xml:space="preserve"> Clara Ines Mesa Lopez de Mesa</t>
  </si>
  <si>
    <t>cmesa@coninsa.co</t>
  </si>
  <si>
    <t>300 6194323</t>
  </si>
  <si>
    <t>COTIZACION DE LOS DISEÑOS DE PROTECCIÓN CONTRA INCENDIOS Y SEGURIDAD HUMANA PARA EL PROYECTO AGUA DE URABA</t>
  </si>
  <si>
    <t>jsalazar@nivelum.com</t>
  </si>
  <si>
    <t>Juliana Salazar Quintero</t>
  </si>
  <si>
    <t>Construcciones Nivelum</t>
  </si>
  <si>
    <t>COTIZACION DE LOS DISEÑOS DE PROTECCIÓN CONTRA INCENDIOS Y SEGURIDAD HUMANA PARA EL PROYECTO WYNWOOD LAURELES</t>
  </si>
  <si>
    <t>COTIZACION DEL DISEÑO DE DETECCIÓN DE INCENDIOS PARA EL PROYECTO CEDI VESDA FAMILIA</t>
  </si>
  <si>
    <t>COTIZACION DE LOS DISEÑOS DE PROTECCIÓN CONTRA INCENDIOS PARA EL PROYECTO COLSANITAS NUEVA CENTRAL DE URGENCIAS VILLAVICENCIO</t>
  </si>
  <si>
    <t>DINPRO</t>
  </si>
  <si>
    <t xml:space="preserve"> Estefania Ospina</t>
  </si>
  <si>
    <t>estefania.ospina@dinpro.com.co</t>
  </si>
  <si>
    <t>COTIZACION DEL ANÁLISIS DE SEGURIDAD HUMANA PARA EL PROYECTO BLOQUE A CRA 15 CLINICA COUNTRY</t>
  </si>
  <si>
    <t>COTIZACION DEL ANÁLISIS DE SEGURIDAD HUMANA PARA EL PROYECTO LA COLINA CLINICA COUNTRY BOGOTA</t>
  </si>
  <si>
    <t>COTIZACION REVISIÓN BOMBA CONTRA INCENDIOS - PROYECTO MIRADOR DE LA AYURA ETAPA II</t>
  </si>
  <si>
    <t>COTIZACION DE LOS DISEÑOS DE PROTECCIÓN CONTRA INCENDIOS Y SEGURIDAD HUMANA PARA EL PROYECTO HOSPITAL SAN FRANCISCO</t>
  </si>
  <si>
    <t>320 770 99 78</t>
  </si>
  <si>
    <t>COTIZACION DE LOS DISEÑOS DE PROTECCIÓN CONTRA INCENDIOS Y SEGURIDAD HUMANA PARA EL PROYECTO DISTRITO PLAZA T-2</t>
  </si>
  <si>
    <t>Hans Wagner</t>
  </si>
  <si>
    <t>hwagner519@gmail.com</t>
  </si>
  <si>
    <t>COTIZACION DE LOS DISEÑOS DE PROTECCIÓN CONTRA INCENDIOS Y SEGURIDAD HUMANA PARA EL PROYECTO BOUTIQUE TOWER</t>
  </si>
  <si>
    <t>Good Group SAS</t>
  </si>
  <si>
    <t>Juan Jose Monsalve</t>
  </si>
  <si>
    <t>COTIZACION DEL DISEÑO DE EXTINCIÓN DE INCENDIOS PARA EL PROYECTO PLANTA FRESH COLOMBIA</t>
  </si>
  <si>
    <t>Andrés Ramírez A</t>
  </si>
  <si>
    <t>andresramirez@convel.co</t>
  </si>
  <si>
    <t>301 2664511</t>
  </si>
  <si>
    <t>COTIZACION DE LOS DISEÑOS DE PROTECCIÓN CONTRA INCENDIOS Y SEGURIDAD HUMANA PARA EL PROYECTO APARTAMENTOS FERRINI</t>
  </si>
  <si>
    <t xml:space="preserve">COTIZACION DE LOS DISEÑOS DE PROTECCIÓN CONTRA INCENDIOS PARA EL PROYECTO SURDOZ
</t>
  </si>
  <si>
    <t>ISMD</t>
  </si>
  <si>
    <t>info@ismd.com.co</t>
  </si>
  <si>
    <t xml:space="preserve"> 313 3773883</t>
  </si>
  <si>
    <t>COTIZACION DE LOS DISEÑOS DE DETECCIÓN DE INCENDIOS Y SEGURIDAD HUMANA PARA EL PROYECTO ORIÓN</t>
  </si>
  <si>
    <t>Lina Carvajal</t>
  </si>
  <si>
    <t>Jenifer Vanessa Orozco Ordoñez</t>
  </si>
  <si>
    <t>jenifer.orozco@ingeniobim.co</t>
  </si>
  <si>
    <t>COTIZACION DE LOS DISEÑOS DE PROTECCIÓN CONTRA INCENDIOS Y SEGURIDAD HUMANA PARA EL PROYECTO TERMINAL DE TRANSPORTES SUPIA CALDAS</t>
  </si>
  <si>
    <t>COTIZACION DE LOS DISEÑOS DE PROTECCIÓN CONTRA INCENDIOS Y SEGURIDAD HUMANA PARA EL PROYECTO ARL SURA VIVA ENVIGADO</t>
  </si>
  <si>
    <t>auxiliar.socomes@gmail.com</t>
  </si>
  <si>
    <t>Heiner Quiceno</t>
  </si>
  <si>
    <t>COTIZACION DE LOS DISEÑOS DE PROTECCIÓN CONTRA INCENDIOS PARA EL PROYECTO EDIFICIO BANCO POPULAR DISLON</t>
  </si>
  <si>
    <t>COTIZACION DE LOS DISEÑOS DE PROTECCIÓN CONTRA INCENDIOS PARA EL PROYECTO HOTELERO BAHIA SERENO NUQUI CHOCO</t>
  </si>
  <si>
    <t>COTIZACION DE LA REVISIÓN DE SEGURIDAD HUMANA Y LOS SISTEMAS DE PROTECCIÓN CONTRA INCENDIOS PARA CLÍNICAS EN COLOMBIA</t>
  </si>
  <si>
    <t>COTIZACION DEL DISEÑO DE EXTINCIÓN DE INCENDIOS PARA EL PROYECTO LOCAL 99-308 PARQUE FABRICATO</t>
  </si>
  <si>
    <t xml:space="preserve">Detectar Systems </t>
  </si>
  <si>
    <t>COTIZACION DEL DISEÑO DE DETECCIÓN DE INCENDIOS PARA EL PROYECTO CASITAS COLEGIO SAN JOSE DE LAS VEGAS</t>
  </si>
  <si>
    <t>detectarsystems@gmail.com</t>
  </si>
  <si>
    <t xml:space="preserve">COTIZACION DE LOS DISEÑOS DE PROTECCIÓN CONTRA INCENDIOS PARA EL PROYECTO DATACENTERS
</t>
  </si>
  <si>
    <t xml:space="preserve">Tatiana de la Rosa Santa </t>
  </si>
  <si>
    <t>tatiana@tipinterventoria.com</t>
  </si>
  <si>
    <t>TIP</t>
  </si>
  <si>
    <t>COTIZACION DE LOS DISEÑOS DE PROTECCIÓN CONTRA INCENDIOS Y SEGURIDAD HUMANA PARA EL PROYECTO COLEGIO COLEGIATURA</t>
  </si>
  <si>
    <t>COTIZACION DEL ANÁLISIS DE SEGURIDAD HUMANA - DISTRITO PLAZA E1</t>
  </si>
  <si>
    <t xml:space="preserve">COTIZACION DE LOS DISEÑOS DE PROTECCIÓN CONTRA INCENDIOS Y SEGURIDAD HUMANA PARA EL PROYECTO ENTRE AIRES
</t>
  </si>
  <si>
    <t>COTIZACION DE LOS DISEÑOS DE PROTECCIÓN CONTRA INCENDIOS - ED BELEN LOS ALPES</t>
  </si>
  <si>
    <t>SINERGIA</t>
  </si>
  <si>
    <t>311 360 83 00</t>
  </si>
  <si>
    <t>Danny Valencia Cardona</t>
  </si>
  <si>
    <t>residentebelen.sinergia@gmail.com</t>
  </si>
  <si>
    <t>COTIZACION DE LOS DISEÑOS DE PROTECCIÓN CONTRA INCENDIOS - HOTEL HAVEN</t>
  </si>
  <si>
    <t>Valentina Ortega M.</t>
  </si>
  <si>
    <t>COTIZACION DEL DISEÑO DE EXTINCIÓN DE INCENDIOS - SERVICENTRO EL CAMPESTRE</t>
  </si>
  <si>
    <t>COTIZACION DE LOS DISEÑOS DE SEGURIDAD HUMANA Y PROTECCIÓN CONTRA INCENDIOS - LICEO FRANCES EXISTENTE</t>
  </si>
  <si>
    <t>LICEO FRANCES</t>
  </si>
  <si>
    <t>administrativo2@lf.edu.co</t>
  </si>
  <si>
    <t>COTIZACION DEL ANÁLISIS DE SEGURIDAD HUMANA PARA EL PROYECTO NUEVA SEDE DE LA TORRE ESE HOSPITAL SAN VICENTE</t>
  </si>
  <si>
    <t>Consorcio HSVA</t>
  </si>
  <si>
    <t>CARLOS ORJUELA</t>
  </si>
  <si>
    <t>caleorca26@gmail.com</t>
  </si>
  <si>
    <t>COTIZACION DEL REDISEÑO DE EXTINCIÓN DE INCENDIOS PARA EL PROYECTO ARAGUA</t>
  </si>
  <si>
    <t>COTIZACION DEL DISEÑO DE DETECCIÓN DE INCENDIOS PARA EL PROYECTO PLANTA ZEUUS GIRARDOTA</t>
  </si>
  <si>
    <t xml:space="preserve"> 311 6751810</t>
  </si>
  <si>
    <t xml:space="preserve">COTIZACION DE LOS DISEÑOS DE PROTECCIÓN CONTRA INCENDIOS Y SEGURIDAD HUMANA PARA EL PROYECTO HOTEL HAVEN
</t>
  </si>
  <si>
    <t>316 496 20 26</t>
  </si>
  <si>
    <t>COTIZACION DEL ANÁLISIS DE SEGURIDAD HUMANA PARA EL PROYECTO PLANTA SIKA RIONEGRO</t>
  </si>
  <si>
    <t>José Luis Ojeda Caarvajal</t>
  </si>
  <si>
    <t>jose.ojeda@spci.com.co</t>
  </si>
  <si>
    <t>COTIZACIÓN REDISEÑO DE EXTINCIÓN DE INCENDIOS PARA EL PROYECTO OFICINAS LEBRIJA PISO 2 MEZANINE</t>
  </si>
  <si>
    <t>COTIZACION DE LOS DISEÑOS DE PROTECCIÓN CONTRA INCENDIOS PARA EL PROYECTO OFICINA 11-01 DEL CCI</t>
  </si>
  <si>
    <t xml:space="preserve"> Eliana Isabel Cardona Ríos</t>
  </si>
  <si>
    <t>313 540 17 14</t>
  </si>
  <si>
    <t>GO INGENIERÍA Y SOLUCIONES</t>
  </si>
  <si>
    <t xml:space="preserve">Cristian Gañan </t>
  </si>
  <si>
    <t>COTIZACION DE LOS DISEÑOS DE SEGURIDAD HUMANA Y PROTECCIÓN CONTRA INCENDIOS - RESERVA CENTRAL</t>
  </si>
  <si>
    <t>COTIZACION DE LOS DISEÑOS DE SEGURIDAD HUMANA Y PROTECCIÓN CONTRA INCENDIOS - 380 M2 CLÍNICA NOEL</t>
  </si>
  <si>
    <t xml:space="preserve">COTIZACIÓN DE LA MODELACIÓN DE LA RED GENERAL DE EXTINCIÓN DE INCENDIOS PARA EL PROYECTO </t>
  </si>
  <si>
    <t xml:space="preserve">COTIZACION DE LOS DISEÑOS DE PROTECCIÓN CONTRA INCENDIOS Y SEGURIDAD HUMANA PARA EL PROYECTO ARMENIA
</t>
  </si>
  <si>
    <t>EDUARDO BOTERO SOTO S.A.</t>
  </si>
  <si>
    <t>Milena Echeverri</t>
  </si>
  <si>
    <t>COTIZACIÓN DE LA ASESORIA EN SALIDA DE EMERGENCIA PARA PRIMER PISO DE EDUARDO BOTERO SOTO S.A.</t>
  </si>
  <si>
    <t>COTIZACION DE LA INGENIERÍA CONCEPTUAL DE PROTECCIÓN CONTRA INCENDIOS PARA EL PROYECTO - PLANTA DE ACEITE</t>
  </si>
  <si>
    <t>Deyner Jimenez</t>
  </si>
  <si>
    <t>residente3@solucionesinmobiliariassas.com</t>
  </si>
  <si>
    <t>COTIZACION DE LOS DISEÑOS DE PROTECCIÓN CONTRA INCENDIOS Y SEGURIDAD HUMANA PARA EL PROYECTO INCODOL MEDICAL TOWER</t>
  </si>
  <si>
    <t>COTIZACION DE LOS DISEÑOS DE PROTECCIÓN CONTRA INCENDIOS Y SEGURIDAD HUMANA PARA EL PROYECTO NEUROMEDICA MEDICAL TOWER</t>
  </si>
  <si>
    <t>Ingenieria y Montajes</t>
  </si>
  <si>
    <t>COTIZACION DE LOS DISEÑOS DE PROTECCIÓN CONTRA INCENDIOS PARA EL PROYECTO ARL SURA VIVA ENVIGADO</t>
  </si>
  <si>
    <t>COTIZACION DE LOS DISEÑOS DE PROTECCIÓN CONTRA INCENDIOS PARA EL PROYECTO LOCAL MEDIPIEL VIVA LAURELES</t>
  </si>
  <si>
    <t>COTIZACION DE REVISIÓN DE LOS DISEÑOS DE PROTECCIÓN CONTRA INCENDIO Y SEGURIDAD HUMANA - PTAR ESCOBERO</t>
  </si>
  <si>
    <t>COTIZACION DEL ANÁLISIS DE SEGURIDAD HUMANA PARA EL PROYECTO TORRE DE LA ALIANZA</t>
  </si>
  <si>
    <t>Laura Olano</t>
  </si>
  <si>
    <t>COTIZACION DE LA REVISIÓN DE SEGURIDAD HUMANA Y LOS SISTEMAS DE PROTECCIÓN CONTRA INCENDIOS PARA CLÍNICA EN SINCELEJO</t>
  </si>
  <si>
    <t>gcia.torresalianza@solucionesinmobiliariassas.com</t>
  </si>
  <si>
    <t>Claudia Ramirez</t>
  </si>
  <si>
    <t>EDYFYCA</t>
  </si>
  <si>
    <t xml:space="preserve">COTIZACION DE LOS DISEÑOS DE PROTECCIÓN CONTRA INCENDIOS Y SEGURIDAD HUMANA PARA EL PROYECTO USHUAYA
</t>
  </si>
  <si>
    <t>Juan Diego Echeverri</t>
  </si>
  <si>
    <t>3111770 ext 177</t>
  </si>
  <si>
    <t>COTIZACION DE LOS DISEÑOS DE EXTINCIÓN DE INCENDIOS Y SEGURIDAD HUMANA PARA EL PROYECTO IE RIO GRANDE</t>
  </si>
  <si>
    <t>ML ARQUITECTURA</t>
  </si>
  <si>
    <t xml:space="preserve"> Melissa Lopez Torres</t>
  </si>
  <si>
    <t>melissalopez@mltarq.com</t>
  </si>
  <si>
    <t xml:space="preserve">COTIZACION DEL DISEÑO DE EXTINCIÓN DE INCENDIOS PARA EL PROYECTO CLINICA LLANO GRANDE
</t>
  </si>
  <si>
    <t>RCI Ingenieria y Montajes</t>
  </si>
  <si>
    <t>COTIZACION DEL DISEÑO DE DETECCIÓN DE INCENDIOS PARA EL PROYECTO PARQUE EMPRESARIAL ELITE II</t>
  </si>
  <si>
    <t xml:space="preserve">ROBINSON MARULANDA GUARIN </t>
  </si>
  <si>
    <t>COTIZACION DE LOS DISEÑOS DE PROTECCIÓN CONTRA INCENDIOS Y SEGURIDAD HUMANA PARA EL PROYECTO CENTRO COMERCIAL X ORIENTE</t>
  </si>
  <si>
    <t>COTIZACION DEL DISEÑO DE EXTINCIÓN DE INCENDIOS PARA EL PROYECTO LOCALES MEDIPIEL DMODA</t>
  </si>
  <si>
    <t>COTIZACION DEL ANÁLISIS DE SEGURIDAD HUMANA PARA EL PROYECTO PLANTA BIOCLORO</t>
  </si>
  <si>
    <t>COTIZACION DE LOS DISEÑOS DE PROTECCIÓN CONTRA INCENDIOS Y SEGURIDAD HUMANA PARA EL PROYECTO OBRA PREESCOLAR COLEGIO BENEDICTINOS</t>
  </si>
  <si>
    <t>Herbin Cartagena Montoya</t>
  </si>
  <si>
    <t>I+ CONSTRUCTORA</t>
  </si>
  <si>
    <t>COTIZACION DEL DISEÑO DE EXTINCIÓN DE INCENDIOS PARA EL PROYECTO PISO 19 CENTRO COMERCIAL LOS MOLINOS</t>
  </si>
  <si>
    <t>COTIZACIÓN DE LA ELABORACIÓN DIGITAL DE LAS PLACAS HIDRÁULICAS PARA JARDINES DE LLANOGRANDE</t>
  </si>
  <si>
    <t>Tamayo Ingenieros</t>
  </si>
  <si>
    <t>COTIZACION DE LOS DISEÑOS DE PROTECCIÓN CONTRA INCENDIOS PARA EL PROYECTO SUBESTACIONES EPM</t>
  </si>
  <si>
    <t>Pedro Quiros</t>
  </si>
  <si>
    <t>pequibo1@gmail.com</t>
  </si>
  <si>
    <t xml:space="preserve">COTIZACION DE LOS DISEÑOS DE PROTECCIÓN CONTRA INCENDIOS Y SEGURIDAD HUMANA PARA EL PROYECTO CENTRO DE SALUD BARRIO GALÁN
</t>
  </si>
  <si>
    <t>Joam Moreno</t>
  </si>
  <si>
    <t>JM Ingenieria</t>
  </si>
  <si>
    <t>COTIZACION DE LOS DISEÑOS DE PROTECCIÓN CONTRA INCENDIOS PARA EL PROYECTO BANDAS TRANSPORTADORAS</t>
  </si>
  <si>
    <t xml:space="preserve"> gerencia@jmingenieriatotal.com.co</t>
  </si>
  <si>
    <t xml:space="preserve">Carlos Henao </t>
  </si>
  <si>
    <t xml:space="preserve">316 496 20 26
 </t>
  </si>
  <si>
    <t>COTIZACION DE LOS DISEÑOS DE PROTECCIÓN CONTRA INCENDIOS Y SEGURIDAD HUMANA PARA EL PROYECTO TORRE FÁTIMA</t>
  </si>
  <si>
    <t>COTIZACION DE LOS DISEÑOS DE SEGURIDAD HUMANA Y PROTECCIÓN CONTRA INCENDIOS - BODEGA INDUSTRIAL LOTE 24 Y 26</t>
  </si>
  <si>
    <t>Htres</t>
  </si>
  <si>
    <t>COTIZACION DEL DISEÑO DE SOPORTERÍA SISMORESISTENTE PARA RISERS - JOHNSON &amp; JOHNSON CALI</t>
  </si>
  <si>
    <t>JOHNSON &amp; JOHNSON</t>
  </si>
  <si>
    <t>Nathaly Barrera Palacio</t>
  </si>
  <si>
    <t>Nathalybarrerapalacio@gmail.com</t>
  </si>
  <si>
    <t>jlopezv3@kenvue.com</t>
  </si>
  <si>
    <t>Jorge Edward Lopez</t>
  </si>
  <si>
    <t>COTIZACION DE LOS DISEÑOS DE PROTECCIÓN CONTRA INCENDIOS PARA EL PROYECTO SMURFIT KAPPA YUMBO</t>
  </si>
  <si>
    <t>COTIZACION DEL RE-DISEÑOS DE SEGURIDAD HUMANA Y PROTECCIÓN CONTRA INCENDIOS PARA PISO 2 TRRAZO</t>
  </si>
  <si>
    <t>COTIZACION DE LOS DISEÑOS DE SEGURIDAD HUMANA Y PROTECCIÓN CONTRA INCENDIOS - AOSTA</t>
  </si>
  <si>
    <t>CONAXION</t>
  </si>
  <si>
    <t xml:space="preserve">Jorge O. Toro Montes  </t>
  </si>
  <si>
    <t xml:space="preserve">COTIZACION DE LOS DISEÑOS DE PROTECCIÓN CONTRA INCENDIOS Y SEGURIDAD HUMANA PARA EL PROYECTO VERMONTE
</t>
  </si>
  <si>
    <t>Javier Andres Herrera Uribe</t>
  </si>
  <si>
    <t xml:space="preserve"> 313 610 68 56</t>
  </si>
  <si>
    <t>COTIZACION DEL ANÁLISIS DE SEGURIDAD HUMANA PARA EL PROYECTO ALMARENA-COSTA RICA</t>
  </si>
  <si>
    <t>CLINICA DEL ROSARIO</t>
  </si>
  <si>
    <t>COTIZACION DEL DISEÑO DE DETECCIÓN DE INCENDIOS PARA EL PROYECTO CLINICA DEL ROSARIO</t>
  </si>
  <si>
    <t>COTIZACION DEL DISEÑO DE EXTINCIÓN DE INCENDIOS PARA EL PROYECTO CLINICA DEL ROSARIO</t>
  </si>
  <si>
    <t>COTIZACION DEL DIAGNOSTICO RED CONTRA INCENDIOS Y SISTEMA ELECTRICO - INSTITUTO HUMBOLT</t>
  </si>
  <si>
    <t>INSTITUTO HUMBOLT</t>
  </si>
  <si>
    <t>Lorena Alejandra Valencia Cruz</t>
  </si>
  <si>
    <t>COTIZACION DEL DISEÑO DE EXTINCIÓN DE INCENDIOS PARA EL PROYECTO SYM BELT SMURFIT KAPPA</t>
  </si>
  <si>
    <t>Simon Lopera</t>
  </si>
  <si>
    <t xml:space="preserve">COTIZACION DE LOS DISEÑOS DE PROTECCIÓN CONTRA INCENDIOS PARA EL PROYECTO CLINICA SAN FRANCISCO TULUA
</t>
  </si>
  <si>
    <t>Cromatex</t>
  </si>
  <si>
    <t>Wendy Oviedo</t>
  </si>
  <si>
    <t>COTIZACION DEL DISEÑO DE DETECCIÓN DE INCENDIOS PARA EL PROYECTO PLANTA CROMATEX</t>
  </si>
  <si>
    <t>Carlos Enrique Henao Londoño</t>
  </si>
  <si>
    <t xml:space="preserve">COTIZACION DEL DISEÑO DE DETECCIÓN DE INCENDIOS PARA EL PROYECTO FAMILIA PLANTA MEDELLIN
</t>
  </si>
  <si>
    <t>gestionhumana@cromatex.com.co</t>
  </si>
  <si>
    <t>315 5334100</t>
  </si>
  <si>
    <t>COTIZACIÓN DE LA ELABORACIÓN DIGITAL DE LAS PLACAS HIDRÁULICAS PARA ALGUNOS SISTEMAS DE PLAZA FABRICATO</t>
  </si>
  <si>
    <t>COTIZACION DEL INGENIERÍA CONCEPTUAL DE PROTECCIÓN CONTRA INCENDIOS PARA EL PROYECTO PROQUIDENT</t>
  </si>
  <si>
    <t>PROJECT&amp; SOLUTIONS</t>
  </si>
  <si>
    <t>COTIZACION DE LOS DISEÑOS DE PROTECCIÓN CONTRA INCENDIOS Y SEGURIDAD HUMANA PARA EL PROYECTO EL NIAGARA</t>
  </si>
  <si>
    <t>COTIZACION DE LOS DISEÑOS DE PROTECCIÓN CONTRA INCENDIOS Y SEGURIDAD HUMANA PARA EL PROYECTO PABELLON H2O</t>
  </si>
  <si>
    <t>Maria Paula Nieto</t>
  </si>
  <si>
    <t>mnieto@aia.com.co</t>
  </si>
  <si>
    <t>COTIZACION DE LOS DISEÑOS DE PROTECCIÓN CONTRA INCENDIOS Y SEGURIDAD HUMANA PARA EL PROYECTO PARIS CAMPESTRE-ZONA COMERCIAL</t>
  </si>
  <si>
    <t>COTIZACION DE LOS DISEÑOS DE PROTECCIÓN CONTRA INCENDIOS PARA EL PROYECTO CLINICA LAS VEGAS PISO 10</t>
  </si>
  <si>
    <t>COTIZACION DE LOS DISEÑOS DE PROTECCIÓN CONTRA INCENDIOS Y SEGURIDAD HUMANA PARA EL PROYECTO BLOQUE DE AULAS SEDE CAMPESTRE</t>
  </si>
  <si>
    <t>300 4610230</t>
  </si>
  <si>
    <t>312 7760909</t>
  </si>
  <si>
    <t>Arkec Soluciones y Proyectos</t>
  </si>
  <si>
    <t>Juan Pablo Garzón R</t>
  </si>
  <si>
    <t>proyectos8.arkec@gmail.com</t>
  </si>
  <si>
    <t>COTIZACION DE LOS DISEÑOS DE PROTECCIÓN CONTRA INCENDIOS PARA EL PROYECTO CRUZ ROJA LOCAL 2 AEROPUERTO EL DORADO</t>
  </si>
  <si>
    <t>Clinica Cardio VID</t>
  </si>
  <si>
    <t>Jaime Armando Osorio Giraldo</t>
  </si>
  <si>
    <t>3227090 Ext. 4399</t>
  </si>
  <si>
    <t>josorio@vid.org.co</t>
  </si>
  <si>
    <t>COTIZACION DE LOS DISEÑOS DE PROTECCIÓN CONTRA INCENDIOS PARA EL PROYECTO LOCAL CLINICA CARDIO VID</t>
  </si>
  <si>
    <t>THE COLUMBUS SCHOOL</t>
  </si>
  <si>
    <t xml:space="preserve">COTIZACION DE LOS DISEÑOS DE PROTECCIÓN CONTRA INCENDIOS Y SEGURIDAD HUMANA PARA CAFETERÍA Y OFICINAS ESCUELA EARLY YEAR </t>
  </si>
  <si>
    <t xml:space="preserve">Juan Pablo Grajales Gomez </t>
  </si>
  <si>
    <t xml:space="preserve">COTIZACION DEL DISEÑO DE EXTINCIÓN DE INCENDIOS PARA EL PROYECTO CUBIERTA VIVA FONTIBÓN
</t>
  </si>
  <si>
    <t>Ingeaguas</t>
  </si>
  <si>
    <t xml:space="preserve"> 311 7468517</t>
  </si>
  <si>
    <t>Weimar Gonzales</t>
  </si>
  <si>
    <t>COTIZACION DEL DISEÑO DE EXTINCIÓN DE INCENDIOS PARA EL PROYECTO EDIFICIO LOS CAMBULOS</t>
  </si>
  <si>
    <t>COTIZACION DE LOS DISEÑOS DE PROTECCIÓN CONTRA INCENDIOS PARA EL PROYECTO COMFAMA COPACABANA</t>
  </si>
  <si>
    <t>Puala Duque</t>
  </si>
  <si>
    <t>COTIZACION DE LOS DISEÑOS DE PROTECCIÓN CONTRA INCENDIOS Y SEGURIDAD HUMANA PARA EL PROYECTO MALL BELLOCENTRO</t>
  </si>
  <si>
    <t>COTIZACION DE LOS DISEÑOS DE PROTECCIÓN CONTRA INCENDIOS PARA EL PROYECTO AVOPAK</t>
  </si>
  <si>
    <t>COTIZACION DEL DISEÑO DE DETECCIÓN DE INCENDIOS PARA EL PROYECTO CUERPO DE BOMBEROS SABANETA</t>
  </si>
  <si>
    <t>COTIZACIÓN DE LA REVISIÓN DE DISEÑOS DE PROTECCIÓN CONTRA INCENIDOS PARA EL PROYECTO PUERTO ANTIOQUIA</t>
  </si>
  <si>
    <t>Connatural</t>
  </si>
  <si>
    <t>Edgar Mazo</t>
  </si>
  <si>
    <t>COTIZACION DE LOS DISEÑOS DE PROTECCIÓN CONTRA INCENDIOS Y SEGURIDAD HUMANA PARA EL PROYECTO TEATRO APARTADÓ COMFAMA</t>
  </si>
  <si>
    <t>&lt;teatroapartado@gmail.com</t>
  </si>
  <si>
    <t>Securetec</t>
  </si>
  <si>
    <t>COTIZACION DE LOS DISEÑOS DE PROTECCIÓN CONTRA INCENDIOS PARA EL PROYECTO MUSEO DE LA MEMORIA</t>
  </si>
  <si>
    <t xml:space="preserve">COTIZACION DE LOS DISEÑOS DE PROTECCIÓN CONTRA INCENDIOS PARA EL PROYECTO PLANTA DE BALANCEADO </t>
  </si>
  <si>
    <t>Germán E. Martínez Arboleda</t>
  </si>
  <si>
    <t>germanmartinez@arquitecturayconcreto.com</t>
  </si>
  <si>
    <t>COTIZACION DE LOS DISEÑOS DE PROTECCIÓN CONTRA INCENDIOS Y SEGURIDAD HUMANA PARA EL PROYECTO LOTE COLTABACO-OFICINAS</t>
  </si>
  <si>
    <t>COTIZACION DE LOS DISEÑOS DE SEGURIDAD HUMANA Y PROTECCIÓN CONTRA INCENDIOS - PROYECTO USHUAYA- REV B</t>
  </si>
  <si>
    <t>310 4057513</t>
  </si>
  <si>
    <t>Edyfica</t>
  </si>
  <si>
    <t>COTIZACION DEL DISEÑO DE DETECCIÓN DE INCENDIOS PARA EL PROYECTO LEVI’S PLANTA NIVEL 1 Y NIVEL 2 - EXPOFARO</t>
  </si>
  <si>
    <t>Detectar Systems</t>
  </si>
  <si>
    <t>301 5421412</t>
  </si>
  <si>
    <t>COTIZACION DE LOS DISEÑOS DE PROTECCIÓN CONTRA INCENDIOS PARA EL PROYECTO LA JAULA DEL ÁNGEL</t>
  </si>
  <si>
    <t>COTIZACIÓN CONSULTORÍA HORA INGENIERÍA PROTECCIÓN CONTRA INCENDIOS</t>
  </si>
  <si>
    <t xml:space="preserve">Nora Berrio </t>
  </si>
  <si>
    <t>57 310 4485610</t>
  </si>
  <si>
    <t>NBerrio@ingenierosmecanicos.com.co</t>
  </si>
  <si>
    <t>Paola López</t>
  </si>
  <si>
    <t>Pao Arquitectura</t>
  </si>
  <si>
    <t>COTIZACION DE LOS DISEÑOS DE PROTECCIÓN CONTRA INCENDIOS Y SEGURIDAD HUMANA PARA EL PROYECTO EDIFICIO ADMINISTRATIVO Y APOYO</t>
  </si>
  <si>
    <t>COTIZACION DEL ANÁLISIS DE SEGURIDAD HUMANA PARA EL PROYECTO INSTITUTO METEREOLÓGICO</t>
  </si>
  <si>
    <t>goingenieriaysoluciones@gmail.com</t>
  </si>
  <si>
    <t>GO INGENIERIAYSOLUCIONES</t>
  </si>
  <si>
    <t>COTIZACION DE LOS DISEÑOS DE PROTECCIÓN CONTRA INCENDIOS PARA EL PROYECTO PLAZA DE MERCADO SANTUARIO</t>
  </si>
  <si>
    <t>Christian Gañan Ibarra</t>
  </si>
  <si>
    <t xml:space="preserve">Juan Camilo Quintero Bedoya </t>
  </si>
  <si>
    <t>COTIZACION DEL DISEÑO DE DETECCIÓN DE INCENDIOS PARA EL PROYECTO EDIFICIO ADMINISTRATIVO COLEGIO COLOMBO BRITANICO</t>
  </si>
  <si>
    <t>Ines Lopez de Mesa</t>
  </si>
  <si>
    <t>obraesquinadelhueco@gmail.com</t>
  </si>
  <si>
    <t>COTIZACIÓN REDISEÑO EXTINCIÓN DE INCENDIOS HUMAX</t>
  </si>
  <si>
    <t>Clara Inés López</t>
  </si>
  <si>
    <t>COTIZACION DEL ANÁLISIS DE SEGURIDAD HUMANA PARA EL PROYECTO PLANTA DE AGUA BENDITA</t>
  </si>
  <si>
    <t>Agua Bendita</t>
  </si>
  <si>
    <t>Yesica Sanchez Giraldo</t>
  </si>
  <si>
    <t>COTIZACION DEL DISEÑO DE EXTINCIÓN DE INCENDIOS PARA EL PROYECTO BIO26</t>
  </si>
  <si>
    <t>COTIZACION DEL DISEÑO DE EXTINCIÓN DE INCENDIOS PARA EL PROYECTO VIVA SINCELEJO</t>
  </si>
  <si>
    <t xml:space="preserve"> Eliana Isabel Cardona Ríos </t>
  </si>
  <si>
    <t>COTIZACION DE LOS DISEÑOS DE PROTECCIÓN CONTRA INCENDIOS Y SEGURIDAD HUMANA PARA EL PROYECTO CQ2</t>
  </si>
  <si>
    <t>FIRE MARSHAL</t>
  </si>
  <si>
    <t>Cristian Eduardo Ortega Ipuchima</t>
  </si>
  <si>
    <t>cristianortega@firemarshal.com.co</t>
  </si>
  <si>
    <t>COTIZACION DEL DISEÑO DE EXTINCIÓN DE INCENDIOS PARA EL PROYECTO EDIFICIO FOREVER</t>
  </si>
  <si>
    <t>COTIZACION DE LOS DISEÑOS DE PROTECCIÓN CONTRA INCENDIOS Y SEGURIDAD HUMANA PARA EL PROYECTO EDIFICIO ESQUINA DEL HUECO</t>
  </si>
  <si>
    <t>COTIZACION DE LOS DISEÑOS DE PROTECCIÓN CONTRA INCENDIOS Y SEGURIDAD HUMANA PARA EL PROYECTO BELLO ANDALUCIA</t>
  </si>
  <si>
    <t>COTIZACION DE LOS DISEÑOS DE PROTECCIÓN CONTRA INCENDIOS - EXTRACTORA VERDE PLANTA AVATAR</t>
  </si>
  <si>
    <t>COTIZACION DEL DISEÑO DE EXTINCIÓN DE INCENDIOS PARA EL PROYECTO PLANTA INDUSTRIAS FAACA COLOMBIA</t>
  </si>
  <si>
    <t>Miguel Ángel Zuluaga</t>
  </si>
  <si>
    <t>mzuluaga1996@gmail.com</t>
  </si>
  <si>
    <t xml:space="preserve">COTIZACION DE LOS DISEÑOS DE PROTECCIÓN CONTRA INCENDIOS Y SEGURIDAD HUMANA PARA EL PROYECTO CQ2
</t>
  </si>
  <si>
    <t>301 4317086</t>
  </si>
  <si>
    <t>COTIZACION DEL DISEÑO DE DETECCIÓN DE INCENDIOS PARA EL PROYECTO SERVIESPRESS LA CEJA ANTIOQUIA</t>
  </si>
  <si>
    <t>COTIZACION DE LOS DISEÑOS DE PROTECCIÓN CONTRA INCENDIOS PARA EL PROYECTO PLANTA MOLINOS SAN MIGUEL</t>
  </si>
  <si>
    <t>COTIZACION DE LOS DISEÑOS DE PROTECCIÓN CONTRA INCENDIOS Y SEGURIDAD HUMANA PARA EL PROYECTO TORRE DE LA ALIANZA</t>
  </si>
  <si>
    <t>Maria Teresa Lopez Gomez</t>
  </si>
  <si>
    <t>directora.activos@aceis.com.co</t>
  </si>
  <si>
    <t>COTIZACION DE LOS DISEÑOS DE PROTECCIÓN CONTRA INCENDIOS Y SEGURIDAD HUMANA PARA EL PROYECTO MALL CANTARRANA</t>
  </si>
  <si>
    <t>COTIZACION DEL DISEÑO DE EXTINCIÓN DE INCENDIOS PARA EL PROYECTO BODEGA 144 LA TROJA</t>
  </si>
  <si>
    <t xml:space="preserve"> Guillermo Reyes</t>
  </si>
  <si>
    <t>Juan Camilo Montoya Jiménez</t>
  </si>
  <si>
    <t>313 5822072</t>
  </si>
  <si>
    <t>juan.montoyahidro@gmail.com</t>
  </si>
  <si>
    <t>COTIZACION DE LOS DISEÑOS DE PROTECCIÓN CONTRA INCENDIOS Y SEGURIDAD HUMANA PARA EL PROYECTO UNIDAD RESIDENCIAL DON MATIAS</t>
  </si>
  <si>
    <t>SOCLUCIONES CIVILES</t>
  </si>
  <si>
    <t>COTIZACION DE LOS DISEÑOS DE PROTECCIÓN CONTRA INCENDIOS Y SEGURIDAD HUMANA PARA EL PROYECTO MADEROS</t>
  </si>
  <si>
    <t>Nicolás Álvarez Vélez</t>
  </si>
  <si>
    <t>nalvarez@solciviles.com</t>
  </si>
  <si>
    <t>JUAN CAMILO MONTOYA</t>
  </si>
  <si>
    <t>Rodrigo Flórez Guevara</t>
  </si>
  <si>
    <t>COTIZACION DEL DISEÑO DE EXTINCIÓN DE INCENDIOS PARA EL PROYECTO BODEGA S 117 Y 118</t>
  </si>
  <si>
    <t>jesus3933@hotmail.com</t>
  </si>
  <si>
    <t>COTIZACION DE LA ACTUALIZACION DEL SISTEMA DE ROCIADORES PARA EL PROYECTO PLANTA YUMBO SKC</t>
  </si>
  <si>
    <t>COTIZACION LISTADO DE MATERIALES - CAMINO DEL VIENTO</t>
  </si>
  <si>
    <t>Bienes y Bienes</t>
  </si>
  <si>
    <t>COTIZACION DEL DISEÑO DE DETECCIÓN DE INCENDIOS - SEDE ADMINISTRATIVA COLEGIO ALEMAN</t>
  </si>
  <si>
    <t>COTIZACIÓN DEL LEVANTAMIENTO, CÁLCULOS Y DISEÑOS PARA LA SELECCIÓN DE UN SISTEMA DE BOMBEO DE EXTINCIÓN DE INCNEIDOS PARA SAN PEDRO PLAZA</t>
  </si>
  <si>
    <t xml:space="preserve"> Andres Restrepo Escobar</t>
  </si>
  <si>
    <t xml:space="preserve"> Juan Pablo Grajales Gomez </t>
  </si>
  <si>
    <t>COTIZACION DEL DISEÑO DE EXTINCIÓN DE INCENDIOS PARA EL PROYECTO BODEGA DE AÑEJAMIENTO</t>
  </si>
  <si>
    <t>COTIZACION DEL ANÁLISIS DE SEGURIDAD HUMANA PARA EL PROYECTO CARGO</t>
  </si>
  <si>
    <t>COTIZACION DEL ANÁLISIS DE SEGURIDAD HUMANA PARA EL PROYECTO CITAG</t>
  </si>
  <si>
    <t>GO INGENIERIA</t>
  </si>
  <si>
    <t>COTIZACION DE LOS DISEÑOS DE PROTECCIÓN CONTRA INCENDIOS Y SEGURIDAD HUMANA PARA EL PROYECTO CITY M</t>
  </si>
  <si>
    <t>COTIZACION DE LOS DISEÑOS DE PROTECCIÓN CONTRA INCENDIOS Y SEGURIDAD HUMANA PARA EL PROYECTO PLANTA DE MADERA</t>
  </si>
  <si>
    <t>COTIZACION DE LOS DISEÑOS DE PROTECCIÓN CONTRA INCENDIOS Y SEGURIDAD HUMANA PARA EL PROYECTO EDIFICIO MULTIFAMILIAR</t>
  </si>
  <si>
    <t>COTIZACION DEL ANÁLISIS DE SEGURIDAD HUMANA PARA EL PROYECTO BELLY CARGO</t>
  </si>
  <si>
    <t>ESTA NO VA</t>
  </si>
  <si>
    <t>301 7340763</t>
  </si>
  <si>
    <t>COTIZACION DEL DISEÑO DE EXTINCIÓN DE INCENDIOS PARA EL PROYECTO SMART IBAGUÉ</t>
  </si>
  <si>
    <t>COTIZACION DE LOS DISEÑOS DE PROTECCIÓN CONTRA INCENDIOS PARA EL PROYECTO HUACAL PARQUE LOGISTICO E INDUSTRIAL</t>
  </si>
  <si>
    <t>COTIZACION DEL ANÁLISIS DE SEGURIDAD HUMANA PARA EL PROYECTO EDIFICIO DE LA POLICIA</t>
  </si>
  <si>
    <t>Sebastián Ospina</t>
  </si>
  <si>
    <t xml:space="preserve"> 320 6330465</t>
  </si>
  <si>
    <t>COTIZACION DE LOS DISEÑOS DE PROTECCIÓN CONTRA INCENDIOS Y SEGURIDAD HUMANA PARA EL PROYECTO CENTRO CULTURAL DE GUARNE</t>
  </si>
  <si>
    <t xml:space="preserve">COTIZACION DE LOS DISEÑOS DE PROTECCIÓN CONTRA INCENDIOS PARA EL PROYECTO SENDEROS DE CIMARRONAS ETAPA 3B
</t>
  </si>
  <si>
    <t>Héctor Arcila</t>
  </si>
  <si>
    <t>315 3834119</t>
  </si>
  <si>
    <t>supermercados La Vaquita</t>
  </si>
  <si>
    <t>COTIZACION DE LOS DISEÑOS DE PROTECCIÓN CONTRA INCENDIOS Y SEGURIDAD HUMANA PARA EL PROYECTO SUPERMERCADO LA VAQUITA BELLO</t>
  </si>
  <si>
    <t>COTIZACION DE REVISIÓN DE LOS SISTEMAS DE PROTECCIÓN CONTRA INCENDIOS INSTALADOS Y SEGURIDAD HUMANA PARA LA RIVIERE TORRE 3</t>
  </si>
  <si>
    <t xml:space="preserve">300 864 37 10 </t>
  </si>
  <si>
    <t>COTIZACION DE LOS DISEÑOS DE PROTECCIÓN CONTRA INCENDIOS Y SEGURIDAD HUMANA PARA EL PROYECTO HOTEL BONSAI URBAN 826</t>
  </si>
  <si>
    <t>Pablo Guarin</t>
  </si>
  <si>
    <t>313 6590363</t>
  </si>
  <si>
    <t xml:space="preserve">
COTIZACION DE LOS DISEÑOS DE PROTECCIÓN CONTRA INCENDIOS Y SEGURIDAD HUMANA PARA EL PROYECTO LEONARDO DAVINCI</t>
  </si>
  <si>
    <t xml:space="preserve">COTIZACION DEL DISEÑO DE DETECCIÓN DE INCENDIOS PARA EL PROYECTO PLANTA OPERAR- LA RECETTA CALI
</t>
  </si>
  <si>
    <t>Hidraulica y montajes</t>
  </si>
  <si>
    <t>COTIZACION DEL DISEÑO DE EXTINCIÓN DE INCENDIOS PARA EL PROYECTO GIMNASIOS DE 1200 M2</t>
  </si>
  <si>
    <t xml:space="preserve">parangor@conconcreto.com </t>
  </si>
  <si>
    <t xml:space="preserve">COTIZACION DEL ANÁLISIS DE SEGURIDAD HUMANA PARA EL PROYECTO BODEGA HA BICICLETAS
</t>
  </si>
  <si>
    <t>Daniel Andrés Restrepo Ríos</t>
  </si>
  <si>
    <t>danielrestrepo0804@gmail.com</t>
  </si>
  <si>
    <t>COTIZACION DE LOS DISEÑOS DE PROTECCIÓN CONTRA INCENDIOS Y SEGURIDAD HUMANA PARA EL PROYECTO MALL COMERCIAL NATAL</t>
  </si>
  <si>
    <t>COTIZACION DEL DISEÑO DE DETECCIÓN DE INCENDIOS PARA EL PROYECTO TERMILENIO TEXTILES</t>
  </si>
  <si>
    <t>DISEÑOS COMPLEMENTO RETAIL - LOCAL SANTA FE</t>
  </si>
  <si>
    <t>COMPLEMENTO RETAIL</t>
  </si>
  <si>
    <t>Santiago Merizalde</t>
  </si>
  <si>
    <t>proyectos@complementoretail.com</t>
  </si>
  <si>
    <t>COTIZACION DEL DISEÑO DE EXTINCIÓN DE INCENDIOS PARA EL PROYECTO LEONARDO DAVINCI</t>
  </si>
  <si>
    <t>Juan Manuel SERRANO</t>
  </si>
  <si>
    <t>I CRUCE</t>
  </si>
  <si>
    <t>COTIZACION DEL ANÁLISIS DE SEGURIDAD HUMANA PARA EL PROYECTO CRUCE</t>
  </si>
  <si>
    <t>Andrea Nuñez</t>
  </si>
  <si>
    <t>andreanunez@firemarshal.com.co</t>
  </si>
  <si>
    <t>COTIZACION DEL DISEÑO DE EXTINCIÓN DE INCENDIOS PARA EL PROYECTO LA CASTELLANA</t>
  </si>
  <si>
    <t xml:space="preserve">COTIZACION DE LOS DISEÑOS DE PROTECCIÓN CONTRA INCENDIOS Y SEGURIDAD HUMANA PARA EL PROYECTO TORRE ALCALÁ </t>
  </si>
  <si>
    <t>Juan Santiago Londoño Quiceno.</t>
  </si>
  <si>
    <t>COTIZACION DEL DISEÑO DE EXTINCIÓN DE INCENDIOS PARA EL PROYECTO CENTRO DE DISTRIBUCION EXPOFARO</t>
  </si>
  <si>
    <t>COTIZACION DE LOS DISEÑOS DE PROTECCIÓN CONTRA INCENDIOS Y SEGURIDAD HUMANA PARA EL PROYECTO MINERATTO ETAPA 1</t>
  </si>
  <si>
    <t>A3 Consulting</t>
  </si>
  <si>
    <t>314 6326920</t>
  </si>
  <si>
    <t>Mateo Montoya Villegas</t>
  </si>
  <si>
    <t>mateo@a3consulting.com.co</t>
  </si>
  <si>
    <t>COTIZACION DE LOS DISEÑOS DE PROTECCIÓN CONTRA INCENDIOS Y SEGURIDAD HUMANA PARA EL PROYECTO ENSENEDA TORRE 4</t>
  </si>
  <si>
    <t>Asul SAS</t>
  </si>
  <si>
    <t>Jennifer Morales Gonzalez</t>
  </si>
  <si>
    <t>jennifer.morales@asul.co</t>
  </si>
  <si>
    <t>3122945722.</t>
  </si>
  <si>
    <t>COTIZACION DEL DISEÑO DE EXTINCIÓN DE INCENDIOS PARA EL PROYECTO NIRVANA</t>
  </si>
  <si>
    <t>José Fernando Vargas</t>
  </si>
  <si>
    <t>jose.vargas@celesteypiedra.com</t>
  </si>
  <si>
    <t>310 3790580</t>
  </si>
  <si>
    <t xml:space="preserve">COTIZACION DEL DISEÑO DE DETECCIÓN DE INCENDIOS PARA EL PROYECTO GRANJA SOLAR
</t>
  </si>
  <si>
    <t>Jose Manuel Maya</t>
  </si>
  <si>
    <t xml:space="preserve">COTIZACION DE LOS DISEÑOS DE PROTECCIÓN CONTRA INCENDIOS Y SEGURIDAD HUMANA PARA EL PROYECTO MONTECARLO
</t>
  </si>
  <si>
    <t>COTIZACION DEL LEVANTAMIENTO ARQUITECTÓNICO Y DISEÑO DE DETECCIÓN DE INCENDIOS - METIC</t>
  </si>
  <si>
    <t>Maria Eugenia Garces Cardona</t>
  </si>
  <si>
    <t xml:space="preserve">COTIZACION DE LOS DISEÑOS DE PROTECCIÓN CONTRA INCENDIOS PARA EL PROYECTO SCI MOLINO 4
</t>
  </si>
  <si>
    <t>gerencia@jmingenieriatotal.com.co</t>
  </si>
  <si>
    <t>COTIZACIÓN REVISIÓN DE DISEÑOS Y SELECCIÓN DE PROVEEDOR SISTEMA DETECCIÓN DE INCENDIOS CITAANDINA</t>
  </si>
  <si>
    <t>METIC</t>
  </si>
  <si>
    <t>COTIZACION DEL ANÁLISIS DE SEGURIDAD HUMANA PARA EL PROYECTO SCI MOLINO 4</t>
  </si>
  <si>
    <t xml:space="preserve">COTIZACION DEL DISEÑO DE EXTINCIÓN DE INCENDIOS PARA EL PROYECTO SERVIENTREGA
</t>
  </si>
  <si>
    <t>Juan David Camacho</t>
  </si>
  <si>
    <t>Jhon Ocampo Arquitectura</t>
  </si>
  <si>
    <t>Jhon Ocampo</t>
  </si>
  <si>
    <t>COTIZACION DE LA REVISIÓN DE SEGURIDAD HUMANA Y PROTECCIÓN CONTRA INCENDIOS PARA CLÍNICA INFANTIL CLUB NOEL</t>
  </si>
  <si>
    <t>COTIZACION DEL ANÁLISIS DE SEGURIDAD HUMANA POR DESEMPEÑO - LA ESQUINA DEL HUECO</t>
  </si>
  <si>
    <t xml:space="preserve">Luisa Renteria Sanchez </t>
  </si>
  <si>
    <t>luisa.renteria@geniussports.com</t>
  </si>
  <si>
    <t>GENIUS SPORT</t>
  </si>
  <si>
    <t>COTIZACION DEL DISEÑO DE DETECCIÓN DE INCENDIOS PARA EL PROYECTO ONE PLAZA</t>
  </si>
  <si>
    <t>camiloz@vivenciartearquitectura.com</t>
  </si>
  <si>
    <t>Camilo Zapata Piedrahita</t>
  </si>
  <si>
    <t>Vivenciarte Arquitectura</t>
  </si>
  <si>
    <t xml:space="preserve">COTIZACION DE LOS DISEÑOS DE PROTECCIÓN CONTRA INCENDIOS Y SEGURIDAD HUMANA PARA EL PROYECTO ECO HOTEL EL ENCANTO
</t>
  </si>
  <si>
    <t xml:space="preserve">Sandra Maria Correa Bonnet </t>
  </si>
  <si>
    <t>scorreab@conconcreto.com</t>
  </si>
  <si>
    <t>COTIZACION DEL ANÁLISIS DE SEGURIDAD HUMANA PARA EL PROYECTO PATIO EL GACO</t>
  </si>
  <si>
    <t xml:space="preserve">
COTIZACION DEL DISEÑO DE EXTINCIÓN DE INCENDIOS PARA EL PROYECTO CC PUNTO CLAVE</t>
  </si>
  <si>
    <t>COTIZACION DE LOS DISEÑOS DE PROTECCIÓN CONTRA INCENDIOS Y SEGURIDAD HUMANA PARA EL PROYECTO COMERCIO VAYÚH</t>
  </si>
  <si>
    <t>Jhonny A Castro</t>
  </si>
  <si>
    <t>COTIZACION DEL DISEÑO DE EXTINCIÓN DE INCENDIOS PARA EL PROYECTO PLANTA TEXTIL</t>
  </si>
  <si>
    <t>COTIZACION DE LOS DISEÑOS DE PROTECCIÓN CONTRA INCENDIOS PARA EL PROYECTO C.C SAN DIEGO</t>
  </si>
  <si>
    <t>COTIZACION DE LOS DISEÑOS DE PROTECCIÓN CONTRA INCENDIOS - PLANTA ENSAMBLE MAGNETRÓN</t>
  </si>
  <si>
    <t>CC Punto Clave</t>
  </si>
  <si>
    <t xml:space="preserve">319 4184493 </t>
  </si>
  <si>
    <t>Oscar Carvajal</t>
  </si>
  <si>
    <t xml:space="preserve"> Inmobiliaria y Constructora SAN JOSE SAS</t>
  </si>
  <si>
    <t>COTIZACION DE LOS DISEÑOS DE PROTECCIÓN CONTRA INCENDIOS PARA EL PROYECTO OBRA VILLA REAL</t>
  </si>
  <si>
    <t>Sergio Tabares</t>
  </si>
  <si>
    <t>inmobiliariayconstructorasj@gmail.com</t>
  </si>
  <si>
    <t>Johana Rojas Vera</t>
  </si>
  <si>
    <t xml:space="preserve"> (604) 311 8500</t>
  </si>
  <si>
    <t>COTIZACION DEL ANÁLISIS DE SEGURIDAD HUMANA PARA EL PROYECTO ENSENEDA TORRE 3</t>
  </si>
  <si>
    <t>COTIZACION DEL ANÁLISIS DE SEGURIDAD HUMANA PARA EL PROYECTO VIVIENDA BOSSCATTA</t>
  </si>
  <si>
    <t>COTIZACION DE LOS DISEÑOS DE SEGURIDAD HUMANA Y PROTECCIÓN CONTRA INCENDIOS - PROYECTO SERRANIA CAMPESTRE</t>
  </si>
  <si>
    <t>OBRAIN</t>
  </si>
  <si>
    <t>Héctor Tamayo</t>
  </si>
  <si>
    <t>314 4118147</t>
  </si>
  <si>
    <t>GERENCIA@obrain.co</t>
  </si>
  <si>
    <t>Javier</t>
  </si>
  <si>
    <t xml:space="preserve"> 301 4521301</t>
  </si>
  <si>
    <t>COTIZACION DE LOS DISEÑOS DE PROTECCIÓN CONTRA INCENDIOS PARA EL PROYECTO PARUSIA</t>
  </si>
  <si>
    <t>COTIZACION DEL ANÁLISIS DE SEGURIDAD HUMANA PARA EL PROYECTO PATIO CORREDOR VERDE</t>
  </si>
  <si>
    <t>COTIZACION DE LOS DISEÑOS DE PROTECCIÓN CONTRA INCENDIOS Y SEGURIDAD HUMANA PARA EL PROYECTO MONTEBONITO APARTAMENTOS</t>
  </si>
  <si>
    <t xml:space="preserve">COTIZACION DEL REDISEÑO DE SEGURIDAD HUMANA - CONTREE TORRE 2 </t>
  </si>
  <si>
    <t>COTIZACION DEL DISEÑO DE EXTINCIÓN DE INCENDIOS PARA EL PROYECTO AYUDAS DIAGNOSTICAS DE SURA</t>
  </si>
  <si>
    <t>(310) 413 98 21</t>
  </si>
  <si>
    <t>Hidro F Salinas</t>
  </si>
  <si>
    <t xml:space="preserve">COTIZACION DEL DISEÑO DE EXTINCIÓN DE INCENDIOS PARA EL PROYECTO HOTEL MEGAPOLIS SAN BLAS, PANAMÁ
</t>
  </si>
  <si>
    <t>COTIZACION DE LOS DISEÑOS DE PROTECCIÓN CONTRA INCENDIOS PARA EL PROYECTO WEST QUIMICA</t>
  </si>
  <si>
    <t xml:space="preserve"> Elkin Daniel Ceballos</t>
  </si>
  <si>
    <t>COTIZACION DE LOS DISEÑOS DE PROTECCIÓN CONTRA INCENDIOS PARA EL PROYECTO LOCAL-GIMNASIO</t>
  </si>
  <si>
    <t>Grupo Vertical SAS</t>
  </si>
  <si>
    <t>Hector Mauricio Gomez</t>
  </si>
  <si>
    <t>directordeobra2024@gmail.com</t>
  </si>
  <si>
    <t>COTIZACION DEL ANÁLISIS DE SEGURIDAD HUMANA PARA EL PROYECTO HOTEL BARRIO CONQUISTADORES</t>
  </si>
  <si>
    <t xml:space="preserve"> Juliana Cardona</t>
  </si>
  <si>
    <t>311 6406639</t>
  </si>
  <si>
    <t>Julicardonab15@gmail.com</t>
  </si>
  <si>
    <t>COTIZACION DE LOS DISEÑOS DE PROTECCIÓN CONTRA INCENDIOS Y SEGURIDAD HUMANA PARA EL PROYECTO EDIFICIO BETANIA</t>
  </si>
  <si>
    <t>COTIZACION DEL RE-DISEÑO DE EXTINCIÓN DE INCENDIOS - BLOQUE BACHILLERATO COLEGIO LA SALLE</t>
  </si>
  <si>
    <t>lduque@emergentslnes.com.co</t>
  </si>
  <si>
    <t>Soluciones Integrales Emergent</t>
  </si>
  <si>
    <t xml:space="preserve">COTIZACION DE LOS DISEÑOS DE PROTECCIÓN CONTRA INCENDIOS Y SEGURIDAD HUMANA PARA EL PROYECTO HOTEL LAURELES BY BLUES
</t>
  </si>
  <si>
    <t>320 6720793</t>
  </si>
  <si>
    <t>Cristina Lamb</t>
  </si>
  <si>
    <t>Berince</t>
  </si>
  <si>
    <t>Verlimpio</t>
  </si>
  <si>
    <t xml:space="preserve">Santiago Duque Hoyos </t>
  </si>
  <si>
    <t>ventas@verlimpio.com</t>
  </si>
  <si>
    <t>COTIZACION DEL DISEÑO DE DETECCIÓN DE INCENDIOS PARA EL PROYECTO EDIFICIO GUATAPE</t>
  </si>
  <si>
    <t xml:space="preserve">COTIZACION DE LOS DISEÑOS DE PROTECCIÓN CONTRA INCENDIOS PARA EL PROYECTO QUIALITY CENTER-BODEGA APIX
</t>
  </si>
  <si>
    <t>COTIZACION DE LOS DISEÑOS DE PROTECCIÓN CONTRA INCENDIOS Y SEGURIDAD HUMANA PARA EL PROYECTO THE ANTHI GALLERIE HOTEL</t>
  </si>
  <si>
    <t>Studio Sur</t>
  </si>
  <si>
    <t>COTIZACION DEL ANÁLISIS DE SEGURIDAD HUMANA PARA EL PROYECTO OFICINAS LIBERTY</t>
  </si>
  <si>
    <t>COTIZACION DE LOS DISEÑOS DE PROTECCIÓN CONTRA INCENDIOS Y SEGURIDAD HUMANA PARA EL PROYECTO EDIFICIO GUATAPE RESIDENCIAL R2</t>
  </si>
  <si>
    <t>COTIZACION DE LOS DISEÑOS DE PROTECCIÓN CONTRA INCENDIOS Y SEGURIDAD HUMANA PARA EL PROYECTO CARPINELO MULTIFAMILY ETAPAS 3A Y 3B</t>
  </si>
  <si>
    <t>Coinsi</t>
  </si>
  <si>
    <t>SergiSergio Rodriguez</t>
  </si>
  <si>
    <t>COTIZACION DE LOS DISEÑOS DE PROTECCIÓN CONTRA INCENDIOS PARA EL PROYECTO AREA DATACENTER Y CUARTO DE UPS</t>
  </si>
  <si>
    <t>Asesorias Balbin</t>
  </si>
  <si>
    <t>COTIZACION DE LOS DISEÑOS DE PROTECCIÓN CONTRA INCENDIOS Y SEGURIDAD HUMANA PARA EL PROYECTO URBIT GARDEN</t>
  </si>
  <si>
    <t>COTIZACION DE LOS DISEÑOS DE PROTECCIÓN CONTRA INCENDIOS Y SEGURIDAD HUMANA PARA EL PROYECTO CALLE JARDIN LAURELES</t>
  </si>
  <si>
    <t>Sebastián Vásquez</t>
  </si>
  <si>
    <t>Progressa</t>
  </si>
  <si>
    <t xml:space="preserve"> 316 5793596</t>
  </si>
  <si>
    <t xml:space="preserve">casaldarriaga@ces.edu.co </t>
  </si>
  <si>
    <t xml:space="preserve">COTIZACION DEL ANÁLISIS DE SEGURIDAD HUMANA PARA EL PROYECTO LOTE LA AMERICA FERRINI
</t>
  </si>
  <si>
    <t>COTIZACION DE LOS DISEÑOS DE PROTECCIÓN CONTRA INCENDIOS - EDIFICIO RESIDENCIAL GUATAPÉ</t>
  </si>
  <si>
    <t xml:space="preserve"> Cristiam Gustavo Mondragon</t>
  </si>
  <si>
    <t>COTIZACION DEL DISEÑO DE DETECCIÓN DE INCENDIOS PARA EL PROYECTO PLANTA CASA DE TOROS AUTOMOTRIZ</t>
  </si>
  <si>
    <t>COTIZACION DEL ANÁLISIS DE SEGURIDAD HUMANA PARA EL PROYECTO OFICINAS CORPORATIVAS</t>
  </si>
  <si>
    <t>C3 Construcciones y Contratos SAS</t>
  </si>
  <si>
    <t>Yazmin Sorely Ceballos</t>
  </si>
  <si>
    <t xml:space="preserve">311-305-73-71 </t>
  </si>
  <si>
    <t xml:space="preserve"> proyectovatia@c3construcciones.com </t>
  </si>
  <si>
    <t>Good Group</t>
  </si>
  <si>
    <t>dir.proyectos@goodgroup.com.co</t>
  </si>
  <si>
    <t xml:space="preserve">COTIZACION DEL DISEÑO DE EXTINCIÓN DE INCENDIOS PARA EL PROYECTO PLANTA BARRANQUILLA
</t>
  </si>
  <si>
    <t>Convel</t>
  </si>
  <si>
    <t>COTIZACION DE LOS DISEÑOS DE PROTECCIÓN CONTRA INCENDIOS Y SEGURIDAD HUMANA PARA EL PROYECTO HOTEL MALL DEL ESTE</t>
  </si>
  <si>
    <t>COTIZACION DE LOS DISEÑOS DE PROTECCIÓN CONTRA INCENDIOS Y SEGURIDAD HUMANA PARA EL PROYECTO HOTEL PREMIUM PLAZA</t>
  </si>
  <si>
    <t xml:space="preserve"> Juan David Ochoa</t>
  </si>
  <si>
    <t>COTIZACION DEL DISEÑO DE EXTINCIÓN DE INCENDIOS PARA EL PROYECTO HOTEL BANBÚ</t>
  </si>
  <si>
    <t>COTIZACION DEL DISEÑO DE EXTINCIÓN DE INCENDIOS PARA EL PROYECTO MOSAICO VILLA CENTRAL</t>
  </si>
  <si>
    <t xml:space="preserve">COTIZACION DE LOS DISEÑOS DE DETECCIÓN DE INCENDIOS Y SEGURIDAD HUMANA PARA EL PROYECTO TIERRA LINDA DE LAS ROSAS
</t>
  </si>
  <si>
    <t>Luis Felipe Valderrama</t>
  </si>
  <si>
    <t>lfvalderrama@interve.co</t>
  </si>
  <si>
    <t>COTIZACION DE LOS DISEÑOS DE PROTECCIÓN CONTRA INCENDIOS Y SEGURIDAD HUMANA PARA EL PROYECTO EMPACADORA WAKATE Y LIMÓN</t>
  </si>
  <si>
    <t xml:space="preserve">Vanessa Zapata </t>
  </si>
  <si>
    <t>vanessazapata.fcr@gmail.com</t>
  </si>
  <si>
    <t>COTIZACION DE LOS DISEÑOS DE PROTECCIÓN CONTRA INCENDIOS Y SEGURIDAD HUMANA PARA EL PROYECTO MALL BOSQUE VERDE</t>
  </si>
  <si>
    <t>COTIZACION DE LOS DISEÑOS DE PROTECCIÓN CONTRA INCENDIOS PARA EL PROYECTO MONA MINAS</t>
  </si>
  <si>
    <t>RCI Montajes</t>
  </si>
  <si>
    <t>304 3729342</t>
  </si>
  <si>
    <t>proyectos1@rcimontajes.co</t>
  </si>
  <si>
    <t>COTIZACION DE LOS DISEÑOS DE PROTECCIÓN CONTRA INCENDIOS PARA EL PROYECTO LA BOLERA CC MAYORCA</t>
  </si>
  <si>
    <t xml:space="preserve">Carlos Almanya Patiño </t>
  </si>
  <si>
    <t xml:space="preserve">COTIZACION DEL DISEÑO DE DETECCIÓN DE INCENDIOS PARA EL PROYECTO ECO HOTEL EL ENCANTO </t>
  </si>
  <si>
    <t>COTIZACION DE LOS DISEÑOS DE PROTECCIÓN CONTRA INCENDIOS PARA EL PROYECTO SOLAR FOTOVOLTAICO -FABRICA NESTLÉ</t>
  </si>
  <si>
    <t xml:space="preserve">Cristhian Pérez </t>
  </si>
  <si>
    <t>cristihan@solenium.co</t>
  </si>
  <si>
    <t xml:space="preserve">Cristihan Andrés Pérez Escobar </t>
  </si>
  <si>
    <t xml:space="preserve"> Francisco Unda</t>
  </si>
  <si>
    <t>COTIZACION DEL DISEÑO DE DETECCIÓN DE INCENDIOS PARA EL PROYECTO PAPELES DEL CAUCA</t>
  </si>
  <si>
    <t>David León</t>
  </si>
  <si>
    <t>Ivadama Constructores</t>
  </si>
  <si>
    <t>301 2142568</t>
  </si>
  <si>
    <t xml:space="preserve">COTIZACION DE LOS DISEÑOS DE PROTECCIÓN CONTRA INCENDIOS PARA EL PROYECTO TORRE FÁTIMA
</t>
  </si>
  <si>
    <t>DRYREFOR S.A.S</t>
  </si>
  <si>
    <t>Deisy Gómez</t>
  </si>
  <si>
    <t>aux.proyectos@dryrefor.com</t>
  </si>
  <si>
    <t xml:space="preserve">COTIZACION DEL DISEÑO DE EXTINCIÓN DE INCENDIOS PARA EL PROYECTO DYREFOR </t>
  </si>
  <si>
    <t xml:space="preserve">Laura Duque </t>
  </si>
  <si>
    <t>COTIZACION DEL DISEÑO DE EXTINCIÓN DE INCENDIOS PARA EL PROYECTO PROCIVIL</t>
  </si>
  <si>
    <t>Soluciones integrales Emergent</t>
  </si>
  <si>
    <t>COTIZACION DEL ANÁLISIS DE SEGURIDAD HUMANA PARA EL PROYECTO CLINICA DEL ROSARIO DEL CENTRO</t>
  </si>
  <si>
    <t>COTIZACION DE LOS DISEÑOS DE PROTECCIÓN CONTRA INCENDIOS Y SEGURIDAD HUMANA PARA EL PROYECTO CLINICA DEL COUNTRY</t>
  </si>
  <si>
    <t>COTIZACION DE LOS DISEÑOS DE PROTECCIÓN CONTRA INCENDIOS PARA EL PROYECTO OFICINAS AVOPAK</t>
  </si>
  <si>
    <t>STUDIOSUR</t>
  </si>
  <si>
    <t xml:space="preserve">COTIZACION DEL ANÁLISIS DE SEGURIDAD HUMANA PARA EL PROYECTO GOOGLE
</t>
  </si>
  <si>
    <t>COTIZACION DE LOS DISEÑOS DE SEGURIDAD HUMANA Y PROTECCIÓN CONTRA INCENDIOS - PROYECTO RIBERO</t>
  </si>
  <si>
    <t>310 5304562</t>
  </si>
  <si>
    <t xml:space="preserve"> Yuliana Tamayo Zapata </t>
  </si>
  <si>
    <t>ytamayo@coninsa.co</t>
  </si>
  <si>
    <t>COTIZACION DE LOS DISEÑOS DE DETECCIÓN DE INCENDIOS Y SEGURIDAD HUMANA PARA EL PROYECTO RIMEIRA</t>
  </si>
  <si>
    <t>Smart idiomas</t>
  </si>
  <si>
    <t>analistacompras@smart.edu.co</t>
  </si>
  <si>
    <t>Mariana Acuña Beltran</t>
  </si>
  <si>
    <t>2102484 Ext 1175</t>
  </si>
  <si>
    <t>COTIZACION DEL DISEÑO DE DETECCIÓN DE INCENDIOS PARA EL PROYECTO SEDES NUEVAS SMART</t>
  </si>
  <si>
    <t xml:space="preserve">Carolina Volkmar </t>
  </si>
  <si>
    <t>COTIZACION DEL DISEÑO DE EXTINCIÓN DE INCENDIOS PARA EL PROYECTO LA RESISTENCIA</t>
  </si>
  <si>
    <t>315 5264386</t>
  </si>
  <si>
    <t>Mario Osorio</t>
  </si>
  <si>
    <t xml:space="preserve"> 311 3866315</t>
  </si>
  <si>
    <t>COTIZACION DE LOS DISEÑOS DE PROTECCIÓN CONTRA INCENDIOS Y SEGURIDAD HUMANA PARA EL PROYECTO MALL COMERCIAL</t>
  </si>
  <si>
    <t>Julian Martinez Perez</t>
  </si>
  <si>
    <t>julianmartinezp99@gmail.com</t>
  </si>
  <si>
    <t>COTIZACION DE LOS DISEÑOS DE PROTECCIÓN CONTRA INCENDIOS Y SEGURIDAD HUMANA PARA EL PROYECTO COLINAS DE SANTA ANA</t>
  </si>
  <si>
    <t>COTIZACION DEL DISEÑO DE EXTINCIÓN DE INCENDIOS PARA EL PROYECTO DISCOTECA -POBLADO</t>
  </si>
  <si>
    <t>COTIZACION DEL DISEÑO DE DETECCIÓN DE INCENDIOS PARA EL PROYECTO SHELL</t>
  </si>
  <si>
    <t>Prosoma</t>
  </si>
  <si>
    <t>Adolfo Flores Cossio</t>
  </si>
  <si>
    <t xml:space="preserve">COTIZACION DEL DISEÑO DE EXTINCIÓN DE INCENDIOS PARA EL PROYECTO BODEGA ORANGE BLOQUE 2, 3 Y 4
</t>
  </si>
  <si>
    <t xml:space="preserve">COTIZACION DEL DISEÑO DE DETECCIÓN DE INCENDIOS PARA EL PROYECTO PLANTA ELECTROCONTROL GIRARDOTA
</t>
  </si>
  <si>
    <t>G4 Proyectos</t>
  </si>
  <si>
    <t xml:space="preserve">Steven Maya </t>
  </si>
  <si>
    <t>coordinadorproyectos1@g4ingenieros.com</t>
  </si>
  <si>
    <t>COTIZACION DE LOS DISEÑOS DE PROTECCIÓN CONTRA INCENDIOS Y SEGURIDAD HUMANA PARA EL PROYECTO PARQUE RESIDENCIAL NUEVO HORIZONTE</t>
  </si>
  <si>
    <t>COTIZACION DE LOS DISEÑOS DE PROTECCIÓN CONTRA INCENDIOS PARA EL PROYECTO PISO 24</t>
  </si>
  <si>
    <t>Lorena Toro Perez</t>
  </si>
  <si>
    <t>COTIZACION DEL DISEÑO DE EXTINCIÓN DE INCENDIOS PARA EL PROYECTO EPSA COMODISIMO SEDE ITAGUI</t>
  </si>
  <si>
    <t xml:space="preserve">Johnnatan Duque </t>
  </si>
  <si>
    <t>johnnatan.duque@seriinco.com</t>
  </si>
  <si>
    <t>COTIZACION DEL DISEÑO DE DETECCIÓN DE INCENDIOS PARA EL PROYECTO CORPAUL</t>
  </si>
  <si>
    <t xml:space="preserve"> Adriana Agudelo López </t>
  </si>
  <si>
    <t xml:space="preserve">COTIZACION DEL ANÁLISIS DE SEGURIDAD HUMANA PARA EL PROYECTO VIVIENDA CONTREE CASATROPOL
</t>
  </si>
  <si>
    <t xml:space="preserve">COTIZACION DEL DISEÑO DE EXTINCIÓN DE INCENDIOS PARA EL PROYECTO TODOEN ARTES VIVA ENVIGADO
</t>
  </si>
  <si>
    <t xml:space="preserve">COTIZACION DEL DISEÑO DE EXTINCIÓN DE INCENDIOS PARA EL PROYECTO OFICINA LEMONT
</t>
  </si>
  <si>
    <t>COLGAS</t>
  </si>
  <si>
    <t>COTIZACION DE LOS DISEÑOS DE PROTECCIÓN CONTRA INCENDIOS PARA EL PROYECTO FASE 3 OKIANUS</t>
  </si>
  <si>
    <t xml:space="preserve">
Wilmer Alexander Chirivi Pinzon</t>
  </si>
  <si>
    <t>wilmer.chirivi@colgas.com</t>
  </si>
  <si>
    <t xml:space="preserve"> Sergio Rodriguez</t>
  </si>
  <si>
    <t>COTIZACION DE LOS DISEÑOS DE PROTECCIÓN CONTRA INCENDIOS Y SEGURIDAD HUMANA PARA EL PROYECTO SENA CALATRAVA CDMC</t>
  </si>
  <si>
    <t>Pubenza Aristizabal Uribe</t>
  </si>
  <si>
    <t>pubenza@tipinterventoria.com</t>
  </si>
  <si>
    <t>TIP INTERVENTORIA</t>
  </si>
  <si>
    <t>COTIZACION DE LOS DISEÑOS DE PROTECCIÓN CONTRA INCENDIOS PARA EL PROYECTO AYURÁ CENTER 3</t>
  </si>
  <si>
    <t>COTIZACION DEL DISEÑO DE EXTINCIÓN DE INCENDIOS - HELIPUERTO</t>
  </si>
  <si>
    <t>COTIZACION DE LOS DISEÑOS DE SEGURIDAD HUMANA Y PROTECCIÓN CONTRA INCENDIOS - LOTE GEF</t>
  </si>
  <si>
    <t>awhite@mt.com.co</t>
  </si>
  <si>
    <t>COTIZACION DE LAS PRUEBAS DE FLUJO PARA LOS SISTEMAS DE CONEXIONES DE MANGUERA DE EXTINCIÓN DE INCENDIOS - TORRES 2 Y 3 LA RIVIERE</t>
  </si>
  <si>
    <t>Julieth Barrientos</t>
  </si>
  <si>
    <t>300 2779146</t>
  </si>
  <si>
    <t>COTIZACION DEL DISEÑO DE EXTINCIÓN DE INCENDIOS PARA EL PROYECTO UNIVERSIDAD PASCUAL BRAVO</t>
  </si>
  <si>
    <t>COTIZACION DEL LEVANTAMIENTO Y ELABORACIÓN DE PLANOS BÁSICOS - TERMILENIO TEXTILES</t>
  </si>
  <si>
    <t>COTIZACION DE LOS DISEÑOS DE PROTECCIÓN CONTRA INCENDIOS - COLSANITAS USAQUEN 1800 M2</t>
  </si>
  <si>
    <t xml:space="preserve">COTIZACION DEL ANÁLISIS DE SEGURIDAD HUMANA PARA EL PROYECTO CI CONQUISTADORES
</t>
  </si>
  <si>
    <t>313 4669894</t>
  </si>
  <si>
    <t xml:space="preserve">COTIZACION DE LOS DISEÑOS DE PROTECCIÓN CONTRA INCENDIOS Y SEGURIDAD HUMANA PARA EL PROYECTO AUDITORIO Y TEATRO SAN DIEGO
</t>
  </si>
  <si>
    <t>COTIZACION DE LOS DISEÑOS DE PROTECCIÓN CONTRA INCENDIOS - CENTRAL HIDROELÉCTRICA LA HERRADURA</t>
  </si>
  <si>
    <t>heder.cardozo@isciviles.com.co</t>
  </si>
  <si>
    <t xml:space="preserve">Heder Alvarez Cardozo </t>
  </si>
  <si>
    <t>IS CIVILES</t>
  </si>
  <si>
    <t>COTIZACION DE LOS DISEÑOS DE EXTINCIÓN DE INCENDIOS Y SEGURIDAD HUMANA PARA EL PROYECTO EL RETIRO</t>
  </si>
  <si>
    <t>COTIZACION DE LOS DISEÑOS DE EXTINCIÓN DE INCENDIOS Y SEGURIDAD HUMANA PARA EL PROYECTO HOTEL BENIMINAL</t>
  </si>
  <si>
    <t>Intecplast</t>
  </si>
  <si>
    <t>Sebastián</t>
  </si>
  <si>
    <t>analistaambiental@intecplast.com.co</t>
  </si>
  <si>
    <t>314 3620415</t>
  </si>
  <si>
    <t>COTIZACION DE LOS DISEÑOS DE PROTECCIÓN CONTRA INCENDIOS - ÁREAS NUEVAS INTECPLAST</t>
  </si>
  <si>
    <t>COTIZACION DEL DISEÑO DE DETECCIÓN DE INCENDIOS PARA EL PROYECTO PLANTA DE POLIMEROS FORMACOL</t>
  </si>
  <si>
    <t>COTIZACION DEL PLAN MAESTRO DE PROTECCIÓN CONTRA INCENDIOS - ÁREAS ANTIGUAS INTECPLAST</t>
  </si>
  <si>
    <t>COTIZACION DE LOS REDISEÑOS DE SEGURIDAD HUMANA Y PROTECCIÓN CONTRA INCENDIOS - CALMO</t>
  </si>
  <si>
    <t>PROYECTOS URBANOS</t>
  </si>
  <si>
    <t>Angela Fatt Naranjo</t>
  </si>
  <si>
    <t>afatt@proyectosurbanos.com.co</t>
  </si>
  <si>
    <t>COTIZACION DEL DISEÑO DE DETECCIÓN DE INCENDIOS PARA EL PROYECTO BODEGA PERPETUO SOCORRO</t>
  </si>
  <si>
    <t xml:space="preserve"> Martha Milena Hernández Marín</t>
  </si>
  <si>
    <t>mhernandezm@conconcreto.com</t>
  </si>
  <si>
    <t>300 656 3981</t>
  </si>
  <si>
    <t>COTIZACION DEL ANÁLISIS DE SEGURIDAD HUMANA PARA EL PROYECTO CARCELARIO</t>
  </si>
  <si>
    <t xml:space="preserve">COTIZACION DE LOS DISEÑOS DE PROTECCIÓN CONTRA INCENDIOS Y SEGURIDAD HUMANA PARA EL PROYECTO REDISEÑO SILVESTRA
</t>
  </si>
  <si>
    <t>Jeison Mejia</t>
  </si>
  <si>
    <t>COTIZACION DEL DISEÑO DE DETECCIÓN DE INCENDIOS PARA EL PROYECTO VETERINARIA METVET</t>
  </si>
  <si>
    <t xml:space="preserve"> 301 3396017</t>
  </si>
  <si>
    <t>COTIZACION DEL ANÁLISIS DE SEGURIDAD HUMANA PARA EL PROYECTO UNIVERSIAD EAN</t>
  </si>
  <si>
    <t xml:space="preserve">COTIZACION DEL ANÁLISIS DE SEGURIDAD HUMANA PARA EL PROYECTO PERSONERIA MEDELLIN
</t>
  </si>
  <si>
    <t>Daniel Botero</t>
  </si>
  <si>
    <t>INGE10</t>
  </si>
  <si>
    <t>311 3007958</t>
  </si>
  <si>
    <t>ingenieria@inge10.com</t>
  </si>
  <si>
    <t>COTIZACION DE LOS DISEÑOS DE PROTECCIÓN CONTRA INCENDIOS Y SEGURIDAD HUMANA PARA EL PROYECTO CLINICA APARTADO</t>
  </si>
  <si>
    <t>COTIZACION DE LOS DISEÑOS DE SEGURIDAD HUMANA Y PROTECCIÓN CONTRA INCENDIOS - FEDERAL</t>
  </si>
  <si>
    <t xml:space="preserve">COTIZACION ÁREAS CLASIFICADAS - PROYECTOBODEGA PARA ALMACENAMIENTO DE CAFE </t>
  </si>
  <si>
    <t>laura.rpo19@gmail.com</t>
  </si>
  <si>
    <t>COTIZACION DE LOS DISEÑOS DE PROTECCIÓN CONTRA INCENDIOS Y SEGURIDAD HUMANA PARA EL PROYECTO EDIFICIO BELEN</t>
  </si>
  <si>
    <t xml:space="preserve">COTIZACION DE LOS DISEÑOS DE PROTECCIÓN CONTRA INCENDIOS Y SEGURIDAD HUMANA PARA EL PROYECTO HOTEL KLOK
</t>
  </si>
  <si>
    <t>Geovanny Diaz Ramírez</t>
  </si>
  <si>
    <t>geodr.182@hotmail.com</t>
  </si>
  <si>
    <t>310 821 2609</t>
  </si>
  <si>
    <t>Jhon Ocampo arquitectura</t>
  </si>
  <si>
    <t>COTIZACION DEL ANÁLISIS DE SEGURIDAD HUMANA PARA EL PROYECTO CLINICA DEL COUNTRY</t>
  </si>
  <si>
    <t>COTIZACION DEL ANÁLISIS DE SEGURIDAD HUMANA PARA EL PROYECTO CLINICA DEL COUNTRY UMI</t>
  </si>
  <si>
    <t>COTIZACION DEL ANÁLISIS DE SEGURIDAD HUMANA PARA EL PROYECTO CLINICA LA COLINA</t>
  </si>
  <si>
    <t xml:space="preserve">Sandra Milena Sanchez </t>
  </si>
  <si>
    <t>sandras@progressa.com.co</t>
  </si>
  <si>
    <t>311 9684</t>
  </si>
  <si>
    <t>COTIZACION DEL ANÁLISIS DE SEGURIDAD HUMANA PARA EL PROYECTO PANDA PAN</t>
  </si>
  <si>
    <t xml:space="preserve">
COTIZACION DEL ANÁLISIS DE SEGURIDAD HUMANA PARA EL PROYECTO PINTURAS PRIME</t>
  </si>
  <si>
    <t>COTIZACION DE LOS DISEÑOS DE PROTECCIÓN CONTRA INCENDIOS Y SEGURIDAD HUMANA PARA EL PROYECTO PINNOT</t>
  </si>
  <si>
    <t>COTIZACION DEL ANÁLISIS DE SEGURIDAD HUMANA - EDIFICIO PMT SMURTFIT KAPPA</t>
  </si>
  <si>
    <t>COTIZACION DEL ANÁLISIS DE SEGURIDAD HUMANA - EDIFICIO CCM SMURTFIT KAPPA</t>
  </si>
  <si>
    <t>Jhonocampoarq@gmail.com</t>
  </si>
  <si>
    <t>COTIZACION DE LOS DISEÑOS DE SEGURIDAD HUMANA Y PROTECCIÓN CONTRA INCENDIOS - PROYECTO LOTE FLORIDA VIVIENDA</t>
  </si>
  <si>
    <t>COTIZACION DEL DISEÑO DE EXTINCIÓN DE INCENDIOS - PROYECTO PUERTO NAVAL CARTAGENA</t>
  </si>
  <si>
    <t>COTIZACION DEL DIAGNÓSTICO Y ANÁLISIS DE SEGURIDAD HUMANA PARA EL PROYECTO CLINICA DEL COUNTRY TRES SEDES</t>
  </si>
  <si>
    <t>COTIZACION DEL ANÁLISIS DE SEGURIDAD HUMANA - EDIFICIOS PMT Y CCM SMURTFIT KAPPA</t>
  </si>
  <si>
    <t>Esteban Perez</t>
  </si>
  <si>
    <t>COTIZACION DE LOS DISEÑOS DE PROTECCIÓN CONTRA INCENDIOS PARA EL PROYECTO BANCOLOMBIA VIVA WAJIIRA</t>
  </si>
  <si>
    <t>Conintel</t>
  </si>
  <si>
    <t xml:space="preserve">COTIZACION DE LOS RE-DISEÑOS DE PROTECCIÓN CONTRA INCENDIOS PARA EL PROYECTO FRUTOS VERDES TORRE 10
</t>
  </si>
  <si>
    <t>COTIZACION DE LOS DISEÑOS DE PROTECCIÓN CONTRA INCENDIOS PARA EL PROYECTO CAV FLORA AREA METROPOLINATA</t>
  </si>
  <si>
    <t>Paula Montoya</t>
  </si>
  <si>
    <t>IEB</t>
  </si>
  <si>
    <t>paula.montoya@ieb.co</t>
  </si>
  <si>
    <t>COTIZACION DEL DISEÑO DE DETECCIÓN DE INCENDIOS PARA EL PROYECTO CUARTOS GENERADORES SANTA MARTA</t>
  </si>
  <si>
    <t>COTIZACION DEL DISEÑO DE ANÁLISIS DE POLVOS - ARROZ FEDERAL</t>
  </si>
  <si>
    <t>COTIZACION DE LOS DISEÑOS DE PROTECCIÓN CONTRA INCENDIOS Y SEGURIDAD HUMANA PARA EL PROYECTO BODEGA POSTOBON</t>
  </si>
  <si>
    <t>Acierto Inmobiliario</t>
  </si>
  <si>
    <t>John Gomez</t>
  </si>
  <si>
    <t>310 4963403</t>
  </si>
  <si>
    <t>jgomez@acierto.com.co</t>
  </si>
  <si>
    <t>COTIZACION DE LOS DISEÑOS DE PROTECCIÓN CONTRA INCENDIOS Y SEGURIDAD HUMANA PARA EL PROYECTO GUATAPURI ETAPA 1</t>
  </si>
  <si>
    <t>Sebastian Ochoa Gomez</t>
  </si>
  <si>
    <t xml:space="preserve">
COTIZACION DE LOS DISEÑOS DE PROTECCIÓN CONTRA INCENDIOS Y SEGURIDAD HUMANA PARA EL PROYECTO MOKANA
</t>
  </si>
  <si>
    <t>COTIZACION DE LOS DISEÑOS DE PROTECCIÓN CONTRA INCENDIOS PARA EL PROYECTO AMAREY</t>
  </si>
  <si>
    <t>COTIZACION DEL DISEÑO DE EXTINCIÓN DE INCENDIOS PARA EL PROYECTO PLANTA AMONIACO</t>
  </si>
  <si>
    <t>COTIZACION DEL DISEÑO DE EXTINCIÓN DE INCENDIOS PARA EL PROYECTO CARTAMA LEMONT OF. 9965</t>
  </si>
  <si>
    <t xml:space="preserve">COTIZACION DEL DISEÑO DE EXTINCIÓN DE INCENDIOS PARA EL PROYECTO ALMACENAJE DE LUBRICANTES
</t>
  </si>
  <si>
    <t xml:space="preserve">Fire Protection Solutions Group </t>
  </si>
  <si>
    <t xml:space="preserve">COTIZACION DEL DISEÑO DE EXTINCIÓN DE INCENDIOS PARA EL PROYECTO PLANTA DE ALMACEN DE ALCOHOLES
</t>
  </si>
  <si>
    <t>Deisy Duque</t>
  </si>
  <si>
    <t>operaciones@goodgroup.com.co</t>
  </si>
  <si>
    <t>COTIZACION DE LA REVISIÓN DE LOS DISEÑOS DE EXTINCIÓN DE INCENDIOS - PROYECTO PLAZA MERCADO AMAGÁ</t>
  </si>
  <si>
    <t>Constru HG</t>
  </si>
  <si>
    <t>filiberto hincapie</t>
  </si>
  <si>
    <t>constru.hg@gmail.com</t>
  </si>
  <si>
    <t>COTIZACION DEL DISEÑO DE DETECCIÓN DE INCENDIOS PARA EL PROYECTO MIRADOR DEL VALLE COPACABANA</t>
  </si>
  <si>
    <t>COTIZACION DE LOS DISEÑOS DE PROTECCIÓN CONTRA INCENDIOS PARA EL PROYECTO RAD-COL</t>
  </si>
  <si>
    <t>COTIZACION DE LOS DISEÑOS DE PROTECCIÓN CONTRA INCENDIOS Y SEGURIDAD HUMANA PARA EL PROYECTO HOTEL BEMINIMA</t>
  </si>
  <si>
    <t xml:space="preserve">COTIZACION DE LOS DISEÑOS DE PROTECCIÓN CONTRA INCENDIOS Y SEGURIDAD HUMANA PARA EL PROYECTO EDIFICIO FAROLITO
</t>
  </si>
  <si>
    <t>Go Ingenieria</t>
  </si>
  <si>
    <t>COTIZACION DEL DISEÑO DE DETECCIÓN DE INCENDIOS PARA EL PROYECTO PLANTA DE ALMACENAMIENTO DE LUBRICANTES</t>
  </si>
  <si>
    <t>COTIZACION DEL ANÁLISIS DE SEGURIDAD HUMANA PARA EL PROYECTO AEROPUERTOS SM &amp; RH</t>
  </si>
  <si>
    <t>Julian Mora Osorio</t>
  </si>
  <si>
    <t>jmorao@conconcreto.com</t>
  </si>
  <si>
    <t>COTIZACION DE LOS DISEÑOS DE PROTECCIÓN CONTRA INCENDIOS Y SEGURIDAD HUMANA PARA EL PROYECTO BODEGA PASTEUR ITAGUI</t>
  </si>
  <si>
    <t>COTIZACION DE LOS DISEÑOS DE PROTECCIÓN CONTRA INCENDIOS PARA EL PROYECTO MANE</t>
  </si>
  <si>
    <t>No se presentaron</t>
  </si>
  <si>
    <t>COTIZACION DEL DISEÑO DE DETECCIÓN DE INCENDIOS PARA EL PROYECTO BODEGA DISTRIFULL</t>
  </si>
  <si>
    <t>plantacopagea@gmail.com</t>
  </si>
  <si>
    <t>Milton C Gutierrez</t>
  </si>
  <si>
    <t>Planta de copacabana Gea</t>
  </si>
  <si>
    <t>COTIZACION DE LOS DISEÑOS DE PROTECCIÓN CONTRA INCENDIOS PARA EL PROYECTO PLANTA DE TRANSFORMADORES</t>
  </si>
  <si>
    <t>Juan Carlos Torres Botero</t>
  </si>
  <si>
    <t>CONSORCIO CONSTRUCTOR NUEVA CARTAGENA</t>
  </si>
  <si>
    <t>coordisenos@consorcioccnc.com.co</t>
  </si>
  <si>
    <t xml:space="preserve">COTIZACION DE LOS DISEÑOS DE PROTECCIÓN CONTRA INCENDIOS PARA EL PROYECTO 5 BODEGAS COPACABANA
</t>
  </si>
  <si>
    <t>Sergio A. Rodriguez</t>
  </si>
  <si>
    <t>COTIZACION DE LOS DISEÑOS DE PROTECCIÓN CONTRA INCENDIOS PARA EL PROYECTO PLANTA NESTLE DOS QUEBRADAS</t>
  </si>
  <si>
    <t>COTIZACION DEL DISEÑO DE EXTINCIÓN DE INCENDIOS PARA EL PROYECTO LOCAL ALKOMPRAR BUCARAMANGA</t>
  </si>
  <si>
    <t>COTIZACION DEL ANÁLISIS DE SEGURIDAD HUMANA PARA EL PROYECTO AMPLIACION AEROPUERTO INTERNACIONAL RAFAEL NUÑEZ CARTAGENA</t>
  </si>
  <si>
    <t>prosoma</t>
  </si>
  <si>
    <t>COTIZACION DEL DISEÑO DE EXTINCIÓN DE INCENDIOS PARA EL PROYECTO AUTECO CARTAGENA</t>
  </si>
  <si>
    <t xml:space="preserve">Robinson Marulanda Guarin </t>
  </si>
  <si>
    <t>COTIZACION DE LOS DISEÑOS DE EXTINCIÓN DE INCENDIOS Y SEGURIDAD HUMANA PARA EL PROYECTO VIS GUAYACANES</t>
  </si>
  <si>
    <t xml:space="preserve">COTIZACION DE LOS DISEÑOS DE PROTECCIÓN CONTRA INCENDIOS PARA EL PROYECTO BODEGA 78 Y 79 PORTO
</t>
  </si>
  <si>
    <t>322 6861576</t>
  </si>
  <si>
    <t xml:space="preserve">COTIZACION DE LOS DISEÑOS DE PROTECCIÓN CONTRA INCENDIOS Y SEGURIDAD HUMANA PARA EL PROYECTO SELVATICO
</t>
  </si>
  <si>
    <t>COTIZACION DE LOS DISEÑOS DE PROTECCIÓN CONTRA INCENDIOS Y SEGURIDAD HUMANA PARA EL PROYECTO M-LIVING</t>
  </si>
  <si>
    <t>Nidia Zuluaga</t>
  </si>
  <si>
    <t>nidiazuluaga@mt.com.co</t>
  </si>
  <si>
    <t>COTIZACION DEL DISEÑO DE EXTINCIÓN DE INCENDIOS PARA EL PROYECTO RESIDENCIAL SAN JOAQUIN MEDELLIN</t>
  </si>
  <si>
    <t>Coningeark</t>
  </si>
  <si>
    <t xml:space="preserve">Brayan Agudelo </t>
  </si>
  <si>
    <t>bryanstvn22@gmail.com</t>
  </si>
  <si>
    <t>COTIZACION DE LOS DISEÑOS DE PROTECCIÓN CONTRA INCENDIOS Y SEGURIDAD HUMANA PARA EL PROYECTO BODEGA CONINGEARK</t>
  </si>
  <si>
    <t>COTIZACION DE LOS DISEÑOS DE PROTECCIÓN CONTRA INCENDIOS Y SEGURIDAD HUMANA PARA EL PROYECTO EDIFICIO 8 PISOS</t>
  </si>
  <si>
    <t>COTIZACION DEL DISEÑO DE DETECCIÓN DE INCENDIOS PARA EL PROYECTO PLANTAS PREBEL</t>
  </si>
  <si>
    <t>COTIZACION DE LOS DISEÑOS DE PROTECCIÓN CONTRA INCENDIOS Y SEGURIDAD HUMANA PARA EL PROYECTO LOTE CASA AZUL</t>
  </si>
  <si>
    <t>Andres Parra Duque</t>
  </si>
  <si>
    <t>Loop Proyectos Inmobiliarios</t>
  </si>
  <si>
    <t>a.parra@viveloop.com</t>
  </si>
  <si>
    <t>COTIZACION DE LOS DISEÑOS DE PROTECCIÓN CONTRA INCENDIOS Y SEGURIDAD HUMANA PARA EL PROYECTO HOTEL LAGOA</t>
  </si>
  <si>
    <t>Milena Hernandez</t>
  </si>
  <si>
    <t xml:space="preserve"> mhernandezm@conconcreto.com</t>
  </si>
  <si>
    <t>COTIZACION DEL ANÁLISIS DE SEGURIDAD HUMANA PARA EL PROYECTO ALMACEN DE CADENA</t>
  </si>
  <si>
    <t>COTIZACION DEL DISEÑO DE DETECCIÓN DE INCENDIOS PARA EL PROYECTO CLINICA DEL NORTE</t>
  </si>
  <si>
    <t>María Irma Monsalve</t>
  </si>
  <si>
    <t>310 2643924</t>
  </si>
  <si>
    <t>COTIZACION DEL DISEÑO DE EXTINCIÓN DE INCENDIOS PARA EL PROYECTO LOCAL SOTANO RIO DEL ESTE</t>
  </si>
  <si>
    <t>Andrea Núñez</t>
  </si>
  <si>
    <t>COTIZACION DEL JUSTE DEL MODELO Y GENERACIÓN DE CANTIDADES EXTINCIÓN DE INCENDIOS - MINISTERIOS</t>
  </si>
  <si>
    <t>EDIFICIO 1592</t>
  </si>
  <si>
    <t>COTIZACION DEL ANÁLISIS DE SEGURIDAD HUMANA - EDIFICIO 1592</t>
  </si>
  <si>
    <t>info@cigsismoresistencia.com</t>
  </si>
  <si>
    <t>Marco López</t>
  </si>
  <si>
    <t>COTIZACION DEL DISEÑO DE EXTINCIÓN DE INCENDIOS PARA EL PROYECTO RESIDENCIAL SAN JOAQUIN</t>
  </si>
  <si>
    <t>Handerson</t>
  </si>
  <si>
    <t>Handerson Marin</t>
  </si>
  <si>
    <t>hernan.ortiz@kardinal.com.co</t>
  </si>
  <si>
    <t>ESPIRAL STUDIO</t>
  </si>
  <si>
    <t>COTIZACION DE LOS DISEÑOS DE PROTECCIÓN CONTRA INCENDIOS Y SEGURIDAD HUMANA PARA EL PROYECTO PABELLON DE EVENTOS CC SAN DIEGO</t>
  </si>
  <si>
    <t>COTIZACION DE LOS DISEÑOS DE PROTECCIÓN CONTRA INCENDIOS PARA EL PROYECTO PABELLONES DE PLAZA MAYOR</t>
  </si>
  <si>
    <t>Julio Milán Trujillo</t>
  </si>
  <si>
    <t>FP Services SAS</t>
  </si>
  <si>
    <t>&lt;juliomillan@fpservices.com.co</t>
  </si>
  <si>
    <t>Julián Mora Osorio</t>
  </si>
  <si>
    <t xml:space="preserve">COTIZACION DEL ANÁLISIS DE SEGURIDAD HUMANA PARA EL PROYECTO OFICINAS COMERCIO - COSTA RICA
</t>
  </si>
  <si>
    <t>COTIZACION LEVANTAMIENTO DE LOS SISTEMAS EXISTENTES - SUN VALLEY</t>
  </si>
  <si>
    <t>COTIZACION DE LOS DISEÑOS DE PROTECCIÓN CONTRA INCENDIOS Y SEGURIDAD HUMANA PARA EL PROYECTO COLIVING ALEJANDRIA</t>
  </si>
  <si>
    <t xml:space="preserve">COTIZACION DEL DISEÑO DE EXTINCIÓN DE INCENDIOS PARA EL PROYECTO LEMONT OFICINA
</t>
  </si>
  <si>
    <t>Toroposada</t>
  </si>
  <si>
    <t>camiloar@toroposada.com</t>
  </si>
  <si>
    <t>COTIZACION DE LOS DISEÑOS DE PROTECCIÓN CONTRA INCENDIOS PARA EL PROYECTO SEDE ADMINISTRATIVA BANCOLOMBIA CALI</t>
  </si>
  <si>
    <t>Andrea Sthefania Ramírez Arbeláez</t>
  </si>
  <si>
    <t>interventoria@westquimica.com</t>
  </si>
  <si>
    <t>Electroquimica Wes SA</t>
  </si>
  <si>
    <t>COTIZACION DE LOS DISEÑOS DE PROTECCIÓN CONTRA INCENDIOS PARA EL PROYECTO PLANTA WEST</t>
  </si>
  <si>
    <t>Camilo Alvarez Restrepo</t>
  </si>
  <si>
    <t xml:space="preserve">Daniel Ignacio Penagos Caro </t>
  </si>
  <si>
    <t>dipenagos@solla.com</t>
  </si>
  <si>
    <t>322 273 66 99</t>
  </si>
  <si>
    <t>SOLLA</t>
  </si>
  <si>
    <t>COTIZACION DEL DISEÑO DE DETECCIÓN DE INCENDIOS PARA EL PROYECTO PLANTA DE SOLLA EN BUGA</t>
  </si>
  <si>
    <t>COTIZACION DEL DISEÑO DE EXTINCIÓN DE INCENDIOS PARA EL PROYECTO PLANTA DE SOLLA EN BUGA</t>
  </si>
  <si>
    <t>Daniel Sosa Moreno</t>
  </si>
  <si>
    <t>dsosa@aia.com.co</t>
  </si>
  <si>
    <t>COTIZACION DE LOS DISEÑOS DE PROTECCIÓN CONTRA INCENDIOS Y SEGURIDAD HUMANA PARA EL PROYECTO CAMPUS UNIVERSITARIO</t>
  </si>
  <si>
    <t>Go ingenieria</t>
  </si>
  <si>
    <t>COTIZACION DE LOS DISEÑOS DE PROTECCIÓN CONTRA INCENDIOS PARA EL PROYECTO AMTEX</t>
  </si>
  <si>
    <t>OTACC</t>
  </si>
  <si>
    <t>COTIZACION DEL ANÁLISIS DE SEGURIDAD HUMANA PARA EL PROYECTO OBRA MIRADOR DE LA SABANA ZIPAQUIRA</t>
  </si>
  <si>
    <t>311 8513812</t>
  </si>
  <si>
    <t>Andrés Leonardo Diaz Daza</t>
  </si>
  <si>
    <t>aldiaz@otacc.com</t>
  </si>
  <si>
    <t>COTIZACION DE LOS DISEÑOS DE PROTECCIÓN CONTRA INCENDIOS PARA EL PROYECTO CENTROS DE INTELIGENCIA ARTIFICIAL</t>
  </si>
  <si>
    <t>COTIZACION DE LOS DISEÑOS DE PROTECCIÓN CONTRA INCENDIOS Y SEGURIDAD HUMANA PARA EL PROYECTO COLEGIO SAGRADA FAMILIA</t>
  </si>
  <si>
    <t>COTIZACION DEL DISEÑO DE EXTINCIÓN DE INCENDIOS PARA EL PROYECTO FEDERAL</t>
  </si>
  <si>
    <t xml:space="preserve">317 5594091 </t>
  </si>
  <si>
    <t>COTIZACION DEL DISEÑO DE EXTINCIÓN DE INCENDIOS PARA EL PROYECTO LA MARINA</t>
  </si>
  <si>
    <t>COTIZACION DEL DISEÑO DE DETECCIÓN DE INCENDIOS PARA EL PROYECTO SALA ECOS</t>
  </si>
  <si>
    <t xml:space="preserve"> LUIS FERNANDO MARIN CLAVIJO</t>
  </si>
  <si>
    <t>luis.marin@coordi-integral.com.co</t>
  </si>
  <si>
    <t>315 270 36 01</t>
  </si>
  <si>
    <t>COORDI - INTEGRAL</t>
  </si>
  <si>
    <t>COTIZACION DE LOS DISEÑOS DE PROTECCIÓN CONTRA INCENDIOS Y SEGURIDAD HUMANA PARA EL PROYECTO LA PATRICIA SERENITY SENIOR’S CLUB</t>
  </si>
  <si>
    <t>Juan Manuel Beltran</t>
  </si>
  <si>
    <t>BM Arquitectura</t>
  </si>
  <si>
    <t>bmarquitecturayconstruccion@gmail.com</t>
  </si>
  <si>
    <t>COTIZACION DE LOS DISEÑOS DE PROTECCIÓN CONTRA INCENDIOS PARA EL PROYECTO EDIFICIO AMELIE SABANETA</t>
  </si>
  <si>
    <t>COTIZACION DEL ANÁLISIS DE SEGURIDAD HUMANA - VERDANT</t>
  </si>
  <si>
    <t>Melendez</t>
  </si>
  <si>
    <t>COTIZACION DEL ANÁLISIS DE SEGURIDAD HUMANA - IMPORTEC</t>
  </si>
  <si>
    <t>ZFB</t>
  </si>
  <si>
    <t>COTIZACION DEL DISEÑO DE EXTINCIÓN DE INCENDIOS PARA EL PROYECTO BODEGA AUTECO RIONEGRO</t>
  </si>
  <si>
    <t>COTIZACION DE LOS PLANOS DE SEGURIDAD HUMANA - PROYECTO BODEGA ZONA FRANCA LOTE 117</t>
  </si>
  <si>
    <t>Maria Paula Cortes</t>
  </si>
  <si>
    <t>Divemotor Colombia S.A.</t>
  </si>
  <si>
    <t>paula.cortes@divemotor.co</t>
  </si>
  <si>
    <t xml:space="preserve">COTIZACION DE LOS DISEÑOS DE PROTECCIÓN CONTRA INCENDIOS Y SEGURIDAD HUMANA PARA EL PROYECTO SUCURSALES DIVEMOTOR COLOMBIA
</t>
  </si>
  <si>
    <t>COTIZACION DE LOS DISEÑOS DE PROTECCIÓN CONTRA INCENDIOS Y SEGURIDAD HUMANA PARA EL PROYECTO CEDIMED OVIEDO</t>
  </si>
  <si>
    <t>Martha Lucia Ferrer Botero</t>
  </si>
  <si>
    <t>COTIZACION DEL ANÁLISIS DE SEGURIDAD HUMANA PARA EL PROYECTO TIENDA HOMECENTER</t>
  </si>
  <si>
    <t>COTIZACION DE LOS DISEÑOS DE PROTECCIÓN CONTRA INCENDIOS Y SEGURIDAD HUMANA PARA EL PROYECTO EDIFICIO AMELIE SABANETA</t>
  </si>
  <si>
    <t>Heder Alvarez Cardozo</t>
  </si>
  <si>
    <t xml:space="preserve">COTIZACION DE LOS DISEÑOS DE PROTECCIÓN CONTRA INCENDIOS Y SEGURIDAD HUMANA PARA EL PROYECTO CENTRO DE ENTRETENIMIENTO
</t>
  </si>
  <si>
    <t>COTIZACION DE LOS DISEÑOS DE PROTECCIÓN CONTRA INCENDIOS Y SEGURIDAD HUMANA PARA EL PROYECTO ECONOMIA CIRCULAR</t>
  </si>
  <si>
    <t>Geinner montoya</t>
  </si>
  <si>
    <t>304 5950866</t>
  </si>
  <si>
    <t>Geinermontoya2015@gmail.com</t>
  </si>
  <si>
    <t>COTIZACION DE LOS DISEÑOS DE PROTECCIÓN CONTRA INCENDIOS PARA EL PROYECTO MALL COMERCIAL BELEN</t>
  </si>
  <si>
    <t xml:space="preserve">COTIZACION DE LOS DISEÑOS DE PROTECCIÓN CONTRA INCENDIOS PARA EL PROYECTO PLANTA GASCOL SUR
</t>
  </si>
  <si>
    <t xml:space="preserve">Daniela Ríos Agudelo </t>
  </si>
  <si>
    <t>daniela.rios@ieb.co</t>
  </si>
  <si>
    <t>COTIZACION DEL DISEÑO DE DETECCIÓN DE INCENDIOS PARA EL PROYECTO PLANTA DE PLASTICOS</t>
  </si>
  <si>
    <t>COTIZACION DEL DISEÑO DE DETECCIÓN DE INCENDIOS PARA EL PROYECTO TERMONORTE 2</t>
  </si>
  <si>
    <t xml:space="preserve">COTIZACION DEL DISEÑO DE EXTINCIÓN DE INCENDIOS PARA EL PROYECTO LOCAL COMERCIAL MAYORCA ESTAPA II PISO 9
</t>
  </si>
  <si>
    <t>Julián David Camacho</t>
  </si>
  <si>
    <t>COTIZACION DE LOS DISEÑOS DE SEGURIDAD HUMANA Y PROTECCIÓN CONTRA INCENDIOS - EDIFICIO COMERCIAL 12 PISOS</t>
  </si>
  <si>
    <t>COTIZACION DEL DISEÑO DE DETECCIÓN DE INCENDIOS PARA EL PROYECTO BONNAVISTA 17</t>
  </si>
  <si>
    <t>Claudia Bibiana Carrillo</t>
  </si>
  <si>
    <t>ccarrillom@conconcreto.com</t>
  </si>
  <si>
    <t>tecnico@quiraproyecto.com</t>
  </si>
  <si>
    <t>Mateo Estupiñan Arjona</t>
  </si>
  <si>
    <t>Quirá Proyecto</t>
  </si>
  <si>
    <t>COTIZACION DEL ANÁLISIS DE SEGURIDAD HUMANA PARA EL PROYECTO QUIRÁ RESERVADO</t>
  </si>
  <si>
    <t>COTIZACION DE LOS DISEÑOS DE PROTECCIÓN CONTRA INCENDIOS Y SEGURIDAD HUMANA PARA EL PROYECTO COLEGIO LA SALLE ETAPA 2</t>
  </si>
  <si>
    <t>COTIZACION DEL DISEÑO DE DETECCIÓN DE INCENDIOS PARA EL PROYECTO 4 VIVAS</t>
  </si>
  <si>
    <t>Ana María Garcés A.</t>
  </si>
  <si>
    <t>Casdiquim S.A.S.</t>
  </si>
  <si>
    <t>COTIZACION DEL DISEÑO DE EXTINCIÓN DE INCENDIOS PARA EL PROYECTO PLANTA CASDIQUIM RIONEGRO</t>
  </si>
  <si>
    <t>D1</t>
  </si>
  <si>
    <t>Helena Mahecha Ariza</t>
  </si>
  <si>
    <t>helena.mahecha@d1.com.co</t>
  </si>
  <si>
    <t xml:space="preserve">COTIZACION DE LOS DISEÑOS DE PROTECCIÓN CONTRA INCENDIOS PARA EL PROYECTO CEDIS D1
</t>
  </si>
  <si>
    <t>COTIZACION DEL DISEÑO DE EXTINCIÓN DE INCENDIOS PARA EL PROYECTO PLANTA CASDIQUIM RIONEGRO ZONA RESIDUOS</t>
  </si>
  <si>
    <t>anamariagarces@casdiquim.com.co</t>
  </si>
  <si>
    <t>COTIZACION DE LOS DISEÑOS DE PROTECCIÓN CONTRA INCENDIOS Y SEGURIDAD HUMANA PARA EL PROYECTO CRISTALLY</t>
  </si>
  <si>
    <t>COTIZACION DE LOS DISEÑOS DE PROTECCIÓN CONTRA INCENDIOS Y SEGURIDAD HUMANA PARA EL PROYECTO NEXO</t>
  </si>
  <si>
    <t>Robinson Marulanda Marin</t>
  </si>
  <si>
    <t>COTIZACION DEL DISEÑO DE EXTINCIÓN DE INCENDIOS PARA EL PROYECTO EDIFICIO LAURELES</t>
  </si>
  <si>
    <t>COTIZACION DE LOS DISEÑOS DE PROTECCIÓN CONTRA INCENDIOS PARA EL PROYECTO FAC</t>
  </si>
  <si>
    <t>COTIZACION DEL ANÁLISIS DE SEGURIDAD HUMANA PARA EL PROYECTO CEDI-TRONEX</t>
  </si>
  <si>
    <t>COTIZACION DE LOS PLANOS DE SEÑALIZACIÓN DE EMERGENCIA Y AYUDA CON DERECHO DE PETICIÓN - PROYECTO PUERTO AZUL</t>
  </si>
  <si>
    <t>COTIZACION DEL DISEÑO DE EXTINTORES PORTÁTILES CONTRA INCENDIOS - CLUB HOUSE Y RECEPCIÓN PUERTO AZUL</t>
  </si>
  <si>
    <t>Good group</t>
  </si>
  <si>
    <t>COTIZACION DEL DISEÑO DE EXTINCIÓN DE INCENDIOS PARA EL PROYECTO PETROBRAS</t>
  </si>
  <si>
    <t xml:space="preserve">Ana Lucía Naranjo </t>
  </si>
  <si>
    <t>300 3884916</t>
  </si>
  <si>
    <t>analucia@arangoarango.com</t>
  </si>
  <si>
    <t>Arango Arango SAS</t>
  </si>
  <si>
    <t>COTIZACION DEL DISEÑO DE EXTINCIÓN DE INCENDIOS PARA EL PROYECTO SWISSHOTEL</t>
  </si>
  <si>
    <t xml:space="preserve">Martha Milena Hernández Marín </t>
  </si>
  <si>
    <t>COTIZACION DEL ANÁLISIS DE SEGURIDAD HUMANA PARA EL PROYECTO CUARTOS DE DISPOSITIVOS MEDICOS</t>
  </si>
  <si>
    <t xml:space="preserve">COTIZACION DE LOS DISEÑOS DE PROTECCIÓN CONTRA INCENDIOS Y SEGURIDAD HUMANA PARA EL PROYECTO MALL SANTA CLARA
</t>
  </si>
  <si>
    <t xml:space="preserve"> Mauricio Gutierrez Bohorquez</t>
  </si>
  <si>
    <t>COTIZACION DE LOS DISEÑOS DE PROTECCIÓN CONTRA INCENDIOS PARA EL PROYECTO CENTRO DE TECNOLOGIA PRAXAIR</t>
  </si>
  <si>
    <t>Santiago Posada Agudelo</t>
  </si>
  <si>
    <t>sposada@mt.com.co</t>
  </si>
  <si>
    <t>COTIZACION DE LOS DISEÑOS DE PROTECCIÓN CONTRA INCENDIOS Y SEGURIDAD HUMANA PARA EL PROYECTO CHALET CANTO 2</t>
  </si>
  <si>
    <t>German Monrroy Sanchez</t>
  </si>
  <si>
    <t>gmonroy@mipko.co</t>
  </si>
  <si>
    <t>Constructores MIPKO</t>
  </si>
  <si>
    <t>COTIZACION DEL ANÁLISIS DE SEGURIDAD HUMANA PARA EL PROYECTO EDIFICIO MAREA</t>
  </si>
  <si>
    <t xml:space="preserve">COTIZACION DE LOS DISEÑOS DE PROTECCIÓN CONTRA INCENDIOS Y SEGURIDAD HUMANA PARA EL PROYECTO VERANOVA
</t>
  </si>
  <si>
    <t>Constructora Contex</t>
  </si>
  <si>
    <t>COTIZACION DE LOS DISEÑOS DE PROTECCIÓN CONTRA INCENDIOS Y SEGURIDAD HUMANA PARA EL PROYECTO APARTAMENTOS VAYHU</t>
  </si>
  <si>
    <t>COTIZACION DE LOS DISEÑOS DE PROTECCIÓN CONTRA INCENDIOS Y SEGURIDAD HUMANA PARA EL PROYECTO CEDIS D1</t>
  </si>
  <si>
    <t>COTIZACION DE LOS DISEÑOS DE PROTECCIÓN CONTRA INCENDIOS PARA EL PROYECTO SUNSET TOWER</t>
  </si>
  <si>
    <t>COTIZACION DE REVISIÓN DE LOS SISTEMAS DE PROTECCIÓN CONTRA INCENDIOS INSTALADOS Y LA SEGURIDAD HUMANA PARA EL PROYECTO DISTRITO VERA</t>
  </si>
  <si>
    <t>COTIZACION DE LOS DISEÑOS DE SEGURIDAD HUMANA Y PROTECCIÓN CONTRA INCENDIOS - CLÍNICA CÚCUTA 18.000 M2</t>
  </si>
  <si>
    <t>COTIZACION DEL DISEÑO DE EXTINCIÓN DE INCENDIOS PARA EL PROYECTO NESTLE LA ROSA</t>
  </si>
  <si>
    <t>diseño4@gyd.com.co</t>
  </si>
  <si>
    <t>COTIZACION DE LOS DISEÑOS DE SEGURIDAD HUMANA Y PROTECCIÓN CONTRA INCENDIOS - CLÍNICA COLSÁNITAS BOGOTÁ</t>
  </si>
  <si>
    <t xml:space="preserve">COTIZACION DEL RE-DISEÑO DE DETECCIÓN DE INCENDIOS PARA EL PROYECTO CCOA PISO 1
</t>
  </si>
  <si>
    <t>COTIZACION DEL DISEÑO DE EXTINCIÓN DE INCENDIOS PARA EL PROYECTO CENTRAL RIO PIEDRAS</t>
  </si>
  <si>
    <t>coordinacionvitral@gmail.com</t>
  </si>
  <si>
    <t>Katherin Alzate Jaramillo</t>
  </si>
  <si>
    <t>Grupo Ingenium</t>
  </si>
  <si>
    <t xml:space="preserve">COTIZACION DE LOS DISEÑOS DE PROTECCIÓN CONTRA INCENDIOS Y SEGURIDAD HUMANA PARA EL PROYECTO EDIFICIO VITRAL PARK
</t>
  </si>
  <si>
    <t>Megatoys SAS </t>
  </si>
  <si>
    <t xml:space="preserve">Julie Viviana Piña Aramendiz </t>
  </si>
  <si>
    <t>coordinadorasst@productoseterna.com.co</t>
  </si>
  <si>
    <t xml:space="preserve">COTIZACION DEL DISEÑO DE DETECCIÓN DE INCENDIOS PARA EL PROYECTO BODEGA MEGATOYS
</t>
  </si>
  <si>
    <t>310 5154728</t>
  </si>
  <si>
    <t xml:space="preserve">COTIZACION DE LOS DISEÑOS DE PROTECCIÓN CONTRA INCENDIOS Y SEGURIDAD HUMANA PARA EL PROYECTO PUNTO CLAVE ETAPA 1
</t>
  </si>
  <si>
    <t>COTIZACION DE LOS DISEÑOS DE PROTECCIÓN CONTRA INCENDIOS Y SEGURIDAD HUMANA PARA EL PROYECTO PARQUIAMERICA</t>
  </si>
  <si>
    <t xml:space="preserve">COTIZACION DEL DISEÑO DE EXTINCIÓN DE INCENDIOS PARA EL PROYECTO NESTLE LA ROSA
</t>
  </si>
  <si>
    <t xml:space="preserve">COTIZACION DEL DISEÑO DE EXTINCIÓN DE INCENDIOS PARA EL PROYECTO CIRUGIA PLASTICA CAMILO TORRES
</t>
  </si>
  <si>
    <t xml:space="preserve">Cirugia Camilo Torres </t>
  </si>
  <si>
    <t xml:space="preserve">COTIZACION DE LOS DISEÑOS DE PROTECCIÓN CONTRA INCENDIOS Y SEGURIDAD HUMANA PARA EL PROYECTO MOTEL COPACABANA
</t>
  </si>
  <si>
    <t>COTIZACION DEL DISEÑO DE DETECCIÓN DE INCENDIOS PARA EL PROYECTO BLOQUE 2 UNIVERSIDAD UCC</t>
  </si>
  <si>
    <t>COTIZACION DE PLANOS RECORD RCI PARA PROYECTO CES AMBULATORIO</t>
  </si>
  <si>
    <t xml:space="preserve">comercialipci1jomarkseguridad@gmail.com </t>
  </si>
  <si>
    <t>Juan Camilo Ramirez</t>
  </si>
  <si>
    <t>300 5188270</t>
  </si>
  <si>
    <t>Ingenio BIM</t>
  </si>
  <si>
    <t>Mateo Restrepo Arboleda</t>
  </si>
  <si>
    <t>mateo.restrepo@ingeniobim.co</t>
  </si>
  <si>
    <t>310 4014773</t>
  </si>
  <si>
    <t>COTIZACION DE LOS DISEÑOS DE PROTECCIÓN CONTRA INCENDIOS - TANQUE DE COMBUSTIBLE TURBO</t>
  </si>
  <si>
    <t>COTIZACION LEVANTAMIENTO, MODELACIÓN HIDRÁULICA Y DISEÑO DEL SISTEMA DE EXTINCIÓN DE INCENDIOS PARA CLÍNICA SAN DIEGO</t>
  </si>
  <si>
    <t>ROIngenieria</t>
  </si>
  <si>
    <t xml:space="preserve">COTIZACION DEL DISEÑO DE EXTINCIÓN DE INCENDIOS PARA EL PROYECTO EDI SERVICIO DE ENVASADO
</t>
  </si>
  <si>
    <t>Andres Rativa</t>
  </si>
  <si>
    <t>andres.rativa@roingenieria.com</t>
  </si>
  <si>
    <t>COTIZACION DE LOS DISEÑOS DE PROTECCIÓN CONTRA INCENDIOS Y SEGURIDAD HUMANA PARA EL PROYECTO CELESTI</t>
  </si>
  <si>
    <t>COTIZACION DE LOS DISEÑOS DE PROTECCIÓN CONTRA INCENDIOS Y SEGURIDAD HUMANA PARA EL PROYECTO ELEMENT COUNTRY</t>
  </si>
  <si>
    <t>Sergio@alammo.com.co</t>
  </si>
  <si>
    <t>Sergio Londoño</t>
  </si>
  <si>
    <t xml:space="preserve">COTIZACION DE LOS DISEÑOS DE PROTECCIÓN CONTRA INCENDIOS Y SEGURIDAD HUMANA PARA EL PROYECTO LALINDE
</t>
  </si>
  <si>
    <t>Alamo Construcción</t>
  </si>
  <si>
    <t>COTIZACION DE LOS DISEÑOS DE PROTECCIÓN CONTRA INCENDIOS PARA EL PROYECTO LA CASA AMARILLA</t>
  </si>
  <si>
    <t>COTIZACION DEL DISEÑO DE DETECCIÓN DE INCENDIOS PARA EL PROYECTO BODEGA MEGATOYS</t>
  </si>
  <si>
    <t>COTIZACION DE LOS DISEÑOS DE PROTECCIÓN CONTRA INCENDIOS PARA EL PROYECTO SEMILLA</t>
  </si>
  <si>
    <t xml:space="preserve">COTIZACION DE LOS DISEÑOS DE PROTECCIÓN CONTRA INCENDIOS PARA EL PROYECTO CERRO VERDE
</t>
  </si>
  <si>
    <t xml:space="preserve"> Catalina Hernandez</t>
  </si>
  <si>
    <t>reservas@lamayoria.com</t>
  </si>
  <si>
    <t>3178701188-3505490874</t>
  </si>
  <si>
    <t>La mayoria Restaurante</t>
  </si>
  <si>
    <t>COTIZACION DEL ANÁLISIS DE SEGURIDAD HUMANA PARA EL PROYECTO RESTAURANTE LA MAYORIA</t>
  </si>
  <si>
    <t xml:space="preserve">COTIZACION DE LOS DISEÑOS DE PROTECCIÓN CONTRA INCENDIOS Y SEGURIDAD HUMANA PARA EL PROYECTO VILLA CASTIN TORRE
</t>
  </si>
  <si>
    <t>COTIZACION DE LOS DISEÑOS DE PROTECCIÓN CONTRA INCENDIOS Y SEGURIDAD HUMANA PARA EL PROYECTO VILLA CASTIN</t>
  </si>
  <si>
    <t>gerencia@goodgroup.com.co</t>
  </si>
  <si>
    <t>Luis C. Bueno</t>
  </si>
  <si>
    <t>COTIZACION DEL DISEÑO DE EXTINCIÓN DE INCENDIOS PARA EL PROYECTO PANELA TREBOL</t>
  </si>
  <si>
    <t xml:space="preserve">COTIZACION DEL ANÁLISIS DE SEGURIDAD HUMANA PARA EL PROYECTO BELAVI
</t>
  </si>
  <si>
    <t>Labinmobiliario</t>
  </si>
  <si>
    <t>Ana Maria Toro</t>
  </si>
  <si>
    <t>ana.toro@labinmobiliario.com</t>
  </si>
  <si>
    <t>COTIZACION DE LOS DISEÑOS DE PROTECCIÓN CONTRA INCENDIOS Y SEGURIDAD HUMANA PARA EL PROYECTO OASIS EL RETIRO</t>
  </si>
  <si>
    <t xml:space="preserve">COTIZACION DEL DISEÑO DE DETECCIÓN DE INCENDIOS PARA EL PROYECTO RINCON CHICO
</t>
  </si>
  <si>
    <t>COTIZACION DE LOS DISEÑOS DE PROTECCIÓN CONTRA INCENDIOS PARA EL PROYECTO PLANTA KSI</t>
  </si>
  <si>
    <t>Conaltura</t>
  </si>
  <si>
    <t>gestioncompras@conaltura.com</t>
  </si>
  <si>
    <t>Juan Jose Galvis</t>
  </si>
  <si>
    <t>313 2441001</t>
  </si>
  <si>
    <t xml:space="preserve">COTIZACION DE LOS DISEÑOS DE PROTECCIÓN CONTRA INCENDIOS Y SEGURIDAD HUMANA PARA EL PROYECTO FARO VERDE ETAPA 3
</t>
  </si>
  <si>
    <t>COTIZACION DE LOS DISEÑOS DE PROTECCIÓN CONTRA INCENDIOS Y SEGURIDAD HUMANA PARA EL PROYECTO PRATO</t>
  </si>
  <si>
    <t>COTIZACION DE LOS DISEÑOS DE PROTECCIÓN CONTRA INCENDIOS Y SEGURIDAD HUMANA PARA EL PROYECTO CATALAN ETAPA 2 Y 3</t>
  </si>
  <si>
    <t>COTIZACION DE LOS DISEÑOS DE PROTECCIÓN CONTRA INCENDIOS Y SEGURIDAD HUMANA PARA EL PROYECTO SENDERO SILVESTRE ETAPA 3</t>
  </si>
  <si>
    <t xml:space="preserve">COTIZACION DE LOS DISEÑOS DE PROTECCIÓN CONTRA INCENDIOS Y SEGURIDAD HUMANA PARA EL PROYECTO SOLEI
</t>
  </si>
  <si>
    <t>COTIZACION DE LOS DISEÑOS DE PROTECCIÓN CONTRA INCENDIOS Y SEGURIDAD HUMANA PARA EL PROYECTO NATIVA MALL</t>
  </si>
  <si>
    <t>Proyect &amp; Solution</t>
  </si>
  <si>
    <t>COTIZACION DE LOS DISEÑOS DE EXTINCIÓN DE INCENDIOS PARA EL PROYECTO LOCAL 3110</t>
  </si>
  <si>
    <t xml:space="preserve"> Jorge Arboleda</t>
  </si>
  <si>
    <t>jarboleda@isometrico.com.co</t>
  </si>
  <si>
    <t>Isometrico SAS</t>
  </si>
  <si>
    <t>COTIZACION DEL ANÁLISIS DE SEGURIDAD HUMANA PARA EL PROYECTO BODEGA1</t>
  </si>
  <si>
    <t>Daniela Velez Cortes</t>
  </si>
  <si>
    <t xml:space="preserve">COTIZACION DE LOS DISEÑOS DE PROTECCIÓN CONTRA INCENDIOS Y SEGURIDAD HUMANA PARA EL PROYECTO MONASTERIO
</t>
  </si>
  <si>
    <t>Conexo Inmobiliario</t>
  </si>
  <si>
    <t>Jhonattan Venegas</t>
  </si>
  <si>
    <t>jvenegas@conexoinmobiliario.com</t>
  </si>
  <si>
    <t>COTIZACION DE LOS DISEÑOS DE PROTECCIÓN CONTRA INCENDIOS Y SEGURIDAD HUMANA PARA EL PROYECTO RINCON CHICO</t>
  </si>
  <si>
    <t>cotizaciones@sanmartin.edu.co</t>
  </si>
  <si>
    <t>FUSM</t>
  </si>
  <si>
    <t xml:space="preserve">COTIZACION DE LOS DISEÑOS DE EXTINCIÓN DE INCENDIOS Y SEGURIDAD HUMANA PARA EL PROYECTO TORRE 1 Y 2 FUSM
</t>
  </si>
  <si>
    <t xml:space="preserve">Leidy Alzate Quintero </t>
  </si>
  <si>
    <t>COTIZACION DEL ANÁLISIS DE SEGURIDAD HUMANA PARA EL PROYECTO CCES</t>
  </si>
  <si>
    <t>COTIZACION DE LOS DISEÑOS DE PROTECCIÓN CONTRA INCENDIOS PARA EL PROYECTO LOCAL TIENDA VERDE VIVA ENVIGADO</t>
  </si>
  <si>
    <t xml:space="preserve"> Daniela Ríos Agudelo</t>
  </si>
  <si>
    <t>COTIZACION DEL DISEÑO DE DETECCIÓN DE INCENDIOS PARA EL PROYECTO PLANTA POLYBOL</t>
  </si>
  <si>
    <t>COTIZACION DE CAPACITACIÓN EN SISTEMAS DE PROTECCIÓN CONTRA INCENDIOS Y SEGURIDAD HUMANA</t>
  </si>
  <si>
    <t>COTIZACION DE LOS DISEÑOS DE PROTECCIÓN CONTRA INCENDIOS PARA EL PROYECTO PARCELACION MESETA</t>
  </si>
  <si>
    <t xml:space="preserve">COTIZACION DE LOS DISEÑOS DE PROTECCIÓN CONTRA INCENDIOS PARA EL PROYECTO SEDE HACIENDA YERBA BUENA DEL INSTITUTO CARO Y CUERVO
</t>
  </si>
  <si>
    <t>CEAD N.V</t>
  </si>
  <si>
    <t>Raúl A. Zulueta López</t>
  </si>
  <si>
    <t xml:space="preserve">COTIZACION DEL DISEÑO DE EXTINCIÓN DE INCENDIOS PARA EL PROYECTO REFINERIA SURINAM
</t>
  </si>
  <si>
    <t>r.lopez@ceadnv.com</t>
  </si>
  <si>
    <t xml:space="preserve">COTIZACION DE LOS DISEÑOS DE PROTECCIÓN CONTRA INCENDIOS PARA EL PROYECTO FOKUS
</t>
  </si>
  <si>
    <t>COTIZACION DEL DISEÑO DE DETECCIÓN DE INCENDIOS PARA EL PROYECTO SUCURSAL BANCOLOMBIA CENTRAL DE ABASTOS</t>
  </si>
  <si>
    <t>COTIZACION DEL ANÁLISIS DE SEGURIDAD HUMANA PARA EL PROYECTO VIVIENDA COSTA RICA</t>
  </si>
  <si>
    <t xml:space="preserve"> Ana Maria Torres</t>
  </si>
  <si>
    <t xml:space="preserve"> Esteban Pérez Betancur</t>
  </si>
  <si>
    <t>dguzman@stop.com.co</t>
  </si>
  <si>
    <t>310 735 8330</t>
  </si>
  <si>
    <t>STOP Jeans</t>
  </si>
  <si>
    <t>COTIZACION DE LOS DISEÑOS DE PROTECCIÓN CONTRA INCENDIOS PARA EL PROYECTO TIENDA STOP CC UNICO</t>
  </si>
  <si>
    <t>COTIZACION DE LOS DISEÑOS DE PROTECCIÓN CONTRA INCENDIOS PARA EL PROYECTO CLUB DEPORTIVO LAS PALMAS</t>
  </si>
  <si>
    <t>Paralelo-Group</t>
  </si>
  <si>
    <t>Viviana Gómez</t>
  </si>
  <si>
    <t>vivianagomez@paralelo-group.com</t>
  </si>
  <si>
    <t xml:space="preserve">COTIZACION DE LOS DISEÑOS DE PROTECCIÓN CONTRA INCENDIOS PARA EL PROYECTO BIENESTAR UNIVERSITARIO POLI MEDELLIN
</t>
  </si>
  <si>
    <t>Adriana Gaitan</t>
  </si>
  <si>
    <t>A3Consulting</t>
  </si>
  <si>
    <t>COTIZACION DE LOS DISEÑOS DE PROTECCIÓN CONTRA INCENDIOS Y SEGURIDAD HUMANA PARA EL PROYECTO SEDE CLINICA DEL CAMPESTRE</t>
  </si>
  <si>
    <t xml:space="preserve">Sebastián Aguirre Bustamante  </t>
  </si>
  <si>
    <t>sebastianaguirrebu@gmail.com</t>
  </si>
  <si>
    <t>COTIZACION DEL ANÁLISIS DE SEGURIDAD HUMANA PARA EL PROYECTO EDIFICIO RESIDENCIAL BOGOTA</t>
  </si>
  <si>
    <t>COTIZACION DE LOS DISEÑOS DE PROTECCIÓN CONTRA INCENDIOS Y SEGURIDAD HUMANA PARA EL PROYECTO CLINICA DE ONCOLOGIA VALLEDUPAR</t>
  </si>
  <si>
    <t xml:space="preserve">COTIZACION DE LOS DISEÑOS DE PROTECCIÓN CONTRA INCENDIOS Y SEGURIDAD HUMANA PARA EL PROYECTO WAKE BOSQUE EL RETIRO
</t>
  </si>
  <si>
    <t>andresmunoz@convel.co</t>
  </si>
  <si>
    <t xml:space="preserve">COTIZACION DEL ANÁLISIS DE SEGURIDAD HUMANA PARA EL PROYECTO PROYECTO REFORMA CENTRO MERCANTIL 2
</t>
  </si>
  <si>
    <t xml:space="preserve">COTIZACION DEL ANÁLISIS DE SEGURIDAD HUMANA PARA EL PROYECTO PROYECTO AMARILO CALLE 26
</t>
  </si>
  <si>
    <t>Andres Malagon Moreno</t>
  </si>
  <si>
    <t>hmalagonm@conconcreto.com</t>
  </si>
  <si>
    <t>318 6514879</t>
  </si>
  <si>
    <t xml:space="preserve"> Viviana Gomez</t>
  </si>
  <si>
    <t>COTIZACION DEL ANÁLISIS DE SEGURIDAD HUMANA PARA EL PROYECTO CLUB DEPORTIVO LAS PALMAS</t>
  </si>
  <si>
    <t>Compose</t>
  </si>
  <si>
    <t xml:space="preserve">COTIZACION DEL DISEÑO DE EXTINCIÓN DE INCENDIOS PARA EL PROYECTO HARMONY
</t>
  </si>
  <si>
    <t>David Uribe</t>
  </si>
  <si>
    <t>curibe@compose.com.co</t>
  </si>
  <si>
    <t xml:space="preserve">COTIZACION DEL DISEÑO DE DETECCIÓN DE INCENDIOS PARA EL PROYECTO EDIFICIO MIGUEL AGUINAGA
</t>
  </si>
  <si>
    <t>juliomillan@fpservices.com.co</t>
  </si>
  <si>
    <t>Julio Millan Trujillo</t>
  </si>
  <si>
    <t>COTIZACION DEL ANÁLISIS DE SEGURIDAD HUMANA PARA EL PROYECTO TYBÁ</t>
  </si>
  <si>
    <t>Andres Diaz Daza</t>
  </si>
  <si>
    <t>Pubenza Aristizabal</t>
  </si>
  <si>
    <t>COTIZACION DE LOS DISEÑOS DE PROTECCIÓN CONTRA INCENDIOS Y SEGURIDAD HUMANA PARA EL PROYECTO HARAS</t>
  </si>
  <si>
    <t>COTIZACION DEL DISEÑO DE EXTINCIÓN DE INCENDIOS PARA EL PROYECTO ASTILLEROS BARRANQUILLA</t>
  </si>
  <si>
    <t>Juan Andres Cassares</t>
  </si>
  <si>
    <t>residenteadministrativo@progressa.com.co</t>
  </si>
  <si>
    <t xml:space="preserve">COTIZACION DEL DISEÑO DE EXTINCIÓN DE INCENDIOS PARA EL PROYECTO OLIUM PARK
</t>
  </si>
  <si>
    <t>coordinadoracomercial@securetec.com.co</t>
  </si>
  <si>
    <t>Diana Yamile Betancur</t>
  </si>
  <si>
    <t xml:space="preserve">COTIZACION DE LOS DISEÑOS DE PROTECCIÓN CONTRA INCENDIOS Y SEGURIDAD HUMANA PARA EL PROYECTO CASA AMARILLA
</t>
  </si>
  <si>
    <t>COTIZACIÓN DE LOS DISEÑOS DE DETECCIÓN DE INCENDIOS PARA EL CEDI DE FAMILIA</t>
  </si>
  <si>
    <t>COTIZACION DE LOS DISEÑOS DE PROTECCIÓN CONTRA INCENDIOS Y SEGURIDAD HUMANA PARA EL PROYECTO 54 PARK</t>
  </si>
  <si>
    <t>COTIZACION DE LOS DISEÑOS DE PROTECCIÓN CONTRA INCENDIOS PARA EL PROYECTO LOCAL FLORIDA PLAZA</t>
  </si>
  <si>
    <t xml:space="preserve"> rafaelb@toroposada.com</t>
  </si>
  <si>
    <t xml:space="preserve">COTIZACION DEL DISEÑO DE DETECCIÓN DE INCENDIOS PARA EL PROYECTO SUCURSAL PUERTO DE BOYACA 254
</t>
  </si>
  <si>
    <t>no se envió</t>
  </si>
  <si>
    <t>COTIZACION DE LOS DISEÑOS DE DETECCIÓN DE INCENDIOS Y SEGURIDAD HUMANA PARA EL PROYECTO kuo</t>
  </si>
  <si>
    <t>COTIZACION DEL DISEÑO DE EXTINCIÓN DE INCENDIOS PARA EL PROYECTO EDIFICIO RIVERIE</t>
  </si>
  <si>
    <t>Sergio Ramos Carmona</t>
  </si>
  <si>
    <t>ernestov@progressa.com.co</t>
  </si>
  <si>
    <t>Ernesto Castaño</t>
  </si>
  <si>
    <t>COTIZACION DEL ANÁLISIS DE SEGURIDAD HUMANA PARA EL PROYECTO BODEGA 202</t>
  </si>
  <si>
    <t xml:space="preserve">COTIZACION DEL DISEÑO DE EXTINCIÓN DE INCENDIOS PARA EL PROYECTO BODEGA 202
</t>
  </si>
  <si>
    <t>Alejandro Torres Triana</t>
  </si>
  <si>
    <t xml:space="preserve">Constructora BLT </t>
  </si>
  <si>
    <t>COTIZACION DE LOS DISEÑOS DE PROTECCIÓN CONTRA INCENDIOS Y SEGURIDAD HUMANA PARA EL PROYECTO AVENTINO SABANETA</t>
  </si>
  <si>
    <t>COTIZACION DE LOS DISEÑOS DE SEGURIDAD HUMANA Y PROTECCIÓN CONTRA INCENDIOS - PARQUEADEROS LA SALLE ETAPA 1</t>
  </si>
  <si>
    <t>COTIZACION REVISIÓN SISTEMAS CONTRA INCENDIO Y LA SEGURIDAD HUMANA PARA EL PROYECTO APARTAMENTOS AVALON</t>
  </si>
  <si>
    <t>MTS</t>
  </si>
  <si>
    <t>Santiago Certuche</t>
  </si>
  <si>
    <t>mantenimientosantillana@mts.com.co</t>
  </si>
  <si>
    <t>COTIZACION DE LA INSPECCIÓN VISUAL Y PRUEBAS DE FLUJO A LAS CONEXIONES DE MANGUERA DE EXTINCIÓN DE INCENDIOS - SANTILLANA</t>
  </si>
  <si>
    <t>COTIZACION DE LOS DISEÑOS DE EXTINCIÓN DE INCENDIOS Y SEGURIDAD HUMANA PARA EL PROYECTO APIA</t>
  </si>
  <si>
    <t>COTIZACION DE LOS DISEÑOS DE PROTECCIÓN CONTRA INCENDIOS PARA EL PROYECTO SURA MOLINOS</t>
  </si>
  <si>
    <t>Carmona Ríos Sergio</t>
  </si>
  <si>
    <t>scarmona@ains.com.co</t>
  </si>
  <si>
    <t>Sergio Rios</t>
  </si>
  <si>
    <t>COTIZACION DE LOS DISEÑOS DE PROTECCIÓN CONTRA INCENDIOS Y SEGURIDAD HUMANA PARA EL PROYECTO SUITE’S</t>
  </si>
  <si>
    <t xml:space="preserve">COTIZACION DE LOS DISEÑOS DE EXTINCIÓN DE INCENDIOS Y SEGURIDAD HUMANA PARA EL PROYECTO ENZO
</t>
  </si>
  <si>
    <t xml:space="preserve">COTIZACION DE LOS DISEÑOS DE PROTECCIÓN CONTRA INCENDIOS Y SEGURIDAD HUMANA PARA EL PROYECTO APIA
</t>
  </si>
  <si>
    <t>operacionesingesed@gmail.com</t>
  </si>
  <si>
    <t>NIVELUM</t>
  </si>
  <si>
    <t xml:space="preserve">Alvaro Augusto Ortiz Garcia </t>
  </si>
  <si>
    <t>aortiz@nivelum.com</t>
  </si>
  <si>
    <t>311 715 25 49</t>
  </si>
  <si>
    <t xml:space="preserve">COTIZACION DE LOS DISEÑOS DE PROTECCIÓN CONTRA INCENDIOS PARA EL PROYECTO LA CASTELLANA
</t>
  </si>
  <si>
    <t>proyectos.fpservices@gmail.com</t>
  </si>
  <si>
    <t xml:space="preserve">COTIZACION DEL DISEÑO DE EXTINCIÓN DE INCENDIOS PARA EL PROYECTO FORMAS INTIMAS
</t>
  </si>
  <si>
    <t>COTIZACION DE LOS DISEÑOS DE PROTECCIÓN CONTRA INCENDIOS Y SEGURIDAD HUMANA PARA EL PROYECTO CASA LLERAS</t>
  </si>
  <si>
    <t>Juan Camilo Montoya</t>
  </si>
  <si>
    <t>juan.montoya@clk.com.co</t>
  </si>
  <si>
    <t>CLK VENUES</t>
  </si>
  <si>
    <t xml:space="preserve">COTIZACION DEL DISEÑO DE EXTINCIÓN DE INCENDIOS PARA EL PROYECTO ARENA BARRANQUILLA
</t>
  </si>
  <si>
    <t>Javier Zapata</t>
  </si>
  <si>
    <t>javierzapa25@gmail.com</t>
  </si>
  <si>
    <t xml:space="preserve">COTIZACION DE LOS DISEÑOS DE PROTECCIÓN CONTRA INCENDIOS Y SEGURIDAD HUMANA PARA EL PROYECTO PANTANILLO
</t>
  </si>
  <si>
    <t>COTIZACION DE LOS DISEÑOS DE PROTECCIÓN CONTRA INCENDIOS PARA EL PROYECTO ALUMINA EN ACOPY YUMBO</t>
  </si>
  <si>
    <t>Maria Jose Mendez</t>
  </si>
  <si>
    <t>Alumina SA</t>
  </si>
  <si>
    <t>mmendez@alumina.com</t>
  </si>
  <si>
    <t>COTIZACION DEL DISEÑO DE EXTINCIÓN DE INCENDIOS PARA EL PROYECTO SUBESTACION - MANE</t>
  </si>
  <si>
    <t>COTIZACION DEL DISEÑO DE EXTINCIÓN DE INCENDIOS PARA EL PROYECTO ESTANTERIAS DE ALMACEN -MANE</t>
  </si>
  <si>
    <t xml:space="preserve">COTIZACION DEL DISEÑO DE EXTINCIÓN DE INCENDIOS PARA EL PROYECTO MEZANINE Y PASILLO PLANTA SABORES -MANE
</t>
  </si>
  <si>
    <t xml:space="preserve">COTIZACION DEL DISEÑO DE EXTINCIÓN DE INCENDIOS PARA EL PROYECTO MEZANINE Y PASILLO PLANTA FRAGANCIAS - MANE
</t>
  </si>
  <si>
    <t>COTIZACION DEL DISEÑO DE EXTINCIÓN DE INCENDIOS PARA EL PROYECTO CUARTO FRIO PLANTA SABORES - MANE</t>
  </si>
  <si>
    <t>COTIZACION DEL DISEÑO DE EXTINCIÓN DE INCENDIOS PARA EL PROYECTO CUARTO FRIO PLANTA FRAGANCIAS - MANE</t>
  </si>
  <si>
    <t>Constructora las Agalias</t>
  </si>
  <si>
    <t>(601) 7455179</t>
  </si>
  <si>
    <t>Constructora House</t>
  </si>
  <si>
    <t>constructora.house19@gmail.com</t>
  </si>
  <si>
    <t>COTIZACION DE LOS DISEÑOS DE PROTECCIÓN CONTRA INCENDIOS PARA EL PROYECTO VERTICE 115</t>
  </si>
  <si>
    <t>COTIZACION DEL DISEÑO DE EXTINCIÓN DE INCENDIOS PARA EL PROYECTO SMURFIT KAPPA</t>
  </si>
  <si>
    <t>COTIZACION DE LOS DISEÑOS DE PROTECCIÓN CONTRA INCENDIOS PARA EL PROYECTO OLIUM PARK</t>
  </si>
  <si>
    <t>COTIZACION DE LOS DISEÑOS DE PROTECCIÓN CONTRA INCENDIOS Y SEGURIDAD HUMANA PARA EL PROYECTO BELISARIO BAR</t>
  </si>
  <si>
    <t>seriinco</t>
  </si>
  <si>
    <t>COTIZACION DEL DISEÑO DE EXTINCIÓN DE INCENDIOS PARA EL PROYECTO SUBESTACION FAMILIA</t>
  </si>
  <si>
    <t>COTIZACION DEL DISEÑO DE DETECCIÓN DE INCENDIOS PARA EL PROYECTO MOLINO SAN MIGUEL</t>
  </si>
  <si>
    <t>COTIZACION DEL ANÁLISIS DE SEGURIDAD HUMANA PARA EL PROYECTO HOGAR ADULTO MAYOR CALI</t>
  </si>
  <si>
    <t>COTIZACION DE LOS DISEÑOS DE PROTECCIÓN CONTRA INCENDIOS PARA EL PROYECTO HOGAR ADULTO MAYOR CALI</t>
  </si>
  <si>
    <t>COTIZACION DE LOS DISEÑOS DE PROTECCIÓN CONTRA INCENDIOS Y SEGURIDAD HUMANA PARA EL PROYECTO EL CARMEN COLONIAL ETAPA 3</t>
  </si>
  <si>
    <t>d.tjang-a-sjin@ceadnv.com</t>
  </si>
  <si>
    <t>COTIZACION DE LOS DISEÑOS DE PROTECCIÓN CONTRA INCENDIOS PARA EL PROYECTO EBS OGANE</t>
  </si>
  <si>
    <t>Demi Tjang-A-Sjin</t>
  </si>
  <si>
    <t>Julio Milan Trujillo</t>
  </si>
  <si>
    <t>COTIZACION DEL DISEÑO DE EXTINCIÓN DE INCENDIOS PARA EL PROYECTO PANIFICADORA PRODUPAN</t>
  </si>
  <si>
    <t>Zully Milena Lopez Molina</t>
  </si>
  <si>
    <t>COTIZACION DEL DISEÑO DE DETECCIÓN DE INCENDIOS PARA EL PROYECTO VISITA COMERCIAL BARRANQUILLA</t>
  </si>
  <si>
    <t xml:space="preserve"> ROBINSON MARULANDA GUARIN</t>
  </si>
  <si>
    <t>COTIZACION DE LOS DISEÑOS DE PROTECCIÓN CONTRA INCENDIOS Y SEGURIDAD HUMANA PARA EL PROYECTO SAN CAYETANO (ROSSE)</t>
  </si>
  <si>
    <t>COTIZACION DE LOS DISEÑOS DE DETECCIÓN DE INCENDIOS Y SEGURIDAD HUMANA PARA EL PROYECTO SALA DE EVENTOS BC ATRIO</t>
  </si>
  <si>
    <t> Boho Investment SAS</t>
  </si>
  <si>
    <t>COTIZACION DEL ANÁLISIS DE SEGURIDAD HUMANA PARA EL PROYECTO BOHO</t>
  </si>
  <si>
    <t>Juan David Castiblanco Lopez</t>
  </si>
  <si>
    <t>tecnicoboho@gmail.com</t>
  </si>
  <si>
    <t>COTIZACION DE LOS DISEÑOS DE EXTINCIÓN DE INCENDIOS Y SEGURIDAD HUMANA PARA EL PROYECTO LOCAL TEOCELL</t>
  </si>
  <si>
    <t>Julian Gutierrez</t>
  </si>
  <si>
    <t>COTIZACION DE LOS DISEÑOS DE PROTECCIÓN CONTRA INCENDIOS Y SEGURIDAD HUMANA PARA EL PROYECTO KUA COLIVING LAURELES</t>
  </si>
  <si>
    <t>Danna Paulina Obregon Grisales</t>
  </si>
  <si>
    <t>dpobregon@westquimica.com</t>
  </si>
  <si>
    <t xml:space="preserve">COTIZACION DE LOS DISEÑOS DE PROTECCIÓN CONTRA INCENDIOS Y SEGURIDAD HUMANA PARA EL PROYECTO ENZO
</t>
  </si>
  <si>
    <t>321 8338189</t>
  </si>
  <si>
    <t>COTIZACION DEL DISEÑO DE EXTINCIÓN DE INCENDIOS PARA EL PROYECTO REVISION PROYECTO PLANTA DE ALMACENAMIENTO WEST QUIMICA</t>
  </si>
  <si>
    <t>COTIZACION DE LOS DISEÑOS DE PROTECCIÓN CONTRA INCENDIOS Y SEGURIDAD HUMANA PARA EL PROYECTO LOTE LORETO ETAPAS 1 Y 2</t>
  </si>
  <si>
    <t>COTIZACION DEL DISEÑO DE EXTINCIÓN DE INCENDIOS PARA EL PROYECTO PISO -1 CLÍNICA OFTALMOLÓGICA</t>
  </si>
  <si>
    <t>No se presentó, se venció el tiempo</t>
  </si>
  <si>
    <t>COTIZACION DEL DISEÑO DE DETECCIÓN DE INCENDIOS - CCM PLANTA ORANGE FAMILIA</t>
  </si>
  <si>
    <t>COTIZACION DEL DISEÑO DE DETECCIÓN DE INCENDIOS - IMUSA RIONEGRO</t>
  </si>
  <si>
    <t>COTIZACION DEL LEVANTAMIENTO Y ELABORACIÓN DE PLANOS BÁSICOS - IMUSA RIONEGRO</t>
  </si>
  <si>
    <t>COTIZACION DEL ANÁLISIS DE SEGURIDAD HUMANA PARA EL PROYECTO ALKOSTO MOSQUERA</t>
  </si>
  <si>
    <t>paola.cruz@masterplan.com.co</t>
  </si>
  <si>
    <t>Paola Cruz</t>
  </si>
  <si>
    <t>Master Plan Ingenieria</t>
  </si>
  <si>
    <t>COTIZACION DE LOS DISEÑOS DE PROTECCIÓN CONTRA INCENDIOS Y SEGURIDAD HUMANA PARA EL PROYECTO RHY7</t>
  </si>
  <si>
    <t>444 43 37</t>
  </si>
  <si>
    <t>Jorge Antonio Hoyos Santis</t>
  </si>
  <si>
    <t>jhoyos@conexoinmobiliario.com</t>
  </si>
  <si>
    <t>COTIZACION DE LOS DISEÑOS DE PROTECCIÓN CONTRA INCENDIOS Y SEGURIDAD HUMANA PARA EL PROYECTO NOMBRE ZIBA</t>
  </si>
  <si>
    <t>Mauricio Castellanos Villamizar</t>
  </si>
  <si>
    <t>analista.presupuesto@seriinco.com</t>
  </si>
  <si>
    <t>COTIZACION DEL DISEÑO DE DETECCIÓN DE INCENDIOS PARA EL PROYECTO CUARTO DE COMPRESORES</t>
  </si>
  <si>
    <t>COTIZACION DE LOS DISEÑOS DE PROTECCIÓN CONTRA INCENDIOS Y SEGURIDAD HUMANA PARA EL PROYECTO WEG</t>
  </si>
  <si>
    <t>COTIZACION DEL DISEÑO DE EXTINCIÓN DE INCENDIOS PARA EL PROYECTO PUERTO SOL SANTA MARTA</t>
  </si>
  <si>
    <t>COTIZACION LEVANTAMIENTO DE LOS SISTEMAS EXISTENTES - SURA MOLINOS</t>
  </si>
  <si>
    <t xml:space="preserve">COTIZACION DE LOS DISEÑOS DE PROTECCIÓN CONTRA INCENDIOS PARA EL PROYECTO LOCAL COMODISIMOS FLORIDA 2
</t>
  </si>
  <si>
    <t>Jorge Hoyos Santis</t>
  </si>
  <si>
    <t>COTIZACION DE LOS DISEÑOS DE PROTECCIÓN CONTRA INCENDIOS Y SEGURIDAD HUMANA PARA EL PROYECTO CASA RIGO</t>
  </si>
  <si>
    <t>COTIZACIÓN DE LOS DISEÑOS DE PROTECCIÓN CONTRA INCENDIOS PARA EL PROYECTO KUA COLIVING LAURELES</t>
  </si>
  <si>
    <t>COTIZACION DE LOS DISEÑOS DE PROTECCIÓN CONTRA INCENDIOS PARA EL PROYECTO LOCAL COMODISIMOS BUCARAMANGA</t>
  </si>
  <si>
    <t>Martha Milena Hernández Marín</t>
  </si>
  <si>
    <t xml:space="preserve"> 300 656 3981</t>
  </si>
  <si>
    <t xml:space="preserve">COTIZACION DEL ANÁLISIS DE SEGURIDAD HUMANA PARA EL PROYECTO PLANTA INDUSTRIAL
</t>
  </si>
  <si>
    <t xml:space="preserve">COTIZACION DEL DISEÑO DE DETECCIÓN DE INCENDIOS PARA EL PROYECTO VILLA BOSQUE NATIVO
</t>
  </si>
  <si>
    <t xml:space="preserve">Grupo Jaluma </t>
  </si>
  <si>
    <t>Esperando visita</t>
  </si>
  <si>
    <t>manuela.henao@desur.gov.co</t>
  </si>
  <si>
    <t>Manuela Henao Lopez</t>
  </si>
  <si>
    <t>Deacon SAS</t>
  </si>
  <si>
    <t>COTIZACION DEL DISEÑO DE EXTINCIÓN DE INCENDIOS PARA EL PROYECTO GIMNASIO ACTION SEDE CONNECTA 80</t>
  </si>
  <si>
    <t xml:space="preserve">COTIZACION DEL ANÁLISIS DE SEGURIDAD HUMANA PARA EL PROYECTO SENA SANTAFE DE ANTIOQUIA
</t>
  </si>
  <si>
    <t>COTIZACIÓN REVISIÓN Y CONCEPTO SOBRE PRESIÓN EDIFICIO OFI7</t>
  </si>
  <si>
    <t>COTIZACIÓN REVISIÓN DISEÑOS SEGURIDAD HUMANA Y EXTINCIÓN LOS CAMBULOS</t>
  </si>
  <si>
    <t>COTIZACIÓN RESPUESTAS PERITAJE BIOCITY GRAND</t>
  </si>
  <si>
    <t>Laura Jiménez Grajales</t>
  </si>
  <si>
    <t>dircambulos@constructoradeobras.com</t>
  </si>
  <si>
    <t>Constructora Guasandi S.A.S</t>
  </si>
  <si>
    <t xml:space="preserve">COTIZACION DEL DISEÑO DE EXTINCIÓN DE INCENDIOS PARA EL PROYECTO AVOPAK
</t>
  </si>
  <si>
    <t xml:space="preserve">COTIZACION DE LOS DISEÑOS DE PROTECCIÓN CONTRA INCENDIOS PARA EL PROYECTO LAMIEMPAQUES
</t>
  </si>
  <si>
    <t>hernan.ortiz@rentingspci.com.co</t>
  </si>
  <si>
    <t>Constructora Capital</t>
  </si>
  <si>
    <t>carlosgomez@lineasismica.com.co</t>
  </si>
  <si>
    <t>Línea Sísmica S.A.S.</t>
  </si>
  <si>
    <t>Carlos Alberto Gómez Ramírez</t>
  </si>
  <si>
    <t>COTIZACION DEL DISEÑO DE DETECCIÓN DE INCENDIOS PARA EL PROYECTO EDFICIO ARTIKA</t>
  </si>
  <si>
    <t>COTIZACION DEL DISEÑO DE DETECCIÓN DE INCENDIOS PARA EL PROYECTO EDFICIO PIÑON</t>
  </si>
  <si>
    <t>313 7075104</t>
  </si>
  <si>
    <t>Cindy Gomez</t>
  </si>
  <si>
    <t xml:space="preserve">COTIZACION DE LOS DISEÑOS DE PROTECCIÓN CONTRA INCENDIOS PARA EL PROYECTO CENTRO DE FE Y ESPERANZA
</t>
  </si>
  <si>
    <t>COTIZACION DEL DISEÑO DE EXTINCIÓN DE INCENDIOS PARA EL PROYECTO LOCAL 3089 PLAZA FABRICATO</t>
  </si>
  <si>
    <t>COTIZACION DE LOS DISEÑOS DE PROTECCIÓN CONTRA INCENDIOS Y SEGURIDAD HUMANA PARA EL PROYECTO COPACABANA ETAPA 1,2,3</t>
  </si>
  <si>
    <t>COTIZACION DEL DISEÑO DE DETECCIÓN DE INCENDIOS PARA EL PROYECTO PLANTA DE ALMACEN DE ALCOHOLES DE RON HNOS BERMUDEZ</t>
  </si>
  <si>
    <t>COTIZACION DEL DISEÑO DE EXTINCIÓN DE INCENDIOS - BLOQUE COLEGIO</t>
  </si>
  <si>
    <t xml:space="preserve">COTIZACION DEL ANÁLISIS DE SEGURIDAD HUMANA PARA EL PROYECTO UNIDAD RESIDENCIAL 
</t>
  </si>
  <si>
    <t>COTIZACION DE LOS DISEÑOS DE PROTECCIÓN CONTRA INCENDIOS Y SEGURIDAD HUMANA PARA EL PROYECTO GIN</t>
  </si>
  <si>
    <t>Diana Giraldo Gutiérrez</t>
  </si>
  <si>
    <t>PERFECK</t>
  </si>
  <si>
    <t>posventas@perfek.com.co</t>
  </si>
  <si>
    <t>606 885 3790</t>
  </si>
  <si>
    <t>COTIZACION DEL ANÁLISIS DE SEGURIDAD HUMANA PARA EL PROYECTO ICARU TORRE 1</t>
  </si>
  <si>
    <r>
      <t>Katheryn Garcia</t>
    </r>
    <r>
      <rPr>
        <sz val="12"/>
        <color rgb="FF222222"/>
        <rFont val="Arial"/>
        <family val="2"/>
      </rPr>
      <t> </t>
    </r>
  </si>
  <si>
    <t>garciakathe.96@gmail.com</t>
  </si>
  <si>
    <t>COTIZACION DE LOS DISEÑOS DE PROTECCIÓN CONTRA INCENDIOS Y SEGURIDAD HUMANA PARA EL PROYECTO HILTON GUATAPE</t>
  </si>
  <si>
    <t>Girar Construcciones</t>
  </si>
  <si>
    <t>AFC</t>
  </si>
  <si>
    <t xml:space="preserve">Andrés Cruz </t>
  </si>
  <si>
    <t>COTIZACION DEL ANÁLISIS DE SEGURIDAD HUMANA PARA EL PROYECTO RIVERIE</t>
  </si>
  <si>
    <t xml:space="preserve">COTIZACION DE LOS DISEÑOS DE PROTECCIÓN CONTRA INCENDIOS PARA EL PROYECTO CAMPAMENTO MONTEVERDE
</t>
  </si>
  <si>
    <t>Bitácora Ingeniería</t>
  </si>
  <si>
    <t>Luisa Alarcón</t>
  </si>
  <si>
    <t>luisa.alarcon@bitacoraingenieria.com</t>
  </si>
  <si>
    <t>COTIZACION DE LOS DISEÑOS DE PROTECCIÓN CONTRA INCENDIOS Y SEGURIDAD HUMANA PARA LOS PROYECTOS: CEC ZONA 7 TIRANON, CEC ZONA 8 ALCALÁ Y CANCHAS EN ALTURAS</t>
  </si>
  <si>
    <t xml:space="preserve"> 4801300 Ext 148</t>
  </si>
  <si>
    <t xml:space="preserve">COTIZACION DEL DISEÑO DE EXTINCIÓN DE INCENDIOS PARA EL PROYECTO GABINETE VILLAVICENCIO
</t>
  </si>
  <si>
    <t xml:space="preserve"> Carlos Almanya Patiño</t>
  </si>
  <si>
    <t>COTIZACION DE LOS DISEÑOS DE PROTECCIÓN CONTRA INCENDIOS Y SEGURIDAD HUMANA PARA EL PROYECTO CASA DE RIGO</t>
  </si>
  <si>
    <t>COTIZACION DEL DISEÑO DE DETECCIÓN, EVACUACION Y NOTIFICACION DE INCENDIOS PARA EL PROYECTO ELECTROCONTROL</t>
  </si>
  <si>
    <t xml:space="preserve">COTIZACION DEL ANÁLISIS DE SEGURIDAD HUMANA PARA EL PROYECTO SURA LOS MOLINOS
</t>
  </si>
  <si>
    <t>COTIZACION DEL DISEÑO DE DETECCIÓN DE INCENDIOS PARA EL PROYECTO COLCAFE</t>
  </si>
  <si>
    <t xml:space="preserve">Alejandro Hernández </t>
  </si>
  <si>
    <t>COTIZACION DE LOS DISEÑOS DE PROTECCIÓN CONTRA INCENDIOS Y SEGURIDAD HUMANA PARA EL PROYECTO LOTE CALLE 16 C SUR</t>
  </si>
  <si>
    <t>COTIZACION DEL DISEÑO DE EXTINCIÓN DE INCENDIOS PARA EL PROYECTO TIENDA D1 BUCARAMANGA</t>
  </si>
  <si>
    <t>proyectoselectricosamd@gmail.com</t>
  </si>
  <si>
    <t>Aida Diaz</t>
  </si>
  <si>
    <t>Proyectos Electricos Samd</t>
  </si>
  <si>
    <t>COTIZACION DEL DISEÑO DE EXTINCIÓN DE INCENDIOS PARA EL PROYECTO LOCAL 133 TORRE MEDICA LAS VEGAS</t>
  </si>
  <si>
    <t>COTIZACION DEL DISEÑO DE EXTINTORES PORTÁTILES CONTRA INCEDNIOS PARA EL PROYECTO TRES CANTOS</t>
  </si>
  <si>
    <t>Centro Sur</t>
  </si>
  <si>
    <t>Natalia Andrea Vásquez Zapata</t>
  </si>
  <si>
    <t>nataliavasquez@centrosur.co</t>
  </si>
  <si>
    <t>COTIZACION DEL ANÁLISIS DE SEGURIDAD HUMANA PARA EL PROYECTO VIBRATTO</t>
  </si>
  <si>
    <t xml:space="preserve">COTIZACION DE LOS DISEÑOS DE PROTECCIÓN CONTRA INCENDIOS PARA EL PROYECTO KENT &amp; SORRENTO
</t>
  </si>
  <si>
    <t>Clinica CES</t>
  </si>
  <si>
    <t>COTIZACION DE LOS DISEÑOS DE PROTECCIÓN CONTRA INCENDIOS PARA EL PROYECTO CLINICA CES ETAPA 3</t>
  </si>
  <si>
    <t>COTIZACION DEL DISEÑO DE DETECCIÓN DE INCENDIOS PARA EL PROYECTO TIENDA D1 BUCARAMANGA</t>
  </si>
  <si>
    <t>COTIZACION DEL DISEÑO DE EXTINCIÓN DE INCENDIOS PARA EL PROYECTO TIENDA D1 ZEBAN</t>
  </si>
  <si>
    <t>COTIZACION DE LOS DISEÑOS DE PROTECCIÓN CONTRA INCENDIOS Y SEGURIDAD HUMANA PARA EL PROYECTO BLAZÉ GUATAPE</t>
  </si>
  <si>
    <t>COTIZACION DE LOS DISEÑOS DE PROTECCIÓN CONTRA INCENDIOS - FORMAS ÍNTIMAS</t>
  </si>
  <si>
    <t>COTIZACION DE LOS DISEÑOS DE PROTECCIÓN CONTRA INCENDIOS Y SEGURIDAD HUMANA PARA EL PROYECTO LA VIDA ES BELLA 2 ETAPA 2</t>
  </si>
  <si>
    <t>COTIZACION DEL DISEÑO DE DETECCIÓN DE INCENDIOS PARA EL PROYECTO COLCAFE AFC</t>
  </si>
  <si>
    <t>Andres Cruz</t>
  </si>
  <si>
    <t xml:space="preserve">	3116456726</t>
  </si>
  <si>
    <t>proyectos.afcprofire@gmail.com</t>
  </si>
  <si>
    <t>PRESUPUESTO SISTEMAS DE PROTECCIÓN CONTRA INCENDIOS CEDI</t>
  </si>
  <si>
    <t xml:space="preserve"> 316 7417025</t>
  </si>
  <si>
    <t xml:space="preserve">COTIZACION DE LOS DISEÑOS DE PROTECCIÓN CONTRA INCENDIOS PARA EL PROYECTO HALL CAJEROS NUESTRO MONTERIA
</t>
  </si>
  <si>
    <t>QUOTE REVIEW AND VERIFICATION FIRE PROTECTION SYSTEM - DIESEL TANKS</t>
  </si>
  <si>
    <t>Jhonny A. Castro</t>
  </si>
  <si>
    <t>COTIZACION DE LOS DISEÑOS DE PROTECCIÓN CONTRA INCENDIOS Y SEGURIDAD HUMANA PARA EL PROYECTO IMUSA COPACABANA</t>
  </si>
  <si>
    <t>COTIZACION DE LOS DISEÑOS DE PROTECCIÓN CONTRA INCENDIOS PARA EL PROYECTO SUBESTACION SMURFIT KAPPA</t>
  </si>
  <si>
    <t>COTIZACION DEL DISEÑO DE EXTINCIÓN DE INCENDIOS PARA EL PROYECTO CASA DE LA CULTURA GUARNE</t>
  </si>
  <si>
    <t>COTIZACION DEL ANÁLISIS DE SEGURIDAD HUMANA PARA EL PROYECTO ECOPETROL</t>
  </si>
  <si>
    <t>Andrés Felipe Martínez Arismendy</t>
  </si>
  <si>
    <t>amartineza@conconcreto.com</t>
  </si>
  <si>
    <t>COTIZACION DEL ANÁLISIS DE SEGURIDAD HUMANA PARA EL PROYECTO PUNTA CANA</t>
  </si>
  <si>
    <t>Pulso Promotora</t>
  </si>
  <si>
    <t>Didier Duque Jaramillo</t>
  </si>
  <si>
    <t>dduque@pulsoproyectos.com</t>
  </si>
  <si>
    <t>COTIZACION DE LOS DISEÑOS DE PROTECCIÓN CONTRA INCENDIOS Y SEGURIDAD HUMANA PARA EL PROYECTO J.A.C BETANIA SABANETA</t>
  </si>
  <si>
    <t>COTIZACION DE LOS DISEÑOS DE PROTECCIÓN CONTRA INCENDIOS Y SEGURIDAD HUMANA PARA EL PROYECTO BODEGAS SITECO</t>
  </si>
  <si>
    <t>COTIZACION DE LOS DISEÑOS DE PROTECCIÓN CONTRA INCENDIOS PARA EL PROYECTO CAMPAMENTO MONTEVERDE</t>
  </si>
  <si>
    <t>Lina M Saldarriaga Valencia</t>
  </si>
  <si>
    <t>Interlg</t>
  </si>
  <si>
    <t>COTIZACION DEL DISEÑO DE EXTINCIÓN DE INCENDIOS PARA EL PROYECTO ZONA DE COMIDAS ANTIGUAS SAN NICOLAS</t>
  </si>
  <si>
    <t>COTIZACION DEL DISEÑO DE EXTINCIÓN DE INCENDIOS PARA EL PROYECTO CONSULTORIO</t>
  </si>
  <si>
    <t>COTIZACION DE LOS DISEÑOS DE PROTECCIÓN CONTRA INCENDIOS PARA EL PROYECTO LOCAL SANTA FÉ</t>
  </si>
  <si>
    <t>COTIZACION DE LOS DISEÑOS DE PROTECCIÓN CONTRA INCENDIOS Y SEGURIDAD HUMANA PARA EL PROYECTO LOTE COLINAS DE OCCIDENTE</t>
  </si>
  <si>
    <t>598 - B</t>
  </si>
  <si>
    <t>COTIZACION DE LOS DISEÑOS DE PROTECCIÓN CONTRA INCENDIOS Y SEGURIDAD HUMANA PARA EL PROYECTO BODEGA CREAJEANS</t>
  </si>
  <si>
    <t>COTIZACION DEL DISEÑO DE EXTINTORES PORTÉTILES CONTRA INCENDIOS PARA LA PLANTA McCAIN</t>
  </si>
  <si>
    <t>COTIZACION DEL PLAN MAESTRO DE PROTECCIÓN CONTRA INCENDIOS - PLANTA McCAIN</t>
  </si>
  <si>
    <t>McCAIN</t>
  </si>
  <si>
    <t>Paola Moya</t>
  </si>
  <si>
    <t>Paola.MOYA@mccain.com.co</t>
  </si>
  <si>
    <t>Carlos Andres Quintero Angel</t>
  </si>
  <si>
    <t>COTIZACION DE LOS DISEÑOS DE PROTECCIÓN CONTRA INCENDIOS Y SEGURIDAD HUMANA PARA EL PROYECTO LAURELES</t>
  </si>
  <si>
    <t>COTIZACION DE LOS DISEÑOS DE EXTINCIÓN DE INCENDIOS Y SEGURIDAD HUMANA PARA EL PROYECTO SURA MOLINOS PISO 9</t>
  </si>
  <si>
    <t>Sebastián Román</t>
  </si>
  <si>
    <t>COTIZACION DE LOS DISEÑOS DE DETECCIÓN DE INCENDIOS Y SEGURIDAD HUMANA PARA EL PROYECTO TIKI BAR</t>
  </si>
  <si>
    <t xml:space="preserve">Luis C. Bueno P. </t>
  </si>
  <si>
    <t xml:space="preserve">COTIZACION DEL ANÁLISIS DE SEGURIDAD HUMANA PARA EL PROYECTO FACULTAD DE CIENCIAS DE LA VIDA UNAL
</t>
  </si>
  <si>
    <t xml:space="preserve"> 317 5594091</t>
  </si>
  <si>
    <t xml:space="preserve">COTIZACION DE LOS DISEÑOS DE PROTECCIÓN CONTRA INCENDIOS PARA EL PROYECTO SUBESTACION ELECTRICA
</t>
  </si>
  <si>
    <t xml:space="preserve"> Santiago Parra</t>
  </si>
  <si>
    <t>300 6101061</t>
  </si>
  <si>
    <t>santiago@origamiproyectos.com</t>
  </si>
  <si>
    <t>COTIZACION DE LOS DISEÑOS DE PROTECCIÓN CONTRA INCENDIOS Y SEGURIDAD HUMANA PARA EL PROYECTO EL CAMPIN MANIZALES</t>
  </si>
  <si>
    <t>Alejandra Belalcázar</t>
  </si>
  <si>
    <t>311 263 3707</t>
  </si>
  <si>
    <t>alejandrab.4ac@gmail.com</t>
  </si>
  <si>
    <t>4 Alianzas Construcciones AC</t>
  </si>
  <si>
    <t>COTIZACION DE LOS DISEÑOS DE PROTECCIÓN CONTRA INCENDIOS Y SEGURIDAD HUMANA PARA EL PROYECTO BODEGAS 1 Y 6</t>
  </si>
  <si>
    <t>EQUIPOS RAPIDOS</t>
  </si>
  <si>
    <t>comercial@equiposelrapido.com</t>
  </si>
  <si>
    <t>David Grajales</t>
  </si>
  <si>
    <t>COTIZACION DEL DISEÑO DE EXTINCIÓN DE INCENDIOS PARA EL PROYECTO FAMILIA ORANGE RIONEGRO</t>
  </si>
  <si>
    <t>ABILE</t>
  </si>
  <si>
    <t>COTIZACION DE LOS DISEÑOS DE PROTECCIÓN CONTRA INCENDIOS Y SEGURIDAD HUMANA PARA EL PROYECTO HOTEL WELCOME</t>
  </si>
  <si>
    <t xml:space="preserve"> Esteban Marin Arredondo</t>
  </si>
  <si>
    <t>esteban.marin@abile.co</t>
  </si>
  <si>
    <t>Carolina Villegas</t>
  </si>
  <si>
    <t>carolina.atheneaww@gmail.com</t>
  </si>
  <si>
    <t xml:space="preserve">COTIZACION DE LOS DISEÑOS DE PROTECCIÓN CONTRA INCENDIOS Y SEGURIDAD HUMANA PARA EL PROYECTO CASA DEL ANGEL
</t>
  </si>
  <si>
    <t>Stephen Charles Gibbs</t>
  </si>
  <si>
    <t>COTIZACION DE LOS DISEÑOS DE PROTECCIÓN CONTRA INCENDIOS PARA EL PROYECTO SEDE ADM JUDICIAL CUNDINAMARCA-AMAZONAS</t>
  </si>
  <si>
    <t>COTIZACION DE LOS DISEÑOS DE PROTECCIÓN CONTRA INCENDIOS Y SEGURIDAD HUMANA PARA EL PROYECTO GRIS</t>
  </si>
  <si>
    <t>COTIZACION DE LOS DISEÑOS DE PROTECCIÓN CONTRA INCENDIOS PARA EL PROYECTO VALLE NORTE</t>
  </si>
  <si>
    <t>COTIZACION DE LOS DISEÑOS DE PROTECCIÓN CONTRA INCENDIOS PARA EL PROYECTO BODEGAS FERROSVEL</t>
  </si>
  <si>
    <t>Sierra Studio Arquitectura</t>
  </si>
  <si>
    <t>Paula Jiménez Guerra</t>
  </si>
  <si>
    <t>direccion1sierrastudio@gmail.com</t>
  </si>
  <si>
    <t>COTIZACION DE LOS DISEÑOS DE PROTECCIÓN CONTRA INCENDIOS PARA EL PROYECTO TERRAZA LA SALLE BACHILLERATO</t>
  </si>
  <si>
    <t>Andres Felipe Ramirez</t>
  </si>
  <si>
    <t>Interve</t>
  </si>
  <si>
    <t>COTIZACION DE LOS DISEÑOS DE PROTECCIÓN CONTRA INCENDIOS Y SEGURIDAD HUMANA PARA EL PROYECTO HOTEL WAIN</t>
  </si>
  <si>
    <t xml:space="preserve">COTIZACION DE LOS DISEÑOS DE PROTECCIÓN CONTRA INCENDIOS PARA EL PROYECTO MONTPELLIER
</t>
  </si>
  <si>
    <t xml:space="preserve">COTIZACION DEL DISEÑO DE EXTINCIÓN DE INCENDIOS PARA EL PROYECTO TRASLADO BODEGAS MACROLAB
</t>
  </si>
  <si>
    <t>EARQUITECTURA</t>
  </si>
  <si>
    <t>Constructora Altos de Abadia</t>
  </si>
  <si>
    <t>COTIZACION DE LOS DISEÑOS DE PROTECCIÓN CONTRA INCENDIOS Y SEGURIDAD HUMANA PARA EL PROYECTO LIBERTAD</t>
  </si>
  <si>
    <t>Jhonatan Aguirre Pulgarín</t>
  </si>
  <si>
    <t xml:space="preserve">j.pulgarin@altosdelaabadia.com </t>
  </si>
  <si>
    <t>COTIZACION DE LOS DISEÑOS DE PROTECCIÓN CONTRA INCENDIOS Y SEGURIDAD HUMANA PARA EL PROYECTO POLANCO</t>
  </si>
  <si>
    <t>COTIZACION DEL DISEÑO DE EXTINCIÓN DE INCENDIOS PARA EL PROYECTO BODEGA 2 MANUELITA</t>
  </si>
  <si>
    <t>Jorge Edward López</t>
  </si>
  <si>
    <t xml:space="preserve"> lopez.ingco@gmail.com</t>
  </si>
  <si>
    <t xml:space="preserve"> Jhon Faiber Tobar Pantoja </t>
  </si>
  <si>
    <t>coordinadordisenos@estructurar.co</t>
  </si>
  <si>
    <t>Estructurar</t>
  </si>
  <si>
    <t xml:space="preserve">COTIZACION DE LOS DISEÑOS DE PROTECCIÓN CONTRA INCENDIOS Y SEGURIDAD HUMANA PARA EL PROYECTO BODEGAS EMPAQUETADURAS Y EMPAQUES
</t>
  </si>
  <si>
    <t>COTIZACION DEL ANÁLISIS DE SEGURIDAD HUMANA PARA EL PROYECTO REMODELACION TORRE DE CONTROL</t>
  </si>
  <si>
    <t>COTIZACION DEL CONCEPTO TÉCNICO DE EXTINCIÓN DE INCENDIOS PARA EL PROYECTO BODEGA 2 MANUELITA</t>
  </si>
  <si>
    <t>COTIZACION DE LOS DISEÑOS DE PROTECCIÓN CONTRA INCENDIOS Y SEGURIDAD HUMANA PARA EL PROYECTO LOBBY BANCOLOMBIA TORRE SUR</t>
  </si>
  <si>
    <t>COTIZACION DE LOS DISEÑOS DE PROTECCIÓN CONTRA INCENDIOS Y SEGURIDAD HUMANA PARA EL PROYECTO BODEGA 7</t>
  </si>
  <si>
    <t>COTIZACION DEL DISEÑO DE DETECCIÓN DE INCENDIOS - CC PUNTO CLAVE ETAPA 1</t>
  </si>
  <si>
    <t xml:space="preserve">COTIZACION DEL ANÁLISIS DE SEGURIDAD HUMANA PARA EL PROYECTO BODEGA INDUSTRIAL CA-20
</t>
  </si>
  <si>
    <t>Zona Franca</t>
  </si>
  <si>
    <t>COTIZACION DE LOS DISEÑOS DE PROTECCIÓN CONTRA INCENDIOS PARA EL PROYECTO CONTEGRAL LAS VEGAS</t>
  </si>
  <si>
    <t>COTIZACION DE LOS DISEÑOS DE PROTECCIÓN CONTRA INCENDIOS PARA EL PROYECTO INSTITUTO COLOPROCTOLOGIA</t>
  </si>
  <si>
    <t>Marcela Velez Murillo</t>
  </si>
  <si>
    <t>marcelav@iconsultores.com.co</t>
  </si>
  <si>
    <t>I+ Consultores SAS</t>
  </si>
  <si>
    <t>COTIZACION DE LOS DISEÑOS DE PROTECCIÓN CONTRA INCENDIOS Y SEGURIDAD HUMANA PARA EL PROYECTO HARAS DE SANTALUCIA</t>
  </si>
  <si>
    <t xml:space="preserve">COTIZACION DEL ANÁLISIS DE SEGURIDAD HUMANA PARA EL PROYECTO BALANCEPHARMA RIONEGRO
</t>
  </si>
  <si>
    <t>Soluciones inmobiliarias</t>
  </si>
  <si>
    <t>COTIZACION DEL ANÁLISIS DE SEGURIDAD HUMANA PARA EL PROYECTO CENTRO COMERCIAL PASTO 1.700 m2</t>
  </si>
  <si>
    <t>317 5594091</t>
  </si>
  <si>
    <t>COTIZACION DEL DISEÑO DE DETECCIÓN DE INCENDIOS PARA EL PROYECTO CINTANDINA</t>
  </si>
  <si>
    <t>Nivelum</t>
  </si>
  <si>
    <t>Esteban Rua</t>
  </si>
  <si>
    <t>COTIZACION DEL DISEÑO DE EXTINCIÓN DE INCENDIOS PARA EL PROYECTO GEF SANTAFE</t>
  </si>
  <si>
    <t>POR DEFINIR</t>
  </si>
  <si>
    <t>COTIZACION DE LOS DISEÑOS DE PROTECCIÓN CONTRA INCENDIOS PARA EL PROYECTO CARGO</t>
  </si>
  <si>
    <t>COTIZACION DEL DISEÑO DE EXTINCIÓN DE INCENDIOS PARA EL PROYECTO WAKE TESORO</t>
  </si>
  <si>
    <t>Juan Daniel Vecino</t>
  </si>
  <si>
    <t>jvecino@interve.co</t>
  </si>
  <si>
    <t xml:space="preserve">COTIZACION DEL DISEÑO DE DETECCIÓN DE INCENDIOS PARA EL PROYECTO COLDEPLAST
</t>
  </si>
  <si>
    <t>COTIZACION DEL DISEÑO DE DETECCIÓN DE INCENDIOS PARA EL PROYECTO MICROPLAST</t>
  </si>
  <si>
    <t>COTIZACION DEL ANÁLISIS DE SEGURIDAD HUMANA - MALL LA KONDINA</t>
  </si>
  <si>
    <t>COTIZACION DEL ANÁLISIS DE SEGURIDAD HUMANA - ALTA KONDINA</t>
  </si>
  <si>
    <t>Raíz Constructora</t>
  </si>
  <si>
    <t>COTIZACION DE LOS DISEÑOS DE PROTECCIÓN CONTRA INCENDIOS - VILLA CAMPESTRE</t>
  </si>
  <si>
    <t>Fire y Equipos</t>
  </si>
  <si>
    <t>COTIZACION DE LOS DISEÑOS DE SEGURIDAD HUMANA Y PROTECCIÓN CONTRA INCENDIOS - OLMO</t>
  </si>
  <si>
    <t>Vértice</t>
  </si>
  <si>
    <t>Luz Aleidy Cuartas Pérez</t>
  </si>
  <si>
    <t>dcv@altosdelaabadia.com</t>
  </si>
  <si>
    <t>COTIZACION DE LOS DISEÑOS DE SEGURIDAD HUMANA Y DETECCIÓN DE INCENDIOS - VIEW POINT ETAPA 2</t>
  </si>
  <si>
    <t>SRAIC</t>
  </si>
  <si>
    <t>COTIZACION DE LOS DISEÑOS DE SEGURIDAD HUMANA Y PROTECCIÓN CONTRA INCENDIOS - ACC Y ADS PAILITAS</t>
  </si>
  <si>
    <t>COTIZACION DEL DISEÑO DE DETECCIÓN DE INCENDIOS - DETECCIÓN ZONA GLP</t>
  </si>
  <si>
    <t>COTIZACION DE LOS DISEÑOS DE PROTECCIÓN CONTRA INCENDIOS - PLAZA DE MERCADO ANDES</t>
  </si>
  <si>
    <t>COTIZACION DE LOS DISEÑOS DE SEGURIDAD HUMANA Y PROTECCIÓN CONTRA INCENDIOS - MIC GUARNE</t>
  </si>
  <si>
    <t>COTIZACION DE LOS DISEÑOS DE SEGURIDAD HUMANA Y PROTECCIÓN CONTRA INCENDIOS - MAZDA VEGAS</t>
  </si>
  <si>
    <t>COTIZACION DE LOS DISEÑOS DE SEGURIDAD HUMANA Y PROTECCIÓN CONTRA INCENDIOS - CANCHAS PADEL</t>
  </si>
  <si>
    <t>ITC Diseños</t>
  </si>
  <si>
    <t>COTIZACION DEL DISEÑO DE EXTINCIÓN DE INCENDIOS - BODEGA 4000 M2 LA ESTRELLA</t>
  </si>
  <si>
    <t>Gino Alejandro Montoya</t>
  </si>
  <si>
    <t>COTIZACION DE LOS DISEÑOS DE PROTECCIÓN CONTRA INCENDIOS - CREACIONES APICE</t>
  </si>
  <si>
    <t>Intervé</t>
  </si>
  <si>
    <t xml:space="preserve">Humberto Acevedo </t>
  </si>
  <si>
    <t>COTIZACION DE LOS DISEÑOS DE SEGURIDAD HUMANA Y PROTECCIÓN CONTRA INCENDIOS - VERMONTE TORRE 3</t>
  </si>
  <si>
    <t>COTIZACION DEL ANÁLISIS DE SEGURIDAD HUMANA - EL PRADO</t>
  </si>
  <si>
    <t>Alejandra Rodriguez Sandoval</t>
  </si>
  <si>
    <t>jrodriguez@otacc.com</t>
  </si>
  <si>
    <t>COTIZACION DE LOS DISEÑOS DE SEGURIDAD HUMANA Y PROTECCIÓN CONTRA INCENDIOS - PLAZA EL AGUA</t>
  </si>
  <si>
    <t>COTIZACION DE LOS DISEÑOS DE SEGURIDAD HUMANA Y PROTECCIÓN CONTRA INCENDIOS - EL ESMERALDAL</t>
  </si>
  <si>
    <t>COTIZACION DE LOS DISEÑOS DE SEGURIDAD HUMANA Y PROTECCIÓN CONTRA INCENDIOS - PROYECTO GIN</t>
  </si>
  <si>
    <t>COTIZACION DEL ANÁLISIS DE SEGURIDAD HUMANA - CLÍNICA PEDIÁTRICA COLSUBSIDIO</t>
  </si>
  <si>
    <t>Fire Marshal</t>
  </si>
  <si>
    <t>COTIZACION DE LOS DISEÑOS DE SEGURIDAD HUMANA Y PROTECCIÓN CONTRA INCENDIOS - CENTRO DE CONVENCIONES ABURRA SUR</t>
  </si>
  <si>
    <t>juannarajo@convel.co</t>
  </si>
  <si>
    <t>COTIZACION DEL ANÁLISIS DE SEGURIDAD HUMANA - MAKURA</t>
  </si>
  <si>
    <t>Laura Cardona Cardona</t>
  </si>
  <si>
    <t>laura.cardona@perfek.com.co</t>
  </si>
  <si>
    <t>COTIZACION DEL ANÁLISIS DE SEGURIDAD HUMANA - CLINICA CUCUTA 6.850 M2</t>
  </si>
  <si>
    <t>COTIZACION DEL DISEÑO DE DETECCIÓN DE INCENDIOS PARA EL PROYECTO ASTILLERO BARRANQUILLA</t>
  </si>
  <si>
    <t>Perfek</t>
  </si>
  <si>
    <t>COTIZACION DEL ANÁLISIS DE SEGURIDAD HUMANA - SERENA</t>
  </si>
  <si>
    <t>COTIZACION DEL DISEÑO DE DETECCIÓN DE INCENDIOS - BODEGA QUIMICOS IMUSA</t>
  </si>
  <si>
    <t>COTIZACION DE LOS PLANOS Y CANTIDADES DE SEÑALIZACIÓN DE EMERGENCIA - BODEGA CA-20</t>
  </si>
  <si>
    <t>COTIZACION DE LOS DISEÑOS DE PROTECCIÓN CONTRA INCENDIOS - PISOS 36 37 38 Y 40 TORRE COLPATRIA</t>
  </si>
  <si>
    <t>COTIZACION DEL DISEÑO DE EXTINCIÓN DE INCENDIOS - BODEGAS PEREIRA</t>
  </si>
  <si>
    <t>Desarrollo urbano Edu</t>
  </si>
  <si>
    <t>COTIZACION DE LOS DISEÑOS DE PROTECCIÓN CONTRA INCENDIOS - INSTITUCION EDUCATIVA LA LIBERTAD</t>
  </si>
  <si>
    <t>CRISTIAM NO PASÓ A TIEMPO LA INFORMACIÓN Y NO SE PUDO COTIZAR EL PROYECTO</t>
  </si>
  <si>
    <t>NO SE COTIZÓ</t>
  </si>
  <si>
    <t>SEGUIMIENTO A COTIZACIONES - 2025</t>
  </si>
  <si>
    <t>COTIZACION DE LOS DISEÑOS DE PROTECCIÓN CONTRA INCENDIOS - ALTAMONTE</t>
  </si>
  <si>
    <t>Bitacora ingenieria</t>
  </si>
  <si>
    <t>COTIZACION DE LOS DISEÑOS DE SEGURIDAD HUMANA Y PROTECCIÓN CONTRA INCENDIOS - MALL SANTA CLARA (VIVARI)</t>
  </si>
  <si>
    <t xml:space="preserve">Robinson Marulanda Guarín </t>
  </si>
  <si>
    <t>Arquitectura y concreto</t>
  </si>
  <si>
    <t>Entretangencia</t>
  </si>
  <si>
    <t>COTIZACION DE LOS DISEÑOS DE SEGURIDAD HUMANA Y PROTECCIÓN CONTRA INCENDIOS - SE VICTOR G Y N</t>
  </si>
  <si>
    <t>Daniel Bustamante</t>
  </si>
  <si>
    <t>gerencia@entretangencia.com</t>
  </si>
  <si>
    <t>COTIZACION DEL DISEÑO DE DETECCIÓN DE INCENDIOS - HB FULLER</t>
  </si>
  <si>
    <t>COTIZACION DEL DISEÑO DE EXTINCIÓN DE INCENDIOS - CARPINELO</t>
  </si>
  <si>
    <t>COTIZACION DE LOS DISEÑOS DE SEGURIDAD HUMANA Y PROTECCIÓN CONTRA INCENDIOS - VERBENA</t>
  </si>
  <si>
    <t>COTIZACION DE LOS DISEÑOS DE PROTECCIÓN CONTRA INCENDIOS - REFRIDCOL-KOBA</t>
  </si>
  <si>
    <t>COTIZACION DE LOS DISEÑOS DE SEGURIDAD HUMANA Y PROTECCIÓN CONTRA INCENDIOS - BOLERA DGREEN</t>
  </si>
  <si>
    <t>COTIZACION DE LOS DISEÑOS DE SEGURIDAD HUMANA Y PROTECCIÓN CONTRA INCENDIOS - SERRERIA JERICO</t>
  </si>
  <si>
    <t>Go ingenieria y soluciones</t>
  </si>
  <si>
    <t>COTIZACION DE LOS DISEÑOS DE SEGURIDAD HUMANA Y PROTECCIÓN CONTRA INCENDIOS - COLEGIO JORGE ROBLEDO</t>
  </si>
  <si>
    <t>COTIZACION DEL DISEÑO DE DETECCIÓN DE INCENDIOS - MUMA</t>
  </si>
  <si>
    <t>Julián Ortega Gómez</t>
  </si>
  <si>
    <t>COTIZACIÓN DE LOS CÁLCULOS SE SUCCIÓN Y PLANOS RECORD DEL CUARTO DE BOMBAS PARA EL PROYECTO PRIMEIRO</t>
  </si>
  <si>
    <t>Ángela Molina</t>
  </si>
  <si>
    <t xml:space="preserve">posventas@estructurar.co </t>
  </si>
  <si>
    <t>COTIZACIÓN DE LOS DISEÑOS DE EXTINCIÓN DE INCENDIOS DEL PROYECTO PIAMONTE</t>
  </si>
  <si>
    <t xml:space="preserve">jrodriguez@ingesed.com </t>
  </si>
  <si>
    <t>Proyecto ARQ</t>
  </si>
  <si>
    <t>Andrea Ruiz</t>
  </si>
  <si>
    <t>E&amp;F Construcciones</t>
  </si>
  <si>
    <t>Santiago Castañeda</t>
  </si>
  <si>
    <t>ef.construccionessas@gmail.com</t>
  </si>
  <si>
    <t>COTIZACION DE LOS DISEÑOS DE SEGURIDAD HUMANA Y PROTECCIÓN CONTRA INCENDIOS - ANGELES CUSTODIOS</t>
  </si>
  <si>
    <t>COTIZACION DEL DISEÑO DE DETECCIÓN DE INCENDIOS - BODEGA GROUPE SEB RIONEGRO</t>
  </si>
  <si>
    <t>COTIZACION DE LOS DISEÑOS DE SEGURIDAD HUMANA Y PROTECCIÓN CONTRA INCENDIOS - URBIT HUB</t>
  </si>
  <si>
    <t>Juan Arango</t>
  </si>
  <si>
    <t>jmarangom22@gmail.com</t>
  </si>
  <si>
    <t>COTIZACION DEL DISEÑO DE EXTINCIÓN DE INCENDIOS - CC ALMENDROS</t>
  </si>
  <si>
    <t>COTIZACION DE LOS DISEÑOS DE PROTECCIÓN CONTRA INCENDIOS - SUCURSAL EL RETIRO (415)</t>
  </si>
  <si>
    <t>COTIZACION DE LOS DISEÑOS DE SEGURIDAD HUMANA Y PROTECCIÓN CONTRA INCENDIOS - VILLA CIELO APARTAMENTOS T1</t>
  </si>
  <si>
    <t>Maz</t>
  </si>
  <si>
    <t>COTIZACION DEL ANÁLISIS DE SEGURIDAD HUMANA - ANTILLAS</t>
  </si>
  <si>
    <t>Diego Alejandro Arango Gómez</t>
  </si>
  <si>
    <t>601 6108010</t>
  </si>
  <si>
    <t>darango@maz.com.co</t>
  </si>
  <si>
    <t>COTIZACION DE LOS DISEÑOS DE SEGURIDAD HUMANA Y PROTECCIÓN CONTRA INCENDIOS - EDF. PSICOLOGIA UNIVALLE</t>
  </si>
  <si>
    <t>IngenioBIM</t>
  </si>
  <si>
    <t>COTIZACION DE LOS DISEÑOS DE SEGURIDAD HUMANA Y PROTECCIÓN CONTRA INCENDIOS - MONTEMERANO</t>
  </si>
  <si>
    <t>Constructora Guasandi</t>
  </si>
  <si>
    <t>COTIZACION DEL DISEÑO DE EXTINCIÓN DE INCENDIOS - GIMNASIO Y CANCHA DE SQUASH PROYECTO MAZANTTI</t>
  </si>
  <si>
    <t>320 6284446</t>
  </si>
  <si>
    <t xml:space="preserve">direccionmazanti@gmail.com </t>
  </si>
  <si>
    <t>Trazados Arquitectura</t>
  </si>
  <si>
    <t>COTIZACION DE LOS DISEÑOS DE SEGURIDAD HUMANA Y PROTECCIÓN CONTRA INCENDIOS - VERMONTE LOCALES COMERCIALES</t>
  </si>
  <si>
    <t>Martha Lucia Ferrer</t>
  </si>
  <si>
    <t>COTIZACION DE LOS DISEÑOS DE SEGURIDAD HUMANA Y PROTECCIÓN CONTRA INCENDIOS - ETAPA 2 LA SALLE</t>
  </si>
  <si>
    <t>COTIZACION DEL DISEÑO DE EXTINCIÓN DE INCENDIOS - TERMILENIO TEXTILES</t>
  </si>
  <si>
    <t>COTIZACION DEL DISEÑO DE DETECCIÓN DE INCENDIOS - HOTEL YORK LUXURY SUITES</t>
  </si>
  <si>
    <t>COTIZACION DEL ANÁLISIS DE SEGURIDAD HUMANA - MERAKI ETAPA 3</t>
  </si>
  <si>
    <t>Grupo Valor</t>
  </si>
  <si>
    <t>Laura Valentina Bello Tovar</t>
  </si>
  <si>
    <t>arquitectura1@grupovalor.com.co</t>
  </si>
  <si>
    <t>COTIZACION DE LOS DISEÑOS DE SEGURIDAD HUMANA Y PROTECCIÓN CONTRA INCENDIOS - PUEBLO PANACA</t>
  </si>
  <si>
    <t>COTIZACION DE LOS DISEÑOS DE PROTECCIÓN CONTRA INCENDIOS - CORNARE</t>
  </si>
  <si>
    <t>COTIZACION DEL DISEÑO DE EXTINCIÓN DE INCENDIOS - SMART FIT GRAN PLAZA SOL</t>
  </si>
  <si>
    <t>COTIZACION DEL DISEÑO DE EXTINCIÓN DE INCENDIOS - SMART FIT ECOTEK</t>
  </si>
  <si>
    <t>COTIZACION DE LOS DISEÑOS DE SEGURIDAD HUMANA Y PROTECCIÓN CONTRA INCENDIOS - MIIT</t>
  </si>
  <si>
    <t>COTIZACION DE LOS DISEÑOS DE PROTECCIÓN CONTRA INCENDIOS - PLANTA DE PRODUCCION DE BISUTERIA</t>
  </si>
  <si>
    <t>COTIZACION DEL DISEÑO DE EXTINCIÓN DE INCENDIOS - PLANTA DE REACTIVOS NACIONALES</t>
  </si>
  <si>
    <t>Consultores e ingenieros Q&amp;M</t>
  </si>
  <si>
    <t>Luis Martinez</t>
  </si>
  <si>
    <t>luis.martinez@qymsac.com</t>
  </si>
  <si>
    <t xml:space="preserve"> +51 940500519</t>
  </si>
  <si>
    <t>COTIZACION DEL DISEÑO DE DETECCIÓN DE INCENDIOS - LA MAYORIA</t>
  </si>
  <si>
    <t>INVERSIONES ORBET S.A.S.</t>
  </si>
  <si>
    <t xml:space="preserve">COTIZACIÓN DE LOS DISEÑOS DE EXTINCIÓN DE INCENDIOS DEL PROYECTO  </t>
  </si>
  <si>
    <t>COTIZACION DEL REDISEÑO DE EXTINCIÓN DE INCENDIOS - USHUAYA</t>
  </si>
  <si>
    <t>COTIZACION DEL DISEÑO DE EXTINCIÓN DE INCENDIOS - ACTION BLACK FLORIDA</t>
  </si>
  <si>
    <t>COTIZACION DE LOS DISEÑOS DE SEGURIDAD HUMANA Y PROTECCIÓN CONTRA INCENDIOS - VERDDE</t>
  </si>
  <si>
    <t>TIP Interventoria</t>
  </si>
  <si>
    <t>COTIZACION DE LOS DISEÑOS DE SEGURIDAD HUMANA Y PROTECCIÓN CONTRA INCENDIOS - DITRANSA BODEGA HOMED ITAGUI</t>
  </si>
  <si>
    <t>COTIZACION DE LOS DISEÑOS DE SEGURIDAD HUMANA Y PROTECCIÓN CONTRA INCENDIOS - DITRANSA BODEGA CARTAGENA</t>
  </si>
  <si>
    <t>COTIZACION DE LOS DISEÑOS DE SEGURIDAD HUMANA Y PROTECCIÓN CONTRA INCENDIOS - DITRANSA BODEGA PREMIUM</t>
  </si>
  <si>
    <t>COTIZACION DE LOS DISEÑOS DE PROTECCIÓN CONTRA INCENDIOS - TANQUE GLP PREMAC</t>
  </si>
  <si>
    <t>Juan David Lopez Toro</t>
  </si>
  <si>
    <t>supervisionflexliving@tipinterventoria.com</t>
  </si>
  <si>
    <t>COTIZACION DEL DISEÑO DE DETECCIÓN DE INCENDIOS - ANTILLAS</t>
  </si>
  <si>
    <t>Hidraulica y Montajes</t>
  </si>
  <si>
    <t>COTIZACION DEL ANÁLISIS DE SEGURIDAD HUMANA - SENA DE OCCIDENTE</t>
  </si>
  <si>
    <t>Manuela Henao López</t>
  </si>
  <si>
    <t>(604) 4801300 Ext 148</t>
  </si>
  <si>
    <t>Tres cubos proyectos SAS</t>
  </si>
  <si>
    <t>Gabriel Meneses Patiño</t>
  </si>
  <si>
    <t>gtrescubos@gmail.com</t>
  </si>
  <si>
    <t xml:space="preserve">COTIZACION DEL ANÁLISIS DE SEGURIDAD HUMANA - FRAKTAL_47 </t>
  </si>
  <si>
    <t>COTIZACION DEL DISEÑO DE DETECCIÓN DE INCENDIOS - FRAKTAL_47</t>
  </si>
  <si>
    <t>COTIZACION DEL DISEÑO DE EXTINCIÓN DE INCENDIOS - FRAKTAL_47</t>
  </si>
  <si>
    <t>COTIZACION DEL DISEÑO DE DETECCIÓN DE INCENDIOS - D1 BODEGA P4</t>
  </si>
  <si>
    <t>COTIZACION DE LOS DISEÑOS DE SEGURIDAD HUMANA Y PROTECCIÓN CONTRA INCENDIOS - D1 BODEGA P8</t>
  </si>
  <si>
    <t>COTIZACION DEL ANÁLISIS DE SEGURIDAD HUMANA - FRUTOS VERDES TORRE 12</t>
  </si>
  <si>
    <t>(604) 2662377 ext 129</t>
  </si>
  <si>
    <t>Yessica Osorno Cardeño</t>
  </si>
  <si>
    <t>liderbim@conintel.com.co</t>
  </si>
  <si>
    <t>COTIZACION DEL DISEÑO DE EXTINCIÓN DE INCENDIOS - CEINTEC</t>
  </si>
  <si>
    <t>COTIZACION DE LOS DISEÑOS DE SEGURIDAD HUMANA Y PROTECCIÓN CONTRA INCENDIOS - SANFRCO</t>
  </si>
  <si>
    <t>Invigeo</t>
  </si>
  <si>
    <t>Sebastián Amaya</t>
  </si>
  <si>
    <t>Proyectos.invigeo@gmail.com</t>
  </si>
  <si>
    <t>COTIZACION DEL DISEÑO DE EXTINCIÓN DE INCENDIOS - BODEGAS INVESA</t>
  </si>
  <si>
    <t>Invesa</t>
  </si>
  <si>
    <t>Juan Carlos Marín</t>
  </si>
  <si>
    <t>jmarin@invesa.com</t>
  </si>
  <si>
    <t>604 3342727</t>
  </si>
  <si>
    <t>COTIZACION DE LOS DISEÑOS DE SEGURIDAD HUMANA Y PROTECCIÓN CONTRA INCENDIOS - MULTIFAMILY</t>
  </si>
  <si>
    <t>Soluciones civiles</t>
  </si>
  <si>
    <t>604 4483960</t>
  </si>
  <si>
    <t>COTIZACION DEL ANÁLISIS DE SEGURIDAD HUMANA - EL ROCIO 9</t>
  </si>
  <si>
    <t>Alejandra Rodríguez Sandoval</t>
  </si>
  <si>
    <t>muribe@fundamental-au.com</t>
  </si>
  <si>
    <t>Manuela Uribe B</t>
  </si>
  <si>
    <t>Fundamental Arquitectura y Urbanismo</t>
  </si>
  <si>
    <t>COTIZACION DE LOS DISEÑOS DE SEGURIDAD HUMANA Y PROTECCIÓN CONTRA INCENDIOS - TRIALA</t>
  </si>
  <si>
    <t>John Valencia</t>
  </si>
  <si>
    <t>Perspectiva A y C</t>
  </si>
  <si>
    <t>COTIZACION DEL ANÁLISIS DE SEGURIDAD HUMANA - PROYECTO BELEN</t>
  </si>
  <si>
    <t>John.valencia@perspectivaayc.com</t>
  </si>
  <si>
    <t>Juan Manuel Russi</t>
  </si>
  <si>
    <t>COTIZACION DE LOS DISEÑOS DE SEGURIDAD HUMANA Y PROTECCIÓN CONTRA INCENDIOS - USHUAYA TORRE 2</t>
  </si>
  <si>
    <t>COTIZACION DE LOS DISEÑOS DE SEGURIDAD HUMANA Y PROTECCIÓN CONTRA INCENDIOS - ALGECIRAS</t>
  </si>
  <si>
    <t>Geinner Montoya</t>
  </si>
  <si>
    <t>COTIZACION DE LOS DISEÑOS DE SEGURIDAD HUMANA Y PROTECCIÓN CONTRA INCENDIOS - UNIK</t>
  </si>
  <si>
    <t>COTIZACION DE LOS DISEÑOS DE SEGURIDAD HUMANA Y PROTECCIÓN CONTRA INCENDIOS - MOKARA TORRE 3</t>
  </si>
  <si>
    <t>Daniela Vélez</t>
  </si>
  <si>
    <t>COTIZACION DEL DISEÑO DE EXTINCIÓN DE INCENDIOS - PROYECTO BODEGA 39 INTEXZONA</t>
  </si>
  <si>
    <t>311 3304231</t>
  </si>
  <si>
    <t>COTIZACION DE LOS DISEÑOS DE SEGURIDAD HUMANA Y PROTECCIÓN CONTRA INCENDIOS - EL CARMEN COLONIAL</t>
  </si>
  <si>
    <t>FP Civiles</t>
  </si>
  <si>
    <t>Cristian Miguel Cabrera Rivas</t>
  </si>
  <si>
    <t>ccabrera@fpciviles.com</t>
  </si>
  <si>
    <t>Maritza Muñoz Villa</t>
  </si>
  <si>
    <t>COTIZACION DE LOS DISEÑOS DE SEGURIDAD HUMANA Y PROTECCIÓN CONTRA INCENDIOS - UMA ARMENIA</t>
  </si>
  <si>
    <t>Sohinco</t>
  </si>
  <si>
    <t>COTIZACION DE LOS DISEÑOS DE SEGURIDAD HUMANA Y PROTECCIÓN CONTRA INCENDIOS - FLOR DEL MONTE</t>
  </si>
  <si>
    <t>Conexo</t>
  </si>
  <si>
    <t>Juan Diego Mesa Gutierrez</t>
  </si>
  <si>
    <t>jmesa@conexoinmobiliario.com</t>
  </si>
  <si>
    <t>Toro Posada</t>
  </si>
  <si>
    <t>COTIZACION DEL DISEÑO DE DETECCIÓN DE INCENDIOS - SUCURSAL LOS PATIOS</t>
  </si>
  <si>
    <t>COTIZACION DEL DISEÑO DE EXTINCIÓN DE INCENDIOS - PARQUEADEROS LATITUD SUR</t>
  </si>
  <si>
    <t>COTIZACION DE LOS DISEÑOS DE PROTECCIÓN CONTRA INCENDIOS - BODEGA CHIMITA</t>
  </si>
  <si>
    <t>COTIZACION DE LOS DISEÑOS DE SEGURIDAD HUMANA Y PROTECCIÓN CONTRA INCENDIOS - VILLA CIELO T1</t>
  </si>
  <si>
    <t>Construcciones e Inversiones Asociativas S.A.S.</t>
  </si>
  <si>
    <t>Andrea Katherine Franco</t>
  </si>
  <si>
    <t>supervisionvillacielo@gmail.com</t>
  </si>
  <si>
    <t>COTIZACION DE LOS DISEÑOS DE SEGURIDAD HUMANA Y PROTECCIÓN CONTRA INCENDIOS - TABUN</t>
  </si>
  <si>
    <t>alejandrohernandez@mensulaingenieros.com</t>
  </si>
  <si>
    <t>Alejandro Hernández</t>
  </si>
  <si>
    <t>COTIZACION DE LOS DISEÑOS DE SEGURIDAD HUMANA Y PROTECCIÓN CONTRA INCENDIOS - LOTE 16C SUR</t>
  </si>
  <si>
    <t>COTIZACION DEL DISEÑO DE EXTINCIÓN DE INCENDIOS - ACTION BLACK JARDINES</t>
  </si>
  <si>
    <t>COTIZACION DEL DISEÑO DE DETECCIÓN DE INCENDIOS - EL COLOMBIANO</t>
  </si>
  <si>
    <t>Steven 	Maya</t>
  </si>
  <si>
    <t>COTIZACION DEL DISEÑO DE DETECCIÓN DE INCENDIOS - MANILA</t>
  </si>
  <si>
    <t>COTIZACION DEL DISEÑO DE EXTINCIÓN DE INCENDIOS - CUARTO FRIO TC1</t>
  </si>
  <si>
    <t>COTIZACION DEL ANÁLISIS DE SEGURIDAD HUMANA - COOTRA</t>
  </si>
  <si>
    <t>COTIZACION DEL ANÁLISIS DE SEGURIDAD HUMANA - PATIO BUSES ELECTRICOS</t>
  </si>
  <si>
    <t>COTIZACION DE LOS DISEÑOS DE SEGURIDAD HUMANA Y PROTECCIÓN CONTRA INCENDIOS - COLEGIO CUMBRES TABLAZO</t>
  </si>
  <si>
    <t>Cristina Palacio Perez</t>
  </si>
  <si>
    <t>COTIZACION DEL DISEÑO DE DETECCIÓN DE INCENDIOS - ESCUELA CONRADO GONZALES MEJIA</t>
  </si>
  <si>
    <t>DYCONH S.A.S.</t>
  </si>
  <si>
    <t>Camilo Orrego Salazar</t>
  </si>
  <si>
    <t>dchidraulicas@gmail.com</t>
  </si>
  <si>
    <t>COTIZACION DEL DISEÑO DE DETECCIÓN DE INCENDIOS - NEXO</t>
  </si>
  <si>
    <t>Ana María Bedoya</t>
  </si>
  <si>
    <t>Administradora parque empresarial</t>
  </si>
  <si>
    <t>COTIZACION DEL DISEÑO DE EXTINCIÓN DE INCENDIOS - PARQUE EMPRESARIAL EL HATO</t>
  </si>
  <si>
    <t>COTIZACION DE LOS DISEÑOS DE SEGURIDAD HUMANA Y PROTECCIÓN CONTRA INCENDIOS - IPS CARDIOCENTRO PEDIATRICO DE SUCRE</t>
  </si>
  <si>
    <t>Alberto Pastor</t>
  </si>
  <si>
    <t>Apcom Ingeniería</t>
  </si>
  <si>
    <t>Apcom2.0@gmail.com</t>
  </si>
  <si>
    <t>COTIZACION DE LOS DISEÑOS DE SEGURIDAD HUMANA Y PROTECCIÓN CONTRA INCENDIOS - AZZURI</t>
  </si>
  <si>
    <t>COTIZACION DE LOS DISEÑOS DE SEGURIDAD HUMANA Y PROTECCIÓN CONTRA INCENDIOS - MUNAY</t>
  </si>
  <si>
    <t>Yesenia Pareja</t>
  </si>
  <si>
    <t>ypareja@conaltura.com</t>
  </si>
  <si>
    <t>COTIZACION DE LOS DISEÑOS DE SEGURIDAD HUMANA Y PROTECCIÓN CONTRA INCENDIOS - PUNTEO</t>
  </si>
  <si>
    <t>Jorge Castro</t>
  </si>
  <si>
    <t>321 8268554</t>
  </si>
  <si>
    <t>materialesysuministros@constructorakavan.com</t>
  </si>
  <si>
    <t>Catalina Madrid Zuluaga</t>
  </si>
  <si>
    <t>catalinamadrid@estructurar.co</t>
  </si>
  <si>
    <t>COTIZACION DEL DISEÑO DE DETECCIÓN DE INCENDIO - CAMPUS FLORIDABLANCA</t>
  </si>
  <si>
    <t>COTIZACION DE LOS DISEÑOS DE SEGURIDAD HUMANA Y PROTECCIÓN CONTRA INCENDIOS - BELEN GRANADA</t>
  </si>
  <si>
    <t>Dobleele</t>
  </si>
  <si>
    <t>Elizabeth  Gomez</t>
  </si>
  <si>
    <t>egomez@dobleele.co</t>
  </si>
  <si>
    <t>COTIZACION DE LOS DISEÑOS DE SEGURIDAD HUMANA Y PROTECCIÓN CONTRA INCENDIOS - HOM</t>
  </si>
  <si>
    <t>Proyect &amp; solution</t>
  </si>
  <si>
    <t>COTIZACION DE LOS DISEÑOS DE SEGURIDAD HUMANA Y PROTECCIÓN CONTRA INCENDIOS - ARTIKA</t>
  </si>
  <si>
    <t>ARTIKA, KAVAN Grupo Constructor</t>
  </si>
  <si>
    <t>COTIZACION DEL ANÁLISIS DE SEGURIDAD HUMANA - VILLA MARIA ETAPA II</t>
  </si>
  <si>
    <t>coinsersas2@gmail.com</t>
  </si>
  <si>
    <t xml:space="preserve">3102928763-3208115202 </t>
  </si>
  <si>
    <t>Coinser</t>
  </si>
  <si>
    <t>COTIZACION DE LOS DISEÑOS DE PROTECCIÓN CONTRA INCENDIOS - PLANTA PREVENTIVA SALUD IPS</t>
  </si>
  <si>
    <t>COTIZACION DE LOS DISEÑOS DE SEGURIDAD HUMANA Y PROTECCIÓN CONTRA INCENDIOS - VILLA FATIMA</t>
  </si>
  <si>
    <t>Jomark Seguridad SAS</t>
  </si>
  <si>
    <t>Laura Zapata Zapata</t>
  </si>
  <si>
    <t>COTIZACION DE LOS DISEÑOS DE SEGURIDAD HUMANA Y PROTECCIÓN CONTRA INCENDIOS - ESMERALDAL</t>
  </si>
  <si>
    <t>directoraadmonjomarkseguridad@gmail.com</t>
  </si>
  <si>
    <t>COTIZACION DE LOS DISEÑOS DE SEGURIDAD HUMANA Y PROTECCIÓN CONTRA INCENDIOS - COLEGIO MARIA POUSSEPIN</t>
  </si>
  <si>
    <t>COTIZACION DE LOS DISEÑOS DE SEGURIDAD HUMANA Y DETECCIÓN DE INCENDIOS - BANCOLOMBIA SUC. SAN NICOLAS</t>
  </si>
  <si>
    <t>Michelle Landazabal</t>
  </si>
  <si>
    <t>COTIZACION DE LOS DISEÑOS DE SEGURIDAD HUMANA Y PROTECCIÓN CONTRA INCENDIOS - BANCOLOMBIA SUCURSAL CC MAYORCA</t>
  </si>
  <si>
    <t>COTIZACION DEL DISEÑO DE EXTINCIÓN DE INCENDIOS - UNAD SANTA FE DE ANTIOQUIA</t>
  </si>
  <si>
    <t>Carolina Volkmar R.</t>
  </si>
  <si>
    <t>COTIZACION DE LOS DISEÑOS DE SEGURIDAD HUMANA Y PROTECCIÓN CONTRA INCENDIOS - ELEC AUDITORIO</t>
  </si>
  <si>
    <t>COTIZACION DE LOS DISEÑOS DE SEGURIDAD HUMANA Y PROTECCIÓN CONTRA INCENDIOS - CAMPUS RC</t>
  </si>
  <si>
    <t>Yuliana Tamayo Zapata</t>
  </si>
  <si>
    <t>COTIZACION DE LOS DISEÑOS DE SEGURIDAD HUMANA Y PROTECCIÓN CONTRA INCENDIOS - CLINICA SHAIO</t>
  </si>
  <si>
    <t>Nakary García</t>
  </si>
  <si>
    <t>COTIZACION DE LOS DISEÑOS DE PROTECCIÓN CONTRA INCENDIOS - DISLICORES</t>
  </si>
  <si>
    <t>COTIZACION DE LOS DISEÑOS DE SEGURIDAD HUMANA Y PROTECCIÓN CONTRA INCENDIOS - CLINICA UNIVERSITARIA UPB ROBLEDO</t>
  </si>
  <si>
    <t>COTIZACION DE LOS DISEÑOS DE SEGURIDAD HUMANA Y PROTECCIÓN CONTRA INCENDIOS - PTAR ESCOBERO</t>
  </si>
  <si>
    <t>Clara I. Mesa López de Mesa</t>
  </si>
  <si>
    <t>COTIZACION DEL DISEÑO DE EXTINCIÓN DE INCENDIOS - PARQUE FABRICATO ETAPA 2.2</t>
  </si>
  <si>
    <t>Dario A. Saldarriaga R.</t>
  </si>
  <si>
    <t>COTIZACION DEL DISEÑO DE DETECCIÓN DE INCENDIOS - TEATRO METROPOLITANO</t>
  </si>
  <si>
    <t>Alba Lucia Ricardo Sanchez</t>
  </si>
  <si>
    <t>COTIZACION DEL ANÁLISIS DE SEGURIDAD HUMANA - EL TURPIAL</t>
  </si>
  <si>
    <t>Martha Milena Hernandez Marin</t>
  </si>
  <si>
    <t>COTIZACION DE LOS DISEÑOS DE SEGURIDAD HUMANA Y PROTECCIÓN CONTRA INCENDIOS - MOTEL COPACABANA</t>
  </si>
  <si>
    <t>Inversiones Correa Jaramilo</t>
  </si>
  <si>
    <t>inversionescjsas@gmail.com</t>
  </si>
  <si>
    <t>Felipe Ochoa</t>
  </si>
  <si>
    <t>COTIZACION DEL DISEÑO DE EXTINCIÓN DE INCENDIOS - 43 AVENIDA</t>
  </si>
  <si>
    <t>Conjunto inmobiliario 43 Avenida</t>
  </si>
  <si>
    <t>Hector Laverde</t>
  </si>
  <si>
    <t>administracion.43avenida@aceis.com.co</t>
  </si>
  <si>
    <t>COTIZACION DE LOS DISEÑOS DE SEGURIDAD HUMANA Y PROTECCIÓN CONTRA INCENDIOS - ASTORGA</t>
  </si>
  <si>
    <t>COTIZACION DE LOS DISEÑOS DE SEGURIDAD HUMANA Y PROTECCIÓN CONTRA INCENDIOS - LOTE SOBRE LA 25</t>
  </si>
  <si>
    <t>COTIZACION DE LOS DISEÑOS DE SEGURIDAD HUMANA Y PROTECCIÓN CONTRA INCENDIOS - NUV</t>
  </si>
  <si>
    <t>COTIZACION DE LOS DISEÑOS DE SEGURIDAD HUMANA Y PROTECCIÓN CONTRA INCENDIOS - PALMAS ASIA</t>
  </si>
  <si>
    <t>COTIZACION DE LOS DISEÑOS DE SEGURIDAD HUMANA Y PROTECCIÓN CONTRA INCENDIOS - SALVAVIGNON</t>
  </si>
  <si>
    <t>Oscar Andrés Álvarez</t>
  </si>
  <si>
    <t>COTIZACION DE LOS DISEÑOS DE SEGURIDAD HUMANA Y PROTECCIÓN CONTRA INCENDIOS - GUARNE LAZZO</t>
  </si>
  <si>
    <t xml:space="preserve">FP Services </t>
  </si>
  <si>
    <t>COTIZACION DEL DISEÑO DE DETECCIÓN DE INCENDIOS - LATEXPORT</t>
  </si>
  <si>
    <t>Karen Yulianna Mendez Castañeda</t>
  </si>
  <si>
    <t>Karenmendez@mensulaingenieros.com</t>
  </si>
  <si>
    <t>COTIZACION DE LOS DISEÑOS DE SEGURIDAD HUMANA Y PROTECCIÓN CONTRA INCENDIOS - VALLE VERDE T4</t>
  </si>
  <si>
    <t>COTIZACION DE LOS DISEÑOS DE SEGURIDAD HUMANA Y PROTECCIÓN CONTRA INCENDIOS - CALMO</t>
  </si>
  <si>
    <t>Proyectos urbanos</t>
  </si>
  <si>
    <t>Priscila Quintero Alvis</t>
  </si>
  <si>
    <t>pquintero@proyectosurbanos.com.co</t>
  </si>
  <si>
    <t>COTIZACION DEL DISEÑO DE DETECCIÓN DE INCENDIOS - SOCO</t>
  </si>
  <si>
    <t>COTIZACION DE LOS DISEÑOS DE SEGURIDAD HUMANA Y DETECCIÓN DE INCENDIOS - MUSEO</t>
  </si>
  <si>
    <t>2Be commerce</t>
  </si>
  <si>
    <t>Alejandra Restrepo</t>
  </si>
  <si>
    <t>alejandra.restrepo@2becommerce.com</t>
  </si>
  <si>
    <t>COTIZACION DE LOS DISEÑOS DE PROTECCIÓN CONTRA INCENDIOS - GRANJA UNITROPICO</t>
  </si>
  <si>
    <t>COTIZACION DEL DISEÑO DE DETECCIÓN DE INCENDIOS - TRES CANTOS PLANTAS</t>
  </si>
  <si>
    <t>Katty Castro</t>
  </si>
  <si>
    <t>Construir obras civiles SAS</t>
  </si>
  <si>
    <t>trescantost3@gmail.com</t>
  </si>
  <si>
    <t>COTIZACION DEL ANÁLISIS DE SEGURIDAD HUMANA - INSTITUCIONES EDUCATIVAS MEDELLIN</t>
  </si>
  <si>
    <t>Risk Solution Group</t>
  </si>
  <si>
    <t>COTIZACION DE LOS DISEÑOS DE SEGURIDAD HUMANA Y PROTECCIÓN CONTRA INCENDIOS - TORRE VIS</t>
  </si>
  <si>
    <t xml:space="preserve">Construimos Espacios </t>
  </si>
  <si>
    <t>Hernando de Jesús Giraldo</t>
  </si>
  <si>
    <t>construimosespacioss@gmail.com</t>
  </si>
  <si>
    <t>COTIZACION DE LOS DISEÑOS DE PROTECCIÓN CONTRA INCENDIOS - GNL</t>
  </si>
  <si>
    <t>COTIZACION DE LOS DISEÑOS DE PROTECCIÓN CONTRA INCENDIOS - PLANTA GRUPO EXCALA</t>
  </si>
  <si>
    <t>COTIZACION DE LOS DISEÑOS DE SEGURIDAD HUMANA Y PROTECCIÓN CONTRA INCENDIOS - MANILA</t>
  </si>
  <si>
    <t>COTIZACION DE LOS DISEÑOS DE SEGURIDAD HUMANA Y PROTECCIÓN CONTRA INCENDIOS - TIERRA DULCE</t>
  </si>
  <si>
    <t>COTIZACION DE LOS DISEÑOS DE SEGURIDAD HUMANA Y PROTECCIÓN CONTRA INCENDIOS - CONINSER</t>
  </si>
  <si>
    <t>COTIZACION DEL ANÁLISIS DE SEGURIDAD HUMANA - CANCHA EL SALADO</t>
  </si>
  <si>
    <t>COTIZACION DEL ANÁLISIS DE SEGURIDAD HUMANA - CANCHA DE FUTBOL EL CHOCHO</t>
  </si>
  <si>
    <t>Simon Mesa</t>
  </si>
  <si>
    <t>COTIZACION DEL DISEÑO DE EXTINCIÓN DE INCENDIOS - BODEGA CLARO</t>
  </si>
  <si>
    <t>COTIZACION DE LOS DISEÑOS DE SEGURIDAD HUMANA Y PROTECCIÓN CONTRA INCENDIOS - PTAR EL ESCOBERO</t>
  </si>
  <si>
    <t>COTIZACION DE LOS DISEÑOS DE SEGURIDAD HUMANA Y PROTECCIÓN CONTRA INCENDIOS - TERRAMONTE</t>
  </si>
  <si>
    <t>PROMOTORA INMOBILIARIA MONTENEGRO S.A.S</t>
  </si>
  <si>
    <t>Gloria Sierra Calle</t>
  </si>
  <si>
    <t>directoraterramonte@gmail.com</t>
  </si>
  <si>
    <t>4801300 Ext 147</t>
  </si>
  <si>
    <t>COTIZACION DEL DISEÑO DE EXTINCIÓN DE INCENDIOS - BABY FRESH CARTAGENA</t>
  </si>
  <si>
    <t>COTIZACION DEL ANÁLISIS DE SEGURIDAD HUMANA - CENTRO POLICLINICO EL OLAYA</t>
  </si>
  <si>
    <t>Centro Policlínico del Olaya</t>
  </si>
  <si>
    <t>3612888 ext 216</t>
  </si>
  <si>
    <t>Maria del Mar Cabezas</t>
  </si>
  <si>
    <t>coorinfraestructura@cpolaya.com.co</t>
  </si>
  <si>
    <t>COTIZACION DE LOS DISEÑOS DE PROTECCIÓN CONTRA INCENDIOS - LOCAL HUMO BARRILES</t>
  </si>
  <si>
    <t>COTIZACION DEL DISEÑO DE EXTINCIÓN DE INCENDIOS - LITOPLAS</t>
  </si>
  <si>
    <t>Natalia Martínez</t>
  </si>
  <si>
    <t>COTIZACION DE LOS DISEÑOS DE SEGURIDAD HUMANA Y PROTECCIÓN CONTRA INCENDIOS - CLINICA DE TRAUMAS Y FRACTURAS</t>
  </si>
  <si>
    <t>coor.relacionamiento@spci.com.co</t>
  </si>
  <si>
    <t>Jorge Toro</t>
  </si>
  <si>
    <t>jorge@a3consulting.com.co</t>
  </si>
  <si>
    <t>COTIZACION DEL DISEÑO DE DETECCIÓN DE INCENDIOS - CREACIONES NADAR</t>
  </si>
  <si>
    <t>COTIZACION DE LOS DISEÑOS DE PROTECCIÓN CONTRA INCENDIOS - VILLA MONTECITO CASA 32 PARCELACION LA QUERENCIA</t>
  </si>
  <si>
    <t>Paola Andrea Estrada López</t>
  </si>
  <si>
    <t>costosypresupuesto@tipinterventoria.com</t>
  </si>
  <si>
    <t>Doublec</t>
  </si>
  <si>
    <t>jrendon@doublec.com</t>
  </si>
  <si>
    <t>Jhon Mario Rendón</t>
  </si>
  <si>
    <t>COTIZACION DE LOS DISEÑOS DE PROTECCIÓN CONTRA INCENDIOS - BAHAMAS RESORT</t>
  </si>
  <si>
    <t>COTIZACION DE LOS DISEÑOS DE PROTECCIÓN CONTRA INCENDIOS - MALL</t>
  </si>
  <si>
    <t>COTIZACION DE LOS DISEÑOS DE SEGURIDAD HUMANA Y PROTECCIÓN CONTRA INCENDIOS -CENTRO POLICLINICO EL OLAYA</t>
  </si>
  <si>
    <t xml:space="preserve"> COTIZACION DE LOS DISEÑOS DE SEGURIDAD HUMANA Y PROTECCIÓN CONTRA INCENDIOS - WTC</t>
  </si>
  <si>
    <t>COTIZACION DE LOS DISEÑOS DE PROTECCIÓN CONTRA INCENDIOS - LOCAL SOFASA</t>
  </si>
  <si>
    <t>COTIZACION DEL DISEÑO DE EXTINCIÓN DE INCENDIOS - PLAZA CASTILLO</t>
  </si>
  <si>
    <t>COTIZACION DE LOS DISEÑOS DE SEGURIDAD HUMANA Y PROTECCIÓN CONTRA INCENDIOS - CASTELLANA ETAPA 2</t>
  </si>
  <si>
    <t>Constructora lineal</t>
  </si>
  <si>
    <t>Bayron Trujillo</t>
  </si>
  <si>
    <t>COTIZACION DE LOS DISEÑOS DE SEGURIDAD HUMANA Y PROTECCIÓN CONTRA INCENDIOS - EDIFICIO MULTIFAMILIAR</t>
  </si>
  <si>
    <t>Joseph construcciones</t>
  </si>
  <si>
    <t>304 2451616</t>
  </si>
  <si>
    <t>COTIZACION DE LOS DISEÑOS DE PROTECCIÓN CONTRA INCENDIOS - PLAZA CASTILLO.</t>
  </si>
  <si>
    <t>COTIZACION DE LOS DISEÑOS DE PROTECCIÓN CONTRA INCENDIOS - BODEGAS ALBERTO</t>
  </si>
  <si>
    <t>John Ortiz</t>
  </si>
  <si>
    <t>COTIZACION DE LOS DISEÑOS DE PROTECCIÓN CONTRA INCENDIOS - ASERRADERO</t>
  </si>
  <si>
    <t>Rincco</t>
  </si>
  <si>
    <t>COTIZACION DE LOS DISEÑOS DE SEGURIDAD HUMANA Y PROTECCIÓN CONTRA INCENDIOS - DIAGNOSTICO CLINICAS</t>
  </si>
  <si>
    <t>COTIZACION DE LOS DISEÑOS DE SEGURIDAD HUMANA Y PROTECCIÓN CONTRA INCENDIOS - ONE LIVING</t>
  </si>
  <si>
    <t>Construgen</t>
  </si>
  <si>
    <t>Cristian Ramírez</t>
  </si>
  <si>
    <t>319 605 4684</t>
  </si>
  <si>
    <t>cramirez@stop.com.co</t>
  </si>
  <si>
    <t>COTIZACION DE LOS DISEÑOS DE SEGURIDAD HUMANA Y PROTECCIÓN CONTRA INCENDIOS - FANTASIA TORRE 2</t>
  </si>
  <si>
    <t>Constructora Altos de la Abadia</t>
  </si>
  <si>
    <t xml:space="preserve">Luz Aleidy Cuartas Pérez </t>
  </si>
  <si>
    <t>l.cuartas@altosdelaabadia.com</t>
  </si>
  <si>
    <t>4486800 ext 172</t>
  </si>
  <si>
    <t>317 3634383</t>
  </si>
  <si>
    <t>O.cardenas@arqa.com.co</t>
  </si>
  <si>
    <t>Omar Cardenas</t>
  </si>
  <si>
    <t>Crea Jeans SAS</t>
  </si>
  <si>
    <t>COTIZACION DE LOS DISEÑOS DE SEGURIDAD HUMANA Y PROTECCIÓN CONTRA INCENDIOS - CREAJEANS</t>
  </si>
  <si>
    <t>COTIZACION DE LOS DISEÑOS DE PROTECCIÓN CONTRA INCENDIOS - SALONES</t>
  </si>
  <si>
    <t>San Nicolas</t>
  </si>
  <si>
    <t>604 5614886 ext195</t>
  </si>
  <si>
    <t xml:space="preserve">Gabriel Jaime Cortes </t>
  </si>
  <si>
    <t>serviciosgenerales@sannicolas.co</t>
  </si>
  <si>
    <t>COTIZACIÓN DE LA REVISIÓN DE LOS DISEÑOS DE EXTINCIÓN Y SEGURIDAD HUMANA DEL PROYECTO TRIBUNALES</t>
  </si>
  <si>
    <t>Sara Muñoz Toro</t>
  </si>
  <si>
    <t>director-adch@inorca.com.co</t>
  </si>
  <si>
    <t>INORCA SAS</t>
  </si>
  <si>
    <t>COTIZACION DE LOS DISEÑOS DE PROTECCIÓN CONTRA INCENDIOS - LAYOUT PLANTA MIRANDA</t>
  </si>
  <si>
    <t>COTIZACION DE LOS DISEÑOS DE SEGURIDAD HUMANA Y PROTECCIÓN CONTRA INCENDIOS - AMBAR LIVING</t>
  </si>
  <si>
    <t>COTIZACION DE LOS DISEÑOS DE PROTECCIÓN CONTRA INCENDIOS - ECA MARINILLA</t>
  </si>
  <si>
    <t>COTIZACION DE LOS DISEÑOS DE PROTECCIÓN CONTRA INCENDIOS - ESTACION DE LAS VEGAS</t>
  </si>
  <si>
    <t>COTIZACION DE LOS DISEÑOS DE PROTECCIÓN CONTRA INCENDIOS - ESTACION YUMBO VALLE</t>
  </si>
  <si>
    <t>Juan Carlos Loaiza</t>
  </si>
  <si>
    <t>arq.luis.salgado@gmail.com</t>
  </si>
  <si>
    <t>COTIZACION DE LOS DISEÑOS DE SEGURIDAD HUMANA Y PROTECCIÓN CONTRA INCENDIOS - HOTEL ISTMINA</t>
  </si>
  <si>
    <t>COTIZACION DE CAPACITACIÓN EN SEGURIDAD HUMANA</t>
  </si>
  <si>
    <t>Kelly Soto</t>
  </si>
  <si>
    <t>ksoto@aia.com.co</t>
  </si>
  <si>
    <t>312 8951801</t>
  </si>
  <si>
    <t>COTIZACION DE LOS DISEÑOS DE PROTECCIÓN CONTRA INCENDIOS - DUBLIN T2</t>
  </si>
  <si>
    <t>COTIZACION DE LOS DISEÑOS DE PROTECCIÓN CONTRA INCENDIOS - SUCURSAL BANCOLOMBIA CÚCUTA</t>
  </si>
  <si>
    <t>por definir</t>
  </si>
  <si>
    <t>COTIZACION DEL DISEÑO DE EXTINCIÓN DE INCENDIOS - BANDA TRANSPORTADORA</t>
  </si>
  <si>
    <t>COTIZACION DEL DISEÑO DE EXTINCIÓN DE INCENDIOS - MEGACENTER</t>
  </si>
  <si>
    <t>COTIZACION DE LOS DISEÑOS DE SEGURIDAD HUMANA Y PROTECCIÓN CONTRA INCENDIOS - EDIFICIO TORRE OCHO TRES</t>
  </si>
  <si>
    <t>aasociados@gmail.com</t>
  </si>
  <si>
    <t>Alejandro Barco</t>
  </si>
  <si>
    <t>314 8600830‬</t>
  </si>
  <si>
    <t>Constructora Alejandría</t>
  </si>
  <si>
    <t>COTIZACION DE LOS DISEÑOS DE SEGURIDAD HUMANA Y PROTECCIÓN CONTRA INCENDIOS - JARDIN DE SAN ANGEL</t>
  </si>
  <si>
    <t>Ana Maria Marin</t>
  </si>
  <si>
    <t>miguana1504@gmail.com</t>
  </si>
  <si>
    <t>COTIZACION DE LOS DISEÑOS DE SEGURIDAD HUMANA Y PROTECCIÓN CONTRA INCENDIOS - EDIFICIO COMERCIAL</t>
  </si>
  <si>
    <t>COTIZACION DEL DISEÑO DE EXTINCIÓN DE INCENDIOS - LA LLAVE</t>
  </si>
  <si>
    <t>COTIZACION DE LOS DISEÑOS DE SEGURIDAD HUMANA Y PROTECCIÓN CONTRA INCENDIOS - ESTACIÓN DE BOMBEROS BARRANCABERMEJA</t>
  </si>
  <si>
    <t>COTIZACION INTERVENTORIA CONSTRUCCIÓN Y DISEÑO DETECCIÓN DE INCENDIOS - INDUSTRIAS ALIADAS</t>
  </si>
  <si>
    <t>COTIZACION DE LOS DISEÑOS DE SEGURIDAD HUMANA Y PROTECCIÓN CONTRA INCENDIOS - PLANTA DE PROTEINA</t>
  </si>
  <si>
    <t>IS Civiles</t>
  </si>
  <si>
    <t>Eder Alvarez Cardozo</t>
  </si>
  <si>
    <t>COTIZACION DEL ANÁLISIS DE SEGURIDAD HUMANA - MAIORES</t>
  </si>
  <si>
    <t>Carolina Gómez Chica</t>
  </si>
  <si>
    <t>COTIZACION DE LOS DISEÑOS DE PROTECCIÓN CONTRA INCENDIOS - SOCIEDAD PORTUARIA COAL CORP</t>
  </si>
  <si>
    <t>Fortia minerals</t>
  </si>
  <si>
    <t>Maria Jose Rodriguez Meisel</t>
  </si>
  <si>
    <t>mrodriguez@fortiaminerals.com</t>
  </si>
  <si>
    <t>COTIZACION DE LOS DISEÑOS DE PROTECCIÓN CONTRA INCENDIOS - SAN NICOLAS ZONA DE COMIDAS</t>
  </si>
  <si>
    <t>COTIZACION DE LOS DISEÑOS DE PROTECCIÓN CONTRA INCENDIOS - EFFILIVING</t>
  </si>
  <si>
    <t>EFFILIVING</t>
  </si>
  <si>
    <t>Catalina Velásquez</t>
  </si>
  <si>
    <t>Cantagirone</t>
  </si>
  <si>
    <t>COTIZACION DE LOS DISEÑOS DE SEGURIDAD HUMANA Y PROTECCIÓN CONTRA INCENDIOS - COLISEO POLITECNICO</t>
  </si>
  <si>
    <t>Juan Ossa</t>
  </si>
  <si>
    <t>juanfossa77@gmail.com</t>
  </si>
  <si>
    <t>Gerson Bustamante</t>
  </si>
  <si>
    <t>gerson@5pa.co</t>
  </si>
  <si>
    <t>Five Pack</t>
  </si>
  <si>
    <t>COTIZACION DEL DISEÑO DE EXTINCIÓN DE INCENDIOS - CONTECAR</t>
  </si>
  <si>
    <t>jtangarifer@conconcreto.com</t>
  </si>
  <si>
    <t>John Deyvi Tangarife Rivera</t>
  </si>
  <si>
    <t>COTIZACION DE LOS DISEÑOS DE SEGURIDAD HUMANA Y PROTECCIÓN CONTRA INCENDIOS - TERRAZINO</t>
  </si>
  <si>
    <t>COTIZACION DE LOS DISEÑOS DE SEGURIDAD HUMANA Y PROTECCIÓN CONTRA INCENDIOS - PLANTA TEBAIDA</t>
  </si>
  <si>
    <t>Ideas y proyectos de Ingeniería</t>
  </si>
  <si>
    <t>COTIZACION DEL DISEÑO DE EXTINCIÓN DE INCENDIOS PARA EL PROYECTO BODEGA CORRUGADOR Y ROLLOS PAPELSA</t>
  </si>
  <si>
    <t>COTIZACION DE LA REVISIÓN DEL SISTEMA DE BOMBEO DE EXTINCIÓN DE INCENDIOS - AIRE CAMPESTRE</t>
  </si>
  <si>
    <t>QUOTE Potable Water and Firefighting System Expansion</t>
  </si>
  <si>
    <t>CEAD NV</t>
  </si>
  <si>
    <t>COTIZACION DEL DISEÑO DE DETECCIÓN DE INCENDIOS - PARQUE EXPLORA</t>
  </si>
  <si>
    <t>José Manuel Maya G</t>
  </si>
  <si>
    <t>COTIZACION DE LOS DISEÑOS DE PROTECCIÓN CONTRA INCENDIOS - DUAS RODAS</t>
  </si>
  <si>
    <t>yisela.alvarez@duasrodas.com</t>
  </si>
  <si>
    <t>Duas Rodas</t>
  </si>
  <si>
    <t>Yisela Alejandra Alvarez Taborda</t>
  </si>
  <si>
    <t>COTIZACION DE LOS RE-DISEÑOS DE PROTECCIÓN CONTRA INCENDIOS - FAC</t>
  </si>
  <si>
    <t>COTIZACION DE LOS DISEÑOS DE PROTECCIÓN CONTRA INCENDIOS - YAMBA PARK</t>
  </si>
  <si>
    <t>Yamba Park</t>
  </si>
  <si>
    <t>Carlos Cano</t>
  </si>
  <si>
    <t>Elizabeth  Barrientos</t>
  </si>
  <si>
    <t>300 2571471</t>
  </si>
  <si>
    <t>COTIZACION DE INTERVENTORÍA EN LA INSTALACIÓN DE LOS SISTEMAS DE PROTECCIÓN CONTRA INCENDIOS PARA EL PROYECTO APIX</t>
  </si>
  <si>
    <t>BERINCE</t>
  </si>
  <si>
    <t>COTIZACION DEL DISEÑO DE DETECCIÓN DE INCENDIOS - FOTOMILENIO</t>
  </si>
  <si>
    <t>COTIZACION DEL DISEÑO DE EXTINCIÓN DE INCENDIOS - ESTANTERIA BODEGA PPG</t>
  </si>
  <si>
    <t>COTIZACION DE LOS DISEÑOS DE SEGURIDAD HUMANA Y PROTECCIÓN CONTRA INCENDIOS - NAVIVA</t>
  </si>
  <si>
    <t>COTIZACION DE LOS DISEÑOS DE SEGURIDAD HUMANA Y PROTECCIÓN CONTRA INCENDIOS - CORREGIDURÍA</t>
  </si>
  <si>
    <t>I+Consultores</t>
  </si>
  <si>
    <t>lmontoya@iconsultores.com.co</t>
  </si>
  <si>
    <t>Lina Maria Montoya</t>
  </si>
  <si>
    <t>COTIZACION DE LOS DISEÑOS DE PROTECCIÓN CONTRA INCENDIOS - EDIFICIO CENTRO</t>
  </si>
  <si>
    <t>Servimat</t>
  </si>
  <si>
    <t>Adriana Angelica Amar Amado</t>
  </si>
  <si>
    <t>comercial5@servimatcolombia.com</t>
  </si>
  <si>
    <t>COTIZACION DE LOS DISEÑOS DE SEGURIDAD HUMANA Y PROTECCIÓN CONTRA INCENDIOS - REVISIÓN TÉCNICA</t>
  </si>
  <si>
    <t>Esteban Ramírez Pineda</t>
  </si>
  <si>
    <t xml:space="preserve">e.ramirez@altosdelaabadia.com  
</t>
  </si>
  <si>
    <t>COTIZACION DE LOS DISEÑOS DE SEGURIDAD HUMANA Y PROTECCIÓN CONTRA INCENDIOS - NAVITRANS</t>
  </si>
  <si>
    <t>Manuela Beltrán Duque</t>
  </si>
  <si>
    <t>manuelabeltran@convel.co</t>
  </si>
  <si>
    <t>COTIZACION DEL ANÁLISIS DE SEGURIDAD HUMANA - DOLLARCITY</t>
  </si>
  <si>
    <t>Dollarcity</t>
  </si>
  <si>
    <t>Juan Gabriel Gomez</t>
  </si>
  <si>
    <t>COTIZACION DEL DISEÑO DE EXTINCIÓN DE INCENDIOS - PROYECTO EN MARINILLA</t>
  </si>
  <si>
    <t>Paycol</t>
  </si>
  <si>
    <t>proyectos@paycol.com.co</t>
  </si>
  <si>
    <t>Daniel Felipe Díaz Beltrán</t>
  </si>
  <si>
    <t>COTIZACION DEL DISEÑO DE EXTINCIÓN DE INCENDIOS - 2 TORRES DE VIVIENDA</t>
  </si>
  <si>
    <t>David Moscoso Andrade</t>
  </si>
  <si>
    <t>dmoscoso@conconcreto.com</t>
  </si>
  <si>
    <t>COTIZACION DEL RE-DISEÑO DE DETECCIÓN DE INCENDIOS - COLDEPLAST</t>
  </si>
  <si>
    <t>COTIZACION DEL DISEÑO DE DETECCIÓN DE INCENDIOS - CENTRO COMERCIAL</t>
  </si>
  <si>
    <t>Álvarez Fajardo SAS</t>
  </si>
  <si>
    <t>Juan Ignacio Álvarez</t>
  </si>
  <si>
    <t>COTIZACION DE LOS DISEÑOS DE SEGURIDAD HUMANA Y PROTECCIÓN CONTRA INCENDIOS - BODEGA SARKU JAPAN</t>
  </si>
  <si>
    <t>Andrés Jimeno</t>
  </si>
  <si>
    <t>Francorp SA</t>
  </si>
  <si>
    <t>COTIZACION DE LOS DISEÑOS DE SEGURIDAD HUMANA Y EXTINCIÓN DE INCENDIOS - CC SAN NICOLAS</t>
  </si>
  <si>
    <t>COTIZACION DE LOS DISEÑOS DE SEGURIDAD HUMANA Y PROTECCIÓN CONTRA INCENDIOS - BODEGAS ENRUTA</t>
  </si>
  <si>
    <t>Steven Maya</t>
  </si>
  <si>
    <t>COTIZACION DE LOS DISEÑOS DE PROTECCIÓN CONTRA INCENDIOS - SCO CAVA</t>
  </si>
  <si>
    <t>COTIZACION DE LOS DISEÑOS DE SEGURIDAD HUMANA Y PROTECCIÓN CONTRA INCENDIOS - PINOT</t>
  </si>
  <si>
    <t>Sebastián Ochoa</t>
  </si>
  <si>
    <t>COTIZACION DE LOS DISEÑOS DE PROTECCIÓN CONTRA INCENDIOS - CENTRO TECNOLOGICO DEL MOBILIARIO</t>
  </si>
  <si>
    <t>Fire &amp; Equipos</t>
  </si>
  <si>
    <t>Juan Jose</t>
  </si>
  <si>
    <t>COTIZACION DEL DISEÑO DE EXTINCIÓN DE INCENDIOS - ALKOMPRAR</t>
  </si>
  <si>
    <t>Corbeta</t>
  </si>
  <si>
    <t>Ramon Garcia</t>
  </si>
  <si>
    <t>Ramon.Garcia@corbeta.com.co</t>
  </si>
  <si>
    <t>COTIZACION DEL DISEÑO DE EXTINCIÓN DE INCENDIOS - DERMATOLOGICA</t>
  </si>
  <si>
    <t>COTIZACION DEL DISEÑO DE DETECCIÓN DE INCENDIOS - PLANTA PPG</t>
  </si>
  <si>
    <t>COTIZACION DE LOS DISEÑOS DE SEGURIDAD HUMANA Y PROTECCIÓN CONTRA INCENDIOS - COMERCIO SELECTO</t>
  </si>
  <si>
    <t>COTIZACION DE LOS DISEÑOS DE SEGURIDAD HUMANA Y PROTECCIÓN CONTRA INCENDIOS - UNO</t>
  </si>
  <si>
    <t>Link inmobiliario</t>
  </si>
  <si>
    <t>esteban.jaramillo@link-inmobiliario.com</t>
  </si>
  <si>
    <t xml:space="preserve"> Esteban Jaramillo Jiménez</t>
  </si>
  <si>
    <t>COTIZACION DEL ANÁLISIS DE SEGURIDAD HUMANA - ALLEGRO</t>
  </si>
  <si>
    <t>Alejandro Giraldo Ospina</t>
  </si>
  <si>
    <t>alejandrogiraldo@mensulaingenieros.com</t>
  </si>
  <si>
    <t>COTIZACION DEL ANÁLISIS DE SEGURIDAD HUMANA - DISTRITO VERA</t>
  </si>
  <si>
    <t xml:space="preserve"> José Ignacio Henao</t>
  </si>
  <si>
    <t>josehenao@firemarshal.com.co</t>
  </si>
  <si>
    <t>COTIZACION DE LOS DISEÑOS DE SEGURIDAD HUMANA Y PROTECCIÓN CONTRA INCENDIOS - SIMULADOR AERONÁUTICO</t>
  </si>
  <si>
    <t>Panamerican training center</t>
  </si>
  <si>
    <t>Camilo Ovalle</t>
  </si>
  <si>
    <t>COTIZACION DE LOS DISEÑOS DE PROTECCIÓN CONTRA INCENDIOS - BODEGA LABORATORIO</t>
  </si>
  <si>
    <t>Diseños y montajes redes detección y extinción</t>
  </si>
  <si>
    <t>313 7131497</t>
  </si>
  <si>
    <t>Héctor Emilio Zuluaga Zuluaga</t>
  </si>
  <si>
    <t>dycrci94@gmail.com</t>
  </si>
  <si>
    <t xml:space="preserve"> Andrés Sánchez</t>
  </si>
  <si>
    <t>COTIZACION DE LOS DISEÑOS DE SEGURIDAD HUMANA Y PROTECCIÓN CONTRA INCENDIOS - BELAVÍ</t>
  </si>
  <si>
    <t>COTIZACION DE LOS DISEÑOS DE PROTECCIÓN CONTRA INCENDIOS - LOCAL 224</t>
  </si>
  <si>
    <t>Constructivamente</t>
  </si>
  <si>
    <t>COTIZACION DEL DISEÑO DE EXTINCIÓN DE INCENDIOS - PB SAN NICOLÁS</t>
  </si>
  <si>
    <t>Francisco Cardona</t>
  </si>
  <si>
    <t>315 2696207</t>
  </si>
  <si>
    <t>fcardona@constructivamente.com</t>
  </si>
  <si>
    <t>COTIZACION DE LOS DISEÑOS DE SEGURIDAD HUMANA Y PROTECCIÓN CONTRA INCENDIOS - SELECTO ICATU</t>
  </si>
  <si>
    <t>COTIZACION DE LOS DISEÑOS DE PROTECCIÓN CONTRA INCENDIOS - CAVA ICESTAR</t>
  </si>
  <si>
    <t>Lereyis Joana Quezada Rojas</t>
  </si>
  <si>
    <t>info@ingeniobim.co</t>
  </si>
  <si>
    <t>Catalina Penagos</t>
  </si>
  <si>
    <t>COTIZACION DE LOS DISEÑOS DE SEGURIDAD HUMANA Y PROTECCIÓN CONTRA INCENDIOS - EDIFICIO MAGNOLIA</t>
  </si>
  <si>
    <t>Acomercialingesed@gmail.com</t>
  </si>
  <si>
    <t>JUAN CAMILO LO SEPARO / POR FAVOR DILIGENCIAR</t>
  </si>
  <si>
    <t>COTIZACION DE LOS DISEÑOS DE SEGURIDAD HUMANA Y PROTECCIÓN CONTRA INCENDIOS - NATIVO</t>
  </si>
  <si>
    <t>Constructora San Miguel</t>
  </si>
  <si>
    <t>Nelson Garcia</t>
  </si>
  <si>
    <t>COTIZACION DEL ANÁLISIS DE SEGURIDAD HUMANA - HOTEL CORNELIA</t>
  </si>
  <si>
    <t>321 6160437</t>
  </si>
  <si>
    <t>Maria Elena Caro</t>
  </si>
  <si>
    <t>COTIZACION DEL DISEÑO DE EXTINCIÓN DE INCENDIOS - COLOMBO AMERICANO</t>
  </si>
  <si>
    <t>COTIZACION REVISIÓN DE DISEÑOS - PROYECTO EL VERGEL T4</t>
  </si>
  <si>
    <t>COTIZACION DE LOS DISEÑOS DE PROTECCIÓN CONTRA INCENDIOS - ACCANTO</t>
  </si>
  <si>
    <t>IAYC</t>
  </si>
  <si>
    <t>COTIZACION DE LOS DISEÑOS DE SEGURIDAD HUMANA Y PROTECCIÓN CONTRA INCENDIOS - SUIZA</t>
  </si>
  <si>
    <t>COTIZACION DEL DISEÑO DE EXTINCIÓN DE INCENDIOS - PUNTO BLANCO SANTA FE</t>
  </si>
  <si>
    <t>SOLICITADO POR DARLEY</t>
  </si>
  <si>
    <t>Heder Álvarez Cardozo</t>
  </si>
  <si>
    <t>COTIZACION DE LOS DISEÑOS DE SEGURIDAD HUMANA Y PROTECCIÓN CONTRA INCENDIOS - EL RETIRO</t>
  </si>
  <si>
    <t>COTIZACION DEL DISEÑO DE EXTINCIÓN DE INCENDIOS - BODEGA 106</t>
  </si>
  <si>
    <t>COTIZACION DEL DISEÑO DE EXTINCIÓN DE INCENDIOS - TRACKMAN RANGE</t>
  </si>
  <si>
    <t>COTIZACION DE LOS DISEÑOS DE PROTECCIÓN CONTRA INCENDIOS - SEDE TRÁNSITO LA CEJA</t>
  </si>
  <si>
    <t>COTIZACION REVISIÓN Y CONCEPTO SISTEMA DE BOMBEO RCI CLASS</t>
  </si>
  <si>
    <t>CH Arquitectos</t>
  </si>
  <si>
    <t>Sergio Carmona</t>
  </si>
  <si>
    <t>315 5062553</t>
  </si>
  <si>
    <t>COTIZACION DE LOS DISEÑOS DE SEGURIDAD HUMANA Y PROTECCIÓN CONTRA INCENDIOS - DISTRITO PLAZA T3</t>
  </si>
  <si>
    <t>Bienes y bienes</t>
  </si>
  <si>
    <t>Natalia Ruiz</t>
  </si>
  <si>
    <t>Grupo Attia</t>
  </si>
  <si>
    <t>COTIZACION DEL ANÁLISIS DE SEGURIDAD HUMANA - MAGNOLIA</t>
  </si>
  <si>
    <t>nruiz@grupoattia.com</t>
  </si>
  <si>
    <t>COTIZACION DE LOS DISEÑOS DE PROTECCIÓN CONTRA INCENDIOS - DURMAN MADRID</t>
  </si>
  <si>
    <t>Aliaxis</t>
  </si>
  <si>
    <t>Raquel Zoraida Guzman Cruz</t>
  </si>
  <si>
    <t>raquel.guzman@aliaxis-la.com</t>
  </si>
  <si>
    <t>COTIZACION DEL DISEÑO DE DETECCIÓN DE INCENDIOS - NEHEMIAS</t>
  </si>
  <si>
    <t>COTIZACION DEL RE-DISEÑO DE DETECCIÓN DE INCENDIOS - COLDEPLAST Y MICROPLAST</t>
  </si>
  <si>
    <t>COTIZACION DEL DISEÑO DE EXTINCIÓN DE INCENDIOS - FLORIDA CC</t>
  </si>
  <si>
    <t>COTIZACION DE LOS DISEÑOS DE SEGURIDAD HUMANA Y PROTECCIÓN CONTRA INCENDIOS - FLA</t>
  </si>
  <si>
    <t>COTIZACION DE LOS DISEÑOS DE PROTECCIÓN CONTRA INCENDIOS - RANCHO SANTANA</t>
  </si>
  <si>
    <t>COTIZACION DE LOS DISEÑOS DE SEGURIDAD HUMANA Y PROTECCIÓN CONTRA INCENDIOS - LOTE RIONEGRO</t>
  </si>
  <si>
    <t>COTIZACION DEL ANÁLISIS DE SEGURIDAD HUMANA - KIWARA</t>
  </si>
  <si>
    <t>COTIZACION DE LOS DISEÑOS DE SEGURIDAD HUMANA Y PROTECCIÓN CONTRA INCENDIOS - ARMONIA DE LA FORTUNA</t>
  </si>
  <si>
    <t xml:space="preserve">e.ramirez@altosdelaabadia.com  </t>
  </si>
  <si>
    <t>COTIZACION DE LOS DISEÑOS DE SEGURIDAD HUMANA Y PROTECCIÓN CONTRA INCENDIOS - COLEGIO URABÁ</t>
  </si>
  <si>
    <t>COTIZACION DEL DISEÑO DE EXTINCIÓN DE INCENDIOS - SURATEX BODEGA</t>
  </si>
  <si>
    <t>Suratex</t>
  </si>
  <si>
    <t xml:space="preserve"> Cristian Ortega Cardona</t>
  </si>
  <si>
    <t>mantenimiento@suratex.co</t>
  </si>
  <si>
    <t>COTIZACION DEL ANÁLISIS DE SEGURIDAD HUMANA - PORTO ROSSO</t>
  </si>
  <si>
    <t>Olga Lucia Castañeda</t>
  </si>
  <si>
    <t>COTIZACION DE LOS DISEÑOS DE VERIFICACION HIDRAULICA DEL SISTEMA DE EXTINCION DE INCENDIOS - ARMONIA DE LA FORTUNA</t>
  </si>
  <si>
    <t>olcastaneda@conconcreto.com</t>
  </si>
  <si>
    <t>COTIZACION DE LOS DISEÑOS DE SEGURIDAD HUMANA Y PROTECCIÓN CONTRA INCENDIOS - 4AC BODEGAS 1 Y 6</t>
  </si>
  <si>
    <t>COTIZACION DE LOS DISEÑOS DE SEGURIDAD HUMANA Y PROTECCIÓN CONTRA INCENDIOS - PROMENADE</t>
  </si>
  <si>
    <t>COTIZACION DEL ANÁLISIS DE SEGURIDAD HUMANA - GIMNASIO MODERNO</t>
  </si>
  <si>
    <t>COTIZACION DEL DISEÑO DE EXTINCIÓN DE INCENDIOS - PLANTA DE PISO 4</t>
  </si>
  <si>
    <t>COTIZACION DE LOS DISEÑOS DE PROTECCIÓN CONTRA INCENDIOS - PCH PROVIDENCIA I</t>
  </si>
  <si>
    <t>jhon.osorio@mineros.com.co</t>
  </si>
  <si>
    <t>604 266 57 57 Ext 4196</t>
  </si>
  <si>
    <t>Jhon Hefred Osorio Muneton</t>
  </si>
  <si>
    <t>COTIZACION DE LOS DISEÑOS DE SEGURIDAD HUMANA Y PROTECCIÓN CONTRA INCENDIOS - SAINT MORITZ</t>
  </si>
  <si>
    <t>COTIZACION DEL ANÁLISIS DE SEGURIDAD HUMANA - RANCHO SANTANA</t>
  </si>
  <si>
    <t>COTIZACION DE LOS DISEÑOS DE SEGURIDAD HUMANA Y PROTECCIÓN CONTRA INCENDIOS - VAYUH COMERCIO</t>
  </si>
  <si>
    <t>Daniel Ceballos</t>
  </si>
  <si>
    <t>Arquingenia</t>
  </si>
  <si>
    <t>Edgardo Sanjuan</t>
  </si>
  <si>
    <t>311 3493285</t>
  </si>
  <si>
    <t>COTIZACION DEL ANÁLISIS DE SEGURIDAD HUMANA PARA EL PROYECTO CAPS GUAJIRA (AREMASAIN, MINGUEO Y TOMARRAZON)</t>
  </si>
  <si>
    <t>COTIZACION DE LOS DISEÑOS DE SEGURIDAD HUMANA Y PROTECCIÓN CONTRA INCENDIOS - KOSMOS – PLATAFORMA T1 T2</t>
  </si>
  <si>
    <t>COTIZACION DE LOS DISEÑOS DE SEGURIDAD HUMANA Y PROTECCIÓN CONTRA INCENDIOS - CABO</t>
  </si>
  <si>
    <t>COTIZACION DE LOS DISEÑOS DE SEGURIDAD HUMANA Y PROTECCIÓN CONTRA INCENDIOS - ELEVATE WELLNESS</t>
  </si>
  <si>
    <t>Planta libre</t>
  </si>
  <si>
    <t>COTIZACION DE LOS DISEÑOS DE SEGURIDAD HUMANA Y PROTECCIÓN CONTRA INCENDIOS - HOBBY HOME</t>
  </si>
  <si>
    <t>Grupo Arké</t>
  </si>
  <si>
    <t>Luisa Fernanda Castaño</t>
  </si>
  <si>
    <t>luisa.castano@grupoarke.com.co</t>
  </si>
  <si>
    <t>Jonier Osorio Campo</t>
  </si>
  <si>
    <t>innova.planlibre@gmail.com</t>
  </si>
  <si>
    <t>Complemento Retail</t>
  </si>
  <si>
    <t>Santiago Franco</t>
  </si>
  <si>
    <t>santiago.franco@redigroup.co</t>
  </si>
  <si>
    <t>COTIZACION DE LOS DISEÑOS DE SEGURIDAD HUMANA Y PROTECCIÓN CONTRA INCENDIOS - GUADALAJARA</t>
  </si>
  <si>
    <t>Redigroup</t>
  </si>
  <si>
    <t xml:space="preserve">Juan Andres Cassares </t>
  </si>
  <si>
    <t>COTIZACION DE LOS DISEÑOS DE SEGURIDAD HUMANA Y PROTECCIÓN CONTRA INCENDIOS - AZUL</t>
  </si>
  <si>
    <t>COTIZACION DE LOS DISEÑOS DE SEGURIDAD HUMANA Y PROTECCIÓN CONTRA INCENDIOS - GUADALUPE</t>
  </si>
  <si>
    <t>Soluciones constructivas</t>
  </si>
  <si>
    <t>EMERSON ARLEN VANEGAS HENAO</t>
  </si>
  <si>
    <t>evanegas@solucionesconstructivas.co</t>
  </si>
  <si>
    <t>COTIZACION DEL DISEÑO DE EXTINCIÓN DE INCENDIOS - CUARTO DE BOMBAS MONTERIA</t>
  </si>
  <si>
    <t>Andrés Felipe Cruz Restrepo</t>
  </si>
  <si>
    <t>COTIZACION DE LOS DISEÑOS DE PROTECCIÓN CONTRA INCENDIOS - CA MEJIA</t>
  </si>
  <si>
    <t>COTIZACION DE LOS DISEÑOS DE PROTECCIÓN CONTRA INCENDIOS - LA COLINA</t>
  </si>
  <si>
    <t>COTIZACION DE LOS DISEÑOS DE SEGURIDAD HUMANA Y PROTECCIÓN CONTRA INCENDIOS - HOTEL LAURELES</t>
  </si>
  <si>
    <t>COTIZACION DEL ANÁLISIS DE SEGURIDAD HUMANA - EDIFICIO</t>
  </si>
  <si>
    <t>ERG del Valle</t>
  </si>
  <si>
    <t>Frank Sanchez</t>
  </si>
  <si>
    <t>operaciones.erg@gmail.com</t>
  </si>
  <si>
    <t>COTIZACION DE LOS DISEÑOS DE SEGURIDAD HUMANA Y PROTECCIÓN CONTRA INCENDIOS - CASA PAISAJE</t>
  </si>
  <si>
    <t>COTIZACION DEL DISEÑO DE DETECCIÓN DE INCENDIOS - FULLER PINTO</t>
  </si>
  <si>
    <t>COTIZACION DE LOS DISEÑOS DE SEGURIDAD HUMANA Y PROTECCIÓN CONTRA INCENDIOS - PREGO</t>
  </si>
  <si>
    <t>COTIZACION DEL DISEÑO DE DETECCIÓN DE INCENDIOS - ALMACAFÉ</t>
  </si>
  <si>
    <t>COTIZACION DEL ANÁLISIS DE SEGURIDAD HUMANA - CONCESIONARIO TOYOTA AUTOAMÉRICA</t>
  </si>
  <si>
    <t>Liliana Valdivieso Buenaventura</t>
  </si>
  <si>
    <t>lilianavaldivieso@mensulaingenieros.com</t>
  </si>
  <si>
    <t>COTIZACION DE LOS DISEÑOS DE SEGURIDAD HUMANA Y PROTECCIÓN CONTRA INCENDIOS - 17 PARK TOWER</t>
  </si>
  <si>
    <t>90 Qbos</t>
  </si>
  <si>
    <t>COTIZACION DE LOS DISEÑOS DE SEGURIDAD HUMANA Y PROTECCIÓN CONTRA INCENDIOS - RADIÓLOGOS</t>
  </si>
  <si>
    <t>John Henry Ocampo</t>
  </si>
  <si>
    <t>andrearestrepoarq@gmail.com</t>
  </si>
  <si>
    <t>Manuela Castaño</t>
  </si>
  <si>
    <t>rproyectos@90qbos.com</t>
  </si>
  <si>
    <t>COTIZACION DEL DISEÑO DE EXTINCIÓN DE INCENDIOS - PLANTA DE PISO 4 Y 5</t>
  </si>
  <si>
    <t>CYP</t>
  </si>
  <si>
    <t>COTIZACION DEL DISEÑO DE EXTINCIÓN DE INCENDIOS - VIVA BARRANQUILLA</t>
  </si>
  <si>
    <t>COTIZACION DEL DISEÑO DE EXTINCIÓN DE INCENDIOS - SAN JOAQUIN</t>
  </si>
  <si>
    <t>COTIZACION DE LOS DISEÑOS DE PROTECCIÓN CONTRA INCENDIOS - LABORATORIO ICMT</t>
  </si>
  <si>
    <t xml:space="preserve">Diana Yamile Betancur Colorado </t>
  </si>
  <si>
    <t>COTIZACION DE LOS DISEÑOS DE SEGURIDAD HUMANA Y PROTECCIÓN CONTRA INCENDIOS - OBRA NUEVA</t>
  </si>
  <si>
    <t>gerencia@grupoingenium.co</t>
  </si>
  <si>
    <t>COTIZACION DE LOS DISEÑOS DE PROTECCIÓN CONTRA INCENDIOS - ALTERRA</t>
  </si>
  <si>
    <t>Auteco</t>
  </si>
  <si>
    <t>COTIZACION DEL DISEÑO DE EXTINCIÓN DE INCENDIOS - VERTICAL AUTECO</t>
  </si>
  <si>
    <t>interventoriaalterra@gmail.com</t>
  </si>
  <si>
    <t>Juan David Gallego Rios</t>
  </si>
  <si>
    <t>jgallego@auteco.com</t>
  </si>
  <si>
    <t>COTIZACION DE LOS DISEÑOS DE SEGURIDAD HUMANA Y PROTECCIÓN CONTRA INCENDIOS - SOLÉ</t>
  </si>
  <si>
    <t>Edison Alejandro Pulgarin</t>
  </si>
  <si>
    <t>Bitacora ingeniería</t>
  </si>
  <si>
    <t>Luisa Alarcón Botero</t>
  </si>
  <si>
    <t>COTIZACION DEL LEVANTAMIENTO Y ELABORACIÓN DE PLNAOS ARQUITECTÓNICOS BÁSICOS – ALMACAFE</t>
  </si>
  <si>
    <t>COTIZACION DEL ANÁLISIS DE SEGURIDAD HUMANA - UNIDAD DE TRASPLANTES CARDIOINFANTIL</t>
  </si>
  <si>
    <t>COTIZACION DE LOS DISEÑOS DE SEGURIDAD HUMANA Y PROTECCIÓN CONTRA INCENDIOS - MALECÓN</t>
  </si>
  <si>
    <t>dacuervo@coninsa.co</t>
  </si>
  <si>
    <t>Diego Alexander Cuervo Duque</t>
  </si>
  <si>
    <t>COTIZACION DEL DISEÑO DE EXTINCIÓN DE INCENDIOS - MUNDO DANZA</t>
  </si>
  <si>
    <t>COTIZACION DE LOS DISEÑOS DE SEGURIDAD HUMANA Y PROTECCIÓN CONTRA INCENDIOS - SKY</t>
  </si>
  <si>
    <t>COTIZACION DEL REDISEÑO DE EXTINCIÓN DE INCENDIOS - RIO</t>
  </si>
  <si>
    <t>Carmenza Guzman S.</t>
  </si>
  <si>
    <t>carmenza.guzman@urco.com.co</t>
  </si>
  <si>
    <t>Constructora URCO</t>
  </si>
  <si>
    <t>COTIZACION DEL DISEÑO DE DETECCIÓN DE INCENDIOS - BODEGA CINTANDINA</t>
  </si>
  <si>
    <t xml:space="preserve">Mauricio Guzman Urrea </t>
  </si>
  <si>
    <t>COTIZACION DE LOS DISEÑOS DE SEGURIDAD HUMANA Y PROTECCIÓN CONTRA INCENDIOS - TORRE MÉDICA COMEDAL</t>
  </si>
  <si>
    <t>ygarcia@coninsa.co</t>
  </si>
  <si>
    <t>Yerly García</t>
  </si>
  <si>
    <t>sm@complementoretail.com</t>
  </si>
  <si>
    <t>COTIZACION DEL DISEÑO DE DETECCIÓN DE INCENDIOS - VIVA SINCELEJO</t>
  </si>
  <si>
    <t>COTIZACION DEL ANÁLISIS DE SEGURIDAD HUMANA - VIUPARK HOME</t>
  </si>
  <si>
    <t>Gradeco</t>
  </si>
  <si>
    <t>Adriana Velasco</t>
  </si>
  <si>
    <t>coordinador.administrativo@gradeco.com.co</t>
  </si>
  <si>
    <t>COTIZACION DE LOS DISEÑOS DE SEGURIDAD HUMANA Y PROTECCIÓN CONTRA INCENDIOS - CASA MÚSICA DANZA</t>
  </si>
  <si>
    <t>UPB</t>
  </si>
  <si>
    <t>alejandro.restrepomontoya@upb.edu.co</t>
  </si>
  <si>
    <t>COTIZACION DE LOS DISEÑOS DE SEGURIDAD HUMANA Y PROTECCIÓN CONTRA INCENDIOS - HOTEL SAN JERONIMO</t>
  </si>
  <si>
    <t>COTIZACION DE LOS DISEÑOS DE SEGURIDAD HUMANA Y PROTECCIÓN CONTRA INCENDIOS - HOTEL LAURELES 1</t>
  </si>
  <si>
    <t>COTIZACION DE LOS DISEÑOS DE SEGURIDAD HUMANA Y PROTECCIÓN CONTRA INCENDIOS - PREDIOS ALEDAÑOS A LA CATEDRAL METROPOLITANA DE MEDELLIN</t>
  </si>
  <si>
    <t>tatianabaquero1507@gmail.com</t>
  </si>
  <si>
    <t>Tatiana Baquero</t>
  </si>
  <si>
    <t>COTIZACION DEL DISEÑO DE EXTINCIÓN DE INCENDIOS -  BODEGA 102 POLÍGONO INDUSTRIAL</t>
  </si>
  <si>
    <t>Geodic</t>
  </si>
  <si>
    <t>Daniel Martinez Rios</t>
  </si>
  <si>
    <t>dmartinez@geodic.com.co</t>
  </si>
  <si>
    <t>COTIZACION DEL ANÁLISIS DE SEGURIDAD HUMANA - SEGUROS MUNDIAL</t>
  </si>
  <si>
    <t>Studio SUR</t>
  </si>
  <si>
    <t>601 2357612</t>
  </si>
  <si>
    <t>COTIZACION DE LOS DISEÑOS DE PROTECCIÓN CONTRA INCENDIOS - CLINICA FUNDADORES</t>
  </si>
  <si>
    <t>COTIZACION DE LOS DISEÑOS DE SEGURIDAD HUMANA Y PROTECCIÓN CONTRA INCENDIOS - SAN PEDRO</t>
  </si>
  <si>
    <t>Sebastian Callejas</t>
  </si>
  <si>
    <t>COTIZACION DEL ANÁLISIS DE SEGURIDAD HUMANA - SOLARUM-ARHÚ</t>
  </si>
  <si>
    <t>Grupo Empresarial JALUMA</t>
  </si>
  <si>
    <t>COTIZACION DEL ANÁLISIS DE SEGURIDAD HUMANA -  SOLARUM-SUNNA</t>
  </si>
  <si>
    <t>COTIZACION DE LOS DISEÑOS DE PROTECCIÓN CONTRA INCENDIOS - IMEC</t>
  </si>
  <si>
    <t>CONSORCIO 2C USPEC</t>
  </si>
  <si>
    <t>COTIZACION DEL ANÁLISIS DE SEGURIDAD HUMANA - MAJAGUA</t>
  </si>
  <si>
    <t>Nicolás Vargas</t>
  </si>
  <si>
    <t>nicolasvargas@convel.co</t>
  </si>
  <si>
    <t>COTIZACION DEL ANÁLISIS DE SEGURIDAD HUMANA - VERDELLA</t>
  </si>
  <si>
    <t>MARKET CERDO S.A.S</t>
  </si>
  <si>
    <t>Maritza Giraldo Sánchez</t>
  </si>
  <si>
    <t>coordinadorsst@marketcerdo.com</t>
  </si>
  <si>
    <t>COTIZACION DEL DISEÑO DE DETECCIÓN DE INCENDIOS - MARKET CERDO</t>
  </si>
  <si>
    <t>Arconsa</t>
  </si>
  <si>
    <t xml:space="preserve">	Fabián Gómez</t>
  </si>
  <si>
    <t>fabian.gomez@arconsa.com.co</t>
  </si>
  <si>
    <t>COTIZACION DE LOS DISEÑOS DE SEGURIDAD HUMANA Y PROTECCIÓN CONTRA INCENDIOS - CLÍNICA CER</t>
  </si>
  <si>
    <t>COTIZACION DE LOS DISEÑOS DE SEGURIDAD HUMANA Y EXTINCIÓN DE INCENDIOS - TRIBUNALES</t>
  </si>
  <si>
    <t>bimtribunales@arquitecturayconcreto.com</t>
  </si>
  <si>
    <t>COTIZACION DE LOS DISEÑOS DE SEGURIDAD HUMANA Y PROTECCIÓN CONTRA INCENDIOS - WATANA</t>
  </si>
  <si>
    <t>Grupo ZFB - Licify</t>
  </si>
  <si>
    <t>COTIZACION DEL ANÁLISIS DE SEGURIDAD HUMANA - M BALBOA</t>
  </si>
  <si>
    <t>Claudia Marcela Pinilla Puentes</t>
  </si>
  <si>
    <t>cpinilla@zonafrancabogota.com</t>
  </si>
  <si>
    <t>COTIZACION DE LOS DISEÑOS DE PROTECCIÓN CONTRA INCENDIOS - ALMAVIVA</t>
  </si>
  <si>
    <t>COTIZACION DE LOS DISEÑOS DE PROTECCIÓN CONTRA INCENDIOS - PLANTA NEROLI</t>
  </si>
  <si>
    <t>Montajes de marca</t>
  </si>
  <si>
    <t>Carlos Rojas</t>
  </si>
  <si>
    <t>ingmecanico@montajesdemarca.com</t>
  </si>
  <si>
    <t>COTIZACION DE LOS DISEÑOS DE PROTECCIÓN CONTRA INCENDIOS - DISCO WACOP</t>
  </si>
  <si>
    <t>LIS Seguros</t>
  </si>
  <si>
    <t>servicioalcliente@logisticaintegraldeseguros.com</t>
  </si>
  <si>
    <t>Angelica Quintero</t>
  </si>
  <si>
    <t>COTIZACION DE LOS DISEÑOS DE PROTECCIÓN CONTRA INCENDIOS - PROYECTO MAZZÚ</t>
  </si>
  <si>
    <t>haguilar@contex.com.co</t>
  </si>
  <si>
    <t>Henry Aguilar</t>
  </si>
  <si>
    <t>Lucify</t>
  </si>
  <si>
    <t>SUMINISTRO DE ROCIADORES AUTOMÁTICOS</t>
  </si>
  <si>
    <t>COTIZACION DE LOS DISEÑOS DE SEGURIDAD HUMANA Y PROTECCIÓN CONTRA INCENDIOS - EL TAPIAL</t>
  </si>
  <si>
    <t>COTIZACION DE LOS DISEÑOS DE SEGURIDAD HUMANA Y PROTECCIÓN CONTRA INCENDIOS - EDIFICIO VIS 5 PISOS</t>
  </si>
  <si>
    <t>COTIZACION DE LOS DISEÑOS DE SEGURIDAD HUMANA Y PROTECCIÓN CONTRA INCENDIOS - SALÓN COMUNAL</t>
  </si>
  <si>
    <t>Veronica Sucerquia</t>
  </si>
  <si>
    <t>ventas@socomes.com</t>
  </si>
  <si>
    <t>COTIZACION CAPACITACIÓN CONCEPTOS BÁSICOS DE INSTALACIÓN</t>
  </si>
  <si>
    <t>COTIZACION DE LOS DISEÑOS DE SEGURIDAD HUMANA Y PROTECCIÓN CONTRA INCENDIOS - PLANTA AVICOLA</t>
  </si>
  <si>
    <t>Dinpro</t>
  </si>
  <si>
    <t>Luz Stella Ochoa Ceballos</t>
  </si>
  <si>
    <t>luz.ochoa@dinpro.com</t>
  </si>
  <si>
    <t>COTIZACION DEL DISEÑO DE EXTINCIÓN DE INCENDIOS - TERMOPAIPA</t>
  </si>
  <si>
    <t>HE Ingenieria</t>
  </si>
  <si>
    <t>Eduar Montesino</t>
  </si>
  <si>
    <t>directorproyectos@he-ing.com</t>
  </si>
  <si>
    <t>Ceramicas Renacer</t>
  </si>
  <si>
    <t>COTIZACION DE LOS DISEÑOS DE SEGURIDAD HUMANA Y PROTECCIÓN CONTRA INCENDIOS - CERÁMICAS RENACER</t>
  </si>
  <si>
    <t>tesoreria@ceramicasrenacer.com</t>
  </si>
  <si>
    <t>Estefanía Duque Zapata</t>
  </si>
  <si>
    <t>321 5701452</t>
  </si>
  <si>
    <t>erua@nivelum.com</t>
  </si>
  <si>
    <t>COTIZACION DE LOS DISEÑOS DE SEGURIDAD HUMANA Y PROTECCIÓN CONTRA INCENDIOS - VILLA CIELO</t>
  </si>
  <si>
    <t>Valentina Daza</t>
  </si>
  <si>
    <t>vdaza@solciviles.com</t>
  </si>
  <si>
    <t>COTIZACION DE LOS DISEÑOS DE SEGURIDAD HUMANA Y PROTECCIÓN CONTRA INCENDIOS - PROYECTO PALMANOVA</t>
  </si>
  <si>
    <t>COTIZACION DEL DISEÑO DE EXTINCIÓN DE INCENDIOS - BABY FRESH PARQUE ARBOLEDA</t>
  </si>
  <si>
    <t>COTIZACION DEL DIAGNÓSTICO DEL SISTEMA CONTRA INCENDIOS INSTALADO - PLANTA AVICOLA</t>
  </si>
  <si>
    <t>COTIZACION DEL DISEÑO DE EXTINCIÓN DE INCENDIOS - COMODISIMOS</t>
  </si>
  <si>
    <t>COTIZACION DE LOS DISEÑOS DE SEGURIDAD HUMANA Y PROTECCIÓN CONTRA INCENDIOS - CEDI CALDAS</t>
  </si>
  <si>
    <t>COTIZACION DE LOS DISEÑOS DE SEGURIDAD HUMANA Y PROTECCIÓN CONTRA INCENDIOS - CEDI MOSQUERA</t>
  </si>
  <si>
    <t>COTIZACION DEL DISEÑO DE EXTINCIÓN DE INCENDIOS - PB  VIVA BARRANQUILLA</t>
  </si>
  <si>
    <t>COTIZACION DEL DISEÑO DE EXTINCIÓN DE INCENDIOS - GEF VIVA BARRANQUILLA</t>
  </si>
  <si>
    <t>Proyecto ARQ</t>
  </si>
  <si>
    <t>COTIZACION DE LOS DISEÑOS DE SEGURIDAD HUMANA Y PROTECCIÓN CONTRA INCENDIOS - NUVOLI BOSTON</t>
  </si>
  <si>
    <t>#</t>
  </si>
  <si>
    <t>Item</t>
  </si>
  <si>
    <t>Description</t>
  </si>
  <si>
    <t>Qty</t>
  </si>
  <si>
    <t>7010-4FL</t>
  </si>
  <si>
    <t>7068A-0400</t>
  </si>
  <si>
    <t>12-3370-05</t>
  </si>
  <si>
    <t>2 1/2" MONITOR W/4" FLG BASE
750 GPM GUARDIAN FIRE</t>
  </si>
  <si>
    <t>2 1/2" NST Brass Nzl w/Eductor 500
GPM (1%or3% foam) Guardian Fire</t>
  </si>
  <si>
    <t>4" KENNEDY RW GATE VALVE
FLANGE OS&amp;Y</t>
  </si>
  <si>
    <t>ARK 3% 265 GAL FOMTEC
ENVIRO FOAM CONCENTRATE</t>
  </si>
  <si>
    <t>Valor Proveedor</t>
  </si>
  <si>
    <t>30% +</t>
  </si>
  <si>
    <t>trm</t>
  </si>
  <si>
    <t>Price USD</t>
  </si>
  <si>
    <t>COTIZACION DE LOS DISEÑOS DE SEGURIDAD HUMANA Y PROTECCIÓN CONTRA INCENDIOS - FLORIDA TORRE MÉDICA</t>
  </si>
  <si>
    <t>COTIZACION DEL DISEÑO DE DETECCIÓN DE INCENDIOS - INCODOL</t>
  </si>
  <si>
    <t>Mateo Restrepo</t>
  </si>
  <si>
    <t>COTIZACION DE LOS DISEÑOS DE SEGURIDAD HUMANA Y PROTECCIÓN CONTRA INCENDIOS - MORENITA</t>
  </si>
  <si>
    <t>COTIZACION DE LOS DISEÑOS DE PROTECCIÓN CONTRA INCENDIOS - SOLUTEXTIL</t>
  </si>
  <si>
    <t>Verónica Sucerquia</t>
  </si>
  <si>
    <t>COTIZACION DE LOS DISEÑOS DE SEGURIDAD HUMANA Y PROTECCIÓN CONTRA INCENDIOS - CAOBA</t>
  </si>
  <si>
    <t>COTIZACION DE LOS DISEÑOS DE SEGURIDAD HUMANA Y PROTECCIÓN CONTRA INCENDIOS - BODEGA</t>
  </si>
  <si>
    <t>Renovista</t>
  </si>
  <si>
    <t>Steven Londoño Oquendo</t>
  </si>
  <si>
    <t>steven.londono@renovista.com.co</t>
  </si>
  <si>
    <t>COTIZACION DE LOS DISEÑOS DE SEGURIDAD HUMANA Y PROTECCIÓN CONTRA INCENDIOS - LAS PALMAS</t>
  </si>
  <si>
    <t>Óscar Andrés Álvarez A</t>
  </si>
  <si>
    <t>COTIZACION DEL ANÁLISIS DE SEGURIDAD HUMANA - HA BICICLETAS</t>
  </si>
  <si>
    <t>COTIZACION DE LOS DISEÑOS DE SEGURIDAD HUMANA Y PROTECCIÓN CONTRA INCENDIOS - NEBRASKA</t>
  </si>
  <si>
    <t>HD Gerencia Integral</t>
  </si>
  <si>
    <t>COTIZACIÓN DEL SUMINISTRO DE SPUMA Y MONITOR</t>
  </si>
  <si>
    <t>andrea@proyectoarq.co</t>
  </si>
  <si>
    <t>300 7549649</t>
  </si>
  <si>
    <t>313 6824596</t>
  </si>
  <si>
    <t>precio en dólares</t>
  </si>
  <si>
    <t>COTIZACION DEL DISEÑO DE EXTINCIÓN DE INCENDIOS - SINTROPICO</t>
  </si>
  <si>
    <t>Laboratorio Echavarria</t>
  </si>
  <si>
    <t>Edwin Zuluaga Causto</t>
  </si>
  <si>
    <t>COTIZACION DEL ANÁLISIS DE SEGURIDAD HUMANA - CONTREE PALMAS T2</t>
  </si>
  <si>
    <t>COTIZACION DE LOS DISEÑOS DE SEGURIDAD HUMANA Y PROTECCIÓN CONTRA INCENDIOS - OFICINAS SAN TERRA</t>
  </si>
  <si>
    <t>PAO Arquitectura</t>
  </si>
  <si>
    <t>COTIZACION DEL DISEÑO DE DETECCIÓN DE INCENDIOS - COMPAÑIA DE EMPAQUES</t>
  </si>
  <si>
    <t>COTIZACION DEL DISEÑO DE EXTINCIÓN DE INCENDIOS - RED CONTRAINCENDIO – SP 20090921</t>
  </si>
  <si>
    <t>Mineros Colombia</t>
  </si>
  <si>
    <t>Alexander Oviedo Serrano</t>
  </si>
  <si>
    <t>alexander.oviedo@mineros.com.co</t>
  </si>
  <si>
    <t>COTIZACION DE LOS DISEÑOS DE SEGURIDAD HUMANA Y PROTECCIÓN CONTRA INCENDIOS - BALSOS 34</t>
  </si>
  <si>
    <t>COTIZACION DEL DISEÑO DE DETECCIÓN DE INCENDIOS - HOTEL HAVEN</t>
  </si>
  <si>
    <t>COTIZACION DEL DISEÑO DE EXTINCIÓN DE INCENDIOS - ALKOMPRAR NIHLO SANTA FE</t>
  </si>
  <si>
    <t>COTIZACION DEL DISEÑO DE PROTECCIÓN CONTRA INCENDIOS - LABORATORIO ECHAVARRÍA CC FLORIDA</t>
  </si>
  <si>
    <t>COTIZACION DE LOS DISEÑOS DE SEGURIDAD HUMANA Y PROTECCIÓN CONTRA INCENDIOS - ZETA</t>
  </si>
  <si>
    <t>gabriel.velez@construgen.com</t>
  </si>
  <si>
    <t>322 6875727</t>
  </si>
  <si>
    <t xml:space="preserve">Gabriel Vélez </t>
  </si>
  <si>
    <t>COTIZACION DEL DISEÑO DE EXTINCIÓN DE INCENDIOS - HOMECENTER BARRANCA</t>
  </si>
  <si>
    <t>COTIZACION DE LOS DISEÑOS DE SEGURIDAD HUMANA Y PROTECCIÓN CONTRA INCENDIOS - RESIDENCIAL LAURELES</t>
  </si>
  <si>
    <t>Mauricio Davila Restrepo</t>
  </si>
  <si>
    <t>COTIZACION DE LOS DISEÑOS DE PROTECCIÓN CONTRA INCENDIOS - GAME ROOM MONTEVERDE</t>
  </si>
  <si>
    <t>COTIZACION DEL ANÁLISIS DE SEGURIDAD HUMANA - CONTRALORÍA CÚCUTA</t>
  </si>
  <si>
    <t>DRV Ingenieria</t>
  </si>
  <si>
    <t>Diego Zamora Martinez</t>
  </si>
  <si>
    <t>diegozamora@drvingenieria.co</t>
  </si>
  <si>
    <t>Juan David Triana Muñoz</t>
  </si>
  <si>
    <t>COTIZACION DE LOS DISEÑOS DE SEGURIDAD HUMANA Y DETECCIÓN DE INCENDIOS - LA SIRENA</t>
  </si>
  <si>
    <t>Cusezar</t>
  </si>
  <si>
    <t>COTIZACION DEL DISEÑO DE DETECCIÓN DE INCENDIOS - ESPIGAL</t>
  </si>
  <si>
    <t>COTIZACION DE LOS DISEÑOS DE SEGURIDAD HUMANA Y PROTECCIÓN CONTRA INCENDIOS - INS. EDUCATIVA GALAPA</t>
  </si>
  <si>
    <t>COTIZACION DE LOS DISEÑOS DE SEGURIDAD HUMANA Y PROTECCIÓN CONTRA INCENDIOS - INS. EDUCATIVA SABANA GRANDE</t>
  </si>
  <si>
    <t>COTIZACION DE LOS DISEÑOS DE SEGURIDAD HUMANA Y PROTECCIÓN CONTRA INCENDIOS - INS. EDUCATIVA SALGAR</t>
  </si>
  <si>
    <t>COTIZACION DE LOS DISEÑOS DE SEGURIDAD HUMANA Y PROTECCIÓN CONTRA INCENDIOS - INS. EDUCATIVA USICAURI</t>
  </si>
  <si>
    <t>Viviam Paola Gaona Ardila</t>
  </si>
  <si>
    <t>vgaona@cusezar.com</t>
  </si>
  <si>
    <t>Ramon Arturo Garcia Carmona</t>
  </si>
  <si>
    <t>315 7494148</t>
  </si>
  <si>
    <t>300 6047984</t>
  </si>
  <si>
    <t xml:space="preserve">sebastianochoa@arquitecturayconcreto.com </t>
  </si>
  <si>
    <t>316 2439535</t>
  </si>
  <si>
    <t>300 6019759</t>
  </si>
  <si>
    <t>Juan José Monsalve</t>
  </si>
  <si>
    <t>Directorcomercial@fireyequipos.com</t>
  </si>
  <si>
    <t>300 2390723</t>
  </si>
  <si>
    <t>COTIZACION DE LOS DISEÑOS DE SEGURIDAD HUMANA Y PROTECCIÓN CONTRA INCENDIOS - INS. EDUCATIVA BARANOA</t>
  </si>
  <si>
    <t>COTIZACION DE LOS DISEÑOS DE SEGURIDAD HUMANA Y PROTECCIÓN CONTRA INCENDIOS - INSTITUCION EDUCATIVA CEDES</t>
  </si>
  <si>
    <t>Roberto Ospina</t>
  </si>
  <si>
    <t>COTIZACION DE LOS DISEÑOS DE PROTECCIÓN CONTRA INCENDIOS - ALTO TESORO</t>
  </si>
  <si>
    <t>FP Services</t>
  </si>
  <si>
    <t>COTIZACION DE LOS DISEÑOS DE PROTECCIÓN CONTRA INCENDIOS - PLATINUM</t>
  </si>
  <si>
    <t>COTIZACION DE LOS DISEÑOS DE SEGURIDAD HUMANA Y PROTECCIÓN CONTRA INCENDIOS - TRAVIATA TORRE 1</t>
  </si>
  <si>
    <t>317 502 23 73</t>
  </si>
  <si>
    <t>andrea.pineda@studiosur.net</t>
  </si>
  <si>
    <t>COTIZACION DE LOS DISEÑOS DE SEGURIDAD HUMANA Y PROTECCIÓN CONTRA INCENDIOS - TRANSMETANO</t>
  </si>
  <si>
    <t>COTIZACION DEL DISEÑO DE EXTINCIÓN DE INCENDIOS - BOMBA JACA</t>
  </si>
  <si>
    <t>COTIZACION DEL DISEÑO DE DETECCIÓN DE INCENDIOS - TAN FAMILIA</t>
  </si>
  <si>
    <t>Danny Alexander Castro Arias</t>
  </si>
  <si>
    <t>dannycastro@arquitecturayconcreto.com</t>
  </si>
  <si>
    <t>ancardona@comodisimos.com</t>
  </si>
  <si>
    <t>321 6531816</t>
  </si>
  <si>
    <t>Comodisimos</t>
  </si>
  <si>
    <t>COTIZACION DEL DISEÑO DE EXTINCIÓN DE INCENDIOS - BODEGA</t>
  </si>
  <si>
    <t>Anderson Cardona</t>
  </si>
  <si>
    <t>COTIZACION DE LOS DISEÑOS DE PROTECCIÓN CONTRA INCENDIOS - AYUDAS DIAGNOSTICAS AVIGNON</t>
  </si>
  <si>
    <t>Catalina Muñoz H</t>
  </si>
  <si>
    <t>E&amp;M Constructores</t>
  </si>
  <si>
    <t>sebastian.pamu94@gmail.com</t>
  </si>
  <si>
    <t>Sebastián Parra Muñoz</t>
  </si>
  <si>
    <t>Novacon</t>
  </si>
  <si>
    <t>director3@eymconstructores.com.co</t>
  </si>
  <si>
    <t>COTIZACION DE LOS DISEÑOS DE PROTECCIÓN CONTRA INCENDIOS - AMPLIACIÓN ECOFLORA</t>
  </si>
  <si>
    <t>COTIZACION DE LOS DISEÑOS DE PROTECCIÓN CONTRA INCENDIOS - EDIFICIO GUAYACANES</t>
  </si>
  <si>
    <t>COTIZACION DEL DISEÑO DE DETECCIÓN DE INCENDIOS - EL JORDÁN</t>
  </si>
  <si>
    <t>Javier Mercado V.</t>
  </si>
  <si>
    <t>proyectos3@nivel.co</t>
  </si>
  <si>
    <t xml:space="preserve">Nivel </t>
  </si>
  <si>
    <t>COTIZACION DE LOS DISEÑOS DE SEGURIDAD HUMANA Y PROTECCIÓN CONTRA INCENDIOS - NAVITRANS IBAGUE</t>
  </si>
  <si>
    <t>COTIZACION DE LOS DISEÑOS DE PROTECCIÓN CONTRA INCENDIOS - EDIFICIO ANDES</t>
  </si>
  <si>
    <t>CREANDO Y CONSTRUYENDO 2023 S.A.S</t>
  </si>
  <si>
    <t>Rubén Posada</t>
  </si>
  <si>
    <t>COTIZACION DE LOS DISEÑOS DE PROTECCIÓN CONTRA INCENDIOS - COCINA CENTRO DE EXPERIENCIAS</t>
  </si>
  <si>
    <t>Andres Ticora</t>
  </si>
  <si>
    <t>residente2@solucionesinmobiliariassas.com</t>
  </si>
  <si>
    <t>COTIZACION DE LOS DISEÑOS DE SEGURIDAD HUMANA Y PROTECCIÓN CONTRA INCENDIOS - RETROTRAC</t>
  </si>
  <si>
    <t>Ensamble</t>
  </si>
  <si>
    <t>Liliana Yepes</t>
  </si>
  <si>
    <t>COTIZACION DE LOS DISEÑOS DE PROTECCIÓN CONTRA INCENDIOS - AYURA CENTER III</t>
  </si>
  <si>
    <t>Paradigma Arquitectura</t>
  </si>
  <si>
    <t>COTIZACION DE LOS DISEÑOS DE SEGURIDAD HUMANA Y PROTECCIÓN CONTRA INCENDIOS - HOTEL LOFT 75</t>
  </si>
  <si>
    <t>Steven López Giraldo</t>
  </si>
  <si>
    <t>324 681 6334</t>
  </si>
  <si>
    <t>paradigmaarquitectura75@gmail.com</t>
  </si>
  <si>
    <t>Clara Rocio Parra Acosta</t>
  </si>
  <si>
    <t>clara.parra@sp.com.co</t>
  </si>
  <si>
    <t>SP Inmobiliaria</t>
  </si>
  <si>
    <t>COTIZACION DEL DISEÑO DE EXTINCIÓN DE INCENDIOS - MALL COMERCIAL</t>
  </si>
  <si>
    <t>COTIZACION DE PLANOS RECORD EXTINCIÓN Y DETECCIÓN PARA PROYECTO ONE LIVING ETAPA 1</t>
  </si>
  <si>
    <t>COTIZACION DEL ANÁLISIS DE SEGURIDAD HUMANA - NATURAL LIVING</t>
  </si>
  <si>
    <t>COTIZACION DEL ANÁLISIS DE SEGURIDAD HUMANA - PISO 15 CAM</t>
  </si>
  <si>
    <t>COTIZACION DE LOS DISEÑOS DE SEGURIDAD HUMANA Y PROTECCIÓN CONTRA INCENDIOS - TERRANHELO</t>
  </si>
  <si>
    <t>Nucleo Constructora</t>
  </si>
  <si>
    <t>324333 ext 105</t>
  </si>
  <si>
    <t>Isabel Zuluaga</t>
  </si>
  <si>
    <t>i.zuluaga@nucleoconstructora.com</t>
  </si>
  <si>
    <t>COTIZACION DE LOS DISEÑOS DE SEGURIDAD HUMANA Y PROTECCIÓN CONTRA INCENDIOS - PLAZA DE MERCADO</t>
  </si>
  <si>
    <t>Construya sas</t>
  </si>
  <si>
    <t>David Muriel</t>
  </si>
  <si>
    <t>COTIZACION DE LOS DISEÑOS DE SEGURIDAD HUMANA Y PROTECCIÓN CONTRA INCENDIOS - FRUTOS VERDES TORRE 5</t>
  </si>
  <si>
    <t>Yesica Osorno</t>
  </si>
  <si>
    <t>COTIZACION DE LOS DISEÑOS DE SEGURIDAD HUMANA Y PROTECCIÓN CONTRA INCENDIOS - BIVETT - SURA</t>
  </si>
  <si>
    <t>gerencia@eymconstructores.com.co</t>
  </si>
  <si>
    <t>Isabel Cristina Espitia Ch</t>
  </si>
  <si>
    <t>COTIZACION DE LOS DISEÑOS DE SEGURIDAD HUMANA Y PROTECCIÓN CONTRA INCENDIOS - MALVA</t>
  </si>
  <si>
    <t>COTIZACION DE LOS DISEÑOS DE SEGURIDAD HUMANA Y PROTECCIÓN CONTRA INCENDIOS - RIBERO T2</t>
  </si>
  <si>
    <t>COTIZACION DEL DISEÑO DE DETECCIÓN DE INCENDIOS - CASA DEL ÁNGEL</t>
  </si>
  <si>
    <t>Laura Cárdenas</t>
  </si>
  <si>
    <t>lauracamila030@hotmail.com</t>
  </si>
  <si>
    <t>COTIZACION DE LOS DISEÑOS DE SEGURIDAD HUMANA Y PROTECCIÓN CONTRA INCENDIOS - BASILEA ETAPA 1</t>
  </si>
  <si>
    <t>COTIZACION DE LOS DISEÑOS DE PROTECCIÓN CONTRA INCENDIOS - HOMECENTER KRISTALL MALL</t>
  </si>
  <si>
    <t>COTIZACION DE LOS DISEÑOS DE SEGURIDAD HUMANA Y DETECCIÓN DE INCENDIOS - BIVETT-SURA</t>
  </si>
  <si>
    <t>COTIZACION DEL DISEÑO DE EXTINCIÓN DE INCENDIOS - HIDRANTE EN CUBIERTAS VIVA VILLAVICENCIO</t>
  </si>
  <si>
    <t>COTIZACION DE LOS DISEÑOS DE SEGURIDAD HUMANA Y PROTECCIÓN CONTRA INCENDIOS - LAZARITO</t>
  </si>
  <si>
    <t>COTIZACION DE LOS DISEÑOS DE SEGURIDAD HUMANA Y PROTECCIÓN CONTRA INCENDIOS - INS. EDUCATIVAS ATLÁNTICO</t>
  </si>
  <si>
    <t>COTIZACION DEL ANÁLISIS DE SEGURIDAD HUMANA - BODEGA ANDES</t>
  </si>
  <si>
    <t>COTIZACION DE LOS DISEÑOS DE SEGURIDAD HUMANA Y PROTECCIÓN CONTRA INCENDIOS - VILLA GABRIELA ETAPA 3,4 Y 5</t>
  </si>
  <si>
    <t>Muros y techos</t>
  </si>
  <si>
    <t>David Mesa</t>
  </si>
  <si>
    <t>313 7969915</t>
  </si>
  <si>
    <t>damesa@mt.com.co</t>
  </si>
  <si>
    <t>COTIZACION DEL DISEÑO DE EXTINCIÓN DE INCENDIOS - SIBERIA</t>
  </si>
  <si>
    <t>COTIZACION DE LOS DISEÑOS DE PROTECCIÓN CONTRA INCENDIOS - INVERSIONES GLP GUARNE</t>
  </si>
  <si>
    <t>COTIZACION DE LOS DISEÑOS DE PROTECCIÓN CONTRA INCENDIOS - YUMBO</t>
  </si>
  <si>
    <t>COTIZACION DEL DISEÑO DE EXTINCIÓN DE INCENDIOS - RIDUCO</t>
  </si>
  <si>
    <t>Equipos el rapido</t>
  </si>
  <si>
    <t>Ana Maria Grajales Gomez</t>
  </si>
  <si>
    <t>gerencia@equiposelrapido.com</t>
  </si>
  <si>
    <t>COTIZACION DE LOS DISEÑOS DE SEGURIDAD HUMANA Y PROTECCIÓN CONTRA INCENDIOS - EDP</t>
  </si>
  <si>
    <t>COTIZACION DEL DISEÑO DE EXTINCIÓN DE INCENDIOS - MEZANINE CEDI AUTECO GUARNE</t>
  </si>
  <si>
    <t>COTIZACION DE LOS DISEÑOS DE SEGURIDAD HUMANA Y PROTECCIÓN CONTRA INCENDIOS - BENEDICTINOS</t>
  </si>
  <si>
    <t>COTIZACION DE LOS DISEÑOS DE SEGURIDAD HUMANA Y PROTECCIÓN CONTRA INCENDIOS - AMANTINA T3</t>
  </si>
  <si>
    <t>COTIZACION DEL ANÁLISIS DE SEGURIDAD HUMANA - VILLAVENTO</t>
  </si>
  <si>
    <t>Inmobiliaria Telval</t>
  </si>
  <si>
    <t>319 2564149</t>
  </si>
  <si>
    <t>COTIZACION DE LOS DISEÑOS DE SEGURIDAD HUMANA Y PROTECCIÓN CONTRA INCENDIOS - JAGGUA</t>
  </si>
  <si>
    <t>Elkin Johan Garzon</t>
  </si>
  <si>
    <t>cinmobiliariat@telval.com</t>
  </si>
  <si>
    <t>COTIZACION DE LOS DISEÑOS DE PROTECCIÓN CONTRA INCENDIOS - CHIQUINQUIRA</t>
  </si>
  <si>
    <t>COTIZACION DEL DISEÑO DE EXTINCIÓN DE INCENDIOS - JOSSIE TREATMENT PLANT UPGRADE</t>
  </si>
  <si>
    <t>COTIZACION DE LOS DISEÑOS DE PROTECCIÓN CONTRA INCENDIOS - CARTAGENA</t>
  </si>
  <si>
    <t>COTIZACION DE LOS DISEÑOS DE SEGURIDAD HUMANA Y PROTECCIÓN CONTRA INCENDIOS - CENTRO ATENCION BIODIVERSIDAD</t>
  </si>
  <si>
    <t>COTIZACION DE LOS DISEÑOS DE SEGURIDAD HUMANA Y PROTECCIÓN CONTRA INCENDIOS - ALTOS DEL POBLADO</t>
  </si>
  <si>
    <t>Tres E</t>
  </si>
  <si>
    <t xml:space="preserve"> Juan Camilo Ramírez</t>
  </si>
  <si>
    <t>juanramirez@tres-e.com</t>
  </si>
  <si>
    <t>COTIZACION DEL ANÁLISIS DE SEGURIDAD HUMANA - EDIFICACION EL SALVADOR</t>
  </si>
  <si>
    <t>Farley de Jesus Bustamante Zuleta</t>
  </si>
  <si>
    <t>fbustamantez@doublec.com</t>
  </si>
  <si>
    <t>COTIZACION DEL DISEÑO DE EXTINCIÓN DE INCENDIOS - BOMBAS BELO</t>
  </si>
  <si>
    <t>COTIZACION DE LOS DISEÑOS DE SEGURIDAD HUMANA Y PROTECCIÓN CONTRA INCENDIOS - NEO ETAPA 3</t>
  </si>
  <si>
    <t>COTIZACION DEL DISEÑO DE EXTINCIÓN DE INCENDIOS - EDIFICIO G334</t>
  </si>
  <si>
    <t>COTIZACION DEL DISEÑO DE DETECCIÓN DE INCENDIOS - INTERTEK</t>
  </si>
  <si>
    <t>COTIZACION DEL ANÁLISIS DE SEGURIDAD HUMANA - MODERNO</t>
  </si>
  <si>
    <t>Daniel Camilo Quintero Gutierrez</t>
  </si>
  <si>
    <t>dquinterog@conconcreto.com</t>
  </si>
  <si>
    <t>COTIZACION DEL DISEÑO DE DETECCIÓN DE INCENDIOS - OSSPREY</t>
  </si>
  <si>
    <t>Laura Villa Muñoz</t>
  </si>
  <si>
    <t>laura.villa@seriinco.com</t>
  </si>
  <si>
    <t>COTIZACION DE LOS DISEÑOS DE SEGURIDAD HUMANA Y PROTECCIÓN CONTRA INCENDIOS - MERCADO CENTRAL</t>
  </si>
  <si>
    <t>300 5934637</t>
  </si>
  <si>
    <t>Nasser Jose Sir Cedeño</t>
  </si>
  <si>
    <t>njsirc@coninsa.co</t>
  </si>
  <si>
    <t>COTIZACION DEL DISEÑO DE DETECCIÓN DE INCENDIOS - FAMILIA RIONEGRO</t>
  </si>
  <si>
    <t>ya se cotizó atrás</t>
  </si>
  <si>
    <t>COTIZACION DE LOS DISEÑOS DE SEGURIDAD HUMANA Y PROTECCIÓN CONTRA INCENDIOS - POWER DIGITAL</t>
  </si>
  <si>
    <t>Julián Andrés Gutierrez</t>
  </si>
  <si>
    <t>COTIZACION DEL DISEÑO DE EXTINCIÓN DE INCENDIOS - ALUSUD</t>
  </si>
  <si>
    <t>ALUSUD EMBALAJES</t>
  </si>
  <si>
    <t>Francy Ardila</t>
  </si>
  <si>
    <t>313 462 05 92</t>
  </si>
  <si>
    <t>francy.ardila@oxfordpackaging.com</t>
  </si>
  <si>
    <t>Rodrigo López Segura</t>
  </si>
  <si>
    <t>(604) 2446600</t>
  </si>
  <si>
    <t>rodrigo.lopez@aia.com.co</t>
  </si>
  <si>
    <t>COTIZACION DE LOS DISEÑOS DE PROTECCIÓN CONTRA INCENDIOS - CASA PATIO BONITO</t>
  </si>
  <si>
    <t>COTIZACION DEL DISEÑO DE EXTINCIÓN DE INCENDIOS - LOCALES PISO 2 CC LA CENTRAL</t>
  </si>
  <si>
    <t>COTIZACION DEL DISEÑO DE EXTINCIÓN DE INCENDIOS - EDIFICIO C26</t>
  </si>
  <si>
    <t>COTIZACION DE LOS DISEÑOS DE SEGURIDAD HUMANA Y PROTECCIÓN CONTRA INCENDIOS - HOTEL NORTE</t>
  </si>
  <si>
    <t>g.jaramillo.arq@gmail.com</t>
  </si>
  <si>
    <t>COTIZACION DEL DISEÑO DE DETECCIÓN DE INCENDIOS - ML SOLUCIONES</t>
  </si>
  <si>
    <t>Natalia Martinez</t>
  </si>
  <si>
    <t>COTIZACION DEL DISEÑO DE DETECCIÓN DE INCENDIOS - FURIMA</t>
  </si>
  <si>
    <t>COTIZACION DEL ANÁLISIS DE SEGURIDAD HUMANA - CLUB HOUSE GUAYMARAL</t>
  </si>
  <si>
    <t>José Ignacio Henao</t>
  </si>
  <si>
    <t>COTIZACION DEL DISEÑO DE DETECCIÓN DE INCENDIOS - CALL CENTER</t>
  </si>
  <si>
    <t>COTIZACION DE LOS DISEÑOS DE SEGURIDAD HUMANA Y PROTECCIÓN CONTRA INCENDIOS - PLANTA INDUSTRIAL</t>
  </si>
  <si>
    <t>Vanessa Del Pilar Farieta Pineros</t>
  </si>
  <si>
    <t>vdfarieta@coninsa.co</t>
  </si>
  <si>
    <t>Juliana Patricia Gómez Galvis</t>
  </si>
  <si>
    <t>interventoriaterritorioverde@tipinterventoria.com</t>
  </si>
  <si>
    <t>COTIZACION DEL ANÁLISIS DE SEGURIDAD HUMANA - TERRITORIO VERDE</t>
  </si>
  <si>
    <t>COTIZACION DEL DISEÑO DE EXTINCIÓN DE INCENDIOS - CPVC-ECUADOR</t>
  </si>
  <si>
    <t>juan.grajales@supplynetlatam.com</t>
  </si>
  <si>
    <t>SupplyNet LATAM</t>
  </si>
  <si>
    <t>COTIZACION DEL DISEÑO DE DETECCIÓN DE INCENDIOS - PROYECTO BELEN</t>
  </si>
  <si>
    <t>COTIZACION DE LOS DISEÑOS DE SEGURIDAD HUMANA Y PROTECCIÓN CONTRA INCENDIOS - TORRE GIGANTE</t>
  </si>
  <si>
    <t>COTIZACION REVISIÓN DE DISEÑOS - PROYECTO CONTECAR BODEGA 13000</t>
  </si>
  <si>
    <t>COTIZACION DEL DISEÑO DE EXTINCIÓN DE INCENDIOS - DIAGNÓSTICO DISEÑO DE EXTINCIÓN AVOPAK</t>
  </si>
  <si>
    <t>COTIZACION DEL DISEÑO DE EXTINCIÓN DE INCENDIOS - CEMPI</t>
  </si>
  <si>
    <t>COTIZACIÓN PLANOS ASBUILT HERBARIO</t>
  </si>
  <si>
    <t>CYP INSTALACIONES</t>
  </si>
  <si>
    <t>COTIZACION DE LOS DISEÑOS DE SEGURIDAD HUMANA Y PROTECCIÓN CONTRA INCENDIOS - KAIZEN</t>
  </si>
  <si>
    <t>COTIZACION DE LOS DISEÑOS DE SEGURIDAD HUMANA Y EXTINCIÓN DE INCENDIOS - INCODOL PUNTO CLAVE</t>
  </si>
  <si>
    <t>Incodol</t>
  </si>
  <si>
    <t>Johana Correa</t>
  </si>
  <si>
    <t>coord.infraestructura@incodol.com</t>
  </si>
  <si>
    <t>301 5264636‬</t>
  </si>
  <si>
    <t>COTIZACION DEL ANÁLISIS DE SEGURIDAD HUMANA - PLANTA INDUSTRIAL ZOMA</t>
  </si>
  <si>
    <t>Laura Sofia Foronda Vasquez</t>
  </si>
  <si>
    <t>lforondav@conconcreto.com</t>
  </si>
  <si>
    <t>COTIZACION DE LOS DISEÑOS DE SEGURIDAD HUMANA Y EXTINCIÓN DE INCENDIOS - COLISEO BDELALCAZAR</t>
  </si>
  <si>
    <t>COTIZACION DE LOS DISEÑOS DE SEGURIDAD HUMANA Y PROTECCIÓN CONTRA INCENDIOS - PORTERIA CALMO</t>
  </si>
  <si>
    <t>COTIZACION DEL DISEÑO DE EXTINCIÓN DE INCENDIOS PARA EL PROYECTO COOPIDROGAS FUNZA</t>
  </si>
  <si>
    <t>COTIZACION REVISIÓN DE DISEÑOS Y VERIFICACIÓN EN CAMPO PROYECTO NEO</t>
  </si>
  <si>
    <t>COTIZACION DE LOS DISEÑOS DE PROTECCIÓN CONTRA INCENDIOS - CABO</t>
  </si>
  <si>
    <t>COTIZACION DE LOS DISEÑOS DE SEGURIDAD HUMANA Y PROTECCIÓN CONTRA INCENDIOS - CENTRO VIDA MUNICIPAL</t>
  </si>
  <si>
    <t>Municipio del peñol</t>
  </si>
  <si>
    <t>Arion Camilo Alzate Pamplona</t>
  </si>
  <si>
    <t>proyectos@elpenol-antioquia.gov.co</t>
  </si>
  <si>
    <t>Constructora Andina</t>
  </si>
  <si>
    <t>Lucas Daniel Fernández Rojas</t>
  </si>
  <si>
    <t>andinaconstructura@gmail.com</t>
  </si>
  <si>
    <t>COTIZACION DEL ANÁLISIS DE SEGURIDAD HUMANA - DAMASCO</t>
  </si>
  <si>
    <t>COTIZACION DE LOS DISEÑOS DE SEGURIDAD HUMANA Y PROTECCIÓN CONTRA INCENDIOS - CENTRO DE CONEXIONES EAFIT</t>
  </si>
  <si>
    <t>COTIZACION DE LOS DISEÑOS DE SEGURIDAD HUMANA Y PROTECCIÓN CONTRA INCENDIOS - HOGAR ADULTO MAYOR CALI</t>
  </si>
  <si>
    <t>Milena Hernández Marín</t>
  </si>
  <si>
    <t>COTIZACION DEL ANÁLISIS DE SEGURIDAD HUMANA - CENTRO CONEXIONES EAFIT</t>
  </si>
  <si>
    <t>COTIZACION DE LOS DISEÑOS DE PROTECCIÓN CONTRA INCENDIOS - PATIO SUR</t>
  </si>
  <si>
    <t>PC Mejia</t>
  </si>
  <si>
    <t>COTIZACION DE LOS DISEÑOS DE PROTECCIÓN CONTRA INCENDIOS - PUERTO CARMELO</t>
  </si>
  <si>
    <t>COTIZACION DEL DISEÑO DE EXTINCIÓN DE INCENDIOS - BODEGA ITAGUI</t>
  </si>
  <si>
    <t>COTIZACION DEL ANÁLISIS DE SEGURIDAD HUMANA - CENCOSUD</t>
  </si>
  <si>
    <t>COTIZACION DE LOS DISEÑOS DE SEGURIDAD HUMANA Y PROTECCIÓN CONTRA INCENDIOS - LAGUNA BEACH-BLOQUE CENTRAL</t>
  </si>
  <si>
    <t>COTIZACION DE LOS DISEÑOS DE SEGURIDAD HUMANA Y PROTECCIÓN CONTRA INCENDIOS - COLEGIO MARYMOUNT</t>
  </si>
  <si>
    <t>Inhauser</t>
  </si>
  <si>
    <t xml:space="preserve">Diana Cardona </t>
  </si>
  <si>
    <t>inhauserproyectos@gmail.com</t>
  </si>
  <si>
    <t>COTIZACION DE LOS DISEÑOS DE SEGURIDAD HUMANA Y PROTECCIÓN CONTRA INCENDIOS - RECREO GUAYABAL</t>
  </si>
  <si>
    <t>Ana Paula Perez Arevalo</t>
  </si>
  <si>
    <t>proyectos@entretangencia.com</t>
  </si>
  <si>
    <t>COTIZACION DEL ANÁLISIS DE SEGURIDAD HUMANA - HIVE ALTOZZA</t>
  </si>
  <si>
    <t>COTIZACION DE LOS DISEÑOS DE SEGURIDAD HUMANA Y PROTECCIÓN CONTRA INCENDIOS - EL VERANO</t>
  </si>
  <si>
    <t>Evelin Rojas Rúa</t>
  </si>
  <si>
    <t>COTIZACION DE LOS DISEÑOS DE SEGURIDAD HUMANA Y PROTECCIÓN CONTRA INCENDIOS - ED. LA 28</t>
  </si>
  <si>
    <t>COTIZACION DE LOS DISEÑOS DE SEGURIDAD HUMANA Y PROTECCIÓN CONTRA INCENDIOS - BELVEDERE</t>
  </si>
  <si>
    <t>COTIZACION DEL ANÁLISIS DE SEGURIDAD HUMANA - HIVE BLUUM</t>
  </si>
  <si>
    <t>Karen Yuliana Mendez</t>
  </si>
  <si>
    <t>John Ocampo Arquitectura</t>
  </si>
  <si>
    <t>Andrea Restrepo</t>
  </si>
  <si>
    <t>andrearestrepo@joarq.com</t>
  </si>
  <si>
    <t>COTIZACION DEL REDISEÑO DE EXTINCIÓN DE INCENDIOS PARA EL PROYECTO SIAMESA FRAGUA</t>
  </si>
  <si>
    <t>COTIZACION DE LOS DISEÑOS DE SEGURIDAD HUMANA Y PROTECCIÓN CONTRA INCENDIOS - SAN IGNACIO INFANTIL</t>
  </si>
  <si>
    <t>COTIZACION DE LOS DISEÑOS DE SEGURIDAD HUMANA Y PROTECCIÓN CONTRA INCENDIOS - FORTRESS</t>
  </si>
  <si>
    <t>COTIZACION DE LOS DISEÑOS DE SEGURIDAD HUMANA Y PROTECCIÓN CONTRA INCENDIOS - AIRPORT SUITES</t>
  </si>
  <si>
    <t>Cristian Londoño</t>
  </si>
  <si>
    <t>Cristian7628@hotmail.com</t>
  </si>
  <si>
    <t>320 7091752</t>
  </si>
  <si>
    <t>COTIZACION DEL ANÁLISIS DE SEGURIDAD HUMANA - PROYECTO AEROPUERTO RIONEGRO</t>
  </si>
  <si>
    <t>Juan Cassares</t>
  </si>
  <si>
    <t>301 7358708</t>
  </si>
  <si>
    <t>COTIZACION DE LOS DISEÑOS DE PROTECCIÓN CONTRA INCENDIOS - SUCURSAL VIVA LAURELES</t>
  </si>
  <si>
    <t>COTIZACION DEL DISEÑO DE DETECCIÓN DE INCENDIOS - PLASTICOL</t>
  </si>
  <si>
    <t>Conciviles</t>
  </si>
  <si>
    <t>ymunozg@conciviles.com</t>
  </si>
  <si>
    <t>Yanneth Muñoz Garcia</t>
  </si>
  <si>
    <t>COTIZACION DEL ANÁLISIS DE SEGURIDAD HUMANA - UNIOTROPICO</t>
  </si>
  <si>
    <t>alejandrorestrepo@tres-e.com</t>
  </si>
  <si>
    <t>COTIZACION DE LOS DISEÑOS DE SEGURIDAD HUMANA Y PROTECCIÓN CONTRA INCENDIOS - POBLADO 16</t>
  </si>
  <si>
    <t>hyfireingenieros@gmail.com</t>
  </si>
  <si>
    <t>COTIZACION DEL DISEÑO DE EXTINCIÓN DE INCENDIOS - STAATSOLIE</t>
  </si>
  <si>
    <t>Cegena</t>
  </si>
  <si>
    <t>Raul Lopez</t>
  </si>
  <si>
    <t>COTIZACION DEL DISEÑO DE EXTINCIÓN DE INCENDIOS - PLANTA FAHILO</t>
  </si>
  <si>
    <t>COTIZACION DEL DISEÑO DE DETECCIÓN DE INCENDIOS - PLAZA DE MERCADO DE COPACABANA</t>
  </si>
  <si>
    <t>Hidráulica e Ingeniería en Seguridad Contra Incendios</t>
  </si>
  <si>
    <t>Jorge Vega</t>
  </si>
  <si>
    <t>COTIZACION DEL DISEÑO DE NOTIFICACIÓN Y ALAMRA DE INCENDIOS ALTERNO PARA EL PROYECTO FAMILIA RIONEGRO</t>
  </si>
  <si>
    <t>COTIZACION DE LOS DISEÑOS DE PROTECCIÓN CONTRA INCENDIOS - LINEAS HOSPITALARIAS</t>
  </si>
  <si>
    <t>COTIZACION DE LOS DISEÑOS DE SEGURIDAD HUMANA Y PROTECCIÓN CONTRA INCENDIOS - TIRRENA ETAPA 2 Y 3</t>
  </si>
  <si>
    <t>COTIZACION DE LOS DISEÑOS DE SEGURIDAD HUMANA Y PROTECCIÓN CONTRA INCENDIOS - SOLEI T3</t>
  </si>
  <si>
    <t>COTIZACION DE LOS DISEÑOS DE SEGURIDAD HUMANA Y PROTECCIÓN CONTRA INCENDIOS - MISTRAL ETAPAS 2 Y 3</t>
  </si>
  <si>
    <t>COTIZACION DEL DISEÑO DE DETECCIÓN DE INCENDIOS - COMFAMA ARANJUEZ</t>
  </si>
  <si>
    <t>C4 Logistica</t>
  </si>
  <si>
    <t>Eduar Braian Gomez Londoño</t>
  </si>
  <si>
    <t>sg.sst@c4logistica.com</t>
  </si>
  <si>
    <t>COTIZACION DEL DISEÑO DE DETECCIÓN DE INCENDIOS - PRODUCTOS EL CARIBE</t>
  </si>
  <si>
    <t>COTIZACION DE LOS DISEÑOS DE SEGURIDAD HUMANA Y PROTECCIÓN CONTRA INCENDIOS - CENTRO COMERCIAL VÍA CAJICÁ</t>
  </si>
  <si>
    <t>COTIZACION DEL DISEÑO DE DETECCIÓN DE INCENDIOS - CRYOGAS</t>
  </si>
  <si>
    <t>COTIZACION DE LOS DISEÑOS DE SEGURIDAD HUMANA Y PROTECCIÓN CONTRA INCENDIOS - COORDINADORA</t>
  </si>
  <si>
    <t>COTIZACION DE LOS DISEÑOS DE SEGURIDAD HUMANA Y PROTECCIÓN CONTRA INCENDIOS - MALL COMERCIAL LAS BRISAS</t>
  </si>
  <si>
    <t>COTIZACION DEL DISEÑO DE DETECCIÓN DE INCENDIOS - MARRIOT</t>
  </si>
  <si>
    <t>miguel.robayo@supplynetlatam.com</t>
  </si>
  <si>
    <t>COTIZACION DEL DISEÑO DE DETECCIÓN DE INCENDIOS - VIUPARK HOME</t>
  </si>
  <si>
    <t>COTIZACION DE LOS DISEÑOS DE SEGURIDAD HUMANA Y PROTECCIÓN CONTRA INCENDIOS - ALEJANDRÍA</t>
  </si>
  <si>
    <t>Vanessa Buelvas</t>
  </si>
  <si>
    <t>vanessabuelvas@mensulaingenieros.com</t>
  </si>
  <si>
    <t>COTIZACION DEL DISEÑO DE DETECCIÓN DE INCENDIOS - VESDA FAC</t>
  </si>
  <si>
    <t>COTIZACION DEL DISEÑO DE DETECCIÓN DE INCENDIOS - COMFAMA OCCIDENTE</t>
  </si>
  <si>
    <t>COTIZACION DE LOS DISEÑOS DE SEGURIDAD HUMANA Y PROTECCIÓN CONTRA INCENDIOS - CALIZ ALTO LOTE 4</t>
  </si>
  <si>
    <t>COTIZACION DEL DISEÑO DE DETECCIÓN DE INCENDIOS - UNICENTRO PALMIRA</t>
  </si>
  <si>
    <t>COTIZACION DE LOS DISEÑOS DE PROTECCIÓN CONTRA INCENDIOS - SENA PEDREGAL</t>
  </si>
  <si>
    <t>COTIZACION DEL DISEÑO DE EXTINCIÓN DE INCENDIOS - PUNTO BLANCO 109</t>
  </si>
  <si>
    <t>COTIZACION DEL DISEÑO DE DETECCIÓN DE INCENDIOS - WTC PEREIRA</t>
  </si>
  <si>
    <t>COTIZACION DEL ANÁLISIS DE SEGURIDAD HUMANA - CENTRO COMUNITARIO DEPORTIVO</t>
  </si>
  <si>
    <t>Manuela Uribe</t>
  </si>
  <si>
    <t>Fundamental Estudio SAS</t>
  </si>
  <si>
    <t>COTIZACION DEL DISEÑO DE DETECCIÓN DE INCENDIOS - COMFAMA RIOGRANDE</t>
  </si>
  <si>
    <t>COTIZACION DE LOS DISEÑOS DE SEGURIDAD HUMANA Y PROTECCIÓN CONTRA INCENDIOS - QUINTA LIVING</t>
  </si>
  <si>
    <t>COTIZACION DEL ANÁLISIS DE SEGURIDAD HUMANA - PROYECTO DE VIVIENDA CARTAGENA</t>
  </si>
  <si>
    <t>COTIZACION DE LOS DISEÑOS DE SEGURIDAD HUMANA Y DETECCIÓN DE INCENDIOS - AVANTI</t>
  </si>
  <si>
    <t>Pro 2 SAS</t>
  </si>
  <si>
    <t>Diana Margarita Manrique Solano</t>
  </si>
  <si>
    <t>analistadeproyectos2@pro2.com.co</t>
  </si>
  <si>
    <t>COTIZACION DE LOS DISEÑOS DE SEGURIDAD HUMANA Y PROTECCIÓN CONTRA INCENDIOS - ED RESIDENCIAL EL DANUBIO</t>
  </si>
  <si>
    <t>Heder Alvarez</t>
  </si>
  <si>
    <t>314 3624300</t>
  </si>
  <si>
    <t>heealvarezca@unal.edu.co</t>
  </si>
  <si>
    <t>COTIZACION DE LOS DISEÑOS DE SEGURIDAD HUMANA Y PROTECCIÓN CONTRA INCENDIOS - CARDIO INFANTIL PISO 2-3</t>
  </si>
  <si>
    <t>COTIZACION DEL DISEÑO DE DETECCIÓN DE INCENDIOS - CALIDAD GRAFICA</t>
  </si>
  <si>
    <t>COTIZACION DEL ANÁLISIS DE SEGURIDAD HUMANA - SERENA DEL MAR</t>
  </si>
  <si>
    <t>Adriana Agudelo Lopez</t>
  </si>
  <si>
    <t>COTIZACION DEL DISEÑO DE DETECCIÓN DE INCENDIOS - BANS GROUP</t>
  </si>
  <si>
    <t>COTIZACION DE LOS DISEÑOS DE PROTECCIÓN CONTRA INCENDIOS - TEÑIMOS</t>
  </si>
  <si>
    <t>Johnnatan Duque</t>
  </si>
  <si>
    <t>COTIZACION DE LOS DISEÑOS DE SEGURIDAD HUMANA Y PROTECCIÓN CONTRA INCENDIOS - BODEGA JARAPETS</t>
  </si>
  <si>
    <t>Mario Sosa</t>
  </si>
  <si>
    <t>Se suspendió la contratación</t>
  </si>
  <si>
    <t>Se está negociando</t>
  </si>
  <si>
    <t>ARQ</t>
  </si>
  <si>
    <t>COTIZACION DE LOS DISEÑOS DE SEGURIDAD HUMANA Y PROTECCIÓN CONTRA INCENDIOS - PARIS CAMPESTRE</t>
  </si>
  <si>
    <t xml:space="preserve">
Maria Paula Nieto Robayo</t>
  </si>
  <si>
    <t>COTIZACION DE LOS DISEÑOS DE PROTECCIÓN CONTRA INCENDIOS - CASA DEL ROCK</t>
  </si>
  <si>
    <t>COTIZACION DE LOS DISEÑOS DE PROTECCIÓN CONTRA INCENDIOS - CJTEX</t>
  </si>
  <si>
    <t>Samuel Piedrahíta</t>
  </si>
  <si>
    <t>COTIZACION DE LOS DISEÑOS DE PROTECCIÓN CONTRA INCENDIOS - PLANTA DE MADERA</t>
  </si>
  <si>
    <t>COTIZACION DE LOS DISEÑOS DE SEGURIDAD HUMANA Y PROTECCIÓN CONTRA INCENDIOS - PARADISO</t>
  </si>
  <si>
    <t>diego.paredes@bienesybienes.com.co</t>
  </si>
  <si>
    <t>Diego Fernando Paredes Peña</t>
  </si>
  <si>
    <t>COTIZACION DE LOS DISEÑOS DE SEGURIDAD HUMANA Y DETECCIÓN DE INCENDIOS - CA MEJIA</t>
  </si>
  <si>
    <t>COTIZACION DE LOS DISEÑOS DE SEGURIDAD HUMANA Y PROTECCIÓN CONTRA INCENDIOS - CENTRO DIA EL PEÑOL</t>
  </si>
  <si>
    <t>Felipe Giraldo Cube</t>
  </si>
  <si>
    <t>girarconstrucciones@gmail.com</t>
  </si>
  <si>
    <t>Girar construcciones</t>
  </si>
  <si>
    <t>COTIZACION DEL DISEÑO DE EXTINCIÓN DE INCENDIOS - PLANTA SIKA RIONEGRO</t>
  </si>
  <si>
    <t>Sika</t>
  </si>
  <si>
    <t>Williams Camacho</t>
  </si>
  <si>
    <t>Camacho.williams@co.sika.com</t>
  </si>
  <si>
    <t>COTIZACION DEL DISEÑO DE EXTINCIÓN DE INCENDIOS - PLANTA SIKA TOCANCIPÁ</t>
  </si>
  <si>
    <t>Área Cuadrada Constructores</t>
  </si>
  <si>
    <t>Licify</t>
  </si>
  <si>
    <t>COTIZACION DEL ANÁLISIS DE SEGURIDAD HUMANA - CADIZ FUSAGASUGÁ</t>
  </si>
  <si>
    <t>URAKI CONSTRUCTORA S.A.S.</t>
  </si>
  <si>
    <t>COTIZACION DEL ANÁLISIS DE SEGURIDAD HUMANA - KANTAWA</t>
  </si>
  <si>
    <t>COTIZACION DEL DISEÑO DE EXTINCIÓN DE INCENDIOS - BODEGA 201</t>
  </si>
  <si>
    <t>314 619 81 44</t>
  </si>
  <si>
    <t xml:space="preserve">	3136650714</t>
  </si>
  <si>
    <t>operaciones.fireyequipos@gmail.com</t>
  </si>
  <si>
    <t>319 6146902</t>
  </si>
  <si>
    <t>COTIZACION DEL DISEÑO DE EXTINCIÓN DE INCENDIOS - LOCAL RUBY ROSE AEROPUERTO</t>
  </si>
  <si>
    <t>COTIZACION DEL DISEÑO DE EXTINCIÓN DE INCENDIOS - ESCANO SAN NICOLAS</t>
  </si>
  <si>
    <t>COTIZACION DEL DISEÑO DE DETECCIÓN DE INCENDIOS - SOZO RESORT HILTON SURINAME</t>
  </si>
  <si>
    <t>alvaro.manosalva@supplynetlatam.com</t>
  </si>
  <si>
    <t>Constructora de obras</t>
  </si>
  <si>
    <t>COTIZACION DE LOS DISEÑOS DE SEGURIDAD HUMANA Y PROTECCIÓN CONTRA INCENDIOS - NOVICIADO</t>
  </si>
  <si>
    <t>COTIZACION DEL DISEÑO DE DETECCIÓN DE INCENDIOS - SUPERMERCADO BELALCAZAR 1</t>
  </si>
  <si>
    <t>COTIZACION DEL DISEÑO DE DETECCIÓN DE INCENDIOS - SUPERMERCADO BELALCAZAR 2</t>
  </si>
  <si>
    <t>COTIZACION DE LOS DISEÑOS DE SEGURIDAD HUMANA Y PROTECCIÓN CONTRA INCENDIOS - LA 30</t>
  </si>
  <si>
    <t>COTIZACION DEL DISEÑO DE DETECCIÓN DE INCENDIOS - PORTERIA PARCELACION LOS CABOS</t>
  </si>
  <si>
    <t>Juan Carlos Molina</t>
  </si>
  <si>
    <t>Sebastián Duque Hoyos</t>
  </si>
  <si>
    <t>auxalcala2@constructoradeobras.com</t>
  </si>
  <si>
    <t>COTIZACION DE LA INSPECCIÓN VISUAL Y LAS PRUEBAS DE FLUJO PARA LOS SISTEMAS DE CONEXIONES DE MANGUERA DE EXTINCIÓN DE INCENDIOS SANTILLANA</t>
  </si>
  <si>
    <t>Camilo Vergel</t>
  </si>
  <si>
    <t>asistentesantillana@mts.com.co</t>
  </si>
  <si>
    <t>COTIZACION DEL ANÁLISIS DE SEGURIDAD HUMANA - TERMINAL DE CONTENEDORES CARTAGENA</t>
  </si>
  <si>
    <t>Conconcreto Designs</t>
  </si>
  <si>
    <t xml:space="preserve">
Farley de Jesus Bustamante Zuleta</t>
  </si>
  <si>
    <t>COTIZACION DE LOS DISEÑOS DE SEGURIDAD HUMANA Y PROTECCIÓN CONTRA INCENDIOS - BRASPINE</t>
  </si>
  <si>
    <t>Braspine Rivera</t>
  </si>
  <si>
    <t xml:space="preserve">
Emerson de Oliveira Moraes</t>
  </si>
  <si>
    <t>emerson.moraes@braspine.com.br</t>
  </si>
  <si>
    <t xml:space="preserve"> +55 (42) 99119-5368</t>
  </si>
  <si>
    <t>COTIZACION DE LOS DISEÑOS DE PROTECCIÓN CONTRA INCENDIOS - LOCAL FORJA</t>
  </si>
  <si>
    <t>COTIZACION DE LOS DISEÑOS DE PROTECCIÓN CONTRA INCENDIOS Y SEGURIDAD HUMANA PARA EL PROYECTO ED. MULTIFAMILIAR</t>
  </si>
  <si>
    <t>Rómulo Martínez Atehortua</t>
  </si>
  <si>
    <t>Rómulo Martinez Atehortua</t>
  </si>
  <si>
    <t>COTIZACION DE LOS DISEÑOS DE SEGURIDAD HUMANA Y PROTECCIÓN CONTRA INCENDIOS - TIERRA NEGRA</t>
  </si>
  <si>
    <t>COTIZACION DEL ANÁLISIS DE SEGURIDAD HUMANA - ALTAMONTE</t>
  </si>
  <si>
    <t>Robinson Ramirez</t>
  </si>
  <si>
    <t>interventoriaaltamonte@gmail.com</t>
  </si>
  <si>
    <t>COTIZACION DEL ACOMPAÑAMIENTO EN LA REVISIÓN Y PUESTA EN MARCHA DEL SISTEMA DE DETECCIÓN TEMPRANA - TERMONORTE</t>
  </si>
  <si>
    <t>Juan Carlos Caicedo</t>
  </si>
  <si>
    <t>juan.caicedo@ieb.co</t>
  </si>
  <si>
    <t>COTIZACION DEL ANÁLISIS DE SEGURIDAD HUMANA - BODEGA CALDAS</t>
  </si>
  <si>
    <t>COTIZACION DE LOS DISEÑOS DE SEGURIDAD HUMANA Y DETECCIÓN DE INCENDIOS - ANDES DE KANTÚ</t>
  </si>
  <si>
    <t>Jesus David Ramirez Figueroa</t>
  </si>
  <si>
    <t>jramirezf@conaltura.com</t>
  </si>
  <si>
    <t>COTIZACION DEL DISEÑO DE DETECCIÓN DE INCENDIOS - CRYOGAS YUMBO</t>
  </si>
  <si>
    <t>COTIZACION MODELACIÓN HIDRÁULICA PARA BOMBA CONTRA INCENDIOS - ALTA GRACIA</t>
  </si>
  <si>
    <t>soporte.comercial1@firesupply.com.co</t>
  </si>
  <si>
    <t>Ili Simancas</t>
  </si>
  <si>
    <t>317 3152803</t>
  </si>
  <si>
    <t>COTIZACION DE LOS DISEÑOS DE PROTECCIÓN CONTRA INCENDIOS - LABORATORIO TOMA DE MUESTRAS</t>
  </si>
  <si>
    <t>andres.cruz@afcprofire.com</t>
  </si>
  <si>
    <t>COTIZACION DE LOS DISEÑOS DE SEGURIDAD HUMANA Y PROTECCIÓN CONTRA INCENDIOS - SAN JOSE DE LAS VEGAS</t>
  </si>
  <si>
    <t>Horizontal Ingeniería SAS</t>
  </si>
  <si>
    <t>Jorge Andrés Rojas Cadavid</t>
  </si>
  <si>
    <t>jrojas.horizontal@gmail.com</t>
  </si>
  <si>
    <t>COTIZACION DEL DISEÑO DE DETECCIÓN DE INCENDIOS - VIVA WAJIRA</t>
  </si>
  <si>
    <t>COTIZACION DE LOS DISEÑOS DE PROTECCIÓN CONTRA INCENDIOS - PUERTO WILCHES</t>
  </si>
  <si>
    <t>COTIZACION DE LOS DISEÑOS DE SEGURIDAD HUMANA Y DETECCIÓN DE INCENDIOS - BC PANAMA</t>
  </si>
  <si>
    <t>COTIZACION DE LOS DISEÑOS DE SEGURIDAD HUMANA Y PROTECCIÓN CONTRA INCENDIOS - REMODELACION LA 80</t>
  </si>
  <si>
    <t>COTIZACION DEL DISEÑO DE DETECCIÓN DE INCENDIOS - SUCURSAL TERMINAL DEL SUR</t>
  </si>
  <si>
    <t>COTIZACION DE LOS DISEÑOS DE SEGURIDAD HUMANA Y PROTECCIÓN CONTRA INCENDIOS - DISCOTECA SABANETA</t>
  </si>
  <si>
    <t>COTIZACION DE LOS DISEÑOS DE SEGURIDAD HUMANA Y PROTECCIÓN CONTRA INCENDIOS - BAVIERA</t>
  </si>
  <si>
    <t>Judith Elena Trujillo</t>
  </si>
  <si>
    <t>COTIZACION DEL ANÁLISIS DE SEGURIDAD HUMANA - ED. AVIGNON Y GAME ROOM</t>
  </si>
  <si>
    <t>Hernan Cano</t>
  </si>
  <si>
    <t>COTIZACION DE LOS DISEÑOS DE SEGURIDAD HUMANA Y PROTECCIÓN CONTRA INCENDIOS - DEPRISA GUAYABAL</t>
  </si>
  <si>
    <t>COTIZACION DEL ANÁLISIS DE SEGURIDAD HUMANA - CLINICA COUNTRY</t>
  </si>
  <si>
    <t>COTIZACION DE LOS DISEÑOS DE SEGURIDAD HUMANA Y PROTECCIÓN CONTRA INCENDIOS - VERMONTE T4</t>
  </si>
  <si>
    <t>COTIZACION DE LOS DISEÑOS DE SEGURIDAD HUMANA Y PROTECCIÓN CONTRA INCENDIOS - TIERRA LINDA</t>
  </si>
  <si>
    <t>Marcela Restrepo</t>
  </si>
  <si>
    <t>mrestrepo@montacargasamym.com</t>
  </si>
  <si>
    <t>COTIZACION DEL DISEÑO DE EXTINCIÓN DE INCENDIOS - MONTACARGAS AM&amp;M</t>
  </si>
  <si>
    <t>Montacargas AM&amp;M</t>
  </si>
  <si>
    <t>COTIZACION DE LOS DISEÑOS DE SEGURIDAD HUMANA Y PROTECCIÓN CONTRA INCENDIOS - THE SOMOS-FRAME</t>
  </si>
  <si>
    <t>COTIZACION DEL DISEÑO DE DETECCIÓN DE INCENDIOS - COMFAMA CIS CORDOBA</t>
  </si>
  <si>
    <t>Alvaro Garcia</t>
  </si>
  <si>
    <t>COTIZACION DEL DISEÑO DE DETECCIÓN DE INCENDIOS - COMFAMA CIS CIUDAD DEL RIO</t>
  </si>
  <si>
    <t>COTIZACION DE LOS DISEÑOS DE PROTECCIÓN CONTRA INCENDIOS - CLÍNICA CARTAGENA RQ114</t>
  </si>
  <si>
    <t>COTIZACION DEL ANÁLISIS DE SEGURIDAD HUMANA - ESTADIO ATANASIO GIRARDOT</t>
  </si>
  <si>
    <t>Yesica Ospina Osorio</t>
  </si>
  <si>
    <t>COTIZACION DE LOS DISEÑOS DE SEGURIDAD HUMANA Y PROTECCIÓN CONTRA INCENDIOS - EDIFICIO HL</t>
  </si>
  <si>
    <t>Hugo Henao</t>
  </si>
  <si>
    <t>mantenimiento.maquibombas@gmail.com</t>
  </si>
  <si>
    <t>COTIZACION DEL DISEÑO DE EXTINCIÓN DE INCENDIOS - SERVIREENCAUCHE</t>
  </si>
  <si>
    <t>M&amp;B MAQUINAS BOMBAS Y MANTENIMIENTO</t>
  </si>
  <si>
    <t>COTIZACION DE LOS DISEÑOS DE SEGURIDAD HUMANA Y PROTECCIÓN CONTRA INCENDIOS - BODEGA 6 + OFICINAS</t>
  </si>
  <si>
    <t>COTIZACION DE LOS DISEÑOS DE SEGURIDAD HUMANA Y PROTECCIÓN CONTRA INCENDIOS - CALMO T3 Y T4</t>
  </si>
  <si>
    <t>COTIZACION DE LOS DISEÑOS DE SEGURIDAD HUMANA Y PROTECCIÓN CONTRA INCENDIOS - HORIZON ONE</t>
  </si>
  <si>
    <t>COTIZACION DE LOS DISEÑOS DE SEGURIDAD HUMANA Y PROTECCIÓN CONTRA INCENDIOS - CIUDADELA</t>
  </si>
  <si>
    <t>CONCOM Ingenieria</t>
  </si>
  <si>
    <t>Alberto Corrales</t>
  </si>
  <si>
    <t>COTIZACION DEL ANÁLISIS DE SEGURIDAD HUMANA - EL POZO</t>
  </si>
  <si>
    <t>COTIZACION DE LOS DISEÑOS DE PROTECCIÓN CONTRA INCENDIOS - AQA</t>
  </si>
  <si>
    <t>COTIZACION DEL ANÁLISIS DE SEGURIDAD HUMANA - HOTEL LAURELES</t>
  </si>
  <si>
    <t>Sergio Osorio</t>
  </si>
  <si>
    <t>sosorio@nivelum.com</t>
  </si>
  <si>
    <t>Inversiones GG Oasis</t>
  </si>
  <si>
    <t>Yolima Garcia Quintero</t>
  </si>
  <si>
    <t>eqlaureles2@gmail.com</t>
  </si>
  <si>
    <t>COTIZACION DE LOS DISEÑOS DE SEGURIDAD HUMANA Y PROTECCIÓN CONTRA INCENDIOS - EUTOPIQ PARK</t>
  </si>
  <si>
    <t>COTIZACION DEL DISEÑO DE DETECCIÓN DE INCENDIOS - BODEGA BYD FINANDINA</t>
  </si>
  <si>
    <t>COTIZACION DE LOS DISEÑOS DE PROTECCIÓN CONTRA INCENDIOS - CJ TEXTILES</t>
  </si>
  <si>
    <t>CJ Texties</t>
  </si>
  <si>
    <t>Leonel Ibarra</t>
  </si>
  <si>
    <t>321 7534451</t>
  </si>
  <si>
    <t>COTIZACION DE LOS DISEÑOS DE PROTECCIÓN CONTRA INCENDIOS - TEATRO RIONEGRO</t>
  </si>
  <si>
    <t>AD Arquitectura y diseño urbano</t>
  </si>
  <si>
    <t>314 8934775</t>
  </si>
  <si>
    <t>Diego Fernando Uribe Alvarez</t>
  </si>
  <si>
    <t>COTIZACION DEL ANÁLISIS DE SEGURIDAD HUMANA - MAWA</t>
  </si>
  <si>
    <t>COTIZACION DEL ANÁLISIS DE SEGURIDAD HUMANA - NUTIBARA PARKWAY</t>
  </si>
  <si>
    <t>COTIZACION DEL ANÁLISIS DE SEGURIDAD HUMANA - CEDI D1 GIRARDOTA</t>
  </si>
  <si>
    <t>COTIZACION DE LOS DISEÑOS DE SEGURIDAD HUMANA Y PROTECCIÓN CONTRA INCENDIOS - RIVER PARK</t>
  </si>
  <si>
    <t>COTIZACION DE LOS DISEÑOS DE SEGURIDAD HUMANA Y PROTECCIÓN CONTRA INCENDIOS - SELVATICO</t>
  </si>
  <si>
    <t>Constructora Fortich</t>
  </si>
  <si>
    <t>Tomás Fortich</t>
  </si>
  <si>
    <t>Constructorafortich@gmail.com</t>
  </si>
  <si>
    <t>Ashes Fire</t>
  </si>
  <si>
    <t>COTIZACION DE INGENIERÍA DE PROTECCIÓN CONTRA INCENDIOS POR DESEMPEÑO - HOTEL REPÚBLICA DOMINICANA</t>
  </si>
  <si>
    <t>John Fredy Figueroa Mesa</t>
  </si>
  <si>
    <t>j.figueroa@ashesfire.co</t>
  </si>
  <si>
    <t>COTIZACION DE LOS DISEÑOS DE SEGURIDAD HUMANA Y DETECCIÓN DE INCENDIOS - MEETY</t>
  </si>
  <si>
    <t>COTIZACION DEL ANÁLISIS DE SEGURIDAD HUMANA - ZONAS COMUNES</t>
  </si>
  <si>
    <t>COTIZACION DE LOS DISEÑOS DE SEGURIDAD HUMANA Y PROTECCIÓN CONTRA INCENDIOS - LOTE LA CORUÑA</t>
  </si>
  <si>
    <t>Alianza Canadiense</t>
  </si>
  <si>
    <t>Johana Ramírez</t>
  </si>
  <si>
    <t>Oriente@aci.edu.co</t>
  </si>
  <si>
    <t>COTIZACION PLANOS ASBUILT BOMBA Y SOPORTES - PLAZA KAHUANA</t>
  </si>
  <si>
    <t>COTIZACION DEL DISEÑO DE EXTINCIÓN DE INCENDIOS - CEDI ESPUMAS PLASTICAS</t>
  </si>
  <si>
    <t>COTIZACION DEL REDISEÑO DE EXTINCIÓN DE INCENDIOS - PISO 5 ZONAS COMUNES</t>
  </si>
  <si>
    <t>COTIZACION DE LOS DISEÑOS DE PROTECCIÓN CONTRA INCENDIOS - BORBÓN</t>
  </si>
  <si>
    <t xml:space="preserve">
Olmar Orozco</t>
  </si>
  <si>
    <t>comercial2@fpservices.com.co</t>
  </si>
  <si>
    <t>COTIZACION DE LOS DISEÑOS DE SEGURIDAD HUMANA Y PROTECCIÓN CONTRA INCENDIOS - ZONA FRANCA URABÁ</t>
  </si>
  <si>
    <t>Konzepto inmobiliario</t>
  </si>
  <si>
    <t>Gustavo Puerta</t>
  </si>
  <si>
    <t>contacto@konzepto.co</t>
  </si>
  <si>
    <t>COTIZACION DE LOS DISEÑOS DE SEGURIDAD HUMANA Y PROTECCIÓN CONTRA INCENDIOS - GUARNE</t>
  </si>
  <si>
    <t xml:space="preserve">FCR </t>
  </si>
  <si>
    <t>COTIZACION DEL DISEÑO DE DETECCIÓN DE INCENDIOS - PLATINUM SUPERIOR</t>
  </si>
  <si>
    <t>No se cotizo</t>
  </si>
  <si>
    <t>Se presenta el año entrante</t>
  </si>
  <si>
    <t>COTIZACION DE LOS DISEÑOS DE SEGURIDAD HUMANA Y PROTECCIÓN CONTRA INCENDIOS - ESENCIA LIVING</t>
  </si>
  <si>
    <t>Escencia Livign</t>
  </si>
  <si>
    <t>Santiago García Olaya</t>
  </si>
  <si>
    <t>esencia.living1@gmail.com</t>
  </si>
  <si>
    <t>301 1559197</t>
  </si>
  <si>
    <t>Año que viene</t>
  </si>
  <si>
    <t>Luz Stella Ibarra</t>
  </si>
  <si>
    <t>321 6068780</t>
  </si>
  <si>
    <t>COTIZACION DE LOS DISEÑOS DE SEGURIDAD HUMANA Y PROTECCIÓN CONTRA INCENDIOS - PTAR ESCOBERO REV B</t>
  </si>
  <si>
    <t>COTIZACION CONCEPTO RED CONTRA INCENDIOS CORLANC</t>
  </si>
  <si>
    <t>COTIZACION CAPACITACIÓN SISTEMAS CONTRA INCENDIOS</t>
  </si>
  <si>
    <t>FIREEQUIPOS</t>
  </si>
  <si>
    <t>Comfama</t>
  </si>
  <si>
    <t>Constructora Altos de la Abadía</t>
  </si>
  <si>
    <t>COTIZACION DE LOS DISEÑOS DE SEGURIDAD HUMANA Y PROTECCIÓN CONTRA INCENDIOS - SAN SIMÓN T3</t>
  </si>
  <si>
    <t>Jessica Chiguasuque</t>
  </si>
  <si>
    <t>313 4250445</t>
  </si>
  <si>
    <t>Andrés Felipe Martinez</t>
  </si>
  <si>
    <t>300 4938086</t>
  </si>
  <si>
    <t>j.chiguasuque@altosdelaabadia.com</t>
  </si>
  <si>
    <t>ClaudiaRamirez@comfama.com.co</t>
  </si>
  <si>
    <t>COTIZACION DE LOS DISEÑOS DE SEGURIDAD HUMANA Y PROTECCIÓN CONTRA INCENDIOS - BOSQUE DE PIEDRA</t>
  </si>
  <si>
    <t>COTIZACION DEL ANÁLISIS DE SEGURIDAD HUMANA - NUEVO POBLADO ETAPA 3</t>
  </si>
  <si>
    <t>SEGUIMIENTO A COTIZACIONES - 2026</t>
  </si>
  <si>
    <t>COTIZACION DEL DISEÑO DE EXTINCIÓN DE INCENDIOS - PARQUEADERO Y ESTADIO DE BEISBOL ATANASIO</t>
  </si>
  <si>
    <t>COTIZACION DEL DISEÑO DE EXTINCIÓN DE INCENDIOS - IRIS AMBAR ALCABAMA</t>
  </si>
  <si>
    <t xml:space="preserve">
Adriana Pulido</t>
  </si>
  <si>
    <t>comercial@goodgroup.com.co</t>
  </si>
  <si>
    <t>Daniel Fernando Hernández</t>
  </si>
  <si>
    <t>coordinadorobra@raizconstructora.com.co</t>
  </si>
  <si>
    <t>Raiz Constructora</t>
  </si>
  <si>
    <t>COTIZACION DEL DISEÑO DE EXTINCIÓN DE INCENDIOS - CALMO TORRE 3 Y 4</t>
  </si>
  <si>
    <t>Priscila Quintero</t>
  </si>
  <si>
    <t>planeacion@proyectosurbanos.com.co</t>
  </si>
  <si>
    <t>COTIZACION DE LOS DISEÑOS DE SEGURIDAD HUMANA Y PROTECCIÓN CONTRA INCENDIOS - HOSPITAL NEUROLÓGICO</t>
  </si>
  <si>
    <t>Hospital Neurologico</t>
  </si>
  <si>
    <t>Maria Isabel Betancur</t>
  </si>
  <si>
    <t>maria.betancur@neurologico.org.co</t>
  </si>
  <si>
    <t>COTIZACION DE LOS DISEÑOS DE PROTECCIÓN CONTRA INCENDIOS - PLANTA DE GLP</t>
  </si>
  <si>
    <t>Massy Energy</t>
  </si>
  <si>
    <t>Jean Pierre López León</t>
  </si>
  <si>
    <t>jean.lopez@massygroup.com</t>
  </si>
  <si>
    <t>COTIZACION DEL DISEÑO DE EXTINCIÓN DE INCENDIOS - ÁREAS CLASIFICADAS</t>
  </si>
  <si>
    <t>Alcecol ingenieria</t>
  </si>
  <si>
    <t>Inspecciones@alcecol.com</t>
  </si>
  <si>
    <t>David A Ceron</t>
  </si>
  <si>
    <t>COTIZACION DEL ANÁLISIS DE SEGURIDAD HUMANA - HILTON CALI</t>
  </si>
  <si>
    <t>310 5377343</t>
  </si>
  <si>
    <t>Civilsa</t>
  </si>
  <si>
    <t>COTIZACION DEL DISEÑO DE EXTINCIÓN DE INCENDIOS - TEATRO LIDO</t>
  </si>
  <si>
    <t>COTIZACION DEL DISEÑO DE EXTINCIÓN DE INCENDIOS - AUTOLAND BARRANQUILLA</t>
  </si>
  <si>
    <t>COTIZACION DEL DISEÑO DE EXTINCIÓN DE INCENDIOS - AUTOLAND LAS VEGAS</t>
  </si>
  <si>
    <t>COTIZACION DE LOS DISEÑOS DE PROTECCIÓN CONTRA INCENDIOS - D1 MALL SANTANA</t>
  </si>
  <si>
    <t>COTIZACION DE LOS DISEÑOS DE SEGURIDAD HUMANA Y EXTINCIÓN DE INCENDIOS - ZC MONTERREY</t>
  </si>
  <si>
    <t>COTIZACION DE LOS DISEÑOS DE PROTECCIÓN CONTRA INCENDIOS - DISCOLMEDICA</t>
  </si>
  <si>
    <t>COTIZACION DE LOS DISEÑOS DE SEGURIDAD HUMANA Y PROTECCIÓN CONTRA INCENDIOS - KRATO</t>
  </si>
  <si>
    <t>COTIZACION DEL ANÁLISIS DE SEGURIDAD HUMANA - MALL MELÉNDEZ</t>
  </si>
  <si>
    <t>COTIZACION DEL DISEÑO DE EXTINCIÓN DE INCENDIOS - FIBRATORE PAVCO</t>
  </si>
  <si>
    <t>COTIZACION DE LOS DISEÑOS DE PROTECCIÓN CONTRA INCENDIOS - LUKER AGRICOLA</t>
  </si>
  <si>
    <t>COTIZACION DEL ANÁLISIS DE SEGURIDAD HUMANA - BOMBEROS CORTIJO</t>
  </si>
  <si>
    <t>COTIZACION DE LOS DISEÑOS DE SEGURIDAD HUMANA Y PROTECCIÓN CONTRA INCENDIOS - BRUMARIA 2</t>
  </si>
  <si>
    <t>I+Constructora</t>
  </si>
  <si>
    <t>COTIZACION DEL DISEÑO DE EXTINCIÓN DE INCENDIOS - HOTEL HERITAGE</t>
  </si>
  <si>
    <t>COTIZACION DEL DISEÑO DE EXTINCIÓN DE INCENDIOS - SAN NICOLAS</t>
  </si>
  <si>
    <t>CC San Nicolas</t>
  </si>
  <si>
    <t>6045614886 ext 132</t>
  </si>
  <si>
    <t>Yeremy Sebastián Muñoz Zamarra</t>
  </si>
  <si>
    <t>infraestructura@sannicolas.co</t>
  </si>
  <si>
    <t>COTIZACION DE LOS DISEÑOS DE PROTECCIÓN CONTRA INCENDIOS - MANANTIALES</t>
  </si>
  <si>
    <t>COTIZACION DEL DISEÑO DE EXTINCIÓN DE INCENDIOS - AURORA</t>
  </si>
  <si>
    <t>COTIZACION DEL DISEÑO DE EXTINCIÓN DE INCENDIOS - TORRE GÉNESIS</t>
  </si>
  <si>
    <t>Yurany Orozco</t>
  </si>
  <si>
    <t>yuranyorozcoconstructoramc@gmail.com</t>
  </si>
  <si>
    <t>Constructora MC</t>
  </si>
  <si>
    <t>COTIZACION DE LOS DISEÑOS DE SEGURIDAD HUMANA Y PROTECCIÓN CONTRA INCENDIOS - I.E.NUEVA COLONIA</t>
  </si>
  <si>
    <t>Nasly Caro</t>
  </si>
  <si>
    <t>COTIZACION DE LOS DISEÑOS DE SEGURIDAD HUMANA Y PROTECCIÓN CONTRA INCENDIOS - AZZURI TORRES 3 Y 4</t>
  </si>
  <si>
    <t>COTIZACION DE LOS DISEÑOS DE PROTECCIÓN CONTRA INCENDIOS - AUTOLAND BARRANQUILLA</t>
  </si>
  <si>
    <t>COTIZACION DE LOS DISEÑOS DE PROTECCIÓN CONTRA INCENDIOS - AUTOLAND LAS VEGAS</t>
  </si>
  <si>
    <t>COTIZACION DE LOS DISEÑOS DE SEGURIDAD HUMANA Y PROTECCIÓN CONTRA INCENDIOS - CARDIO INFANTIL PISO 2</t>
  </si>
  <si>
    <t>COTIZACION DE LOS DISEÑOS DE SEGURIDAD HUMANA Y PROTECCIÓN CONTRA INCENDIOS - TIERRAVIVA</t>
  </si>
  <si>
    <t>Javier A. Zapa Oyola</t>
  </si>
  <si>
    <t>javierzapa@mensulaingenieros.com</t>
  </si>
  <si>
    <t>COTIZACIÓN DE LA REVISIÓN TÉCNICA PARA LA RED CONTRA INCENDIOS NUEVA Y EXISTENTE DEL EDIFICIO 43 AVENIDA</t>
  </si>
  <si>
    <t>COTIZACION DE LOS DISEÑOS DE SEGURIDAD HUMANA Y PROTECCIÓN CONTRA INCENDIOS -LA 30 ETAPA 1</t>
  </si>
  <si>
    <t>COTIZACION DEL DISEÑO DE EXTINCIÓN DE INCENDIOS - BLOQUE B</t>
  </si>
  <si>
    <t>Universidad Pontificia Bolivariana</t>
  </si>
  <si>
    <t>maribel.gutierrez@upb.edu.co</t>
  </si>
  <si>
    <t>Maribel Gutiérrez Cifuentes</t>
  </si>
  <si>
    <t>COTIZACION DE LOS DISEÑOS DE PROTECCIÓN CONTRA INCENDIOS - OKRE</t>
  </si>
  <si>
    <t>COTIZACION DE LOS DISEÑOS DE SEGURIDAD HUMANA Y PROTECCIÓN CONTRA INCENDIOS - CC MONTERREY</t>
  </si>
  <si>
    <t>Juan Guillermo Urrea Tabares</t>
  </si>
  <si>
    <t>juangurreat@iconsultores.com.co</t>
  </si>
  <si>
    <t>COTIZACION DE LOS DISEÑOS DE SEGURIDAD HUMANA Y PROTECCIÓN CONTRA INCENDIOS - PROPIEDAD DE 157.000 M2</t>
  </si>
  <si>
    <t>COTIZACION DE LOS DISEÑOS DE SEGURIDAD HUMANA Y PROTECCIÓN CONTRA INCENDIOS - JIBC CHAMBACÚ</t>
  </si>
  <si>
    <t>MGL Ingenieros</t>
  </si>
  <si>
    <t>Faber Betancur</t>
  </si>
  <si>
    <t>COTIZACION DEL DISEÑO DE EXTINCIÓN DE INCENDIOS - NEIVANA</t>
  </si>
  <si>
    <t>COTIZACION DEL ANÁLISIS DE SEGURIDAD HUMANA - BODEGA JERÓNIMO MARTINS MOSQUERA</t>
  </si>
  <si>
    <t>COTIZACION DE LOS DISEÑOS DE SEGURIDAD HUMANA Y DETECCIÓN DE INCENDIOS - BRENTA</t>
  </si>
  <si>
    <t>Olinda Milena Borja Villamil</t>
  </si>
  <si>
    <t>oborja@cusezar.com</t>
  </si>
  <si>
    <t>COTIZACION DEL DISEÑO DE EXTINCIÓN DE INCENDIOS - PORTO</t>
  </si>
  <si>
    <t>COTIZACION DEL ANÁLISIS DE SEGURIDAD HUMANA - COLEGIO COLUMBUS</t>
  </si>
  <si>
    <t>COTIZACION DE LOS DISEÑOS DE SEGURIDAD HUMANA Y PROTECCIÓN CONTRA INCENDIOS - AMPLIACIÓN PARK 10</t>
  </si>
  <si>
    <t>COTIZACION DEL ANÁLISIS DE SEGURIDAD HUMANA - VIVIENDA PRADO PINZÓN</t>
  </si>
  <si>
    <t>COTIZACION DEL DISEÑO DE EXTINCIÓN DE INCENDIOS - POLÍGONO</t>
  </si>
  <si>
    <t>GEODIC</t>
  </si>
  <si>
    <t>Andrés Mauricio Muñoz Molina</t>
  </si>
  <si>
    <t>directorpoligono.geodic@hotmail.com</t>
  </si>
  <si>
    <t xml:space="preserve">
Diana Patricia Giraldo Roman</t>
  </si>
  <si>
    <t>sstdianagiraldo@gmail.com</t>
  </si>
  <si>
    <t>Inversiones TP</t>
  </si>
  <si>
    <t>COTIZACION DEL ANÁLISIS DE SEGURIDAD HUMANA - INSTITUCIÓN ETNOEDUCATIVA NUEVA COLONIA</t>
  </si>
  <si>
    <t>Rymel</t>
  </si>
  <si>
    <t>COTIZACION DEL DISEÑO DE LA SUCCIÓN DE LA BOMBA CONTRA INCENDIOS - PLANTA RYMEL</t>
  </si>
  <si>
    <t>COTIZACION DEL ANÁLISIS DE SEGURIDAD HUMANA - SEDE ADMINISTRATIVA VERSALLES</t>
  </si>
  <si>
    <t>COTIZACION DE LOS DISEÑOS DE SEGURIDAD HUMANA Y PROTECCIÓN CONTRA INCENDIOS - NIWA</t>
  </si>
  <si>
    <t>COTIZACION DEL DISEÑO DE DETECCIÓN DE INCENDIOS - PELDAR TORRE RESIDENCIAL PRIMERA ETAPA</t>
  </si>
  <si>
    <t>H&amp;Fire</t>
  </si>
  <si>
    <t>Juliana Jaramillo</t>
  </si>
  <si>
    <t>diseno@hyfiresas.com</t>
  </si>
  <si>
    <t>3143624300/3007518982</t>
  </si>
  <si>
    <t xml:space="preserve"> Juan Paulo Valdés</t>
  </si>
  <si>
    <t>coordinadorinfraestructura@coprocenva.coop</t>
  </si>
  <si>
    <t>COTIZACION DEL DISEÑO DE DETECCIÓN DE INCENDIOS - CELESTI T1</t>
  </si>
  <si>
    <t>COTIZACION DEL DISEÑO DE DETECCIÓN DE INCENDIOS - FANTASIA T2</t>
  </si>
  <si>
    <t>COTIZACION DEL DISEÑO DE DETECCIÓN DE INCENDIOS - LAZARITO</t>
  </si>
  <si>
    <t>COTIZACION DEL DISEÑO DE EXTINCIÓN DE INCENDIOS - HACEB ROCIADORES</t>
  </si>
  <si>
    <t>COTIZACION DE LOS DISEÑOS DE PROTECCIÓN CONTRA INCENDIOS - GAS PAÍS</t>
  </si>
  <si>
    <t>Gas País</t>
  </si>
  <si>
    <t>COTIZACION DEL DISEÑO DE EXTINCIÓN DE INCENDIOS - LOCAL AYURA CENTER</t>
  </si>
  <si>
    <t>María Del Pilar Cortes González</t>
  </si>
  <si>
    <t>mariacortes@gaspais.com.co</t>
  </si>
  <si>
    <t>COTIZACION DE LOS DISEÑOS DE SEGURIDAD HUMANA Y PROTECCIÓN CONTRA INCENDIOS - PALAU VOILA Y LEPINOT</t>
  </si>
  <si>
    <t>COTIZACION DE LOS DISEÑOS DE SEGURIDAD HUMANA Y PROTECCIÓN CONTRA INCENDIOS - PARQUEADEROS NUEVOS WATANA ETAPA 2</t>
  </si>
  <si>
    <t>COTIZACION DEL ANÁLISIS DE SEGURIDAD HUMANA - CIUDAD CAPRI</t>
  </si>
  <si>
    <t>COTIZACION DEL REDISEÑO DE EXTINCIÓN DE INCENDIOS - MADERO DE LOS BOSQUES</t>
  </si>
  <si>
    <t>310 4425769</t>
  </si>
  <si>
    <t>Juliana Ante</t>
  </si>
  <si>
    <t>COTIZACION DE LOS DISEÑOS DE SEGURIDAD HUMANA Y PROTECCIÓN CONTRA INCENDIOS - PRADO BELLO</t>
  </si>
  <si>
    <t>Juan Fernando Arroyave</t>
  </si>
  <si>
    <t>Tamayo ingenieros SAS</t>
  </si>
  <si>
    <t>COTIZACION DE LOS DISEÑOS DE SEGURIDAD HUMANA Y PROTECCIÓN CONTRA INCENDIOS - BASILEA</t>
  </si>
  <si>
    <t>COTIZACION DEL DISEÑO DE DETECCIÓN DE INCENDIOS - BELLA PIEL</t>
  </si>
  <si>
    <t>COTIZACION DEL REDISEÑO DE ANÁLISIS DE SEGURIDAD HUMANA - PARQUIAMERICA</t>
  </si>
  <si>
    <t>COTIZACION DE LOS DISEÑOS DE SEGURIDAD HUMANA Y PROTECCIÓN CONTRA INCENDIOS - FONTANAR TORRE 8</t>
  </si>
  <si>
    <t>COTIZACION DE LOS DISEÑOS DE PROTECCIÓN CONTRA INCENDIOS - BODEGA 2.000 M2</t>
  </si>
  <si>
    <t>Carlos Julio Escamilla Niño</t>
  </si>
  <si>
    <t>carlos.escamilla@cgr-bogota.com</t>
  </si>
  <si>
    <t>CGR SA</t>
  </si>
  <si>
    <t>Carlos Adolfo Zapata Molina</t>
  </si>
  <si>
    <t>carlos.zapata@bienesybienes.com.co</t>
  </si>
  <si>
    <t>Juan David Cano</t>
  </si>
  <si>
    <t>COTIZACION DEL DISEÑO DE EXTINCIÓN DE INCENDIOS - D1 FACTORY</t>
  </si>
  <si>
    <t>COTIZACION DE LOS DISEÑOS DE SEGURIDAD HUMANA Y EXTINCIÓN DE INCENDIOS - TORRE SEGUROS BOLÍVAR</t>
  </si>
  <si>
    <t>COTIZACION DE LOS DISEÑOS DE PROTECCIÓN CONTRA INCENDIOS LOTE 1</t>
  </si>
  <si>
    <t>COTIZACION DE LOS DISEÑOS DE PROTECCIÓN CONTRA INCENDIOS - COMODISIMOS</t>
  </si>
  <si>
    <t>Control medic plus</t>
  </si>
  <si>
    <t>Oscar Oosorio</t>
  </si>
  <si>
    <t>COTIZACION DE LOS DISEÑOS DE SEGURIDAD HUMANA Y PROTECCIÓN CONTRA INCENDIOS - CLINICA COA</t>
  </si>
  <si>
    <t>COTIZACION DE LOS DISEÑOS DE SEGURIDAD HUMANA Y PROTECCIÓN CONTRA INCENDIOS - TORRE VALLENTA</t>
  </si>
  <si>
    <t>COTIZACION DEL ANÁLISIS DE SEGURIDAD HUMANA - HOTEL EN GUATAPÉ</t>
  </si>
  <si>
    <t>AFC Profire</t>
  </si>
  <si>
    <t xml:space="preserve"> Andrés Felipe Cruz Restrepo</t>
  </si>
  <si>
    <t>COTIZACION DEL ANÁLISIS DE SEGURIDAD HUMANA - EDIFICIO SAN ANTONIO DE PRADO</t>
  </si>
  <si>
    <t>COTIZACION DE LOS DISEÑOS DE SEGURIDAD HUMANA Y DETECCIÓN DE INCENDIOS - LA FELICIDAD MANZANA 12 Y 19</t>
  </si>
  <si>
    <t>Diana Lucia Torres Yunda</t>
  </si>
  <si>
    <t>dtorres@cusezar.com</t>
  </si>
  <si>
    <t>COTIZACION DE LOS DISEÑOS DE PROTECCIÓN CONTRA INCENDIOS - PLANTA PIEDECUESTA</t>
  </si>
  <si>
    <t>COTIZACION DE LOS DISEÑOS DE PROTECCIÓN CONTRA INCENDIOS - PLANTA FLORIDABLANCA</t>
  </si>
  <si>
    <t>COTIZACION DE LOS DISEÑOS DE PROTECCIÓN CONTRA INCENDIOS - PALACIO DE JUSTICIA</t>
  </si>
  <si>
    <t>COTIZACION DE LOS DISEÑOS DE SEGURIDAD HUMANA Y PROTECCIÓN CONTRA INCENDIOS - MATADERO PORCE</t>
  </si>
  <si>
    <t>COTIZACION DE LOS DISEÑOS DE SEGURIDAD HUMANA Y DETECCIÓN DE INCENDIOS - VIEW POINT ET 3</t>
  </si>
  <si>
    <t>COTIZACION DE LOS DISEÑOS DE SEGURIDAD HUMANA Y EXTINCIÓN DE INCENDIOS - OFICINAS CITI  BOGOTÁ</t>
  </si>
  <si>
    <t>COTIZACION DE LOS DISEÑOS DE SEGURIDAD HUMANA Y PROTECCIÓN CONTRA INCENDIOS - PUNTA VELA MALL</t>
  </si>
  <si>
    <t>Luis Esteban Gaviria Gomez</t>
  </si>
  <si>
    <t>luisgaviria@convel.co</t>
  </si>
  <si>
    <t>604-3508866</t>
  </si>
  <si>
    <t>COTIZACION DEL DISEÑO DE DETECCIÓN DE INCENDIOS - CLÍNICA PANAMERICANA</t>
  </si>
  <si>
    <t>Clínica Panamericana</t>
  </si>
  <si>
    <t>Jose David Cely Espitia</t>
  </si>
  <si>
    <t>infraestructura@clinicapanamericana.co</t>
  </si>
  <si>
    <t>COTIZACION DE LOS DISEÑOS DE SEGURIDAD HUMANA Y PROTECCIÓN CONTRA INCENDIOS - ALLEGRO ETAPA 3</t>
  </si>
  <si>
    <t>COTIZACION DEL DISEÑO DE EXTINCIÓN DE INCENDIOS - PIMIENTA</t>
  </si>
  <si>
    <t>Idea base arquitectos</t>
  </si>
  <si>
    <t>hola@ideabasearquitectos.com</t>
  </si>
  <si>
    <t>Kely Andrea Castaño Chavarriaga</t>
  </si>
  <si>
    <t xml:space="preserve"> Alejandro Giraldo Ospina</t>
  </si>
  <si>
    <t>475 79 81</t>
  </si>
  <si>
    <t>COTIZACION DE LOS DISEÑOS DE SEGURIDAD HUMANA Y PROTECCIÓN CONTRA INCENDIOS - CLÍNICA ISIS</t>
  </si>
  <si>
    <t xml:space="preserve">Lab Inmobiliario </t>
  </si>
  <si>
    <t>Maria Camila Pavía Pinzón</t>
  </si>
  <si>
    <t>camila.pavia@labinmobiliario.com</t>
  </si>
  <si>
    <t>COTIZACION DE LOS DISEÑOS DE PROTECCIÓN CONTRA INCENDIOS - LA CAMPANA HOTEL BOUTIQUE</t>
  </si>
  <si>
    <t>COTIZACION DEL DISEÑO DE EXTINCIÓN DE INCENDIOS - ZONA FRANCA DE RIONEGRO</t>
  </si>
  <si>
    <t xml:space="preserve"> ZONA FRANCA DE RIONEGRO</t>
  </si>
  <si>
    <t>Paola Andrea Patiño Henao</t>
  </si>
  <si>
    <t>ppatino@zonafrancarionegro.com</t>
  </si>
  <si>
    <t>COTIZACION DE LOS DISEÑOS DE SEGURIDAD HUMANA Y PROTECCIÓN CONTRA INCENDIOS - SAINT MARTIN</t>
  </si>
  <si>
    <t>COTIZACION DEL DISEÑO DE EXTINCIÓN DE INCENDIOS - ZONA FRANCA</t>
  </si>
  <si>
    <t>COTIZACION DE LOS DISEÑOS DE PROTECCIÓN CONTRA INCENDIOS - BODEGA GEODIC</t>
  </si>
  <si>
    <t>COTIZACION DE LOS DISEÑOS DE SEGURIDAD HUMANA Y PROTECCIÓN CONTRA INCENDIOS - ZONAS COMUNES TIERRA Y SABANA</t>
  </si>
  <si>
    <t>COTIZACION DE LOS DISEÑOS DE SEGURIDAD HUMANA Y PROTECCIÓN CONTRA INCENDIOS - HOTEL LA TECKA</t>
  </si>
  <si>
    <t>Macca desarrollo inmobiliario</t>
  </si>
  <si>
    <t>COTIZACION DEL ANÁLISIS DE SEGURIDAD HUMANA - ALTOS DE LA SULTANA TORRES A Y B</t>
  </si>
  <si>
    <t>Sebastian Cardona Sánchez</t>
  </si>
  <si>
    <t>sebastian.cardona@perfek.com.co</t>
  </si>
  <si>
    <t>057+6 885 37 90</t>
  </si>
  <si>
    <t>Marcela Ricaurte</t>
  </si>
  <si>
    <t>marcela.ricaurte@macca.com.co</t>
  </si>
  <si>
    <t>COTIZACION DE LOS DISEÑOS DE SEGURIDAD HUMANA Y PROTECCIÓN CONTRA INCENDIOS - CEDRO AZUL</t>
  </si>
  <si>
    <t>Yulieth Fonnegra</t>
  </si>
  <si>
    <t>yulieth.fonnegra@link-inmobiliario.com</t>
  </si>
  <si>
    <t>Link Inmobiliario</t>
  </si>
  <si>
    <t>COTIZACION DE LOS DISEÑOS DE PROTECCIÓN CONTRA INCENDIOS - JAPANESE POP - WAKE 2</t>
  </si>
  <si>
    <t>COTIZACION DE LOS DISEÑOS DE PROTECCIÓN CONTRA INCENDIOS - VAQUITA EXPRESS</t>
  </si>
  <si>
    <t>COTIZACION DEL DISEÑO DE EXTINCIÓN DE INCENDIOS - EDIFICIO ADMINISTRATIVO EL COLOMBIANO</t>
  </si>
  <si>
    <t>Ingeniería Inmobiliaria</t>
  </si>
  <si>
    <t>Lucas Tamayo</t>
  </si>
  <si>
    <t>COTIZACION DE LOS DISEÑOS DE SEGURIDAD HUMANA Y PROTECCIÓN CONTRA INCENDIOS - HOTEL AV PALMAS</t>
  </si>
  <si>
    <t>Mesa Estudio</t>
  </si>
  <si>
    <t>Jorge Gonzalez Ingeniería</t>
  </si>
  <si>
    <t>COTIZACION DE LOS DISEÑOS DE PROTECCIÓN CONTRA INCENDIOS - LOCAL NADYA KATICH</t>
  </si>
  <si>
    <t>57 (4) 423 7149</t>
  </si>
  <si>
    <t>gerencia@jorgegonzalezingenieria.com</t>
  </si>
  <si>
    <t>Jorge Gonzalez</t>
  </si>
  <si>
    <t>Gustavo Trujillo Montoya</t>
  </si>
  <si>
    <t>gtrumon@gmail.com</t>
  </si>
  <si>
    <t>COTIZACION DEL DISEÑO DE EXTINCIÓN DE INCENDIOS - ALFA PADEL</t>
  </si>
  <si>
    <t>Dianella Castro Alvarez</t>
  </si>
  <si>
    <t>dscastro@coninsa.co</t>
  </si>
  <si>
    <t>COTIZACION DE LOS DISEÑOS DE SEGURIDAD HUMANA Y PROTECCIÓN CONTRA INCENDIOS - HOTEL CAFETERITO</t>
  </si>
  <si>
    <t>Ana Sofía Roldan Pimienta</t>
  </si>
  <si>
    <t>sofia@ideabasearquitectos.com</t>
  </si>
  <si>
    <t>COTIZACION DE LOS DISEÑOS DE SEGURIDAD HUMANA Y PROTECCIÓN CONTRA INCENDIOS - CENTRO DE CONEXIONES</t>
  </si>
  <si>
    <t>Nasser Jose Sir Cedeno</t>
  </si>
  <si>
    <t>COTIZACION DE LOS DISEÑOS DE PROTECCIÓN CONTRA INCENDIOS - PLANTA DE COLCHONES</t>
  </si>
  <si>
    <t>COTIZACION DE LOS DISEÑOS DE PROTECCIÓN CONTRA INCENDIOS - EDIFICIO PENMANN</t>
  </si>
  <si>
    <t>COTIZACION DEL DISEÑO DE DETECCIÓN DE INCENDIOS - CONJUNTO PLATINUM SUPERIOR PH</t>
  </si>
  <si>
    <t>Maribel Velásquez Legarda</t>
  </si>
  <si>
    <t>analista3.nyp@aceis.com.co</t>
  </si>
  <si>
    <t>COTIZACIÓN DEL ANÁLISIS DE SEGURIDAD HUMANA - CENTRO COMERCIAL PASTO</t>
  </si>
  <si>
    <t>COTIZACION DEL DISEÑO DE DETECCIÓN DE INCENDIOS - OLMO</t>
  </si>
  <si>
    <t>COTIZACION DE LOS DISEÑOS DE PROTECCIÓN CONTRA INCENDIOS - AVINSA</t>
  </si>
  <si>
    <t>COTIZACION DE LOS DISEÑOS DE SEGURIDAD HUMANA Y PROTECCIÓN CONTRA INCENDIOS - ON APARTAMENTOS</t>
  </si>
  <si>
    <t>Sebastián Ochoa Gómez</t>
  </si>
  <si>
    <t>COTIZACION DEL DISEÑO DE EXTINCIÓN DE INCENDIOS - EXITO PASTO CENTRO</t>
  </si>
  <si>
    <t>COTIZACION DE LOS DISEÑOS DE SEGURIDAD HUMANA Y PROTECCIÓN CONTRA INCENDIOS - EDIFICIO TÉCNICO CLÍNICA TRAUMAS Y FRACTURAS</t>
  </si>
  <si>
    <t>COTIZACION DE LOS DISEÑOS DE SEGURIDAD HUMANA Y PROTECCIÓN CONTRA INCENDIOS - PUG BUCAROS ETP3</t>
  </si>
  <si>
    <t>Roomie</t>
  </si>
  <si>
    <t>Camilo Ruiz Pérez</t>
  </si>
  <si>
    <t>zzarq1602@gmail.com</t>
  </si>
  <si>
    <t>Inmocente Rionegro</t>
  </si>
  <si>
    <t>Jorge Durago</t>
  </si>
  <si>
    <t>sst@inmocente.com</t>
  </si>
  <si>
    <t>COTIZACION DEL DISEÑO DE EXTINCIÓN DE INCENDIOS - INMOCENTE RIONEGRO</t>
  </si>
  <si>
    <t>COTIZACION DEL DISEÑO DE EXTINCIÓN DE INCENDIOS - BODEGA TESLA</t>
  </si>
  <si>
    <t>Tres Cimas</t>
  </si>
  <si>
    <t>Juan Camilo Rey Jaramillo</t>
  </si>
  <si>
    <t>COTIZACION DE LOS DISEÑOS DE SEGURIDAD HUMANA Y PROTECCIÓN CONTRA INCENDIOS - SERENIA</t>
  </si>
  <si>
    <t>COTIZACION DEL DISEÑO DE EXTINCIÓN DE INCENDIOS - IMAT ONCOMEDICA T1 Y T2</t>
  </si>
  <si>
    <t>COTIZACION DEL DISEÑO DE EXTINCIÓN DE INCENDIOS - LA PASCASIA</t>
  </si>
  <si>
    <t>Corporación común y corriente</t>
  </si>
  <si>
    <t>Diana Giraldo Navarro</t>
  </si>
  <si>
    <t>diseno.casacalda@gmail.com</t>
  </si>
  <si>
    <t>Adriana Bermúdez</t>
  </si>
  <si>
    <t>COTIZACION DE LOS DISEÑOS DE SEGURIDAD HUMANA Y PROTECCIÓN CONTRA INCENDIOS - CIRUELO</t>
  </si>
  <si>
    <t>COTIZACION DE LOS DISEÑOS DE SEGURIDAD HUMANA Y PROTECCIÓN CONTRA INCENDIOS - VILLA FÁTIMA</t>
  </si>
  <si>
    <t>Urbanica</t>
  </si>
  <si>
    <t>Sandra Gomez</t>
  </si>
  <si>
    <t>sandra@urbanica.co</t>
  </si>
  <si>
    <t>Corporación ayuda humanitaria</t>
  </si>
  <si>
    <t>COTIZACION DE LOS DISEÑOS DE SEGURIDAD HUMANA Y EXTINCIÓN DE INCENDIOS PARA PRESUPUESTO - HACEB</t>
  </si>
  <si>
    <t>COTIZACION DE LOS PLANOS DE SEÑALIZACIÓN DE EMERGENCIA - INSTITUCIONES EDUCATIVAS MEDELLIN</t>
  </si>
  <si>
    <t>saos64cah@gmail.com</t>
  </si>
  <si>
    <t>COTIZACION DEL DISEÑO DE EXTINCIÓN DE INCENDIOS - BF PLAZA BOCAGRANDE</t>
  </si>
  <si>
    <t>COTIZACION DE LOS DISEÑOS DE SEGURIDAD HUMANA Y PROTECCIÓN CONTRA INCENDIOS - LOTE LAS PALMAS</t>
  </si>
  <si>
    <t>Federico Gómez Piedrahita</t>
  </si>
  <si>
    <t>federico@gomezpiedrahita.com</t>
  </si>
  <si>
    <t>Arquitectura Gustavo Jaramillo</t>
  </si>
  <si>
    <t>COTIZACION DE LOS DISEÑOS DE SEGURIDAD HUMANA Y PROTECCIÓN CONTRA INCENDIOS - NATURA BEACH</t>
  </si>
  <si>
    <t>366 32 76</t>
  </si>
  <si>
    <t>Lizeth Florez</t>
  </si>
  <si>
    <t>Avenida</t>
  </si>
  <si>
    <t>lflorez@avenidacap.com</t>
  </si>
  <si>
    <t>COTIZACION DE LOS DISEÑOS DE SEGURIDAD HUMANA Y PROTECCIÓN CONTRA INCENDIOS - MADERA</t>
  </si>
  <si>
    <t>COTIZACION DE LOS DISEÑOS DE SEGURIDAD HUMANA Y PROTECCIÓN CONTRA INCENDIOS - V-63 BBC - CONTENT CITY</t>
  </si>
  <si>
    <t>proyectos@jveraarqs.com</t>
  </si>
  <si>
    <t>Ana Isabel Valencia Velásquez</t>
  </si>
  <si>
    <t>Javier Vera Arquitectos S.A.S.</t>
  </si>
  <si>
    <t>COTIZACION DE LOS DISEÑOS DE SEGURIDAD HUMANA Y EXTINCIÓN DE INCENDIOS - LABORATORIO T&amp;T</t>
  </si>
  <si>
    <t>COTIZACION DE LOS DISEÑOS DE SEGURIDAD HUMANA Y PROTECCIÓN CONTRA INCENDIOS - ALTAIR</t>
  </si>
  <si>
    <t>COTIZACION DE LOS DISEÑOS DE SEGURIDAD HUMANA Y PROTECCIÓN CONTRA INCENDIOS - LEPINOT</t>
  </si>
  <si>
    <t>COTIZACION DE LOS DISEÑOS DE SEGURIDAD HUMANA Y PROTECCIÓN CONTRA INCENDIOS - CASA CLUB</t>
  </si>
  <si>
    <t>COTIZACION DE LOS DISEÑOS DE SEGURIDAD HUMANA Y PROTECCIÓN CONTRA INCENDIOS - ZURI</t>
  </si>
  <si>
    <t>COTIZACION DE LOS DISEÑOS DE PROTECCIÓN CONTRA INCENDIOS Y SEGURIDAD HUMANA - MISTRAL ETAPA 2</t>
  </si>
  <si>
    <t>COTIZACION DE LOS DISEÑOS DE SEGURIDAD HUMANA Y PROTECCIÓN CONTRA INCENDIOS - RESERVA SANTA MARIA</t>
  </si>
  <si>
    <t>COTIZACION DE LOS DISEÑOS DE SEGURIDAD HUMANA Y PROTECCIÓN CONTRA INCENDIOS - ALMA DEL RIO</t>
  </si>
  <si>
    <t>COTIZACION DE LOS DISEÑOS DE PROTECCIÓN CONTRA INCENDIOS - OBELISCO</t>
  </si>
  <si>
    <t>COTIZACION DEL DISEÑO DE DETECCIÓN DE INCENDIOS - BODEGAS DE COLANTA EN QBOX</t>
  </si>
  <si>
    <t>COTIZACION DEL DISEÑO DE DETECCIÓN DE INCENDIOS - ÁREA DE GESTION DOCUMENTAL HACEB</t>
  </si>
  <si>
    <t>COTIZACION DEL DISEÑO DE DETECCIÓN DE INCENDIOS - WE AGRO</t>
  </si>
  <si>
    <t>COTIZACION DE LOS DISEÑOS DE SEGURIDAD HUMANA Y PROTECCIÓN CONTRA INCENDIOS - DISTRITO EKI</t>
  </si>
  <si>
    <t>COTIZACION DE LOS DISEÑOS DE PROTECCIÓN CONTRA INCENDIOS - DATACENTER CETAD</t>
  </si>
  <si>
    <t>Carlos Bernal Montenegro</t>
  </si>
  <si>
    <t>carlos.bernal@seriinco.com</t>
  </si>
  <si>
    <t>COTIZACION DEL DISEÑO DE EXTINCIÓN DE INCENDIOS - CINCUENTENARIO</t>
  </si>
  <si>
    <t>COTIZACION DE LOS DISEÑOS DE SEGURIDAD HUMANA Y PROTECCIÓN CONTRA INCENDIOS - TIERRA Y SABANA E1</t>
  </si>
  <si>
    <t>COTIZACION DE LOS DISEÑOS DE SEGURIDAD HUMANA Y PROTECCIÓN CONTRA INCENDIOS - EDIFICIO SENIOR</t>
  </si>
  <si>
    <t xml:space="preserve">Ingenium </t>
  </si>
  <si>
    <t>COTIZACION DEL ANÁLISIS DE SEGURIDAD HUMANA - AUDITORIO CAMPÍN</t>
  </si>
  <si>
    <t>Manuela Jaramillo Castaño</t>
  </si>
  <si>
    <t>mjaramilloc@doublec.com</t>
  </si>
  <si>
    <t>COTIZACION DE LOS DISEÑOS DE PROTECCIÓN CONTRA INCENDIOS - PLANTA CONFITERIA TRIUNFO CASA LUKER</t>
  </si>
  <si>
    <t>Juan Paulo Valdés</t>
  </si>
  <si>
    <t>COTIZACION DEL ANÁLISIS DE SEGURIDAD HUMANA - REMODELACION SEDE COPROCENVA</t>
  </si>
  <si>
    <t>COTIZACION DEL DISEÑO DE EXTINCIÓN DE INCENDIOS - LA RESISTENCIA</t>
  </si>
  <si>
    <t>Hidro F. Salinas</t>
  </si>
  <si>
    <t>COTIZACION DE LOS DISEÑOS DE SEGURIDAD HUMANA Y PROTECCIÓN CONTRA INCENDIOS - BUCAROS</t>
  </si>
  <si>
    <t>COTIZACION DE LOS DISEÑOS DE SEGURIDAD HUMANA Y DETECCIÓN DE INCENDIOS - ROSALES</t>
  </si>
  <si>
    <t>COTIZACION DE LOS DISEÑOS DE SEGURIDAD HUMANA Y PROTECCIÓN CONTRA INCENDIOS - VERDE AGUA</t>
  </si>
  <si>
    <t>COTIZACION DEL REDISEÑO DE EXTINCIÓN DE INCENDIOS - ZONA COMIDAS P2 CC SAN NICOLAS</t>
  </si>
  <si>
    <t>San Nicolás</t>
  </si>
  <si>
    <t>COTIZACION DEL DISEÑO DE EXTINCIÓN DE INCENDIOS - ALKOMPRAR POPAYÁN</t>
  </si>
  <si>
    <t>variable por etapas</t>
  </si>
  <si>
    <t>COTIZACION DEL DISEÑO DE EXTINCIÓN DE INCENDIOS - GIMNASIOS SMARTFIT</t>
  </si>
  <si>
    <t>Casas Bee</t>
  </si>
  <si>
    <t>Juan David Hoyos</t>
  </si>
  <si>
    <t>juanda@casasbee.com</t>
  </si>
  <si>
    <t>COTIZACION DE LOS DISEÑOS DE PROTECCIÓN CONTRA INCENDIOS - OBRA CONSOLATA</t>
  </si>
  <si>
    <t>Mattur</t>
  </si>
  <si>
    <t>matturobraconsolata@gmail.com</t>
  </si>
  <si>
    <t>Yesenia Corrales</t>
  </si>
  <si>
    <t>COTIZACION DE LOS DISEÑOS DE SEGURIDAD HUMANA Y PROTECCIÓN CONTRA INCENDIOS - ROSÉ</t>
  </si>
  <si>
    <t>COTIZACION DE LOS DISEÑOS DE SEGURIDAD HUMANA Y PROTECCIÓN CONTRA INCENDIOS - D1 PALMAS</t>
  </si>
  <si>
    <t>COTIZACION DE LOS DISEÑOS DE SEGURIDAD HUMANA Y PROTECCIÓN CONTRA INCENDIOS - D1 BALSOS</t>
  </si>
  <si>
    <t>COTIZACION DEL DISEÑO DE EXTINCIÓN DE INCENDIOS - GIMNASIO</t>
  </si>
  <si>
    <t>COTIZACION DE LOS DISEÑOS DE SEGURIDAD HUMANA Y PROTECCIÓN CONTRA INCENDIOS - COLINAS APARTAMENTOS</t>
  </si>
  <si>
    <t xml:space="preserve">AYL INGENIERIA ESTRUCTURAL </t>
  </si>
  <si>
    <t>Juan David Arboleda</t>
  </si>
  <si>
    <t>aylingenieriaestructural@gmail.com</t>
  </si>
  <si>
    <t>COTIZACION DEL ANÁLISIS DE SEGURIDAD HUMANA - SOLUNION MEDELLIN</t>
  </si>
  <si>
    <t>COTIZACION DE LOS DISEÑOS DE PROTECCIÓN CONTRA INCENDIOS - SALVA</t>
  </si>
  <si>
    <t>COTIZACION DEL ANÁLISIS DE SEGURIDAD HUMANA - HOTEL CONVENCIONES BARÚ</t>
  </si>
  <si>
    <t xml:space="preserve">Laura Cristina Castaño Guzmán </t>
  </si>
  <si>
    <t>lcastanog@doublec.com</t>
  </si>
  <si>
    <t>COTIZACION DEL DISEÑO DE DETECCIÓN DE INCENDIOS - MECÁNICOS UNIDOS</t>
  </si>
  <si>
    <t>COTIZACION DEL DISEÑO DE EXTINCIÓN DE INCENDIOS - D1 MANANTIAL</t>
  </si>
  <si>
    <t>COTIZACION DE LOS DISEÑOS DE PROTECCIÓN CONTRA INCENDIOS - BODEGA</t>
  </si>
  <si>
    <t>Luis C. Bueno P.</t>
  </si>
  <si>
    <t>COTIZACION DE LOS DISEÑOS DE SEGURIDAD HUMANA Y DETECCIÓN DE INCENDIOS - BARRIO ABAJO</t>
  </si>
  <si>
    <t>COTIZACION DEL DISEÑO DE EXTINCIÓN DE INCENDIOS - AYURÁ CENTER PISO 8</t>
  </si>
  <si>
    <t>James Enmanuel Duarte Prado</t>
  </si>
  <si>
    <t>jeduarte@coninsa.co</t>
  </si>
  <si>
    <t>COTIZACION DEL DISEÑO DE DETECCIÓN DE INCENDIOS - ÁREA FUMIGACIÓN CONTECAR</t>
  </si>
  <si>
    <t>COTIZACION DE LOS DISEÑOS DE SEGURIDAD HUMANA Y PROTECCIÓN CONTRA INCENDIOS - VIVALTTA</t>
  </si>
  <si>
    <t>COTIZACION DEL DISEÑO DE EXTINCIÓN DE INCENDIOS - ONGOING BLOQUE 1 UNIVERSIDAD EAFIT</t>
  </si>
  <si>
    <t>COTIZACION DEL DISEÑO DE DETECCIÓN DE INCENDIOS - NACIONAL DE CHOCOLATES</t>
  </si>
  <si>
    <t>Sehiso</t>
  </si>
  <si>
    <t>COTIZACION DEL DISEÑO DE EXTINCIÓN DE INCENDIOS - RIKATAS</t>
  </si>
  <si>
    <t>Sebastian Martinez</t>
  </si>
  <si>
    <t>COTIZACION DEL ANÁLISIS DE SEGURIDAD HUMANA - IPS PRAXIS</t>
  </si>
  <si>
    <t>Praxis</t>
  </si>
  <si>
    <t>Angela Olaya</t>
  </si>
  <si>
    <t>COTIZACION DEL DISEÑO DE DETECCIÓN DE INCENDIOS - SAN NICOLAS ETAPA 1,2 Y 3</t>
  </si>
  <si>
    <t>Arquitectura Valor</t>
  </si>
  <si>
    <t>COTIZACION DEL ANÁLISIS DE SEGURIDAD HUMANA - FRUVER</t>
  </si>
  <si>
    <t>COTIZACION DE LOS DISEÑOS DE SEGURIDAD HUMANA Y PROTECCIÓN CONTRA INCENDIOS - SERENITY</t>
  </si>
  <si>
    <t>COTIZACION DE LOS DISEÑOS DE EXTINCIÓN DE INCENDIOS Y SEGURIDAD HUMANA PARA EL PROYECTO FRIGORIFICO</t>
  </si>
  <si>
    <t>Perspectiva</t>
  </si>
  <si>
    <t>COTIZACION DE LOS DISEÑOS DE PROTECCIÓN CONTRA INCENDIOS - FARMACEUTICA</t>
  </si>
  <si>
    <t>Orientar Group</t>
  </si>
  <si>
    <t>Juan Felipe Muñoz Rendón</t>
  </si>
  <si>
    <t>COTIZACION DEL ANÁLISIS DE SEGURIDAD HUMANA - FLA</t>
  </si>
  <si>
    <t>Fábrica de Licores y alcoholes de Antioquia- FLA</t>
  </si>
  <si>
    <t>Juliana Núñez Castaño</t>
  </si>
  <si>
    <t>jecheverri@perspectivac.co</t>
  </si>
  <si>
    <t>COTIZACION DE LOS DISEÑOS DE SEGURIDAD HUMANA Y PROTECCIÓN CONTRA INCENDIOS - DUMA</t>
  </si>
  <si>
    <t>Project &amp; Solutions</t>
  </si>
  <si>
    <t>COTIZACION DE LOS DISEÑOS DE PROTECCIÓN CONTRA INCENDIOS - POSTOBON BELLO SOLPED</t>
  </si>
  <si>
    <t>COTIZACION DEL DISEÑO DE EXTINCIÓN DE INCENDIOS - BODEGAS AMERICA MEDELLÍN</t>
  </si>
  <si>
    <t>COTIZACION DE LOS DISEÑOS DE SEGURIDAD HUMANA Y EXTINCIÓN DE INCENDIOS - EKI</t>
  </si>
  <si>
    <t>Qbo</t>
  </si>
  <si>
    <t>COTIZACION DEL DISEÑO DE EXTINCIÓN DE INCENDIOS - BODEGA U8-B4</t>
  </si>
  <si>
    <t>Cubic 33</t>
  </si>
  <si>
    <t>wv@cubic33group.com</t>
  </si>
  <si>
    <t>Wilmar Vargas Luque</t>
  </si>
  <si>
    <t>Alba Lucia Guinand Vives</t>
  </si>
  <si>
    <t>aguinand@qbo.co</t>
  </si>
  <si>
    <t>COTIZACION DE LOS DISEÑOS DE SEGURIDAD HUMANA Y PROTECCIÓN CONTRA INCENDIOS - ADASAGI V1</t>
  </si>
  <si>
    <t>CasaF</t>
  </si>
  <si>
    <t xml:space="preserve">Emel González </t>
  </si>
  <si>
    <t>COTIZACION DE LOS DISEÑOS DE SEGURIDAD HUMANA Y PROTECCIÓN CONTRA INCENDIOS - BODEGA DE ALCOHOL</t>
  </si>
  <si>
    <t>COTIZACION DE LOS DISEÑOS DE SEGURIDAD HUMANA Y PROTECCIÓN CONTRA INCENDIOS - BODEGA AGROPALLETS</t>
  </si>
  <si>
    <t>COTIZACION DE LOS DISEÑOS DE PROTECCIÓN CONTRA INCENDIOS - BODEGA 5</t>
  </si>
  <si>
    <t>COTIZACIÓN DE LOS PLANOS DE SEGURIDAD HUMANA PROYECTO TRRAZO</t>
  </si>
  <si>
    <t>COTIZACIÓN DE LOS PLANOS DE EXTINCIÓN DETECCIÓN Y SEGURIDAD HUMANA DE LA PORTERÍA AWÁ</t>
  </si>
  <si>
    <t>Carlos Tamayo</t>
  </si>
  <si>
    <t>carlos.tamayo@construgen.com</t>
  </si>
  <si>
    <t>COTIZACION DE LOS DISEÑOS DE SEGURIDAD HUMANA Y PROTECCIÓN CONTRA INCENDIOS - PALMANOVA</t>
  </si>
  <si>
    <t>Maria Clemencia Arbelaez</t>
  </si>
  <si>
    <t>gerencia.construccionvisual@gmail.com</t>
  </si>
  <si>
    <t>DUMA</t>
  </si>
  <si>
    <t>COTIZACION DEL DISEÑO DE DETECCIÓN DE INCENDIOS - BODEGA</t>
  </si>
  <si>
    <t>COTIZACION DE LOS DISEÑOS DE SEGURIDAD HUMANA Y PROTECCIÓN CONTRA INCENDIOS - FANTASIA T03</t>
  </si>
  <si>
    <t>Altos de la Ábadia</t>
  </si>
  <si>
    <t>COTIZACION DEL DISEÑO DE EXTINCIÓN DE INCENDIOS - BIBLIOTECA ESPAÑA</t>
  </si>
  <si>
    <t>Julio Millan</t>
  </si>
  <si>
    <t>comercial@fpservices.com.co</t>
  </si>
  <si>
    <t>pedroquido39@gmail.com</t>
  </si>
  <si>
    <t>COTIZACION DE LOS DISEÑOS DE SEGURIDAD HUMANA Y PROTECCIÓN CONTRA INCENDIOS - FORUM UPB</t>
  </si>
  <si>
    <t>CYP INSTALACION DE SISTEMAS CONTRA INCENDIOS S.A.S</t>
  </si>
  <si>
    <t xml:space="preserve">	
Natalia Andrea Valencia Rodriguez</t>
  </si>
  <si>
    <t xml:space="preserve">Arango Arango </t>
  </si>
  <si>
    <t>COTIZACION DEL DISEÑO DE EXTINCIÓN DE INCENDIOS - HOTELERA MEDELLÍN</t>
  </si>
  <si>
    <t>nataliavalenciar25@gmail.com</t>
  </si>
  <si>
    <t>Hector Ivan Parra Tovar</t>
  </si>
  <si>
    <t>arq.hectorparra1598@gmail.com</t>
  </si>
  <si>
    <t>COTIZACION DE LOS DISEÑOS DE PROTECCIÓN CONTRA INCENDIOS - RIKATAS</t>
  </si>
  <si>
    <t>COTIZACION DE LOS DISEÑOS DE PROTECCIÓN CONTRA INCENDIOS - BODEGA LOS LAGOS</t>
  </si>
  <si>
    <t>COTIZACION DE LOS DISEÑOS DE SEGURIDAD HUMANA Y PROTECCIÓN CONTRA INCENDIOS - LOBBY TORRE NORTE BANCOLOMBIA</t>
  </si>
  <si>
    <t>COTIZACION DE LOS DISEÑOS DE PROTECCIÓN CONTRA INCENDIOS Y SEGURIDAD HUMANA PARA EL PROYECTO BODEGA AUDICOL</t>
  </si>
  <si>
    <t>COTIZACION DEL DISEÑO DE EXTINCIÓN DE INCENDIOS - BODEGAS PUERTA DEL SUR</t>
  </si>
  <si>
    <t>COTIZACION DE LOS DISEÑOS DE SEGURIDAD HUMANA Y PROTECCIÓN CONTRA INCENDIOS - IDEM</t>
  </si>
  <si>
    <t>Julian Henao</t>
  </si>
  <si>
    <t>daniel.henao@desur.gov.co</t>
  </si>
  <si>
    <t>(604) 4801300 Ext 126</t>
  </si>
  <si>
    <t>COTIZACION DE LOS DISEÑOS DE SEGURIDAD HUMANA Y PROTECCIÓN CONTRA INCENDIOS - ARENA TERRA</t>
  </si>
  <si>
    <t>Cimentando</t>
  </si>
  <si>
    <t>John Andres Mesa</t>
  </si>
  <si>
    <t>cimentandosas@hotmail.com
mesabass24@hotmail.com</t>
  </si>
  <si>
    <t>COTIZACION DE LOS DISEÑOS DE PROTECCIÓN CONTRA INCENDIOS Y SEGURIDAD HUMANA PARA EL PROYECTO EDIFICIO 8,000 M2</t>
  </si>
  <si>
    <t>Diseño y Construcciones</t>
  </si>
  <si>
    <t>Paulo</t>
  </si>
  <si>
    <t>COTIZACION DEL DISEÑO DE EXTINCIÓN DE INCENDIOS - AGENTE LIMPIO HOTELERA MDE</t>
  </si>
  <si>
    <t xml:space="preserve">	
Cristina Palacio Perez</t>
  </si>
  <si>
    <t>COTIZACION DEL ANÁLISIS DE SEGURIDAD HUMANA - ED. VIVIENDA Y COMERCIO RIONEGRO</t>
  </si>
  <si>
    <t>COTIZACION DE LOS DISEÑOS DE PROTECCIÓN CONTRA INCENDIOS - CONCESIONARIO MAGMA</t>
  </si>
  <si>
    <t>Luisa Restrepo</t>
  </si>
  <si>
    <t>COTIZACION DE LOS DISEÑOS DE SEGURIDAD HUMANA Y PROTECCIÓN CONTRA INCENDIOS - FRIGORÍFICO</t>
  </si>
  <si>
    <t>COTIZACION DE LOS DISEÑOS DE SEGURIDAD HUMANA Y PROTECCIÓN CONTRA INCENDIOS - COLOMBINA</t>
  </si>
  <si>
    <t>Colombina</t>
  </si>
  <si>
    <t>Lina Alejandra Duque Posada</t>
  </si>
  <si>
    <t>santiagor@verdeselva.com.co</t>
  </si>
  <si>
    <t>Sebastián penagos</t>
  </si>
  <si>
    <t>Verde Selva Constructores</t>
  </si>
  <si>
    <t>COTIZACION DEL ANÁLISIS DE SEGURIDAD HUMANA - CASA 3 SAN LUCAS</t>
  </si>
  <si>
    <t>ingemahidraulic@outlook.es</t>
  </si>
  <si>
    <t>Andres Giraldo</t>
  </si>
  <si>
    <t>Ingema Hidraulica</t>
  </si>
  <si>
    <t>COTIZACION DE LOS DISEÑOS DE PROTECCIÓN CONTRA INCENDIOS - PARQUE EMPRESARIAL GUADUALES</t>
  </si>
  <si>
    <t>COTIZACION DEL DISEÑO DE EXTINCIÓN DE INCENDIOS - AUTECO MOROCARROS ROSENDAL</t>
  </si>
  <si>
    <t>PLANOS ASBUILT ACESCO MALAMBO</t>
  </si>
  <si>
    <t>COTIZACION DE LOS DISEÑOS DE SEGURIDAD HUMANA Y PROTECCIÓN CONTRA INCENDIOS - WILLOW DISTRICT</t>
  </si>
  <si>
    <t>Tatiana de la Rosa Santa</t>
  </si>
  <si>
    <t>COTIZACION DEL DISEÑO DE EXTINCIÓN DE INCENDIOS - HOTEL AIMARAWA</t>
  </si>
  <si>
    <t>COTIZACION DEL DISEÑO DE EXTINCIÓN DE INCENDIOS - ZONA E</t>
  </si>
  <si>
    <t>COTIZACION DE LOS DISEÑOS DE SEGURIDAD HUMANA Y PROTECCIÓN CONTRA INCENDIOS - CLÍNICA LAS VEGAS</t>
  </si>
  <si>
    <t>Clínica las Vegas</t>
  </si>
  <si>
    <t>Rafael Esteban Amaya Arbeláez</t>
  </si>
  <si>
    <t>Rafael.Amaya@quironsalud.com</t>
  </si>
  <si>
    <t>604 501 30 00 Ext: 8600</t>
  </si>
  <si>
    <t>COTIZACION DE LOS DISEÑOS DE SEGURIDAD HUMANA Y PROTECCIÓN CONTRA INCENDIOS - HONTANAR</t>
  </si>
  <si>
    <t>COTIZACION DE LOS DISEÑOS DE PROTECCIÓN CONTRA INCENDIOS PARA EL PROYECTO MEZANINE CONTECAR</t>
  </si>
  <si>
    <t>COTIZACION DEL PLAN MAESTRO DE PROTECCIÓN CONTRA INCENDIOS PARA LA PLANTA SCANFORM</t>
  </si>
  <si>
    <t>COTIZACION DE LOS DISEÑOS DE PROTECCIÓN CONTRA INCENDIOS - PORTAL DE SAN NICOLÁS</t>
  </si>
  <si>
    <t>COTIZACION DE LOS DISEÑOS DE SEGURIDAD HUMANA Y PROTECCIÓN CONTRA INCENDIOS - MOKARA T3</t>
  </si>
  <si>
    <t>joarq.ngarcia@gmail.com</t>
  </si>
  <si>
    <t>COTIZACION DE LOS DISEÑOS DE SEGURIDAD HUMANA Y PROTECCIÓN CONTRA INCENDIOS - COLONIA T2,3,4 Y 5</t>
  </si>
  <si>
    <t>JO Arquitectura</t>
  </si>
  <si>
    <t>COTIZACION DE LOS DISEÑOS DE SEGURIDAD HUMANA Y PROTECCIÓN CONTRA INCENDIOS - SURA IBAGUE</t>
  </si>
  <si>
    <t>COTIZACION DE LOS DISEÑOS DE SEGURIDAD HUMANA Y PROTECCIÓN CONTRA INCENDIOS - HOTEL HOLIDAY INN</t>
  </si>
  <si>
    <t>Al cielo constructora</t>
  </si>
  <si>
    <t>COTIZACION DE LOS DISEÑOS DE PROTECCIÓN CONTRA INCENDIOS - BODEGAS PUERTA DEL SUR</t>
  </si>
  <si>
    <t>n.eljach@alcieloconstructora.com</t>
  </si>
  <si>
    <t>Nayalibe Eljach Eljach Manjarez</t>
  </si>
  <si>
    <t>COTIZACION DE LOS DISEÑOS DE SEGURIDAD HUMANA Y DETECCIÓN DE INCENDIOS - CORALIA ETAPA 2</t>
  </si>
  <si>
    <t>COTIZACION DE LOS DISEÑOS DE SEGURIDAD HUMANA Y PROTECCIÓN CONTRA INCENDIOS - RIOMANSO ETAPA 1</t>
  </si>
  <si>
    <t>Natalia Patiño Osorno</t>
  </si>
  <si>
    <t>Licitacion2@conintel.com.co</t>
  </si>
  <si>
    <t>COTIZACION DE LOS DISEÑOS DE SEGURIDAD HUMANA Y PROTECCIÓN CONTRA INCENDIOS - RESERVA DE LOS BOSQUES</t>
  </si>
  <si>
    <t>COTIZACION DEL DISEÑO DE DETECCIÓN DE INCENDIOS - AMARA ETAPA 2,3 Y 4</t>
  </si>
  <si>
    <t>Sebastian Camilo Parra Giraldo</t>
  </si>
  <si>
    <t>sebastian.parra@aia.com.co</t>
  </si>
  <si>
    <t>COTIZACION DEL ANÁLISIS DE SEGURIDAD HUMANA - PARQUEADERO</t>
  </si>
  <si>
    <t>CAG Constructores</t>
  </si>
  <si>
    <t>EDGAR ACUÑA SIMANCA</t>
  </si>
  <si>
    <t>edgar.acuna@cagconstructores.com</t>
  </si>
  <si>
    <t>COTIZACION DEL ANÁLISIS DE SEGURIDAD HUMANA - NU BANK</t>
  </si>
  <si>
    <t>COTIZACION DE LOS DISEÑOS DE SEGURIDAD HUMANA Y PROTECCIÓN CONTRA INCENDIOS - BOSQUE DE AIRE</t>
  </si>
  <si>
    <t>COTIZACIÓN CATEDRA DIPLOMA UTPC</t>
  </si>
  <si>
    <t>COTIZACION DEL DISEÑO DE DETECCIÓN DE INCENDIOS - COMFAMA CIS FLORIDA</t>
  </si>
  <si>
    <t>COTIZACION DEL DISEÑO DE DETECCIÓN DE INCENDIOS - COMFAMA PARQUE RIO GRANDE</t>
  </si>
  <si>
    <t>COTIZACION DE LOS DISEÑOS DE PROTECCIÓN CONTRA INCENDIOS - MONOPLAS</t>
  </si>
  <si>
    <t>COTIZACION DE LOS DISEÑOS DE PROTECCIÓN CONTRA INCENDIOS - ESPUMAS PLÁSTICAS</t>
  </si>
  <si>
    <t>COTIZACION DE LOS DISEÑOS DE SEGURIDAD HUMANA Y PROTECCIÓN CONTRA INCENDIOS - FINCA CALABRIA</t>
  </si>
  <si>
    <t>Toro Santa Maria Arquitectos</t>
  </si>
  <si>
    <t>Manuela Gomez</t>
  </si>
  <si>
    <t>Manuelagomez@torosantamariaarquitectos.com.co</t>
  </si>
  <si>
    <t>COTIZACION DEL DISEÑO DE EXTINCIÓN DE INCENDIOS - CQ2</t>
  </si>
  <si>
    <t>COTIZACION DE LOS DISEÑOS DE PROTECCIÓN CONTRA INCENDIOS - PORTON DEL HUECO</t>
  </si>
  <si>
    <t>Liliana Vergara B</t>
  </si>
  <si>
    <t>limavebe@hotmail.com</t>
  </si>
  <si>
    <t>COTIZACION DE LOS DISEÑOS DE SEGURIDAD HUMANA Y PROTECCIÓN CONTRA INCENDIOS - DUE DILIGENCE CESVI TENJO</t>
  </si>
  <si>
    <t>COTIZACION DEL ANÁLISIS DE SEGURIDAD HUMANA - PRIMAVELA</t>
  </si>
  <si>
    <t>COTIZACION DE LOS DISEÑOS DE SEGURIDAD HUMANA Y PROTECCIÓN CONTRA INCENDIOS - PALMAS</t>
  </si>
  <si>
    <t>Caishen</t>
  </si>
  <si>
    <t>Juan David Hidalgo Torres</t>
  </si>
  <si>
    <t>Claudia María Gomez Davila</t>
  </si>
  <si>
    <t>CASA</t>
  </si>
  <si>
    <t>claudia.gomez@casa.com.co</t>
  </si>
  <si>
    <t>COTIZACION DE LOS DISEÑOS DE SEGURIDAD HUMANA Y PROTECCIÓN CONTRA INCENDIOS - DISTRITO VIVARI</t>
  </si>
  <si>
    <t>COTIZACION DEL DISEÑO DE DETECCIÓN DE INCENDIOS - BODEGA LA 49</t>
  </si>
  <si>
    <t>VAIN S.A.S.</t>
  </si>
  <si>
    <t>Juan Guillermo Rave</t>
  </si>
  <si>
    <t>GESTIONHUMANA@VAIN.COM.CO</t>
  </si>
  <si>
    <t>Ejezeta</t>
  </si>
  <si>
    <t>COTIZACION DEL DISEÑO DE DETECCIÓN DE INCENDIOS - CASA D</t>
  </si>
  <si>
    <t>COTIZACION DE LOS DISEÑOS DE SEGURIDAD HUMANA Y PROTECCIÓN CONTRA INCENDIOS - PARQUE INDUSTRIAL</t>
  </si>
  <si>
    <t>Yuri Cristina Zuluaga</t>
  </si>
  <si>
    <t>gerencia@c4logistica.com</t>
  </si>
  <si>
    <t>COTIZACION DEL DISEÑO DE EXTINCIÓN DE INCENDIOS - THE COLUMBUS SCHOOL BOMBA Y TANQUE</t>
  </si>
  <si>
    <t>COTIZACION DEL DISEÑO DE EXTINCIÓN DE INCENDIOS - THE COLUMBUS SCHOOL PLAN MAESTRO</t>
  </si>
  <si>
    <t>Paula Duque Botero</t>
  </si>
  <si>
    <t>COTIZACION DE LOS DISEÑOS DE PROTECCIÓN CONTRA INCENDIOS - MEGACENTER</t>
  </si>
  <si>
    <t>COTIZACION DEL REDISEÑO ANÁLISIS DE SEGURIDAD HUMANA - MIRADOR DE LA SABANA</t>
  </si>
  <si>
    <t>COTIZACION DEL DISEÑO DE EXTINCIÓN DE INCENDIOS - CUR PLANTA NIVEL 7</t>
  </si>
  <si>
    <t>Jose Luis Perez</t>
  </si>
  <si>
    <t>jlperez@otacc.com</t>
  </si>
  <si>
    <t>COTIZACION DEL ANÁLISIS DE SEGURIDAD HUMANA - STAND HOME</t>
  </si>
  <si>
    <t>Olga Beatriz Abad</t>
  </si>
  <si>
    <t>oabad@fundacionacic.org</t>
  </si>
  <si>
    <t>COTIZACION DEL ANÁLISIS DE SEGURIDAD HUMANA - SEDES ADMNISTRACIÓN JUDICIAL MEDELLIN</t>
  </si>
  <si>
    <t>Ivonne Molino</t>
  </si>
  <si>
    <t>apoyoinframed@cendoj.ramajudicial.gov.co</t>
  </si>
  <si>
    <t>Rama Judicial</t>
  </si>
  <si>
    <t>COTIZACION DEL REDISEÑO DE EXTINCIÓN DE INCENDIOS - MAZDA</t>
  </si>
  <si>
    <t>COTIZACION DE LOS DISEÑOS DE SEGURIDAD HUMANA Y PROTECCIÓN CONTRA INCENDIOS - UNIVERSIDAD EAFIT</t>
  </si>
  <si>
    <t>Universidad EAFIT</t>
  </si>
  <si>
    <t>604 2619500</t>
  </si>
  <si>
    <t>Daniela Luna Durango</t>
  </si>
  <si>
    <t>dlunad@eafit.edu.co</t>
  </si>
  <si>
    <t>COTIZACION DE LOS DISEÑOS DE PROTECCIÓN CONTRA INCENDIOS - BODEGA #1</t>
  </si>
  <si>
    <t>Santiago Tamayo</t>
  </si>
  <si>
    <t>santiago.tamayo@seriinco.com</t>
  </si>
  <si>
    <t>COTIZACION DEL DISEÑO DE EXTINCIÓN DE INCENDIOS - BODEGA #15</t>
  </si>
  <si>
    <t>COTIZACION DE LOS DISEÑOS DE PROTECCIÓN CONTRA INCENDIOS - EDIFICIO LA CEJA</t>
  </si>
  <si>
    <t>COTIZACION DEL DISEÑO DE EXTINCIÓN DE INCENDIOS - SAN JUAN DEL CESAR</t>
  </si>
  <si>
    <t>COTIZACION DEL DISEÑO DE EXTINCIÓN DE INCENDIOS - BARRANQUILLA</t>
  </si>
  <si>
    <t>COTIZACION DE LOS DISEÑOS DE PROTECCIÓN CONTRA INCENDIOS - FERRO</t>
  </si>
  <si>
    <t>COTIZACION DEL ANÁLISIS DE SEGURIDAD HUMANA - CORFERIAS</t>
  </si>
  <si>
    <t>José Álvarez Valencia</t>
  </si>
  <si>
    <t>josealvarez@estructurar.co</t>
  </si>
  <si>
    <t>Giraldojuancarlos143@gmail.com</t>
  </si>
  <si>
    <t>Juan Carlos giraldo ramirez</t>
  </si>
  <si>
    <t>COTIZACION DE LOS DISEÑOS DE SEGURIDAD HUMANA Y PROTECCIÓN CONTRA INCENDIOS - EL PEÑOL</t>
  </si>
  <si>
    <t>Asociación torres de la transfiguración</t>
  </si>
  <si>
    <t>COTIZACION DE LOS DISEÑOS DE SEGURIDAD HUMANA Y PROTECCIÓN CONTRA INCENDIOS - INK</t>
  </si>
  <si>
    <t>Ingenium</t>
  </si>
  <si>
    <t>COTIZACION DE LOS DISEÑOS DE SEGURIDAD HUMANA Y PROTECCIÓN CONTRA INCENDIOS - CUBO TELEANTIOQUIA</t>
  </si>
  <si>
    <t>COTIZACION DEL ANÁLISIS DE SEGURIDAD HUMANA - PERLA NOVA</t>
  </si>
  <si>
    <t>Nucleo constructora</t>
  </si>
  <si>
    <t>Isabel Cristina Zuluaga</t>
  </si>
  <si>
    <t>3243333 ext 105</t>
  </si>
  <si>
    <t>María Camila Arango</t>
  </si>
  <si>
    <t xml:space="preserve">COTIZACION DE LOS DISEÑOS DE SEGURIDAD HUMANA Y PROTECCIÓN CONTRA INCENDIOS - COLONIA T2    </t>
  </si>
  <si>
    <t xml:space="preserve">COTIZACION DE LOS DISEÑOS DE SEGURIDAD HUMANA Y PROTECCIÓN CONTRA INCENDIOS - GAIA </t>
  </si>
  <si>
    <t>COTIZACION DEL DISEÑO DE DETECCIÓN DE INCENDIOS - PISO 3 ALURACK</t>
  </si>
  <si>
    <t>COTIZACION DE LOS DISEÑOS DE SEGURIDAD HUMANA Y PROTECCIÓN CONTRA INCENDIOS - EDIFICIO 2</t>
  </si>
  <si>
    <t>Planta Copacabana GEA</t>
  </si>
  <si>
    <t>Cargo</t>
  </si>
  <si>
    <t>General Contractor</t>
  </si>
  <si>
    <t>Milton C. Gutierrez Soto</t>
  </si>
  <si>
    <t>Coordinador de Diseño de Arquitectura</t>
  </si>
  <si>
    <t>COTIZACION DEL ANÁLISIS DE SEGURIDAD HUMANA - BODEGA BARRANQUILLA</t>
  </si>
  <si>
    <t>COTIZACION DEL ANÁLISIS DE SEGURIDAD HUMANA - BODEGA BARRANQUILLA ILUNION</t>
  </si>
  <si>
    <t>COTIZACION DE LOS DISEÑOS DE SEGURIDAD HUMANA Y PROTECCIÓN CONTRA INCENDIOS - ESENCIA</t>
  </si>
  <si>
    <t xml:space="preserve">Diana Maria Osorio Garzon </t>
  </si>
  <si>
    <t>dmosoriog@gmail.com</t>
  </si>
  <si>
    <t>Diana Maria Osorio Garzon</t>
  </si>
  <si>
    <t>Angel Sebastian Hernandez Zapata</t>
  </si>
  <si>
    <t>OA+</t>
  </si>
  <si>
    <t>Coordinador de proyectos</t>
  </si>
  <si>
    <t>a.hernandez@oamas.co</t>
  </si>
  <si>
    <t>COTIZACION DE LOS DISEÑOS DE SEGURIDAD HUMANA Y PROTECCIÓN CONTRA INCENDIOS - EDIFICIO KURT A22</t>
  </si>
  <si>
    <t>Profesional de ofertas y presupuestos</t>
  </si>
  <si>
    <t>Laura Cristina Castaño Guzmán</t>
  </si>
  <si>
    <t>COTIZACION DEL ANÁLISIS DE SEGURIDAD HUMANA - HOSPITAL LA PAZ</t>
  </si>
  <si>
    <t>Ingeniero de Proyectos</t>
  </si>
  <si>
    <t>Administración Edificio 43 Avenida</t>
  </si>
  <si>
    <t>Andrés Gómez</t>
  </si>
  <si>
    <t>Analista de negociación y abastecimiento</t>
  </si>
  <si>
    <t>Fundación ACIC</t>
  </si>
  <si>
    <t>Directora</t>
  </si>
  <si>
    <t>Director comercial</t>
  </si>
  <si>
    <t>Profesional diseño construcción virtual</t>
  </si>
  <si>
    <t xml:space="preserve">Jefe de diseños técnicos </t>
  </si>
  <si>
    <t>Directora de Interventoría</t>
  </si>
  <si>
    <t>Coordinación Técnica</t>
  </si>
  <si>
    <t>Representante legal</t>
  </si>
  <si>
    <t>Projec Director</t>
  </si>
  <si>
    <t>Director de Proyectos</t>
  </si>
  <si>
    <t>Director De Estudios Y Diseños</t>
  </si>
  <si>
    <t>Coordinador BIM</t>
  </si>
  <si>
    <t>Gerencia</t>
  </si>
  <si>
    <t>Arquitecto</t>
  </si>
  <si>
    <t>Coordinadora de obra</t>
  </si>
  <si>
    <t>Coordinador de infraestructura</t>
  </si>
  <si>
    <t>Asesor técnico PMO</t>
  </si>
  <si>
    <t>Ingeniero Sanitario</t>
  </si>
  <si>
    <t>Jefe de Ingeniería Biomédica y Mantenimiento</t>
  </si>
  <si>
    <t>Coordinadora de S.I – Planta Helados Medellín</t>
  </si>
  <si>
    <t>Coordinadora de Proyectos</t>
  </si>
  <si>
    <t>Claudia Marcela Ramírez Gómez</t>
  </si>
  <si>
    <t>Profesional Técnico</t>
  </si>
  <si>
    <t>Analista Técnico</t>
  </si>
  <si>
    <t>Coordinador de diseño de arquitectura</t>
  </si>
  <si>
    <t>Coordinadora de Diseño y Arquitectura</t>
  </si>
  <si>
    <t>Arquitecta Coordinadora</t>
  </si>
  <si>
    <t>Auxiliar administrativa ofertas y presupuestos</t>
  </si>
  <si>
    <t>Especialista comercial</t>
  </si>
  <si>
    <t>Directora Comercial</t>
  </si>
  <si>
    <t>Directora de Obra</t>
  </si>
  <si>
    <t>Analista de estructuración técnica y constructiva de proyectos</t>
  </si>
  <si>
    <t>Estructuración técnica Medellín</t>
  </si>
  <si>
    <t>Profesional Senior de Estructuración Técnica</t>
  </si>
  <si>
    <t>Analista de Estructuración técnica y constructiva de proyectos</t>
  </si>
  <si>
    <t>Coordinador de Proyectos</t>
  </si>
  <si>
    <t>Licitaciones</t>
  </si>
  <si>
    <t>Coordinadora BIM</t>
  </si>
  <si>
    <t xml:space="preserve">Subgerente diseños técnicos </t>
  </si>
  <si>
    <t>Director técnico</t>
  </si>
  <si>
    <t>Director de Mantenimiento</t>
  </si>
  <si>
    <t xml:space="preserve">Gerente Innovación y Desarrollo </t>
  </si>
  <si>
    <t>Gerente Innovación y Desarrollo </t>
  </si>
  <si>
    <t>Director Técnico</t>
  </si>
  <si>
    <t>Director comercial y de proyectos</t>
  </si>
  <si>
    <t>Delineante de Ingeniería</t>
  </si>
  <si>
    <t>Arquitecta</t>
  </si>
  <si>
    <t>COTIZACIÓN DE LOS DISEÑOS DE EXTINCIÓN DE INCENDIOS - ALMACÉN AYURÁ CENTER</t>
  </si>
  <si>
    <t>Directora de operaciones</t>
  </si>
  <si>
    <t>COTIZACIÓN DE LOS DISEÑOS DE EXTINCIÓN DE INCENDIOS - LOCAL PISO 8 AYURÁ CENTER</t>
  </si>
  <si>
    <t>COTIZACIÓN DE LOS DISEÑOS DE EXTINCIÓN DE INCENDIOS - D1 COLINA</t>
  </si>
  <si>
    <t>COTIZACION DE LOS DISEÑOS DE SEGURIDAD HUMANA Y PROTECCIÓN CONTRA INCENDIOS - CALLE PRIMAVERA</t>
  </si>
  <si>
    <t>Director Comercial</t>
  </si>
  <si>
    <t>Directora de Nuevos Negocios</t>
  </si>
  <si>
    <t>COTIZACION DE LOS DISEÑOS DE SEGURIDAD HUMANA Y PROTECCIÓN CONTRA INCENDIOS - ENTREVILLAS TORRE 6</t>
  </si>
  <si>
    <t>Construcciones e Inversiones Asociativas</t>
  </si>
  <si>
    <t>Andrea Alzate Rendón</t>
  </si>
  <si>
    <t>andrea.alzate.rendon@gmail.com</t>
  </si>
  <si>
    <t>314 6262793</t>
  </si>
  <si>
    <t>COTIZACION DE LOS DISEÑOS DE SEGURIDAD HUMANA Y PROTECCIÓN CONTRA INCENDIOS - LA AMÉRICA</t>
  </si>
  <si>
    <t>COTIZACION DE LOS DISEÑOS DE SEGURIDAD HUMANA Y PROTECCIÓN CONTRA INCENDIOS - PROYECTO CLÍNICA PASTO</t>
  </si>
  <si>
    <t>Usada en hotel Esencia Living</t>
  </si>
  <si>
    <t>Coordinadora de Interventoría</t>
  </si>
  <si>
    <t>COTIZACION DE LOS DISEÑOS DE SEGURIDAD HUMANA Y PROTECCIÓN CONTRA INCENDIOS - PROYECTO HOSPITAL FUNDACION SAN PEDRO</t>
  </si>
  <si>
    <t>COTIZACION DEL DISEÑO DE DETECCIÓN DE INCENDIOS - BODEGA BUGA</t>
  </si>
  <si>
    <t>Vanessa Nicholls</t>
  </si>
  <si>
    <t>Gerente</t>
  </si>
  <si>
    <t>316 6301193</t>
  </si>
  <si>
    <t>KAM Regional</t>
  </si>
  <si>
    <t>v.nicholls@condiseno.co</t>
  </si>
  <si>
    <t>COTIZACION DE LOS DISEÑOS DE SEGURIDAD HUMANA Y PROTECCIÓN CONTRA INCENDIOS - EPICUREAN</t>
  </si>
  <si>
    <t>COTIZACION DEL DISEÑO DE EXTINCIÓN DE INCENDIOS - 2 SKIDS</t>
  </si>
  <si>
    <t>Steven Ríos Marín</t>
  </si>
  <si>
    <t>Arquitecto diseñador</t>
  </si>
  <si>
    <t>stevenrios@convel.co</t>
  </si>
  <si>
    <t>COTIZACION DE LOS DISEÑOS DE SEGURIDAD HUMANA Y PROTECCIÓN CONTRA INCENDIOS - NAVITRANS BUCARAMANGA</t>
  </si>
  <si>
    <t>Andrés Escobar Betancur</t>
  </si>
  <si>
    <t>aescobar@conexoinmobiliario.com</t>
  </si>
  <si>
    <t>COTIZACION DE LOS DISEÑOS DE SEGURIDAD HUMANA Y PROTECCIÓN CONTRA INCENDIOS - PEDRO VELEZ</t>
  </si>
  <si>
    <t>Coordinador de costos y presupuestos</t>
  </si>
  <si>
    <t>COTIZACION DE LOS DISEÑOS DE SEGURIDAD HUMANA Y PROTECCIÓN CONTRA INCENDIOS - ANDRES VELEZ</t>
  </si>
  <si>
    <t>COTIZACION DEL DISEÑO DE EXTINCIÓN DE INCENDIOS - SAN DIEGO ETAPA 1</t>
  </si>
  <si>
    <t>Diana Yamile Betancur Colorado</t>
  </si>
  <si>
    <t>Coordinadora comercial</t>
  </si>
  <si>
    <t>COTIZACION DE LOS DISEÑOS DE PROTECCIÓN CONTRA INCENDIOS - PISO 3 ALURACK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</si>
</sst>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&quot;$&quot;\ * #,##0.00_);_(&quot;$&quot;\ * \(#,##0.00\);_(&quot;$&quot;\ * &quot;-&quot;??_);_(@_)"/>
    <numFmt numFmtId="165" formatCode="_(&quot;$&quot;\ * #,##0_);_(&quot;$&quot;\ * \(#,##0\);_(&quot;$&quot;\ * &quot;-&quot;??_);_(@_)"/>
    <numFmt numFmtId="166" formatCode="_-* #,##0.0_-;\-* #,##0.0_-;_-* &quot;-&quot;?_-;_-@_-"/>
    <numFmt numFmtId="167" formatCode="&quot;$&quot;\ #,##0.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b/>
      <sz val="28"/>
      <color theme="1"/>
      <name val="Cambria"/>
      <family val="1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theme="1"/>
      <name val="Cambria"/>
      <family val="1"/>
    </font>
    <font>
      <u/>
      <sz val="11"/>
      <color theme="10"/>
      <name val="Calibri"/>
      <family val="2"/>
      <scheme val="minor"/>
    </font>
    <font>
      <b/>
      <sz val="14"/>
      <color theme="1"/>
      <name val="Cambria"/>
      <family val="1"/>
    </font>
    <font>
      <sz val="8"/>
      <name val="Calibri"/>
      <family val="2"/>
      <scheme val="minor"/>
    </font>
    <font>
      <b/>
      <sz val="60"/>
      <color theme="1"/>
      <name val="Cambria"/>
      <family val="1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rgb="FF5E5E5E"/>
      <name val="Arial"/>
      <family val="2"/>
    </font>
    <font>
      <sz val="12"/>
      <color rgb="FF222222"/>
      <name val="Arial"/>
      <family val="2"/>
    </font>
    <font>
      <u/>
      <sz val="11"/>
      <color theme="10"/>
      <name val="Cambria"/>
      <family val="1"/>
    </font>
    <font>
      <u/>
      <sz val="11"/>
      <color theme="4" tint="-0.499984740745262"/>
      <name val="Calibri"/>
      <family val="2"/>
      <scheme val="minor"/>
    </font>
    <font>
      <u/>
      <sz val="11"/>
      <color theme="4" tint="-0.499984740745262"/>
      <name val="Cambria"/>
      <family val="1"/>
    </font>
    <font>
      <sz val="11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8" fillId="0" borderId="0" applyNumberForma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95">
    <xf numFmtId="0" fontId="0" fillId="0" borderId="0" xfId="0"/>
    <xf numFmtId="165" fontId="0" fillId="0" borderId="11" xfId="1" applyNumberFormat="1" applyFon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11" xfId="0" applyNumberFormat="1" applyBorder="1"/>
    <xf numFmtId="165" fontId="0" fillId="0" borderId="11" xfId="1" applyNumberFormat="1" applyFont="1" applyBorder="1"/>
    <xf numFmtId="165" fontId="0" fillId="0" borderId="11" xfId="1" applyNumberFormat="1" applyFont="1" applyBorder="1" applyAlignment="1">
      <alignment horizontal="center"/>
    </xf>
    <xf numFmtId="0" fontId="0" fillId="0" borderId="11" xfId="0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horizontal="left"/>
    </xf>
    <xf numFmtId="0" fontId="1" fillId="0" borderId="0" xfId="0" applyFont="1" applyAlignment="1">
      <alignment horizontal="left" vertical="center" wrapText="1"/>
    </xf>
    <xf numFmtId="165" fontId="0" fillId="0" borderId="11" xfId="1" applyNumberFormat="1" applyFont="1" applyBorder="1" applyAlignment="1">
      <alignment horizontal="left" vertical="center"/>
    </xf>
    <xf numFmtId="14" fontId="0" fillId="0" borderId="11" xfId="0" applyNumberFormat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14" fontId="0" fillId="0" borderId="11" xfId="0" applyNumberFormat="1" applyBorder="1" applyAlignment="1">
      <alignment horizontal="left"/>
    </xf>
    <xf numFmtId="165" fontId="0" fillId="0" borderId="11" xfId="1" applyNumberFormat="1" applyFont="1" applyBorder="1" applyAlignment="1">
      <alignment horizontal="left"/>
    </xf>
    <xf numFmtId="165" fontId="0" fillId="0" borderId="0" xfId="1" applyNumberFormat="1" applyFont="1" applyAlignment="1">
      <alignment horizontal="left"/>
    </xf>
    <xf numFmtId="165" fontId="0" fillId="0" borderId="0" xfId="0" applyNumberFormat="1" applyAlignment="1">
      <alignment horizontal="left"/>
    </xf>
    <xf numFmtId="0" fontId="8" fillId="0" borderId="0" xfId="2" applyAlignment="1">
      <alignment horizontal="left"/>
    </xf>
    <xf numFmtId="165" fontId="0" fillId="0" borderId="11" xfId="1" applyNumberFormat="1" applyFont="1" applyFill="1" applyBorder="1" applyAlignment="1">
      <alignment horizontal="left" vertical="center"/>
    </xf>
    <xf numFmtId="165" fontId="0" fillId="2" borderId="11" xfId="1" applyNumberFormat="1" applyFont="1" applyFill="1" applyBorder="1" applyAlignment="1">
      <alignment horizontal="left" vertical="center"/>
    </xf>
    <xf numFmtId="14" fontId="0" fillId="2" borderId="11" xfId="0" applyNumberForma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2" borderId="0" xfId="0" applyFill="1" applyAlignment="1">
      <alignment horizontal="left"/>
    </xf>
    <xf numFmtId="0" fontId="0" fillId="4" borderId="11" xfId="0" applyFill="1" applyBorder="1" applyAlignment="1">
      <alignment horizontal="left"/>
    </xf>
    <xf numFmtId="0" fontId="0" fillId="4" borderId="0" xfId="0" applyFill="1" applyAlignment="1">
      <alignment horizontal="left"/>
    </xf>
    <xf numFmtId="165" fontId="0" fillId="4" borderId="11" xfId="1" applyNumberFormat="1" applyFont="1" applyFill="1" applyBorder="1" applyAlignment="1">
      <alignment horizontal="left" vertical="center"/>
    </xf>
    <xf numFmtId="14" fontId="0" fillId="4" borderId="11" xfId="0" applyNumberFormat="1" applyFill="1" applyBorder="1" applyAlignment="1">
      <alignment horizontal="left" vertical="center"/>
    </xf>
    <xf numFmtId="14" fontId="0" fillId="4" borderId="11" xfId="0" applyNumberFormat="1" applyFill="1" applyBorder="1" applyAlignment="1">
      <alignment horizontal="left"/>
    </xf>
    <xf numFmtId="0" fontId="0" fillId="0" borderId="0" xfId="0" applyAlignment="1">
      <alignment horizontal="center"/>
    </xf>
    <xf numFmtId="0" fontId="0" fillId="2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7" fontId="0" fillId="0" borderId="11" xfId="0" applyNumberFormat="1" applyBorder="1" applyAlignment="1">
      <alignment horizontal="center" vertical="center"/>
    </xf>
    <xf numFmtId="17" fontId="0" fillId="2" borderId="11" xfId="0" applyNumberForma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8" fillId="0" borderId="11" xfId="2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14" fontId="0" fillId="0" borderId="11" xfId="0" applyNumberFormat="1" applyBorder="1" applyAlignment="1">
      <alignment horizontal="center"/>
    </xf>
    <xf numFmtId="14" fontId="0" fillId="4" borderId="11" xfId="0" applyNumberFormat="1" applyFill="1" applyBorder="1" applyAlignment="1">
      <alignment horizontal="center" vertical="center"/>
    </xf>
    <xf numFmtId="14" fontId="0" fillId="2" borderId="11" xfId="0" applyNumberFormat="1" applyFill="1" applyBorder="1" applyAlignment="1">
      <alignment horizontal="center" vertical="center"/>
    </xf>
    <xf numFmtId="165" fontId="0" fillId="0" borderId="11" xfId="1" applyNumberFormat="1" applyFont="1" applyFill="1" applyBorder="1" applyAlignment="1">
      <alignment horizontal="center" vertical="center"/>
    </xf>
    <xf numFmtId="165" fontId="0" fillId="4" borderId="11" xfId="1" applyNumberFormat="1" applyFont="1" applyFill="1" applyBorder="1" applyAlignment="1">
      <alignment horizontal="center" vertical="center"/>
    </xf>
    <xf numFmtId="165" fontId="0" fillId="2" borderId="11" xfId="1" applyNumberFormat="1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8" fillId="0" borderId="11" xfId="2" applyFill="1" applyBorder="1" applyAlignment="1">
      <alignment horizontal="center"/>
    </xf>
    <xf numFmtId="165" fontId="0" fillId="0" borderId="11" xfId="1" applyNumberFormat="1" applyFont="1" applyFill="1" applyBorder="1" applyAlignment="1">
      <alignment horizontal="center"/>
    </xf>
    <xf numFmtId="0" fontId="8" fillId="0" borderId="0" xfId="2" applyAlignment="1">
      <alignment horizontal="center"/>
    </xf>
    <xf numFmtId="165" fontId="8" fillId="0" borderId="11" xfId="2" applyNumberFormat="1" applyFill="1" applyBorder="1" applyAlignment="1">
      <alignment horizontal="center"/>
    </xf>
    <xf numFmtId="165" fontId="0" fillId="0" borderId="31" xfId="1" applyNumberFormat="1" applyFont="1" applyFill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4" borderId="11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2" borderId="11" xfId="0" applyFill="1" applyBorder="1" applyAlignment="1">
      <alignment horizontal="left"/>
    </xf>
    <xf numFmtId="0" fontId="0" fillId="0" borderId="11" xfId="0" applyBorder="1" applyAlignment="1">
      <alignment horizontal="left"/>
    </xf>
    <xf numFmtId="0" fontId="8" fillId="0" borderId="11" xfId="2" applyFill="1" applyBorder="1" applyAlignment="1">
      <alignment horizontal="center" vertical="center"/>
    </xf>
    <xf numFmtId="0" fontId="8" fillId="0" borderId="0" xfId="2"/>
    <xf numFmtId="0" fontId="0" fillId="0" borderId="3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166" fontId="0" fillId="0" borderId="0" xfId="0" applyNumberFormat="1" applyAlignment="1">
      <alignment horizontal="left"/>
    </xf>
    <xf numFmtId="0" fontId="3" fillId="0" borderId="11" xfId="2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165" fontId="0" fillId="5" borderId="11" xfId="1" applyNumberFormat="1" applyFont="1" applyFill="1" applyBorder="1" applyAlignment="1">
      <alignment horizontal="center" vertical="center"/>
    </xf>
    <xf numFmtId="0" fontId="0" fillId="5" borderId="11" xfId="0" applyFill="1" applyBorder="1" applyAlignment="1">
      <alignment horizontal="left" vertical="center"/>
    </xf>
    <xf numFmtId="0" fontId="8" fillId="0" borderId="11" xfId="2" applyBorder="1" applyAlignment="1">
      <alignment horizontal="center" wrapText="1"/>
    </xf>
    <xf numFmtId="0" fontId="8" fillId="0" borderId="0" xfId="2" applyAlignment="1">
      <alignment horizontal="left" vertical="center"/>
    </xf>
    <xf numFmtId="0" fontId="12" fillId="0" borderId="0" xfId="0" applyFont="1"/>
    <xf numFmtId="0" fontId="7" fillId="0" borderId="0" xfId="0" applyFont="1" applyAlignment="1">
      <alignment horizontal="center" vertical="center"/>
    </xf>
    <xf numFmtId="0" fontId="0" fillId="0" borderId="31" xfId="0" applyBorder="1" applyAlignment="1">
      <alignment horizontal="left" vertical="center"/>
    </xf>
    <xf numFmtId="0" fontId="8" fillId="0" borderId="0" xfId="2" applyAlignment="1">
      <alignment horizontal="center" vertical="center"/>
    </xf>
    <xf numFmtId="0" fontId="3" fillId="0" borderId="11" xfId="2" applyFont="1" applyFill="1" applyBorder="1" applyAlignment="1">
      <alignment horizontal="center" vertical="center"/>
    </xf>
    <xf numFmtId="0" fontId="8" fillId="0" borderId="11" xfId="2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8" fillId="0" borderId="0" xfId="2" applyAlignment="1">
      <alignment vertical="center"/>
    </xf>
    <xf numFmtId="0" fontId="8" fillId="0" borderId="11" xfId="2" applyBorder="1" applyAlignment="1">
      <alignment horizontal="center" vertical="center" wrapText="1"/>
    </xf>
    <xf numFmtId="0" fontId="8" fillId="0" borderId="11" xfId="2" applyFill="1" applyBorder="1" applyAlignment="1">
      <alignment horizontal="center" wrapText="1"/>
    </xf>
    <xf numFmtId="0" fontId="8" fillId="0" borderId="0" xfId="2" applyFill="1" applyAlignment="1">
      <alignment horizontal="left" vertical="center"/>
    </xf>
    <xf numFmtId="0" fontId="8" fillId="0" borderId="0" xfId="2" applyFill="1"/>
    <xf numFmtId="0" fontId="8" fillId="0" borderId="0" xfId="2" applyFill="1" applyAlignment="1">
      <alignment horizontal="center" vertical="center"/>
    </xf>
    <xf numFmtId="0" fontId="8" fillId="0" borderId="0" xfId="2" applyFill="1" applyAlignment="1">
      <alignment horizontal="center"/>
    </xf>
    <xf numFmtId="0" fontId="0" fillId="0" borderId="31" xfId="0" applyBorder="1" applyAlignment="1">
      <alignment horizontal="center" vertical="center"/>
    </xf>
    <xf numFmtId="164" fontId="0" fillId="0" borderId="0" xfId="1" applyFont="1"/>
    <xf numFmtId="0" fontId="13" fillId="0" borderId="0" xfId="0" applyFont="1" applyAlignment="1">
      <alignment horizontal="center"/>
    </xf>
    <xf numFmtId="16" fontId="13" fillId="0" borderId="0" xfId="0" applyNumberFormat="1" applyFont="1"/>
    <xf numFmtId="9" fontId="0" fillId="0" borderId="0" xfId="3" applyFont="1"/>
    <xf numFmtId="0" fontId="8" fillId="0" borderId="11" xfId="2" applyBorder="1"/>
    <xf numFmtId="0" fontId="8" fillId="0" borderId="11" xfId="2" applyFill="1" applyBorder="1"/>
    <xf numFmtId="0" fontId="14" fillId="0" borderId="0" xfId="0" applyFont="1" applyAlignment="1">
      <alignment horizontal="center"/>
    </xf>
    <xf numFmtId="14" fontId="0" fillId="5" borderId="11" xfId="0" applyNumberFormat="1" applyFill="1" applyBorder="1" applyAlignment="1">
      <alignment horizontal="center" vertical="center"/>
    </xf>
    <xf numFmtId="0" fontId="8" fillId="5" borderId="11" xfId="2" applyFill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8" fillId="0" borderId="32" xfId="2" applyFill="1" applyBorder="1" applyAlignment="1">
      <alignment horizontal="center"/>
    </xf>
    <xf numFmtId="0" fontId="7" fillId="0" borderId="24" xfId="0" applyFont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8" fillId="0" borderId="11" xfId="2" applyFill="1" applyBorder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65" fontId="7" fillId="0" borderId="11" xfId="1" applyNumberFormat="1" applyFont="1" applyFill="1" applyBorder="1" applyAlignment="1">
      <alignment horizontal="center" vertical="center"/>
    </xf>
    <xf numFmtId="14" fontId="7" fillId="0" borderId="11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16" fillId="0" borderId="11" xfId="2" applyFont="1" applyBorder="1" applyAlignment="1">
      <alignment horizontal="center" vertical="center"/>
    </xf>
    <xf numFmtId="0" fontId="16" fillId="0" borderId="11" xfId="2" applyFont="1" applyFill="1" applyBorder="1" applyAlignment="1">
      <alignment horizontal="center"/>
    </xf>
    <xf numFmtId="0" fontId="16" fillId="0" borderId="11" xfId="2" applyFont="1" applyBorder="1" applyAlignment="1">
      <alignment horizontal="center"/>
    </xf>
    <xf numFmtId="0" fontId="17" fillId="0" borderId="11" xfId="2" applyFont="1" applyBorder="1" applyAlignment="1">
      <alignment horizontal="center"/>
    </xf>
    <xf numFmtId="0" fontId="18" fillId="0" borderId="11" xfId="2" applyFont="1" applyBorder="1" applyAlignment="1">
      <alignment horizontal="center"/>
    </xf>
    <xf numFmtId="0" fontId="1" fillId="0" borderId="2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top" wrapText="1"/>
    </xf>
    <xf numFmtId="43" fontId="7" fillId="0" borderId="11" xfId="4" applyFont="1" applyFill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165" fontId="7" fillId="5" borderId="11" xfId="1" applyNumberFormat="1" applyFont="1" applyFill="1" applyBorder="1" applyAlignment="1">
      <alignment horizontal="center" vertical="center"/>
    </xf>
    <xf numFmtId="14" fontId="7" fillId="5" borderId="11" xfId="0" applyNumberFormat="1" applyFont="1" applyFill="1" applyBorder="1" applyAlignment="1">
      <alignment horizontal="center" vertical="center"/>
    </xf>
    <xf numFmtId="0" fontId="16" fillId="5" borderId="11" xfId="2" applyFont="1" applyFill="1" applyBorder="1" applyAlignment="1">
      <alignment horizontal="center"/>
    </xf>
    <xf numFmtId="165" fontId="7" fillId="0" borderId="31" xfId="1" applyNumberFormat="1" applyFont="1" applyFill="1" applyBorder="1" applyAlignment="1">
      <alignment horizontal="center" vertical="center"/>
    </xf>
    <xf numFmtId="9" fontId="0" fillId="0" borderId="0" xfId="0" applyNumberFormat="1"/>
    <xf numFmtId="167" fontId="0" fillId="0" borderId="0" xfId="0" applyNumberFormat="1"/>
    <xf numFmtId="0" fontId="0" fillId="0" borderId="11" xfId="0" applyBorder="1" applyAlignment="1">
      <alignment wrapText="1"/>
    </xf>
    <xf numFmtId="167" fontId="0" fillId="0" borderId="11" xfId="0" applyNumberFormat="1" applyBorder="1"/>
    <xf numFmtId="0" fontId="7" fillId="8" borderId="0" xfId="0" applyFont="1" applyFill="1"/>
    <xf numFmtId="0" fontId="7" fillId="8" borderId="11" xfId="0" applyFont="1" applyFill="1" applyBorder="1" applyAlignment="1">
      <alignment horizontal="center" vertical="center"/>
    </xf>
    <xf numFmtId="165" fontId="7" fillId="8" borderId="11" xfId="1" applyNumberFormat="1" applyFont="1" applyFill="1" applyBorder="1" applyAlignment="1">
      <alignment horizontal="center" vertical="center"/>
    </xf>
    <xf numFmtId="14" fontId="7" fillId="8" borderId="11" xfId="0" applyNumberFormat="1" applyFont="1" applyFill="1" applyBorder="1" applyAlignment="1">
      <alignment horizontal="center" vertical="center"/>
    </xf>
    <xf numFmtId="0" fontId="16" fillId="8" borderId="11" xfId="2" applyFont="1" applyFill="1" applyBorder="1" applyAlignment="1">
      <alignment horizontal="center"/>
    </xf>
    <xf numFmtId="0" fontId="0" fillId="8" borderId="0" xfId="0" applyFill="1"/>
    <xf numFmtId="0" fontId="8" fillId="8" borderId="11" xfId="2" applyFill="1" applyBorder="1" applyAlignment="1">
      <alignment horizontal="center"/>
    </xf>
    <xf numFmtId="0" fontId="0" fillId="8" borderId="11" xfId="0" applyFill="1" applyBorder="1" applyAlignment="1">
      <alignment horizontal="center" vertical="center"/>
    </xf>
    <xf numFmtId="0" fontId="7" fillId="8" borderId="31" xfId="0" applyFont="1" applyFill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8" borderId="11" xfId="0" applyFill="1" applyBorder="1"/>
    <xf numFmtId="0" fontId="19" fillId="0" borderId="0" xfId="0" applyFont="1"/>
    <xf numFmtId="0" fontId="19" fillId="0" borderId="11" xfId="0" applyFont="1" applyBorder="1" applyAlignment="1">
      <alignment horizontal="center" vertical="center"/>
    </xf>
    <xf numFmtId="165" fontId="19" fillId="0" borderId="11" xfId="1" applyNumberFormat="1" applyFont="1" applyFill="1" applyBorder="1" applyAlignment="1">
      <alignment horizontal="center" vertical="center"/>
    </xf>
    <xf numFmtId="14" fontId="19" fillId="0" borderId="11" xfId="0" applyNumberFormat="1" applyFont="1" applyBorder="1" applyAlignment="1">
      <alignment horizontal="center" vertical="center"/>
    </xf>
    <xf numFmtId="0" fontId="6" fillId="0" borderId="0" xfId="0" applyFont="1"/>
    <xf numFmtId="0" fontId="7" fillId="0" borderId="11" xfId="0" applyFont="1" applyBorder="1" applyAlignment="1">
      <alignment horizontal="center" wrapText="1"/>
    </xf>
    <xf numFmtId="0" fontId="18" fillId="0" borderId="11" xfId="2" applyFont="1" applyFill="1" applyBorder="1" applyAlignment="1">
      <alignment horizontal="center"/>
    </xf>
    <xf numFmtId="3" fontId="7" fillId="0" borderId="11" xfId="0" applyNumberFormat="1" applyFont="1" applyBorder="1" applyAlignment="1">
      <alignment horizontal="center" vertical="center"/>
    </xf>
    <xf numFmtId="0" fontId="16" fillId="0" borderId="11" xfId="2" applyFont="1" applyFill="1" applyBorder="1" applyAlignment="1">
      <alignment horizontal="center" wrapText="1"/>
    </xf>
    <xf numFmtId="165" fontId="7" fillId="0" borderId="11" xfId="1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11" fillId="0" borderId="1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19" fillId="0" borderId="24" xfId="0" applyFont="1" applyBorder="1" applyAlignment="1">
      <alignment horizontal="left" vertical="center" wrapText="1"/>
    </xf>
    <xf numFmtId="0" fontId="19" fillId="0" borderId="28" xfId="0" applyFont="1" applyBorder="1" applyAlignment="1">
      <alignment horizontal="left" vertical="center" wrapText="1"/>
    </xf>
    <xf numFmtId="0" fontId="19" fillId="0" borderId="25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4" borderId="11" xfId="0" applyFill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1" fillId="0" borderId="7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/>
    </xf>
    <xf numFmtId="0" fontId="0" fillId="0" borderId="24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2" borderId="11" xfId="0" applyFill="1" applyBorder="1" applyAlignment="1">
      <alignment horizontal="left"/>
    </xf>
    <xf numFmtId="0" fontId="6" fillId="0" borderId="1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11" xfId="0" applyBorder="1" applyAlignment="1">
      <alignment horizontal="left"/>
    </xf>
    <xf numFmtId="0" fontId="9" fillId="0" borderId="15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0" fillId="0" borderId="11" xfId="0" applyBorder="1" applyAlignment="1">
      <alignment horizontal="left" vertical="top" wrapText="1"/>
    </xf>
    <xf numFmtId="0" fontId="0" fillId="0" borderId="11" xfId="0" applyBorder="1" applyAlignment="1">
      <alignment horizontal="left" vertical="top"/>
    </xf>
    <xf numFmtId="0" fontId="0" fillId="0" borderId="11" xfId="0" applyBorder="1" applyAlignment="1">
      <alignment vertical="top" wrapText="1"/>
    </xf>
    <xf numFmtId="0" fontId="0" fillId="0" borderId="11" xfId="0" applyBorder="1" applyAlignment="1">
      <alignment vertical="top"/>
    </xf>
    <xf numFmtId="0" fontId="0" fillId="7" borderId="11" xfId="0" applyFill="1" applyBorder="1" applyAlignment="1">
      <alignment horizontal="left" vertical="center"/>
    </xf>
    <xf numFmtId="0" fontId="0" fillId="0" borderId="11" xfId="0" applyBorder="1" applyAlignment="1">
      <alignment horizontal="left" wrapText="1"/>
    </xf>
    <xf numFmtId="0" fontId="6" fillId="0" borderId="11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/>
    </xf>
    <xf numFmtId="0" fontId="0" fillId="5" borderId="11" xfId="0" applyFill="1" applyBorder="1" applyAlignment="1">
      <alignment horizontal="left" vertical="center"/>
    </xf>
    <xf numFmtId="0" fontId="0" fillId="0" borderId="24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8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7" fillId="0" borderId="11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/>
    </xf>
    <xf numFmtId="0" fontId="7" fillId="5" borderId="11" xfId="0" applyFont="1" applyFill="1" applyBorder="1" applyAlignment="1">
      <alignment horizontal="left" vertical="center"/>
    </xf>
    <xf numFmtId="0" fontId="7" fillId="8" borderId="11" xfId="0" applyFont="1" applyFill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 wrapText="1"/>
    </xf>
    <xf numFmtId="0" fontId="13" fillId="0" borderId="0" xfId="0" applyFont="1" applyAlignment="1">
      <alignment horizontal="center"/>
    </xf>
  </cellXfs>
  <cellStyles count="5">
    <cellStyle name="Hipervínculo" xfId="2" builtinId="8"/>
    <cellStyle name="Millares" xfId="4" builtinId="3"/>
    <cellStyle name="Moneda" xfId="1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9525</xdr:rowOff>
    </xdr:from>
    <xdr:to>
      <xdr:col>3</xdr:col>
      <xdr:colOff>561975</xdr:colOff>
      <xdr:row>8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" y="209550"/>
          <a:ext cx="1895475" cy="1495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9525</xdr:rowOff>
    </xdr:from>
    <xdr:to>
      <xdr:col>3</xdr:col>
      <xdr:colOff>561975</xdr:colOff>
      <xdr:row>8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" y="209550"/>
          <a:ext cx="1895475" cy="14954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9525</xdr:rowOff>
    </xdr:from>
    <xdr:to>
      <xdr:col>3</xdr:col>
      <xdr:colOff>567690</xdr:colOff>
      <xdr:row>8</xdr:row>
      <xdr:rowOff>186690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74E7E26-1E64-4129-B02B-C8A0C3CB9AE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295" y="200025"/>
          <a:ext cx="1950720" cy="14954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9525</xdr:rowOff>
    </xdr:from>
    <xdr:to>
      <xdr:col>3</xdr:col>
      <xdr:colOff>339090</xdr:colOff>
      <xdr:row>8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A07C48-80D9-4F18-A8FF-0ADE51304BC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295" y="200025"/>
          <a:ext cx="1716405" cy="15144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220</xdr:row>
      <xdr:rowOff>0</xdr:rowOff>
    </xdr:from>
    <xdr:to>
      <xdr:col>10</xdr:col>
      <xdr:colOff>304800</xdr:colOff>
      <xdr:row>221</xdr:row>
      <xdr:rowOff>114300</xdr:rowOff>
    </xdr:to>
    <xdr:sp macro="" textlink="">
      <xdr:nvSpPr>
        <xdr:cNvPr id="4105" name="AutoShape 9" descr="Firma Socoda">
          <a:extLst>
            <a:ext uri="{FF2B5EF4-FFF2-40B4-BE49-F238E27FC236}">
              <a16:creationId xmlns:a16="http://schemas.microsoft.com/office/drawing/2014/main" id="{ABD76DF2-A8B5-4AFF-BC65-528E16B451CF}"/>
            </a:ext>
          </a:extLst>
        </xdr:cNvPr>
        <xdr:cNvSpPr>
          <a:spLocks noChangeAspect="1" noChangeArrowheads="1"/>
        </xdr:cNvSpPr>
      </xdr:nvSpPr>
      <xdr:spPr bwMode="auto">
        <a:xfrm>
          <a:off x="8020050" y="418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2</xdr:row>
      <xdr:rowOff>38100</xdr:rowOff>
    </xdr:from>
    <xdr:to>
      <xdr:col>3</xdr:col>
      <xdr:colOff>419100</xdr:colOff>
      <xdr:row>9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CCB7073-A457-4C51-A6AF-9BB33AEED47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428625"/>
          <a:ext cx="1605915" cy="144399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221</xdr:row>
      <xdr:rowOff>0</xdr:rowOff>
    </xdr:from>
    <xdr:to>
      <xdr:col>10</xdr:col>
      <xdr:colOff>304800</xdr:colOff>
      <xdr:row>222</xdr:row>
      <xdr:rowOff>114300</xdr:rowOff>
    </xdr:to>
    <xdr:sp macro="" textlink="">
      <xdr:nvSpPr>
        <xdr:cNvPr id="3" name="AutoShape 9" descr="Firma Socoda">
          <a:extLst>
            <a:ext uri="{FF2B5EF4-FFF2-40B4-BE49-F238E27FC236}">
              <a16:creationId xmlns:a16="http://schemas.microsoft.com/office/drawing/2014/main" id="{2CB7FFEF-058E-4773-BA94-2027F0983F31}"/>
            </a:ext>
          </a:extLst>
        </xdr:cNvPr>
        <xdr:cNvSpPr>
          <a:spLocks noChangeAspect="1" noChangeArrowheads="1"/>
        </xdr:cNvSpPr>
      </xdr:nvSpPr>
      <xdr:spPr bwMode="auto">
        <a:xfrm>
          <a:off x="7981950" y="418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2</xdr:row>
      <xdr:rowOff>38100</xdr:rowOff>
    </xdr:from>
    <xdr:to>
      <xdr:col>3</xdr:col>
      <xdr:colOff>415290</xdr:colOff>
      <xdr:row>9</xdr:row>
      <xdr:rowOff>148590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3BF3352-11A0-471B-8C8E-682E2A2D71F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428625"/>
          <a:ext cx="1624965" cy="144399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221</xdr:row>
      <xdr:rowOff>0</xdr:rowOff>
    </xdr:from>
    <xdr:to>
      <xdr:col>10</xdr:col>
      <xdr:colOff>304800</xdr:colOff>
      <xdr:row>222</xdr:row>
      <xdr:rowOff>114301</xdr:rowOff>
    </xdr:to>
    <xdr:sp macro="" textlink="">
      <xdr:nvSpPr>
        <xdr:cNvPr id="3" name="AutoShape 9" descr="Firma Socoda">
          <a:extLst>
            <a:ext uri="{FF2B5EF4-FFF2-40B4-BE49-F238E27FC236}">
              <a16:creationId xmlns:a16="http://schemas.microsoft.com/office/drawing/2014/main" id="{633579E1-565D-455E-9A86-904E3B55C9F4}"/>
            </a:ext>
          </a:extLst>
        </xdr:cNvPr>
        <xdr:cNvSpPr>
          <a:spLocks noChangeAspect="1" noChangeArrowheads="1"/>
        </xdr:cNvSpPr>
      </xdr:nvSpPr>
      <xdr:spPr bwMode="auto">
        <a:xfrm>
          <a:off x="8810625" y="4251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10</xdr:col>
      <xdr:colOff>0</xdr:colOff>
      <xdr:row>231</xdr:row>
      <xdr:rowOff>0</xdr:rowOff>
    </xdr:from>
    <xdr:ext cx="304800" cy="304800"/>
    <xdr:sp macro="" textlink="">
      <xdr:nvSpPr>
        <xdr:cNvPr id="4" name="AutoShape 9" descr="Firma Socoda">
          <a:extLst>
            <a:ext uri="{FF2B5EF4-FFF2-40B4-BE49-F238E27FC236}">
              <a16:creationId xmlns:a16="http://schemas.microsoft.com/office/drawing/2014/main" id="{8072E3CB-906D-4547-B19B-36043A63CFF0}"/>
            </a:ext>
          </a:extLst>
        </xdr:cNvPr>
        <xdr:cNvSpPr>
          <a:spLocks noChangeAspect="1" noChangeArrowheads="1"/>
        </xdr:cNvSpPr>
      </xdr:nvSpPr>
      <xdr:spPr bwMode="auto">
        <a:xfrm>
          <a:off x="10365441" y="425151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2</xdr:row>
      <xdr:rowOff>38100</xdr:rowOff>
    </xdr:from>
    <xdr:to>
      <xdr:col>3</xdr:col>
      <xdr:colOff>420052</xdr:colOff>
      <xdr:row>9</xdr:row>
      <xdr:rowOff>153352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4DED86F-96E9-4FB3-AD64-E678EDAF99C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428625"/>
          <a:ext cx="1624965" cy="144399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222</xdr:row>
      <xdr:rowOff>0</xdr:rowOff>
    </xdr:from>
    <xdr:to>
      <xdr:col>10</xdr:col>
      <xdr:colOff>304800</xdr:colOff>
      <xdr:row>223</xdr:row>
      <xdr:rowOff>114300</xdr:rowOff>
    </xdr:to>
    <xdr:sp macro="" textlink="">
      <xdr:nvSpPr>
        <xdr:cNvPr id="3" name="AutoShape 9" descr="Firma Socoda">
          <a:extLst>
            <a:ext uri="{FF2B5EF4-FFF2-40B4-BE49-F238E27FC236}">
              <a16:creationId xmlns:a16="http://schemas.microsoft.com/office/drawing/2014/main" id="{D64B9D35-71C7-4AE2-A138-9A680BCE3595}"/>
            </a:ext>
          </a:extLst>
        </xdr:cNvPr>
        <xdr:cNvSpPr>
          <a:spLocks noChangeAspect="1" noChangeArrowheads="1"/>
        </xdr:cNvSpPr>
      </xdr:nvSpPr>
      <xdr:spPr bwMode="auto">
        <a:xfrm>
          <a:off x="10629900" y="4251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10</xdr:col>
      <xdr:colOff>0</xdr:colOff>
      <xdr:row>232</xdr:row>
      <xdr:rowOff>0</xdr:rowOff>
    </xdr:from>
    <xdr:ext cx="304800" cy="304800"/>
    <xdr:sp macro="" textlink="">
      <xdr:nvSpPr>
        <xdr:cNvPr id="4" name="AutoShape 9" descr="Firma Socoda">
          <a:extLst>
            <a:ext uri="{FF2B5EF4-FFF2-40B4-BE49-F238E27FC236}">
              <a16:creationId xmlns:a16="http://schemas.microsoft.com/office/drawing/2014/main" id="{FCC2E0AC-0BFD-4343-8CA6-18D26FF72E79}"/>
            </a:ext>
          </a:extLst>
        </xdr:cNvPr>
        <xdr:cNvSpPr>
          <a:spLocks noChangeAspect="1" noChangeArrowheads="1"/>
        </xdr:cNvSpPr>
      </xdr:nvSpPr>
      <xdr:spPr bwMode="auto">
        <a:xfrm>
          <a:off x="10629900" y="4441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57151</xdr:rowOff>
    </xdr:from>
    <xdr:to>
      <xdr:col>2</xdr:col>
      <xdr:colOff>876300</xdr:colOff>
      <xdr:row>8</xdr:row>
      <xdr:rowOff>152401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9FFB575-828C-48C9-9198-922EB3E3242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57176"/>
          <a:ext cx="1628775" cy="14192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57151</xdr:rowOff>
    </xdr:from>
    <xdr:to>
      <xdr:col>2</xdr:col>
      <xdr:colOff>876300</xdr:colOff>
      <xdr:row>8</xdr:row>
      <xdr:rowOff>152401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62E471F-4E5E-4CF0-B20A-565FAA045CA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57176"/>
          <a:ext cx="1638300" cy="14287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83" dT="2020-10-08T13:46:21.43" personId="{00000000-0000-0000-0000-000000000000}" id="{5DF7D630-66A4-4427-833D-1CB5AAA68328}">
    <text>Aprobaron solo la seguridad humana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30" dT="2021-01-29T23:41:06.58" personId="{00000000-0000-0000-0000-000000000000}" id="{CB3F6B52-8B45-4238-8915-C4957843A416}">
    <text>VALOR EN DÓLARES</text>
  </threadedComment>
  <threadedComment ref="M57" dT="2021-03-01T12:32:13.97" personId="{00000000-0000-0000-0000-000000000000}" id="{5C96A839-D0B3-49A4-BA09-6CA9C5C97A51}">
    <text>Solo aprobaron SH</text>
  </threadedComment>
  <threadedComment ref="K139" dT="2021-01-29T23:41:06.58" personId="{00000000-0000-0000-0000-000000000000}" id="{CB3F6B52-8B45-4239-8915-C4957843A416}">
    <text>VALOR EN DÓLARES</text>
  </threadedComment>
  <threadedComment ref="K161" dT="2021-04-19T23:09:40.80" personId="{00000000-0000-0000-0000-000000000000}" id="{9774DA0D-474F-4318-A057-5E39F512EEF3}">
    <text>valor por cada visita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K503" dT="2024-10-11T00:00:07.98" personId="{00000000-0000-0000-0000-000000000000}" id="{FE857DB4-9BF8-45F7-B0F8-F8FDC5FC3280}">
    <text>Dólares</text>
  </threadedComment>
  <threadedComment ref="K512" dT="2024-10-13T20:39:27.94" personId="{00000000-0000-0000-0000-000000000000}" id="{48AD2E01-1971-49AA-BF41-68B1930E27C2}">
    <text>Valor hora</text>
  </threadedComment>
  <threadedComment ref="K569" dT="2024-11-13T22:40:34.05" personId="{00000000-0000-0000-0000-000000000000}" id="{1DA55093-C9FB-45B7-AA3A-3210F27B51DE}">
    <text>Valor en dólares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J78" dT="2025-02-19T12:17:57.52" personId="{00000000-0000-0000-0000-000000000000}" id="{C724CF9E-676F-47C0-BDD4-AF6E78689753}">
    <text>Valor en dólares</text>
  </threadedComment>
  <threadedComment ref="J219" dT="2025-05-02T15:30:02.51" personId="{00000000-0000-0000-0000-000000000000}" id="{F04AFF85-9739-44C1-955B-5015F3647550}">
    <text>Valor en dolares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dirproyectos@securetec.com.co" TargetMode="External"/><Relationship Id="rId21" Type="http://schemas.openxmlformats.org/officeDocument/2006/relationships/hyperlink" Target="mailto:juan.grajales@spci.com.co" TargetMode="External"/><Relationship Id="rId42" Type="http://schemas.openxmlformats.org/officeDocument/2006/relationships/hyperlink" Target="mailto:arquitectura@grupoterrarea.com" TargetMode="External"/><Relationship Id="rId63" Type="http://schemas.openxmlformats.org/officeDocument/2006/relationships/hyperlink" Target="mailto:proyectos1spci@gmail.com" TargetMode="External"/><Relationship Id="rId84" Type="http://schemas.openxmlformats.org/officeDocument/2006/relationships/hyperlink" Target="mailto:juan.londono@serviciosipm.com" TargetMode="External"/><Relationship Id="rId138" Type="http://schemas.openxmlformats.org/officeDocument/2006/relationships/hyperlink" Target="mailto:jtriana@conconcreto.com" TargetMode="External"/><Relationship Id="rId159" Type="http://schemas.openxmlformats.org/officeDocument/2006/relationships/hyperlink" Target="mailto:lineamientosciviles@gmail.com" TargetMode="External"/><Relationship Id="rId170" Type="http://schemas.openxmlformats.org/officeDocument/2006/relationships/hyperlink" Target="mailto:joseestrada@casasana.com.co" TargetMode="External"/><Relationship Id="rId191" Type="http://schemas.openxmlformats.org/officeDocument/2006/relationships/hyperlink" Target="mailto:johana.montoya@perfek.com.co" TargetMode="External"/><Relationship Id="rId205" Type="http://schemas.openxmlformats.org/officeDocument/2006/relationships/hyperlink" Target="mailto:proyecto.torrevictoriana@gmail.com" TargetMode="External"/><Relationship Id="rId226" Type="http://schemas.openxmlformats.org/officeDocument/2006/relationships/drawing" Target="../drawings/drawing3.xml"/><Relationship Id="rId107" Type="http://schemas.openxmlformats.org/officeDocument/2006/relationships/hyperlink" Target="mailto:dirproyectos@securetec.com.co" TargetMode="External"/><Relationship Id="rId11" Type="http://schemas.openxmlformats.org/officeDocument/2006/relationships/hyperlink" Target="mailto:juan.grajales@spci.com.co" TargetMode="External"/><Relationship Id="rId32" Type="http://schemas.openxmlformats.org/officeDocument/2006/relationships/hyperlink" Target="mailto:lzuluagar0626@hotmail.com" TargetMode="External"/><Relationship Id="rId53" Type="http://schemas.openxmlformats.org/officeDocument/2006/relationships/hyperlink" Target="mailto:jmtamayo@aia.com.co" TargetMode="External"/><Relationship Id="rId74" Type="http://schemas.openxmlformats.org/officeDocument/2006/relationships/hyperlink" Target="mailto:cristhiancamilo.orjuela@antioquia.gov.co" TargetMode="External"/><Relationship Id="rId128" Type="http://schemas.openxmlformats.org/officeDocument/2006/relationships/hyperlink" Target="mailto:nataliamejia.desur@gmail.com" TargetMode="External"/><Relationship Id="rId149" Type="http://schemas.openxmlformats.org/officeDocument/2006/relationships/hyperlink" Target="mailto:cristiamondragon.spci@gmail.com" TargetMode="External"/><Relationship Id="rId5" Type="http://schemas.openxmlformats.org/officeDocument/2006/relationships/hyperlink" Target="mailto:interventoriaolive@gmail.com" TargetMode="External"/><Relationship Id="rId95" Type="http://schemas.openxmlformats.org/officeDocument/2006/relationships/hyperlink" Target="mailto:sarafrancorendon@gmail.com" TargetMode="External"/><Relationship Id="rId160" Type="http://schemas.openxmlformats.org/officeDocument/2006/relationships/hyperlink" Target="mailto:proyectos1spci@gmail.com" TargetMode="External"/><Relationship Id="rId181" Type="http://schemas.openxmlformats.org/officeDocument/2006/relationships/hyperlink" Target="mailto:alejandrogomezvillegas@gmail.com" TargetMode="External"/><Relationship Id="rId216" Type="http://schemas.openxmlformats.org/officeDocument/2006/relationships/hyperlink" Target="mailto:david.lopera@socomes.com" TargetMode="External"/><Relationship Id="rId22" Type="http://schemas.openxmlformats.org/officeDocument/2006/relationships/hyperlink" Target="mailto:juan.grajales@spci.com.co" TargetMode="External"/><Relationship Id="rId43" Type="http://schemas.openxmlformats.org/officeDocument/2006/relationships/hyperlink" Target="mailto:tecnobimcolombia@gmail.com" TargetMode="External"/><Relationship Id="rId64" Type="http://schemas.openxmlformats.org/officeDocument/2006/relationships/hyperlink" Target="mailto:proyectos1spci@gmail.com" TargetMode="External"/><Relationship Id="rId118" Type="http://schemas.openxmlformats.org/officeDocument/2006/relationships/hyperlink" Target="mailto:juan.grajales@spci.com.co" TargetMode="External"/><Relationship Id="rId139" Type="http://schemas.openxmlformats.org/officeDocument/2006/relationships/hyperlink" Target="mailto:juan.grajales@spci.com.co" TargetMode="External"/><Relationship Id="rId85" Type="http://schemas.openxmlformats.org/officeDocument/2006/relationships/hyperlink" Target="mailto:mauriciosepulvedaspci@gmail.com" TargetMode="External"/><Relationship Id="rId150" Type="http://schemas.openxmlformats.org/officeDocument/2006/relationships/hyperlink" Target="mailto:david.lopera@socomes.com" TargetMode="External"/><Relationship Id="rId171" Type="http://schemas.openxmlformats.org/officeDocument/2006/relationships/hyperlink" Target="mailto:j.echeverri@condiseno.co" TargetMode="External"/><Relationship Id="rId192" Type="http://schemas.openxmlformats.org/officeDocument/2006/relationships/hyperlink" Target="mailto:hvalencia@saha.com.co" TargetMode="External"/><Relationship Id="rId206" Type="http://schemas.openxmlformats.org/officeDocument/2006/relationships/hyperlink" Target="mailto:claudia.ramirez@edyfica.co" TargetMode="External"/><Relationship Id="rId227" Type="http://schemas.openxmlformats.org/officeDocument/2006/relationships/vmlDrawing" Target="../drawings/vmlDrawing3.vml"/><Relationship Id="rId12" Type="http://schemas.openxmlformats.org/officeDocument/2006/relationships/hyperlink" Target="mailto:juan.grajales@spci.com.co" TargetMode="External"/><Relationship Id="rId33" Type="http://schemas.openxmlformats.org/officeDocument/2006/relationships/hyperlink" Target="mailto:juanrico@centrosur.co" TargetMode="External"/><Relationship Id="rId108" Type="http://schemas.openxmlformats.org/officeDocument/2006/relationships/hyperlink" Target="mailto:n.garcia@condiseno.co" TargetMode="External"/><Relationship Id="rId129" Type="http://schemas.openxmlformats.org/officeDocument/2006/relationships/hyperlink" Target="mailto:nataliamejia.desur@gmail.com" TargetMode="External"/><Relationship Id="rId54" Type="http://schemas.openxmlformats.org/officeDocument/2006/relationships/hyperlink" Target="mailto:n.garcia@condiseno.co" TargetMode="External"/><Relationship Id="rId75" Type="http://schemas.openxmlformats.org/officeDocument/2006/relationships/hyperlink" Target="mailto:proyectos1spci@gmail.com" TargetMode="External"/><Relationship Id="rId96" Type="http://schemas.openxmlformats.org/officeDocument/2006/relationships/hyperlink" Target="mailto:duribe86@gmail.com" TargetMode="External"/><Relationship Id="rId140" Type="http://schemas.openxmlformats.org/officeDocument/2006/relationships/hyperlink" Target="mailto:gerencia@mdcingenieros.com" TargetMode="External"/><Relationship Id="rId161" Type="http://schemas.openxmlformats.org/officeDocument/2006/relationships/hyperlink" Target="mailto:hduque@hdgerenciaintegral.com" TargetMode="External"/><Relationship Id="rId182" Type="http://schemas.openxmlformats.org/officeDocument/2006/relationships/hyperlink" Target="mailto:cristiamondragon.spci@gmail.com" TargetMode="External"/><Relationship Id="rId217" Type="http://schemas.openxmlformats.org/officeDocument/2006/relationships/hyperlink" Target="mailto:victorsaldarriagaspci@gmail.com" TargetMode="External"/><Relationship Id="rId6" Type="http://schemas.openxmlformats.org/officeDocument/2006/relationships/hyperlink" Target="mailto:juan.grajales@spci.com.co" TargetMode="External"/><Relationship Id="rId23" Type="http://schemas.openxmlformats.org/officeDocument/2006/relationships/hyperlink" Target="mailto:juan.grajales@spci.com.co" TargetMode="External"/><Relationship Id="rId119" Type="http://schemas.openxmlformats.org/officeDocument/2006/relationships/hyperlink" Target="mailto:n.garcia@condiseno.co" TargetMode="External"/><Relationship Id="rId44" Type="http://schemas.openxmlformats.org/officeDocument/2006/relationships/hyperlink" Target="mailto:dirproyectos@securetec.com.co" TargetMode="External"/><Relationship Id="rId65" Type="http://schemas.openxmlformats.org/officeDocument/2006/relationships/hyperlink" Target="mailto:proyectos1spci@gmail.com" TargetMode="External"/><Relationship Id="rId86" Type="http://schemas.openxmlformats.org/officeDocument/2006/relationships/hyperlink" Target="mailto:david.lopera@socomes.com" TargetMode="External"/><Relationship Id="rId130" Type="http://schemas.openxmlformats.org/officeDocument/2006/relationships/hyperlink" Target="mailto:juan.grajales@spci.com.co" TargetMode="External"/><Relationship Id="rId151" Type="http://schemas.openxmlformats.org/officeDocument/2006/relationships/hyperlink" Target="mailto:david.lopera@socomes.com" TargetMode="External"/><Relationship Id="rId172" Type="http://schemas.openxmlformats.org/officeDocument/2006/relationships/hyperlink" Target="mailto:n.garcia@condiseno.co" TargetMode="External"/><Relationship Id="rId193" Type="http://schemas.openxmlformats.org/officeDocument/2006/relationships/hyperlink" Target="mailto:andrestamayo@controlmaestro.com.co" TargetMode="External"/><Relationship Id="rId207" Type="http://schemas.openxmlformats.org/officeDocument/2006/relationships/hyperlink" Target="mailto:n.garcia@condiseno.co" TargetMode="External"/><Relationship Id="rId228" Type="http://schemas.openxmlformats.org/officeDocument/2006/relationships/comments" Target="../comments3.xml"/><Relationship Id="rId13" Type="http://schemas.openxmlformats.org/officeDocument/2006/relationships/hyperlink" Target="mailto:juan.grajales@spci.com.co" TargetMode="External"/><Relationship Id="rId109" Type="http://schemas.openxmlformats.org/officeDocument/2006/relationships/hyperlink" Target="mailto:david.lopera@socomes.com" TargetMode="External"/><Relationship Id="rId34" Type="http://schemas.openxmlformats.org/officeDocument/2006/relationships/hyperlink" Target="mailto:ramali05@hotmail.com" TargetMode="External"/><Relationship Id="rId55" Type="http://schemas.openxmlformats.org/officeDocument/2006/relationships/hyperlink" Target="mailto:david.lopera@socomes.com" TargetMode="External"/><Relationship Id="rId76" Type="http://schemas.openxmlformats.org/officeDocument/2006/relationships/hyperlink" Target="mailto:sradu85@gmail.com" TargetMode="External"/><Relationship Id="rId97" Type="http://schemas.openxmlformats.org/officeDocument/2006/relationships/hyperlink" Target="mailto:gino1037@hotmail.com" TargetMode="External"/><Relationship Id="rId120" Type="http://schemas.openxmlformats.org/officeDocument/2006/relationships/hyperlink" Target="mailto:avelasquez@admirisltda.com" TargetMode="External"/><Relationship Id="rId141" Type="http://schemas.openxmlformats.org/officeDocument/2006/relationships/hyperlink" Target="mailto:Sergio.A.Lopez@tigo.com.co" TargetMode="External"/><Relationship Id="rId7" Type="http://schemas.openxmlformats.org/officeDocument/2006/relationships/hyperlink" Target="mailto:davidvelasquez@arquitecturayconcreto.com" TargetMode="External"/><Relationship Id="rId162" Type="http://schemas.openxmlformats.org/officeDocument/2006/relationships/hyperlink" Target="mailto:dirproyectos@securetec.com.co" TargetMode="External"/><Relationship Id="rId183" Type="http://schemas.openxmlformats.org/officeDocument/2006/relationships/hyperlink" Target="mailto:cristiamondragon.spci@gmail.com" TargetMode="External"/><Relationship Id="rId218" Type="http://schemas.openxmlformats.org/officeDocument/2006/relationships/hyperlink" Target="mailto:obras@ces.edu.co" TargetMode="External"/><Relationship Id="rId24" Type="http://schemas.openxmlformats.org/officeDocument/2006/relationships/hyperlink" Target="mailto:duribe86@gmail.com" TargetMode="External"/><Relationship Id="rId45" Type="http://schemas.openxmlformats.org/officeDocument/2006/relationships/hyperlink" Target="mailto:juan.grajales@spci.com.co" TargetMode="External"/><Relationship Id="rId66" Type="http://schemas.openxmlformats.org/officeDocument/2006/relationships/hyperlink" Target="mailto:gino1037@hotmail.com" TargetMode="External"/><Relationship Id="rId87" Type="http://schemas.openxmlformats.org/officeDocument/2006/relationships/hyperlink" Target="mailto:david.lopera@socomes.com" TargetMode="External"/><Relationship Id="rId110" Type="http://schemas.openxmlformats.org/officeDocument/2006/relationships/hyperlink" Target="mailto:juan.londono@serviciosipm.com" TargetMode="External"/><Relationship Id="rId131" Type="http://schemas.openxmlformats.org/officeDocument/2006/relationships/hyperlink" Target="mailto:david.lopera@socomes.com" TargetMode="External"/><Relationship Id="rId152" Type="http://schemas.openxmlformats.org/officeDocument/2006/relationships/hyperlink" Target="mailto:dianaperez@convel.co" TargetMode="External"/><Relationship Id="rId173" Type="http://schemas.openxmlformats.org/officeDocument/2006/relationships/hyperlink" Target="mailto:dcasallas@sura.com.co" TargetMode="External"/><Relationship Id="rId194" Type="http://schemas.openxmlformats.org/officeDocument/2006/relationships/hyperlink" Target="mailto:juan.russi@edyfica.co" TargetMode="External"/><Relationship Id="rId208" Type="http://schemas.openxmlformats.org/officeDocument/2006/relationships/hyperlink" Target="mailto:david.lopera@socomes.com" TargetMode="External"/><Relationship Id="rId229" Type="http://schemas.microsoft.com/office/2017/10/relationships/threadedComment" Target="../threadedComments/threadedComment1.xml"/><Relationship Id="rId14" Type="http://schemas.openxmlformats.org/officeDocument/2006/relationships/hyperlink" Target="mailto:juan.grajales@spci.com.co" TargetMode="External"/><Relationship Id="rId35" Type="http://schemas.openxmlformats.org/officeDocument/2006/relationships/hyperlink" Target="mailto:comercial@dcs.com.co" TargetMode="External"/><Relationship Id="rId56" Type="http://schemas.openxmlformats.org/officeDocument/2006/relationships/hyperlink" Target="mailto:juan.piedrahita@soportica.com" TargetMode="External"/><Relationship Id="rId77" Type="http://schemas.openxmlformats.org/officeDocument/2006/relationships/hyperlink" Target="mailto:juan.londono@serviciosipm.com" TargetMode="External"/><Relationship Id="rId100" Type="http://schemas.openxmlformats.org/officeDocument/2006/relationships/hyperlink" Target="mailto:n.garcia@condiseno.co" TargetMode="External"/><Relationship Id="rId8" Type="http://schemas.openxmlformats.org/officeDocument/2006/relationships/hyperlink" Target="mailto:juan.grajales@spci.com.co" TargetMode="External"/><Relationship Id="rId98" Type="http://schemas.openxmlformats.org/officeDocument/2006/relationships/hyperlink" Target="mailto:gerenciazanella@gmail.com" TargetMode="External"/><Relationship Id="rId121" Type="http://schemas.openxmlformats.org/officeDocument/2006/relationships/hyperlink" Target="mailto:juan.londono@serviciosipm.com" TargetMode="External"/><Relationship Id="rId142" Type="http://schemas.openxmlformats.org/officeDocument/2006/relationships/hyperlink" Target="mailto:gerencia@mdcingenieros.com" TargetMode="External"/><Relationship Id="rId163" Type="http://schemas.openxmlformats.org/officeDocument/2006/relationships/hyperlink" Target="mailto:juan.grajales@spci.com.co" TargetMode="External"/><Relationship Id="rId184" Type="http://schemas.openxmlformats.org/officeDocument/2006/relationships/hyperlink" Target="mailto:hacevedo@interve.co" TargetMode="External"/><Relationship Id="rId219" Type="http://schemas.openxmlformats.org/officeDocument/2006/relationships/hyperlink" Target="mailto:elias.molinasj@gmail.com" TargetMode="External"/><Relationship Id="rId25" Type="http://schemas.openxmlformats.org/officeDocument/2006/relationships/hyperlink" Target="mailto:duribe86@gmail.com" TargetMode="External"/><Relationship Id="rId46" Type="http://schemas.openxmlformats.org/officeDocument/2006/relationships/hyperlink" Target="mailto:juan.grajales@spci.com.co" TargetMode="External"/><Relationship Id="rId67" Type="http://schemas.openxmlformats.org/officeDocument/2006/relationships/hyperlink" Target="mailto:david.lopera@socomes.com" TargetMode="External"/><Relationship Id="rId116" Type="http://schemas.openxmlformats.org/officeDocument/2006/relationships/hyperlink" Target="mailto:dirproyectos@securetec.com.co" TargetMode="External"/><Relationship Id="rId137" Type="http://schemas.openxmlformats.org/officeDocument/2006/relationships/hyperlink" Target="mailto:joseestrada@casasana.com.co" TargetMode="External"/><Relationship Id="rId158" Type="http://schemas.openxmlformats.org/officeDocument/2006/relationships/hyperlink" Target="mailto:lineamientosciviles@gmail.com" TargetMode="External"/><Relationship Id="rId20" Type="http://schemas.openxmlformats.org/officeDocument/2006/relationships/hyperlink" Target="mailto:hidraulicaymontajes@gmail.com" TargetMode="External"/><Relationship Id="rId41" Type="http://schemas.openxmlformats.org/officeDocument/2006/relationships/hyperlink" Target="mailto:arquitectojohncarlos@gmail.com" TargetMode="External"/><Relationship Id="rId62" Type="http://schemas.openxmlformats.org/officeDocument/2006/relationships/hyperlink" Target="mailto:gerencia@construccionessafest.com" TargetMode="External"/><Relationship Id="rId83" Type="http://schemas.openxmlformats.org/officeDocument/2006/relationships/hyperlink" Target="mailto:hacevedo@interve.co" TargetMode="External"/><Relationship Id="rId88" Type="http://schemas.openxmlformats.org/officeDocument/2006/relationships/hyperlink" Target="mailto:srios@mogacon.com.co" TargetMode="External"/><Relationship Id="rId111" Type="http://schemas.openxmlformats.org/officeDocument/2006/relationships/hyperlink" Target="mailto:licitaciones@equiposelrapido.com" TargetMode="External"/><Relationship Id="rId132" Type="http://schemas.openxmlformats.org/officeDocument/2006/relationships/hyperlink" Target="mailto:jorgegaitan@estructurar.co" TargetMode="External"/><Relationship Id="rId153" Type="http://schemas.openxmlformats.org/officeDocument/2006/relationships/hyperlink" Target="mailto:duribe86@gmail.com" TargetMode="External"/><Relationship Id="rId174" Type="http://schemas.openxmlformats.org/officeDocument/2006/relationships/hyperlink" Target="mailto:carmen.lopez@prinza.com.co" TargetMode="External"/><Relationship Id="rId179" Type="http://schemas.openxmlformats.org/officeDocument/2006/relationships/hyperlink" Target="mailto:mauricio.gutierrez@spci.com.co" TargetMode="External"/><Relationship Id="rId195" Type="http://schemas.openxmlformats.org/officeDocument/2006/relationships/hyperlink" Target="mailto:hacevedo@interve.co" TargetMode="External"/><Relationship Id="rId209" Type="http://schemas.openxmlformats.org/officeDocument/2006/relationships/hyperlink" Target="mailto:arestrepoe@conconcreto.com" TargetMode="External"/><Relationship Id="rId190" Type="http://schemas.openxmlformats.org/officeDocument/2006/relationships/hyperlink" Target="mailto:johana.montoya@perfek.com.co" TargetMode="External"/><Relationship Id="rId204" Type="http://schemas.openxmlformats.org/officeDocument/2006/relationships/hyperlink" Target="mailto:dirproyectos@securetec.com.co" TargetMode="External"/><Relationship Id="rId220" Type="http://schemas.openxmlformats.org/officeDocument/2006/relationships/hyperlink" Target="mailto:mauroguzmanspci@gmail.com" TargetMode="External"/><Relationship Id="rId225" Type="http://schemas.openxmlformats.org/officeDocument/2006/relationships/printerSettings" Target="../printerSettings/printerSettings3.bin"/><Relationship Id="rId15" Type="http://schemas.openxmlformats.org/officeDocument/2006/relationships/hyperlink" Target="mailto:juan.grajales@spci.com.co" TargetMode="External"/><Relationship Id="rId36" Type="http://schemas.openxmlformats.org/officeDocument/2006/relationships/hyperlink" Target="mailto:david.lopera@socomes.com" TargetMode="External"/><Relationship Id="rId57" Type="http://schemas.openxmlformats.org/officeDocument/2006/relationships/hyperlink" Target="mailto:esteban.diaz@cnv.com.co" TargetMode="External"/><Relationship Id="rId106" Type="http://schemas.openxmlformats.org/officeDocument/2006/relationships/hyperlink" Target="mailto:entrepinos.nubia@gmail.com" TargetMode="External"/><Relationship Id="rId127" Type="http://schemas.openxmlformats.org/officeDocument/2006/relationships/hyperlink" Target="mailto:nataliamejia.desur@gmail.com" TargetMode="External"/><Relationship Id="rId10" Type="http://schemas.openxmlformats.org/officeDocument/2006/relationships/hyperlink" Target="mailto:juan.grajales@spci.com.co" TargetMode="External"/><Relationship Id="rId31" Type="http://schemas.openxmlformats.org/officeDocument/2006/relationships/hyperlink" Target="mailto:cristiamondragon.spci@gmail.com" TargetMode="External"/><Relationship Id="rId52" Type="http://schemas.openxmlformats.org/officeDocument/2006/relationships/hyperlink" Target="mailto:proyectos1spci@gmail.com" TargetMode="External"/><Relationship Id="rId73" Type="http://schemas.openxmlformats.org/officeDocument/2006/relationships/hyperlink" Target="mailto:n.garcia@condiseno.co" TargetMode="External"/><Relationship Id="rId78" Type="http://schemas.openxmlformats.org/officeDocument/2006/relationships/hyperlink" Target="mailto:rnesto.castrillon@picso.com.co" TargetMode="External"/><Relationship Id="rId94" Type="http://schemas.openxmlformats.org/officeDocument/2006/relationships/hyperlink" Target="mailto:proyectos1spci@gmail.com" TargetMode="External"/><Relationship Id="rId99" Type="http://schemas.openxmlformats.org/officeDocument/2006/relationships/hyperlink" Target="mailto:licitaciones@equiposelrapido.com" TargetMode="External"/><Relationship Id="rId101" Type="http://schemas.openxmlformats.org/officeDocument/2006/relationships/hyperlink" Target="mailto:juan.londono@serviciosipm.com" TargetMode="External"/><Relationship Id="rId122" Type="http://schemas.openxmlformats.org/officeDocument/2006/relationships/hyperlink" Target="mailto:susanagomez@ingenieriayvivienda.com" TargetMode="External"/><Relationship Id="rId143" Type="http://schemas.openxmlformats.org/officeDocument/2006/relationships/hyperlink" Target="mailto:sebastian.giraldo@beminimal.co" TargetMode="External"/><Relationship Id="rId148" Type="http://schemas.openxmlformats.org/officeDocument/2006/relationships/hyperlink" Target="mailto:yessicacardona@hotmail.com" TargetMode="External"/><Relationship Id="rId164" Type="http://schemas.openxmlformats.org/officeDocument/2006/relationships/hyperlink" Target="mailto:juan.grajales@spci.com.co" TargetMode="External"/><Relationship Id="rId169" Type="http://schemas.openxmlformats.org/officeDocument/2006/relationships/hyperlink" Target="mailto:juan.grajales@spci.com.co" TargetMode="External"/><Relationship Id="rId185" Type="http://schemas.openxmlformats.org/officeDocument/2006/relationships/hyperlink" Target="mailto:cristiamondragon.spci@gmail.com" TargetMode="External"/><Relationship Id="rId4" Type="http://schemas.openxmlformats.org/officeDocument/2006/relationships/hyperlink" Target="mailto:ivelez@dgbconstructora.com" TargetMode="External"/><Relationship Id="rId9" Type="http://schemas.openxmlformats.org/officeDocument/2006/relationships/hyperlink" Target="mailto:juan.grajales@spci.com.co" TargetMode="External"/><Relationship Id="rId180" Type="http://schemas.openxmlformats.org/officeDocument/2006/relationships/hyperlink" Target="mailto:marcela.orozco@o3ingenieria.com" TargetMode="External"/><Relationship Id="rId210" Type="http://schemas.openxmlformats.org/officeDocument/2006/relationships/hyperlink" Target="mailto:pedroprpo@gmail.com" TargetMode="External"/><Relationship Id="rId215" Type="http://schemas.openxmlformats.org/officeDocument/2006/relationships/hyperlink" Target="mailto:jorgegaitan@estructurar.co" TargetMode="External"/><Relationship Id="rId26" Type="http://schemas.openxmlformats.org/officeDocument/2006/relationships/hyperlink" Target="mailto:david.lopera@socomes.com" TargetMode="External"/><Relationship Id="rId47" Type="http://schemas.openxmlformats.org/officeDocument/2006/relationships/hyperlink" Target="mailto:vajjimenez@hotmail.com" TargetMode="External"/><Relationship Id="rId68" Type="http://schemas.openxmlformats.org/officeDocument/2006/relationships/hyperlink" Target="mailto:dirproyectos@securetec.com.co" TargetMode="External"/><Relationship Id="rId89" Type="http://schemas.openxmlformats.org/officeDocument/2006/relationships/hyperlink" Target="mailto:proyectos1spci@gmail.com" TargetMode="External"/><Relationship Id="rId112" Type="http://schemas.openxmlformats.org/officeDocument/2006/relationships/hyperlink" Target="mailto:gabriel.velez@construgen.com" TargetMode="External"/><Relationship Id="rId133" Type="http://schemas.openxmlformats.org/officeDocument/2006/relationships/hyperlink" Target="mailto:proyectos@prosoma.com.co" TargetMode="External"/><Relationship Id="rId154" Type="http://schemas.openxmlformats.org/officeDocument/2006/relationships/hyperlink" Target="mailto:juan.grajales@spci.com.co" TargetMode="External"/><Relationship Id="rId175" Type="http://schemas.openxmlformats.org/officeDocument/2006/relationships/hyperlink" Target="mailto:cgriegossas@gmail.com" TargetMode="External"/><Relationship Id="rId196" Type="http://schemas.openxmlformats.org/officeDocument/2006/relationships/hyperlink" Target="mailto:gerencia@grupoingenexco.com" TargetMode="External"/><Relationship Id="rId200" Type="http://schemas.openxmlformats.org/officeDocument/2006/relationships/hyperlink" Target="mailto:n.garcia@condiseno.co" TargetMode="External"/><Relationship Id="rId16" Type="http://schemas.openxmlformats.org/officeDocument/2006/relationships/hyperlink" Target="mailto:juan.grajales@spci.com.co" TargetMode="External"/><Relationship Id="rId221" Type="http://schemas.openxmlformats.org/officeDocument/2006/relationships/hyperlink" Target="mailto:gerencia@prosoma.com.co" TargetMode="External"/><Relationship Id="rId37" Type="http://schemas.openxmlformats.org/officeDocument/2006/relationships/hyperlink" Target="mailto:ernesto.castrillon@picso.com.co" TargetMode="External"/><Relationship Id="rId58" Type="http://schemas.openxmlformats.org/officeDocument/2006/relationships/hyperlink" Target="mailto:juan.piedrahita@soportica.com" TargetMode="External"/><Relationship Id="rId79" Type="http://schemas.openxmlformats.org/officeDocument/2006/relationships/hyperlink" Target="mailto:sarafrancorendon@gmail.com" TargetMode="External"/><Relationship Id="rId102" Type="http://schemas.openxmlformats.org/officeDocument/2006/relationships/hyperlink" Target="mailto:cristiamondragon.spci@gmail.com" TargetMode="External"/><Relationship Id="rId123" Type="http://schemas.openxmlformats.org/officeDocument/2006/relationships/hyperlink" Target="mailto:adriana@a3consulting.com.co" TargetMode="External"/><Relationship Id="rId144" Type="http://schemas.openxmlformats.org/officeDocument/2006/relationships/hyperlink" Target="mailto:dirproyectos@securetec.com.co" TargetMode="External"/><Relationship Id="rId90" Type="http://schemas.openxmlformats.org/officeDocument/2006/relationships/hyperlink" Target="mailto:proyectos1spci@gmail.com" TargetMode="External"/><Relationship Id="rId165" Type="http://schemas.openxmlformats.org/officeDocument/2006/relationships/hyperlink" Target="mailto:daniel.echeverri@avanteing.com" TargetMode="External"/><Relationship Id="rId186" Type="http://schemas.openxmlformats.org/officeDocument/2006/relationships/hyperlink" Target="mailto:mauroguzmanspci@gmail.com" TargetMode="External"/><Relationship Id="rId211" Type="http://schemas.openxmlformats.org/officeDocument/2006/relationships/hyperlink" Target="mailto:frei.restrepo1@gmail.com" TargetMode="External"/><Relationship Id="rId27" Type="http://schemas.openxmlformats.org/officeDocument/2006/relationships/hyperlink" Target="mailto:david.lopera@socomes.com" TargetMode="External"/><Relationship Id="rId48" Type="http://schemas.openxmlformats.org/officeDocument/2006/relationships/hyperlink" Target="mailto:juan.grajales@spci.com.co" TargetMode="External"/><Relationship Id="rId69" Type="http://schemas.openxmlformats.org/officeDocument/2006/relationships/hyperlink" Target="mailto:comercial@dcs.com.co" TargetMode="External"/><Relationship Id="rId113" Type="http://schemas.openxmlformats.org/officeDocument/2006/relationships/hyperlink" Target="mailto:director.obra@insesp.com" TargetMode="External"/><Relationship Id="rId134" Type="http://schemas.openxmlformats.org/officeDocument/2006/relationships/hyperlink" Target="mailto:hugo.valdes@eyd.com.co" TargetMode="External"/><Relationship Id="rId80" Type="http://schemas.openxmlformats.org/officeDocument/2006/relationships/hyperlink" Target="mailto:roberto.pineda@rrp.com.co" TargetMode="External"/><Relationship Id="rId155" Type="http://schemas.openxmlformats.org/officeDocument/2006/relationships/hyperlink" Target="mailto:juan.grajales@spci.com.co" TargetMode="External"/><Relationship Id="rId176" Type="http://schemas.openxmlformats.org/officeDocument/2006/relationships/hyperlink" Target="mailto:socampo@solucionesconstructivas.co" TargetMode="External"/><Relationship Id="rId197" Type="http://schemas.openxmlformats.org/officeDocument/2006/relationships/hyperlink" Target="mailto:director.promotorabicentenario@gmail.com" TargetMode="External"/><Relationship Id="rId201" Type="http://schemas.openxmlformats.org/officeDocument/2006/relationships/hyperlink" Target="mailto:julialzate@une.net.co" TargetMode="External"/><Relationship Id="rId222" Type="http://schemas.openxmlformats.org/officeDocument/2006/relationships/hyperlink" Target="mailto:hacevedo@interve.co" TargetMode="External"/><Relationship Id="rId17" Type="http://schemas.openxmlformats.org/officeDocument/2006/relationships/hyperlink" Target="mailto:hidraulicaymontajes@gmail.com" TargetMode="External"/><Relationship Id="rId38" Type="http://schemas.openxmlformats.org/officeDocument/2006/relationships/hyperlink" Target="mailto:n.garcia@condiseno.co" TargetMode="External"/><Relationship Id="rId59" Type="http://schemas.openxmlformats.org/officeDocument/2006/relationships/hyperlink" Target="mailto:cristiamondragon.spci@gmail.com" TargetMode="External"/><Relationship Id="rId103" Type="http://schemas.openxmlformats.org/officeDocument/2006/relationships/hyperlink" Target="mailto:juan.grajales@spci.com.co" TargetMode="External"/><Relationship Id="rId124" Type="http://schemas.openxmlformats.org/officeDocument/2006/relationships/hyperlink" Target="mailto:hidraulicaymontajes@gmail.com" TargetMode="External"/><Relationship Id="rId70" Type="http://schemas.openxmlformats.org/officeDocument/2006/relationships/hyperlink" Target="mailto:willerf30@hotmail.com" TargetMode="External"/><Relationship Id="rId91" Type="http://schemas.openxmlformats.org/officeDocument/2006/relationships/hyperlink" Target="mailto:oficinatecnica@sainc.co" TargetMode="External"/><Relationship Id="rId145" Type="http://schemas.openxmlformats.org/officeDocument/2006/relationships/hyperlink" Target="mailto:obras@ces.edu.co" TargetMode="External"/><Relationship Id="rId166" Type="http://schemas.openxmlformats.org/officeDocument/2006/relationships/hyperlink" Target="mailto:dhincapieconsultor@gmail.com" TargetMode="External"/><Relationship Id="rId187" Type="http://schemas.openxmlformats.org/officeDocument/2006/relationships/hyperlink" Target="mailto:proyectos1spci@gmail.com" TargetMode="External"/><Relationship Id="rId1" Type="http://schemas.openxmlformats.org/officeDocument/2006/relationships/hyperlink" Target="mailto:duribe86@gmail.com" TargetMode="External"/><Relationship Id="rId212" Type="http://schemas.openxmlformats.org/officeDocument/2006/relationships/hyperlink" Target="mailto:seguridadysalud@sanjosevegas.edu.co" TargetMode="External"/><Relationship Id="rId28" Type="http://schemas.openxmlformats.org/officeDocument/2006/relationships/hyperlink" Target="mailto:david.lopera@socomes.com" TargetMode="External"/><Relationship Id="rId49" Type="http://schemas.openxmlformats.org/officeDocument/2006/relationships/hyperlink" Target="mailto:jdruizg@solucionesinmobiliariassas.com" TargetMode="External"/><Relationship Id="rId114" Type="http://schemas.openxmlformats.org/officeDocument/2006/relationships/hyperlink" Target="mailto:dirproyectos@securetec.com.co" TargetMode="External"/><Relationship Id="rId60" Type="http://schemas.openxmlformats.org/officeDocument/2006/relationships/hyperlink" Target="mailto:david.lopera@socomes.com" TargetMode="External"/><Relationship Id="rId81" Type="http://schemas.openxmlformats.org/officeDocument/2006/relationships/hyperlink" Target="mailto:roberto.pineda@rrp.com.co" TargetMode="External"/><Relationship Id="rId135" Type="http://schemas.openxmlformats.org/officeDocument/2006/relationships/hyperlink" Target="mailto:n.garcia@condiseno.co" TargetMode="External"/><Relationship Id="rId156" Type="http://schemas.openxmlformats.org/officeDocument/2006/relationships/hyperlink" Target="mailto:dirproyectos@securetec.com.co" TargetMode="External"/><Relationship Id="rId177" Type="http://schemas.openxmlformats.org/officeDocument/2006/relationships/hyperlink" Target="mailto:proyectos1spci@gmail.com" TargetMode="External"/><Relationship Id="rId198" Type="http://schemas.openxmlformats.org/officeDocument/2006/relationships/hyperlink" Target="mailto:ascomercial@securetec.com.co" TargetMode="External"/><Relationship Id="rId202" Type="http://schemas.openxmlformats.org/officeDocument/2006/relationships/hyperlink" Target="mailto:robinson18e@gmail.com" TargetMode="External"/><Relationship Id="rId223" Type="http://schemas.openxmlformats.org/officeDocument/2006/relationships/hyperlink" Target="mailto:mauroguzmanspci@gmail.com" TargetMode="External"/><Relationship Id="rId18" Type="http://schemas.openxmlformats.org/officeDocument/2006/relationships/hyperlink" Target="mailto:juan.grajales@spci.com.co" TargetMode="External"/><Relationship Id="rId39" Type="http://schemas.openxmlformats.org/officeDocument/2006/relationships/hyperlink" Target="mailto:n.garcia@condiseno.co" TargetMode="External"/><Relationship Id="rId50" Type="http://schemas.openxmlformats.org/officeDocument/2006/relationships/hyperlink" Target="mailto:david.lopera@socomes.com" TargetMode="External"/><Relationship Id="rId104" Type="http://schemas.openxmlformats.org/officeDocument/2006/relationships/hyperlink" Target="mailto:julialzate@une.net.co" TargetMode="External"/><Relationship Id="rId125" Type="http://schemas.openxmlformats.org/officeDocument/2006/relationships/hyperlink" Target="mailto:carolina@hidrofsalinas.com" TargetMode="External"/><Relationship Id="rId146" Type="http://schemas.openxmlformats.org/officeDocument/2006/relationships/hyperlink" Target="mailto:cristiamondragon.spci@gmail.com" TargetMode="External"/><Relationship Id="rId167" Type="http://schemas.openxmlformats.org/officeDocument/2006/relationships/hyperlink" Target="mailto:proyectos1spci@gmail.com" TargetMode="External"/><Relationship Id="rId188" Type="http://schemas.openxmlformats.org/officeDocument/2006/relationships/hyperlink" Target="mailto:proyectos@socomes.com" TargetMode="External"/><Relationship Id="rId71" Type="http://schemas.openxmlformats.org/officeDocument/2006/relationships/hyperlink" Target="mailto:juan.grajales@spci.com.co" TargetMode="External"/><Relationship Id="rId92" Type="http://schemas.openxmlformats.org/officeDocument/2006/relationships/hyperlink" Target="mailto:proyectos@socomes.com" TargetMode="External"/><Relationship Id="rId213" Type="http://schemas.openxmlformats.org/officeDocument/2006/relationships/hyperlink" Target="mailto:arecagrupoinmobiliario@gmail.com" TargetMode="External"/><Relationship Id="rId2" Type="http://schemas.openxmlformats.org/officeDocument/2006/relationships/hyperlink" Target="mailto:duribe86@gmail.com" TargetMode="External"/><Relationship Id="rId29" Type="http://schemas.openxmlformats.org/officeDocument/2006/relationships/hyperlink" Target="mailto:david.lopera@socomes.com" TargetMode="External"/><Relationship Id="rId40" Type="http://schemas.openxmlformats.org/officeDocument/2006/relationships/hyperlink" Target="mailto:n.garcia@condiseno.co" TargetMode="External"/><Relationship Id="rId115" Type="http://schemas.openxmlformats.org/officeDocument/2006/relationships/hyperlink" Target="mailto:dirproyectos@securetec.com.co" TargetMode="External"/><Relationship Id="rId136" Type="http://schemas.openxmlformats.org/officeDocument/2006/relationships/hyperlink" Target="mailto:n.garcia@condiseno.co" TargetMode="External"/><Relationship Id="rId157" Type="http://schemas.openxmlformats.org/officeDocument/2006/relationships/hyperlink" Target="mailto:dirproyectos@securetec.com.co" TargetMode="External"/><Relationship Id="rId178" Type="http://schemas.openxmlformats.org/officeDocument/2006/relationships/hyperlink" Target="mailto:juan.londono@serviciosipm.com" TargetMode="External"/><Relationship Id="rId61" Type="http://schemas.openxmlformats.org/officeDocument/2006/relationships/hyperlink" Target="mailto:gerencia@construccionessafest.com" TargetMode="External"/><Relationship Id="rId82" Type="http://schemas.openxmlformats.org/officeDocument/2006/relationships/hyperlink" Target="mailto:roberto.pineda@rrp.com.co" TargetMode="External"/><Relationship Id="rId199" Type="http://schemas.openxmlformats.org/officeDocument/2006/relationships/hyperlink" Target="mailto:ascomercial@securetec.com.co" TargetMode="External"/><Relationship Id="rId203" Type="http://schemas.openxmlformats.org/officeDocument/2006/relationships/hyperlink" Target="mailto:alejandrogomezvillegas@gmail.com" TargetMode="External"/><Relationship Id="rId19" Type="http://schemas.openxmlformats.org/officeDocument/2006/relationships/hyperlink" Target="mailto:hidraulicaymontajes@gmail.com" TargetMode="External"/><Relationship Id="rId224" Type="http://schemas.openxmlformats.org/officeDocument/2006/relationships/hyperlink" Target="mailto:mauroguzmanspci@gmail.com" TargetMode="External"/><Relationship Id="rId30" Type="http://schemas.openxmlformats.org/officeDocument/2006/relationships/hyperlink" Target="mailto:roberto.pineda@rrp.com.co" TargetMode="External"/><Relationship Id="rId105" Type="http://schemas.openxmlformats.org/officeDocument/2006/relationships/hyperlink" Target="mailto:dsaldarriaga@interve.co" TargetMode="External"/><Relationship Id="rId126" Type="http://schemas.openxmlformats.org/officeDocument/2006/relationships/hyperlink" Target="mailto:adriana@a3consulting.com.co" TargetMode="External"/><Relationship Id="rId147" Type="http://schemas.openxmlformats.org/officeDocument/2006/relationships/hyperlink" Target="mailto:david.lopera@socomes.com" TargetMode="External"/><Relationship Id="rId168" Type="http://schemas.openxmlformats.org/officeDocument/2006/relationships/hyperlink" Target="mailto:dhincapieconsultor@gmail.com" TargetMode="External"/><Relationship Id="rId51" Type="http://schemas.openxmlformats.org/officeDocument/2006/relationships/hyperlink" Target="mailto:proyectos1spci@gmail.com" TargetMode="External"/><Relationship Id="rId72" Type="http://schemas.openxmlformats.org/officeDocument/2006/relationships/hyperlink" Target="mailto:juan.grajales@spci.com.co" TargetMode="External"/><Relationship Id="rId93" Type="http://schemas.openxmlformats.org/officeDocument/2006/relationships/hyperlink" Target="mailto:proyectos1spci@gmail.com" TargetMode="External"/><Relationship Id="rId189" Type="http://schemas.openxmlformats.org/officeDocument/2006/relationships/hyperlink" Target="mailto:gino1037@hotmail.com" TargetMode="External"/><Relationship Id="rId3" Type="http://schemas.openxmlformats.org/officeDocument/2006/relationships/hyperlink" Target="mailto:ivelez@dgbconstructora.com" TargetMode="External"/><Relationship Id="rId214" Type="http://schemas.openxmlformats.org/officeDocument/2006/relationships/hyperlink" Target="mailto:cristinapalacio@mensulaingenieros.co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alvaromanosalva@sfiregroup.com" TargetMode="External"/><Relationship Id="rId21" Type="http://schemas.openxmlformats.org/officeDocument/2006/relationships/hyperlink" Target="mailto:gino1037@hotmail.com" TargetMode="External"/><Relationship Id="rId324" Type="http://schemas.openxmlformats.org/officeDocument/2006/relationships/hyperlink" Target="mailto:juan.grajales@spci.com.co" TargetMode="External"/><Relationship Id="rId170" Type="http://schemas.openxmlformats.org/officeDocument/2006/relationships/hyperlink" Target="mailto:victorsadarriaga.spci@gmail.com" TargetMode="External"/><Relationship Id="rId268" Type="http://schemas.openxmlformats.org/officeDocument/2006/relationships/hyperlink" Target="mailto:john.gomez@obrasde.com" TargetMode="External"/><Relationship Id="rId475" Type="http://schemas.openxmlformats.org/officeDocument/2006/relationships/hyperlink" Target="mailto:andrea.sanchez@studiosur.net" TargetMode="External"/><Relationship Id="rId32" Type="http://schemas.openxmlformats.org/officeDocument/2006/relationships/hyperlink" Target="mailto:juan.grajales@spci.com.co" TargetMode="External"/><Relationship Id="rId74" Type="http://schemas.openxmlformats.org/officeDocument/2006/relationships/hyperlink" Target="mailto:heydynaty@gmail.com" TargetMode="External"/><Relationship Id="rId128" Type="http://schemas.openxmlformats.org/officeDocument/2006/relationships/hyperlink" Target="mailto:proyectos@santiagorojas.com.co" TargetMode="External"/><Relationship Id="rId335" Type="http://schemas.openxmlformats.org/officeDocument/2006/relationships/hyperlink" Target="mailto:selvaticast@escuadra.com.co" TargetMode="External"/><Relationship Id="rId377" Type="http://schemas.openxmlformats.org/officeDocument/2006/relationships/hyperlink" Target="mailto:carlos.munera@cuadraporcuadra.com" TargetMode="External"/><Relationship Id="rId500" Type="http://schemas.openxmlformats.org/officeDocument/2006/relationships/hyperlink" Target="mailto:yvelez@hdgerenciaintegral.com" TargetMode="External"/><Relationship Id="rId5" Type="http://schemas.openxmlformats.org/officeDocument/2006/relationships/hyperlink" Target="mailto:carlos.gil@risksg.com" TargetMode="External"/><Relationship Id="rId181" Type="http://schemas.openxmlformats.org/officeDocument/2006/relationships/hyperlink" Target="mailto:perspectivasciviles@gmail.com" TargetMode="External"/><Relationship Id="rId237" Type="http://schemas.openxmlformats.org/officeDocument/2006/relationships/hyperlink" Target="mailto:marcela.orozco@o3ingenieria.com" TargetMode="External"/><Relationship Id="rId402" Type="http://schemas.openxmlformats.org/officeDocument/2006/relationships/hyperlink" Target="mailto:dir.proyectos2@spcisas.com.co" TargetMode="External"/><Relationship Id="rId279" Type="http://schemas.openxmlformats.org/officeDocument/2006/relationships/hyperlink" Target="mailto:mauroguzmanspci@gmail.com" TargetMode="External"/><Relationship Id="rId444" Type="http://schemas.openxmlformats.org/officeDocument/2006/relationships/hyperlink" Target="mailto:proyectos1spci@gmail.com" TargetMode="External"/><Relationship Id="rId486" Type="http://schemas.openxmlformats.org/officeDocument/2006/relationships/hyperlink" Target="mailto:berincesas@gmail.com" TargetMode="External"/><Relationship Id="rId43" Type="http://schemas.openxmlformats.org/officeDocument/2006/relationships/hyperlink" Target="mailto:jzapata@contex.com.co" TargetMode="External"/><Relationship Id="rId139" Type="http://schemas.openxmlformats.org/officeDocument/2006/relationships/hyperlink" Target="mailto:julialzate@une.net.co" TargetMode="External"/><Relationship Id="rId290" Type="http://schemas.openxmlformats.org/officeDocument/2006/relationships/hyperlink" Target="mailto:clrobayo@sura.com.co" TargetMode="External"/><Relationship Id="rId304" Type="http://schemas.openxmlformats.org/officeDocument/2006/relationships/hyperlink" Target="mailto:hidraulicaymontajes@gmail.com" TargetMode="External"/><Relationship Id="rId346" Type="http://schemas.openxmlformats.org/officeDocument/2006/relationships/hyperlink" Target="mailto:gino1037@hotmail.com" TargetMode="External"/><Relationship Id="rId388" Type="http://schemas.openxmlformats.org/officeDocument/2006/relationships/hyperlink" Target="mailto:mferrer@interve.co" TargetMode="External"/><Relationship Id="rId511" Type="http://schemas.openxmlformats.org/officeDocument/2006/relationships/hyperlink" Target="mailto:proyectos@santiagorojas.com.co" TargetMode="External"/><Relationship Id="rId85" Type="http://schemas.openxmlformats.org/officeDocument/2006/relationships/hyperlink" Target="mailto:interventoriagoliving@gmail.com" TargetMode="External"/><Relationship Id="rId150" Type="http://schemas.openxmlformats.org/officeDocument/2006/relationships/hyperlink" Target="mailto:dir.comercial@spcisas.com.co" TargetMode="External"/><Relationship Id="rId192" Type="http://schemas.openxmlformats.org/officeDocument/2006/relationships/hyperlink" Target="mailto:Juan.martinez@grupomingenieria.com.co" TargetMode="External"/><Relationship Id="rId206" Type="http://schemas.openxmlformats.org/officeDocument/2006/relationships/hyperlink" Target="mailto:cristinapalacio@mensulaingenieros.com" TargetMode="External"/><Relationship Id="rId413" Type="http://schemas.openxmlformats.org/officeDocument/2006/relationships/hyperlink" Target="mailto:dir.mantenimiento@spcisas.com.co" TargetMode="External"/><Relationship Id="rId248" Type="http://schemas.openxmlformats.org/officeDocument/2006/relationships/hyperlink" Target="mailto:proyectos1spci@gmail.com" TargetMode="External"/><Relationship Id="rId455" Type="http://schemas.openxmlformats.org/officeDocument/2006/relationships/hyperlink" Target="mailto:ingandreasantiago@hotmail.com" TargetMode="External"/><Relationship Id="rId497" Type="http://schemas.openxmlformats.org/officeDocument/2006/relationships/hyperlink" Target="mailto:yaddy.giron@solida.com.co" TargetMode="External"/><Relationship Id="rId12" Type="http://schemas.openxmlformats.org/officeDocument/2006/relationships/hyperlink" Target="mailto:pjimenezdgb@gmail.com" TargetMode="External"/><Relationship Id="rId108" Type="http://schemas.openxmlformats.org/officeDocument/2006/relationships/hyperlink" Target="mailto:n.garcia@condiseno.co" TargetMode="External"/><Relationship Id="rId315" Type="http://schemas.openxmlformats.org/officeDocument/2006/relationships/hyperlink" Target="mailto:ing.luisalejandrov@gmail.com" TargetMode="External"/><Relationship Id="rId357" Type="http://schemas.openxmlformats.org/officeDocument/2006/relationships/hyperlink" Target="mailto:avelasquez@admirisltda.com" TargetMode="External"/><Relationship Id="rId522" Type="http://schemas.openxmlformats.org/officeDocument/2006/relationships/drawing" Target="../drawings/drawing4.xml"/><Relationship Id="rId54" Type="http://schemas.openxmlformats.org/officeDocument/2006/relationships/hyperlink" Target="mailto:mauroguzmanspci@gmail.com" TargetMode="External"/><Relationship Id="rId96" Type="http://schemas.openxmlformats.org/officeDocument/2006/relationships/hyperlink" Target="mailto:direccionregional@ashesfire.co" TargetMode="External"/><Relationship Id="rId161" Type="http://schemas.openxmlformats.org/officeDocument/2006/relationships/hyperlink" Target="mailto:gino1037@hotmail.com" TargetMode="External"/><Relationship Id="rId217" Type="http://schemas.openxmlformats.org/officeDocument/2006/relationships/hyperlink" Target="mailto:juan.grajales@spci.com.co" TargetMode="External"/><Relationship Id="rId399" Type="http://schemas.openxmlformats.org/officeDocument/2006/relationships/hyperlink" Target="mailto:proyectos@fpservices.com.co" TargetMode="External"/><Relationship Id="rId259" Type="http://schemas.openxmlformats.org/officeDocument/2006/relationships/hyperlink" Target="mailto:rafaelcabrera@iayc.co" TargetMode="External"/><Relationship Id="rId424" Type="http://schemas.openxmlformats.org/officeDocument/2006/relationships/hyperlink" Target="mailto:hacevedo@interve.co" TargetMode="External"/><Relationship Id="rId466" Type="http://schemas.openxmlformats.org/officeDocument/2006/relationships/hyperlink" Target="mailto:costosypresupuestos1@spcisas.com.co" TargetMode="External"/><Relationship Id="rId23" Type="http://schemas.openxmlformats.org/officeDocument/2006/relationships/hyperlink" Target="mailto:alvaromanosalva@sfiregroup.com" TargetMode="External"/><Relationship Id="rId119" Type="http://schemas.openxmlformats.org/officeDocument/2006/relationships/hyperlink" Target="mailto:daironobando@estructurar.co" TargetMode="External"/><Relationship Id="rId270" Type="http://schemas.openxmlformats.org/officeDocument/2006/relationships/hyperlink" Target="mailto:juan.grajales@spci.com.co" TargetMode="External"/><Relationship Id="rId326" Type="http://schemas.openxmlformats.org/officeDocument/2006/relationships/hyperlink" Target="mailto:costosypresupuestos1@spcisas.com.co" TargetMode="External"/><Relationship Id="rId65" Type="http://schemas.openxmlformats.org/officeDocument/2006/relationships/hyperlink" Target="mailto:duribe86@gmail.com" TargetMode="External"/><Relationship Id="rId130" Type="http://schemas.openxmlformats.org/officeDocument/2006/relationships/hyperlink" Target="mailto:ascomercial@securetec.com.co" TargetMode="External"/><Relationship Id="rId368" Type="http://schemas.openxmlformats.org/officeDocument/2006/relationships/hyperlink" Target="mailto:costosypresupuestos1@spcisas.com.co" TargetMode="External"/><Relationship Id="rId172" Type="http://schemas.openxmlformats.org/officeDocument/2006/relationships/hyperlink" Target="mailto:ahmayac@hotmail.com" TargetMode="External"/><Relationship Id="rId228" Type="http://schemas.openxmlformats.org/officeDocument/2006/relationships/hyperlink" Target="mailto:hudinco@gmail.com" TargetMode="External"/><Relationship Id="rId435" Type="http://schemas.openxmlformats.org/officeDocument/2006/relationships/hyperlink" Target="mailto:alvaromanosalva@sfiregroup.com" TargetMode="External"/><Relationship Id="rId477" Type="http://schemas.openxmlformats.org/officeDocument/2006/relationships/hyperlink" Target="mailto:n.garcia@condiseno.co" TargetMode="External"/><Relationship Id="rId281" Type="http://schemas.openxmlformats.org/officeDocument/2006/relationships/hyperlink" Target="mailto:mcvelasquez@contex.com.co" TargetMode="External"/><Relationship Id="rId337" Type="http://schemas.openxmlformats.org/officeDocument/2006/relationships/hyperlink" Target="mailto:proyectos@santiagorojas.com.co" TargetMode="External"/><Relationship Id="rId502" Type="http://schemas.openxmlformats.org/officeDocument/2006/relationships/hyperlink" Target="mailto:yaddy.giron@solida.com.co" TargetMode="External"/><Relationship Id="rId34" Type="http://schemas.openxmlformats.org/officeDocument/2006/relationships/hyperlink" Target="mailto:colpafireinnovationsas@gmail.com" TargetMode="External"/><Relationship Id="rId76" Type="http://schemas.openxmlformats.org/officeDocument/2006/relationships/hyperlink" Target="mailto:carolina.castano@melcol.com.co" TargetMode="External"/><Relationship Id="rId141" Type="http://schemas.openxmlformats.org/officeDocument/2006/relationships/hyperlink" Target="mailto:roberto.pineda@rrp.com.co" TargetMode="External"/><Relationship Id="rId379" Type="http://schemas.openxmlformats.org/officeDocument/2006/relationships/hyperlink" Target="mailto:Proyectos2@jomarkseguridad.com" TargetMode="External"/><Relationship Id="rId7" Type="http://schemas.openxmlformats.org/officeDocument/2006/relationships/hyperlink" Target="mailto:juan.londono@serviciosipm.com" TargetMode="External"/><Relationship Id="rId183" Type="http://schemas.openxmlformats.org/officeDocument/2006/relationships/hyperlink" Target="mailto:juan.grajales@spci.com.co" TargetMode="External"/><Relationship Id="rId239" Type="http://schemas.openxmlformats.org/officeDocument/2006/relationships/hyperlink" Target="mailto:david.zuluaga@andercol.com.co" TargetMode="External"/><Relationship Id="rId390" Type="http://schemas.openxmlformats.org/officeDocument/2006/relationships/hyperlink" Target="mailto:gerencia.operacion@spcisas.com.co" TargetMode="External"/><Relationship Id="rId404" Type="http://schemas.openxmlformats.org/officeDocument/2006/relationships/hyperlink" Target="mailto:latorresp96@gmail.com" TargetMode="External"/><Relationship Id="rId446" Type="http://schemas.openxmlformats.org/officeDocument/2006/relationships/hyperlink" Target="mailto:disenos@coinsi.com" TargetMode="External"/><Relationship Id="rId250" Type="http://schemas.openxmlformats.org/officeDocument/2006/relationships/hyperlink" Target="mailto:cristinapalacio@mensulaingenieros.com" TargetMode="External"/><Relationship Id="rId292" Type="http://schemas.openxmlformats.org/officeDocument/2006/relationships/hyperlink" Target="mailto:costosypresupuestos1@spcisas.com.co" TargetMode="External"/><Relationship Id="rId306" Type="http://schemas.openxmlformats.org/officeDocument/2006/relationships/hyperlink" Target="mailto:claudia.ramirez@edyfica.co" TargetMode="External"/><Relationship Id="rId488" Type="http://schemas.openxmlformats.org/officeDocument/2006/relationships/hyperlink" Target="mailto:Ingenieria@iproin.com.co" TargetMode="External"/><Relationship Id="rId45" Type="http://schemas.openxmlformats.org/officeDocument/2006/relationships/hyperlink" Target="mailto:administracion@vhz-ingenieria.com" TargetMode="External"/><Relationship Id="rId87" Type="http://schemas.openxmlformats.org/officeDocument/2006/relationships/hyperlink" Target="mailto:roberto.pineda@rrp.com.co" TargetMode="External"/><Relationship Id="rId110" Type="http://schemas.openxmlformats.org/officeDocument/2006/relationships/hyperlink" Target="mailto:rafaelcabrera@iayc.co" TargetMode="External"/><Relationship Id="rId348" Type="http://schemas.openxmlformats.org/officeDocument/2006/relationships/hyperlink" Target="mailto:ing.residente4@spcisas.com.co" TargetMode="External"/><Relationship Id="rId513" Type="http://schemas.openxmlformats.org/officeDocument/2006/relationships/hyperlink" Target="mailto:Proyectos2@jomarkseguridad.com" TargetMode="External"/><Relationship Id="rId152" Type="http://schemas.openxmlformats.org/officeDocument/2006/relationships/hyperlink" Target="mailto:proyectos1spci@gmail.com" TargetMode="External"/><Relationship Id="rId194" Type="http://schemas.openxmlformats.org/officeDocument/2006/relationships/hyperlink" Target="mailto:proyectos@santiagorojas.com.co" TargetMode="External"/><Relationship Id="rId208" Type="http://schemas.openxmlformats.org/officeDocument/2006/relationships/hyperlink" Target="mailto:laura.arias@studiosur.net" TargetMode="External"/><Relationship Id="rId415" Type="http://schemas.openxmlformats.org/officeDocument/2006/relationships/hyperlink" Target="mailto:idaza@conconcreto.com" TargetMode="External"/><Relationship Id="rId457" Type="http://schemas.openxmlformats.org/officeDocument/2006/relationships/hyperlink" Target="mailto:costosypresupuestos1@spcisas.com.co" TargetMode="External"/><Relationship Id="rId261" Type="http://schemas.openxmlformats.org/officeDocument/2006/relationships/hyperlink" Target="mailto:juan.grajales@spci.com.co" TargetMode="External"/><Relationship Id="rId499" Type="http://schemas.openxmlformats.org/officeDocument/2006/relationships/hyperlink" Target="mailto:gino1037@hotmail.com" TargetMode="External"/><Relationship Id="rId14" Type="http://schemas.openxmlformats.org/officeDocument/2006/relationships/hyperlink" Target="mailto:infratelcosas@gmail.com" TargetMode="External"/><Relationship Id="rId56" Type="http://schemas.openxmlformats.org/officeDocument/2006/relationships/hyperlink" Target="mailto:william.hernandez@construgen.com" TargetMode="External"/><Relationship Id="rId317" Type="http://schemas.openxmlformats.org/officeDocument/2006/relationships/hyperlink" Target="mailto:juan.grajales@spci.com.co" TargetMode="External"/><Relationship Id="rId359" Type="http://schemas.openxmlformats.org/officeDocument/2006/relationships/hyperlink" Target="mailto:susana.cardona@desur.gov.co" TargetMode="External"/><Relationship Id="rId524" Type="http://schemas.openxmlformats.org/officeDocument/2006/relationships/comments" Target="../comments4.xml"/><Relationship Id="rId98" Type="http://schemas.openxmlformats.org/officeDocument/2006/relationships/hyperlink" Target="mailto:robibimaldonado@hotmail.com" TargetMode="External"/><Relationship Id="rId121" Type="http://schemas.openxmlformats.org/officeDocument/2006/relationships/hyperlink" Target="mailto:david.lopera@socomes.com" TargetMode="External"/><Relationship Id="rId163" Type="http://schemas.openxmlformats.org/officeDocument/2006/relationships/hyperlink" Target="mailto:dir.comercial@spcisas.com.co" TargetMode="External"/><Relationship Id="rId219" Type="http://schemas.openxmlformats.org/officeDocument/2006/relationships/hyperlink" Target="mailto:juan.grajales@spci.com.co" TargetMode="External"/><Relationship Id="rId370" Type="http://schemas.openxmlformats.org/officeDocument/2006/relationships/hyperlink" Target="mailto:admobra@fundacioncompartir.org" TargetMode="External"/><Relationship Id="rId426" Type="http://schemas.openxmlformats.org/officeDocument/2006/relationships/hyperlink" Target="mailto:disenos@coinsi.com" TargetMode="External"/><Relationship Id="rId230" Type="http://schemas.openxmlformats.org/officeDocument/2006/relationships/hyperlink" Target="mailto:comercial@dcs.com.co" TargetMode="External"/><Relationship Id="rId468" Type="http://schemas.openxmlformats.org/officeDocument/2006/relationships/hyperlink" Target="mailto:ed@zupetrol.com" TargetMode="External"/><Relationship Id="rId25" Type="http://schemas.openxmlformats.org/officeDocument/2006/relationships/hyperlink" Target="mailto:paolopez@ensambleespaciosvivos.com" TargetMode="External"/><Relationship Id="rId67" Type="http://schemas.openxmlformats.org/officeDocument/2006/relationships/hyperlink" Target="mailto:mauroguzmanspci@gmail.com" TargetMode="External"/><Relationship Id="rId272" Type="http://schemas.openxmlformats.org/officeDocument/2006/relationships/hyperlink" Target="mailto:juan.grajales@spci.com.co" TargetMode="External"/><Relationship Id="rId328" Type="http://schemas.openxmlformats.org/officeDocument/2006/relationships/hyperlink" Target="mailto:proyectos@fpservices.com.co" TargetMode="External"/><Relationship Id="rId132" Type="http://schemas.openxmlformats.org/officeDocument/2006/relationships/hyperlink" Target="mailto:avelasquez@admirisltda.com" TargetMode="External"/><Relationship Id="rId174" Type="http://schemas.openxmlformats.org/officeDocument/2006/relationships/hyperlink" Target="mailto:paolopez@ensambleespaciosvivos.com" TargetMode="External"/><Relationship Id="rId381" Type="http://schemas.openxmlformats.org/officeDocument/2006/relationships/hyperlink" Target="mailto:juan.grajales@spci.com.co" TargetMode="External"/><Relationship Id="rId241" Type="http://schemas.openxmlformats.org/officeDocument/2006/relationships/hyperlink" Target="mailto:gino1037@hotmail.com" TargetMode="External"/><Relationship Id="rId437" Type="http://schemas.openxmlformats.org/officeDocument/2006/relationships/hyperlink" Target="mailto:gino1037@hotmail.com" TargetMode="External"/><Relationship Id="rId479" Type="http://schemas.openxmlformats.org/officeDocument/2006/relationships/hyperlink" Target="mailto:costosypresupuestos1@spcisas.com.co" TargetMode="External"/><Relationship Id="rId36" Type="http://schemas.openxmlformats.org/officeDocument/2006/relationships/hyperlink" Target="mailto:avelasquez@admirisltda.com" TargetMode="External"/><Relationship Id="rId283" Type="http://schemas.openxmlformats.org/officeDocument/2006/relationships/hyperlink" Target="mailto:cristianlondono@mensulaingenieros.com" TargetMode="External"/><Relationship Id="rId339" Type="http://schemas.openxmlformats.org/officeDocument/2006/relationships/hyperlink" Target="mailto:costosypresupuestos1@spcisas.com.co" TargetMode="External"/><Relationship Id="rId490" Type="http://schemas.openxmlformats.org/officeDocument/2006/relationships/hyperlink" Target="mailto:admobra@fundacioncompartir.org" TargetMode="External"/><Relationship Id="rId504" Type="http://schemas.openxmlformats.org/officeDocument/2006/relationships/hyperlink" Target="mailto:jecheverri@londonogomez.com" TargetMode="External"/><Relationship Id="rId78" Type="http://schemas.openxmlformats.org/officeDocument/2006/relationships/hyperlink" Target="mailto:proyectos1spci@gmail.com" TargetMode="External"/><Relationship Id="rId101" Type="http://schemas.openxmlformats.org/officeDocument/2006/relationships/hyperlink" Target="mailto:fevgiral@bancolombia.com.co" TargetMode="External"/><Relationship Id="rId143" Type="http://schemas.openxmlformats.org/officeDocument/2006/relationships/hyperlink" Target="mailto:presupuestosglobalayc@gmail.com" TargetMode="External"/><Relationship Id="rId185" Type="http://schemas.openxmlformats.org/officeDocument/2006/relationships/hyperlink" Target="mailto:jcardonm@gmail.com" TargetMode="External"/><Relationship Id="rId350" Type="http://schemas.openxmlformats.org/officeDocument/2006/relationships/hyperlink" Target="mailto:jcotame@agrosavia.co" TargetMode="External"/><Relationship Id="rId406" Type="http://schemas.openxmlformats.org/officeDocument/2006/relationships/hyperlink" Target="mailto:dir.proyectos2@spcisas.com.co" TargetMode="External"/><Relationship Id="rId9" Type="http://schemas.openxmlformats.org/officeDocument/2006/relationships/hyperlink" Target="mailto:cristiamondragon.spci@gmail.com" TargetMode="External"/><Relationship Id="rId210" Type="http://schemas.openxmlformats.org/officeDocument/2006/relationships/hyperlink" Target="mailto:andrea.poveda@ospinas.com.co" TargetMode="External"/><Relationship Id="rId392" Type="http://schemas.openxmlformats.org/officeDocument/2006/relationships/hyperlink" Target="mailto:dir.proyectos2@spcisas.com.co" TargetMode="External"/><Relationship Id="rId448" Type="http://schemas.openxmlformats.org/officeDocument/2006/relationships/hyperlink" Target="mailto:cakintero@gmail.com" TargetMode="External"/><Relationship Id="rId252" Type="http://schemas.openxmlformats.org/officeDocument/2006/relationships/hyperlink" Target="mailto:alejandra.ochoa@sp-ing.com.co" TargetMode="External"/><Relationship Id="rId294" Type="http://schemas.openxmlformats.org/officeDocument/2006/relationships/hyperlink" Target="mailto:Emailparangor@conconcreto.com" TargetMode="External"/><Relationship Id="rId308" Type="http://schemas.openxmlformats.org/officeDocument/2006/relationships/hyperlink" Target="mailto:juan.grajales@spci.com.co" TargetMode="External"/><Relationship Id="rId515" Type="http://schemas.openxmlformats.org/officeDocument/2006/relationships/hyperlink" Target="mailto:ingenieria@3mingenieros.com.co" TargetMode="External"/><Relationship Id="rId47" Type="http://schemas.openxmlformats.org/officeDocument/2006/relationships/hyperlink" Target="mailto:gino1037@hotmail.com" TargetMode="External"/><Relationship Id="rId89" Type="http://schemas.openxmlformats.org/officeDocument/2006/relationships/hyperlink" Target="mailto:paulinaisaza@trazosurbanos.com.co" TargetMode="External"/><Relationship Id="rId112" Type="http://schemas.openxmlformats.org/officeDocument/2006/relationships/hyperlink" Target="mailto:mauroguzmanspci@gmail.com" TargetMode="External"/><Relationship Id="rId154" Type="http://schemas.openxmlformats.org/officeDocument/2006/relationships/hyperlink" Target="mailto:david.lopera@socomes.com" TargetMode="External"/><Relationship Id="rId361" Type="http://schemas.openxmlformats.org/officeDocument/2006/relationships/hyperlink" Target="mailto:disenos@coinsi.com" TargetMode="External"/><Relationship Id="rId196" Type="http://schemas.openxmlformats.org/officeDocument/2006/relationships/hyperlink" Target="mailto:jorge.escobar@espiralstudio.co" TargetMode="External"/><Relationship Id="rId417" Type="http://schemas.openxmlformats.org/officeDocument/2006/relationships/hyperlink" Target="mailto:john.gomez@obrasde.com" TargetMode="External"/><Relationship Id="rId459" Type="http://schemas.openxmlformats.org/officeDocument/2006/relationships/hyperlink" Target="mailto:paolopez@ensambleespaciosvivos.com" TargetMode="External"/><Relationship Id="rId16" Type="http://schemas.openxmlformats.org/officeDocument/2006/relationships/hyperlink" Target="mailto:elarpre.deco@gmail.com" TargetMode="External"/><Relationship Id="rId221" Type="http://schemas.openxmlformats.org/officeDocument/2006/relationships/hyperlink" Target="mailto:cristiamondragon.spci@gmail.com" TargetMode="External"/><Relationship Id="rId263" Type="http://schemas.openxmlformats.org/officeDocument/2006/relationships/hyperlink" Target="mailto:juan.grajales@spci.com.co" TargetMode="External"/><Relationship Id="rId319" Type="http://schemas.openxmlformats.org/officeDocument/2006/relationships/hyperlink" Target="mailto:asierra@sierrastudio.com.co" TargetMode="External"/><Relationship Id="rId470" Type="http://schemas.openxmlformats.org/officeDocument/2006/relationships/hyperlink" Target="mailto:cva.arquitectos@gmail.com" TargetMode="External"/><Relationship Id="rId58" Type="http://schemas.openxmlformats.org/officeDocument/2006/relationships/hyperlink" Target="mailto:dir.comercial@spcisas.com.co" TargetMode="External"/><Relationship Id="rId123" Type="http://schemas.openxmlformats.org/officeDocument/2006/relationships/hyperlink" Target="mailto:alejandrorestrepom@gmail.com" TargetMode="External"/><Relationship Id="rId330" Type="http://schemas.openxmlformats.org/officeDocument/2006/relationships/hyperlink" Target="mailto:gustavomontoya@arquitecturayconcreto.com" TargetMode="External"/><Relationship Id="rId165" Type="http://schemas.openxmlformats.org/officeDocument/2006/relationships/hyperlink" Target="mailto:mferrer@interve.co" TargetMode="External"/><Relationship Id="rId372" Type="http://schemas.openxmlformats.org/officeDocument/2006/relationships/hyperlink" Target="mailto:gsierra@interve.co" TargetMode="External"/><Relationship Id="rId428" Type="http://schemas.openxmlformats.org/officeDocument/2006/relationships/hyperlink" Target="mailto:susana.cardona@desur.gov.co" TargetMode="External"/><Relationship Id="rId232" Type="http://schemas.openxmlformats.org/officeDocument/2006/relationships/hyperlink" Target="mailto:proyectos@santiagorojas.com.co" TargetMode="External"/><Relationship Id="rId274" Type="http://schemas.openxmlformats.org/officeDocument/2006/relationships/hyperlink" Target="mailto:jmoreno@inma.com.co" TargetMode="External"/><Relationship Id="rId481" Type="http://schemas.openxmlformats.org/officeDocument/2006/relationships/hyperlink" Target="mailto:andrea.sanchez@studiosur.net" TargetMode="External"/><Relationship Id="rId27" Type="http://schemas.openxmlformats.org/officeDocument/2006/relationships/hyperlink" Target="mailto:david.lopera@socomes.com" TargetMode="External"/><Relationship Id="rId69" Type="http://schemas.openxmlformats.org/officeDocument/2006/relationships/hyperlink" Target="mailto:avelasquez@admirisltda.com" TargetMode="External"/><Relationship Id="rId134" Type="http://schemas.openxmlformats.org/officeDocument/2006/relationships/hyperlink" Target="mailto:cristiamondragon.spci@gmail.com" TargetMode="External"/><Relationship Id="rId80" Type="http://schemas.openxmlformats.org/officeDocument/2006/relationships/hyperlink" Target="mailto:proyectos1spci@gmail.com" TargetMode="External"/><Relationship Id="rId176" Type="http://schemas.openxmlformats.org/officeDocument/2006/relationships/hyperlink" Target="mailto:analistap1.aprovisionamiento@coprocenva.coop" TargetMode="External"/><Relationship Id="rId341" Type="http://schemas.openxmlformats.org/officeDocument/2006/relationships/hyperlink" Target="mailto:gerenciafw@hotmail.com" TargetMode="External"/><Relationship Id="rId383" Type="http://schemas.openxmlformats.org/officeDocument/2006/relationships/hyperlink" Target="mailto:proyectos2@jomarkseguridad.com" TargetMode="External"/><Relationship Id="rId439" Type="http://schemas.openxmlformats.org/officeDocument/2006/relationships/hyperlink" Target="mailto:Brandet.Maya@epm.com.co" TargetMode="External"/><Relationship Id="rId201" Type="http://schemas.openxmlformats.org/officeDocument/2006/relationships/hyperlink" Target="mailto:hectorcamelo@estructurar.co" TargetMode="External"/><Relationship Id="rId243" Type="http://schemas.openxmlformats.org/officeDocument/2006/relationships/hyperlink" Target="mailto:n.garcia@condiseno.co" TargetMode="External"/><Relationship Id="rId285" Type="http://schemas.openxmlformats.org/officeDocument/2006/relationships/hyperlink" Target="mailto:e.rodriguez@constelec.com" TargetMode="External"/><Relationship Id="rId450" Type="http://schemas.openxmlformats.org/officeDocument/2006/relationships/hyperlink" Target="mailto:rectoria@politecnicodecolombia.edu.co" TargetMode="External"/><Relationship Id="rId506" Type="http://schemas.openxmlformats.org/officeDocument/2006/relationships/hyperlink" Target="mailto:Vanessazapata.fcr@gmail.com" TargetMode="External"/><Relationship Id="rId38" Type="http://schemas.openxmlformats.org/officeDocument/2006/relationships/hyperlink" Target="mailto:gino1037@hotmail.com" TargetMode="External"/><Relationship Id="rId103" Type="http://schemas.openxmlformats.org/officeDocument/2006/relationships/hyperlink" Target="mailto:ascomercial@securetec.com.co" TargetMode="External"/><Relationship Id="rId310" Type="http://schemas.openxmlformats.org/officeDocument/2006/relationships/hyperlink" Target="mailto:dirproyectos@securetec.com.co" TargetMode="External"/><Relationship Id="rId492" Type="http://schemas.openxmlformats.org/officeDocument/2006/relationships/hyperlink" Target="mailto:edwin.cortes@grupoexcala.com" TargetMode="External"/><Relationship Id="rId91" Type="http://schemas.openxmlformats.org/officeDocument/2006/relationships/hyperlink" Target="mailto:proyectos@santiagorojas.com.co" TargetMode="External"/><Relationship Id="rId145" Type="http://schemas.openxmlformats.org/officeDocument/2006/relationships/hyperlink" Target="mailto:proyectos@prosoma.com.co" TargetMode="External"/><Relationship Id="rId187" Type="http://schemas.openxmlformats.org/officeDocument/2006/relationships/hyperlink" Target="mailto:n.garcia@condiseno.co" TargetMode="External"/><Relationship Id="rId352" Type="http://schemas.openxmlformats.org/officeDocument/2006/relationships/hyperlink" Target="mailto:daniel.montoya@hbfuller.com" TargetMode="External"/><Relationship Id="rId394" Type="http://schemas.openxmlformats.org/officeDocument/2006/relationships/hyperlink" Target="mailto:d.henao@stratego.com.co" TargetMode="External"/><Relationship Id="rId408" Type="http://schemas.openxmlformats.org/officeDocument/2006/relationships/hyperlink" Target="mailto:juan.grajales@spci.com.co" TargetMode="External"/><Relationship Id="rId212" Type="http://schemas.openxmlformats.org/officeDocument/2006/relationships/hyperlink" Target="mailto:lsaldarriaga@londonogomez.com" TargetMode="External"/><Relationship Id="rId254" Type="http://schemas.openxmlformats.org/officeDocument/2006/relationships/hyperlink" Target="mailto:dir.tecnico@spcisas.com.co" TargetMode="External"/><Relationship Id="rId49" Type="http://schemas.openxmlformats.org/officeDocument/2006/relationships/hyperlink" Target="mailto:juan.grajales@spci.com.co" TargetMode="External"/><Relationship Id="rId114" Type="http://schemas.openxmlformats.org/officeDocument/2006/relationships/hyperlink" Target="mailto:josemaya@firemarshal.com.co" TargetMode="External"/><Relationship Id="rId296" Type="http://schemas.openxmlformats.org/officeDocument/2006/relationships/hyperlink" Target="mailto:david.lopera@socomes.com" TargetMode="External"/><Relationship Id="rId461" Type="http://schemas.openxmlformats.org/officeDocument/2006/relationships/hyperlink" Target="mailto:hola@sensibleestudio.com" TargetMode="External"/><Relationship Id="rId517" Type="http://schemas.openxmlformats.org/officeDocument/2006/relationships/hyperlink" Target="mailto:Vanessazapata.fcr@gmail.com" TargetMode="External"/><Relationship Id="rId60" Type="http://schemas.openxmlformats.org/officeDocument/2006/relationships/hyperlink" Target="mailto:jjaramillo@conexoinmobiliario.com" TargetMode="External"/><Relationship Id="rId156" Type="http://schemas.openxmlformats.org/officeDocument/2006/relationships/hyperlink" Target="mailto:tavojaramillo@gmail.com" TargetMode="External"/><Relationship Id="rId198" Type="http://schemas.openxmlformats.org/officeDocument/2006/relationships/hyperlink" Target="mailto:direccionuart@gmail.co" TargetMode="External"/><Relationship Id="rId321" Type="http://schemas.openxmlformats.org/officeDocument/2006/relationships/hyperlink" Target="mailto:blancasaldarriaga@arquitecturayconcreto.com" TargetMode="External"/><Relationship Id="rId363" Type="http://schemas.openxmlformats.org/officeDocument/2006/relationships/hyperlink" Target="mailto:sebastiangiraldo@mensulaingenieros.com" TargetMode="External"/><Relationship Id="rId419" Type="http://schemas.openxmlformats.org/officeDocument/2006/relationships/hyperlink" Target="mailto:arestrepoe@conconcreto.com" TargetMode="External"/><Relationship Id="rId223" Type="http://schemas.openxmlformats.org/officeDocument/2006/relationships/hyperlink" Target="mailto:natalia.mejia@desur.gov.co" TargetMode="External"/><Relationship Id="rId430" Type="http://schemas.openxmlformats.org/officeDocument/2006/relationships/hyperlink" Target="mailto:david.lopera@socomes.com" TargetMode="External"/><Relationship Id="rId18" Type="http://schemas.openxmlformats.org/officeDocument/2006/relationships/hyperlink" Target="mailto:lmontoyaspci@gmail.com" TargetMode="External"/><Relationship Id="rId265" Type="http://schemas.openxmlformats.org/officeDocument/2006/relationships/hyperlink" Target="mailto:cristiamondragon.spci@gmail.com" TargetMode="External"/><Relationship Id="rId472" Type="http://schemas.openxmlformats.org/officeDocument/2006/relationships/hyperlink" Target="mailto:n.garcia@condiseno.co" TargetMode="External"/><Relationship Id="rId125" Type="http://schemas.openxmlformats.org/officeDocument/2006/relationships/hyperlink" Target="mailto:dir.comercial@spcisas.com.co" TargetMode="External"/><Relationship Id="rId167" Type="http://schemas.openxmlformats.org/officeDocument/2006/relationships/hyperlink" Target="mailto:Proyectos2@jomarkseguridad.com" TargetMode="External"/><Relationship Id="rId332" Type="http://schemas.openxmlformats.org/officeDocument/2006/relationships/hyperlink" Target="mailto:Proyectos2@jomarkseguridad.com" TargetMode="External"/><Relationship Id="rId374" Type="http://schemas.openxmlformats.org/officeDocument/2006/relationships/hyperlink" Target="mailto:casaldarriaga@ces.edu.co" TargetMode="External"/><Relationship Id="rId71" Type="http://schemas.openxmlformats.org/officeDocument/2006/relationships/hyperlink" Target="mailto:jcgomez@crantioquia.org.co" TargetMode="External"/><Relationship Id="rId234" Type="http://schemas.openxmlformats.org/officeDocument/2006/relationships/hyperlink" Target="mailto:santtoce@colsubsidio.com" TargetMode="External"/><Relationship Id="rId2" Type="http://schemas.openxmlformats.org/officeDocument/2006/relationships/hyperlink" Target="mailto:andrea.sanchez@studiosur.net" TargetMode="External"/><Relationship Id="rId29" Type="http://schemas.openxmlformats.org/officeDocument/2006/relationships/hyperlink" Target="mailto:juan.grajales@spci.com.co" TargetMode="External"/><Relationship Id="rId276" Type="http://schemas.openxmlformats.org/officeDocument/2006/relationships/hyperlink" Target="mailto:david.lopera@socomes.com" TargetMode="External"/><Relationship Id="rId441" Type="http://schemas.openxmlformats.org/officeDocument/2006/relationships/hyperlink" Target="mailto:proyectos1spci@gmail.com" TargetMode="External"/><Relationship Id="rId483" Type="http://schemas.openxmlformats.org/officeDocument/2006/relationships/hyperlink" Target="mailto:juan.grajales@spci.com.co" TargetMode="External"/><Relationship Id="rId40" Type="http://schemas.openxmlformats.org/officeDocument/2006/relationships/hyperlink" Target="mailto:david.lopera@socomes.com" TargetMode="External"/><Relationship Id="rId136" Type="http://schemas.openxmlformats.org/officeDocument/2006/relationships/hyperlink" Target="mailto:nestor.garcia@espiral.com.co" TargetMode="External"/><Relationship Id="rId178" Type="http://schemas.openxmlformats.org/officeDocument/2006/relationships/hyperlink" Target="mailto:direccionregional@ashesfire.co" TargetMode="External"/><Relationship Id="rId301" Type="http://schemas.openxmlformats.org/officeDocument/2006/relationships/hyperlink" Target="mailto:juan.grajales@spci.com.co" TargetMode="External"/><Relationship Id="rId343" Type="http://schemas.openxmlformats.org/officeDocument/2006/relationships/hyperlink" Target="mailto:eceballos@contex.com.co" TargetMode="External"/><Relationship Id="rId82" Type="http://schemas.openxmlformats.org/officeDocument/2006/relationships/hyperlink" Target="mailto:gino1037@hotmail.com" TargetMode="External"/><Relationship Id="rId203" Type="http://schemas.openxmlformats.org/officeDocument/2006/relationships/hyperlink" Target="mailto:mauricio.gutierrez@spci.com.co" TargetMode="External"/><Relationship Id="rId385" Type="http://schemas.openxmlformats.org/officeDocument/2006/relationships/hyperlink" Target="mailto:Wilton.Grisales@melcol.com.co" TargetMode="External"/><Relationship Id="rId245" Type="http://schemas.openxmlformats.org/officeDocument/2006/relationships/hyperlink" Target="mailto:dircalidadytalentohumano@josema.edu.co" TargetMode="External"/><Relationship Id="rId287" Type="http://schemas.openxmlformats.org/officeDocument/2006/relationships/hyperlink" Target="mailto:juan.grajales@spci.com.co" TargetMode="External"/><Relationship Id="rId410" Type="http://schemas.openxmlformats.org/officeDocument/2006/relationships/hyperlink" Target="mailto:leidyalzateq@clinicaces.edu.co" TargetMode="External"/><Relationship Id="rId452" Type="http://schemas.openxmlformats.org/officeDocument/2006/relationships/hyperlink" Target="mailto:hectorcamelo@estructurar.co" TargetMode="External"/><Relationship Id="rId494" Type="http://schemas.openxmlformats.org/officeDocument/2006/relationships/hyperlink" Target="mailto:residenteciviles1@civiles-sas.com" TargetMode="External"/><Relationship Id="rId508" Type="http://schemas.openxmlformats.org/officeDocument/2006/relationships/hyperlink" Target="mailto:carlos.henao@seriinco.com" TargetMode="External"/><Relationship Id="rId105" Type="http://schemas.openxmlformats.org/officeDocument/2006/relationships/hyperlink" Target="mailto:clopez@rowtecnologia.com" TargetMode="External"/><Relationship Id="rId147" Type="http://schemas.openxmlformats.org/officeDocument/2006/relationships/hyperlink" Target="mailto:amayamariac09@gmail.com" TargetMode="External"/><Relationship Id="rId312" Type="http://schemas.openxmlformats.org/officeDocument/2006/relationships/hyperlink" Target="mailto:daniel.montoya@hbfuller.com" TargetMode="External"/><Relationship Id="rId354" Type="http://schemas.openxmlformats.org/officeDocument/2006/relationships/hyperlink" Target="mailto:dianacardona@inhauser.co" TargetMode="External"/><Relationship Id="rId51" Type="http://schemas.openxmlformats.org/officeDocument/2006/relationships/hyperlink" Target="mailto:david.lopera@socomes.com" TargetMode="External"/><Relationship Id="rId93" Type="http://schemas.openxmlformats.org/officeDocument/2006/relationships/hyperlink" Target="mailto:obras@ces.edu.co" TargetMode="External"/><Relationship Id="rId189" Type="http://schemas.openxmlformats.org/officeDocument/2006/relationships/hyperlink" Target="mailto:avelasquez@admirisltda.com" TargetMode="External"/><Relationship Id="rId396" Type="http://schemas.openxmlformats.org/officeDocument/2006/relationships/hyperlink" Target="mailto:dir.mantenimiento@spcisas.com.co" TargetMode="External"/><Relationship Id="rId214" Type="http://schemas.openxmlformats.org/officeDocument/2006/relationships/hyperlink" Target="mailto:proyectos1spci@gmail.com" TargetMode="External"/><Relationship Id="rId256" Type="http://schemas.openxmlformats.org/officeDocument/2006/relationships/hyperlink" Target="mailto:proyectos@prosoma.com.co" TargetMode="External"/><Relationship Id="rId298" Type="http://schemas.openxmlformats.org/officeDocument/2006/relationships/hyperlink" Target="mailto:j.olmos@link-inmobiliario.com" TargetMode="External"/><Relationship Id="rId421" Type="http://schemas.openxmlformats.org/officeDocument/2006/relationships/hyperlink" Target="mailto:gaguirre@solciviles.com" TargetMode="External"/><Relationship Id="rId463" Type="http://schemas.openxmlformats.org/officeDocument/2006/relationships/hyperlink" Target="mailto:360proyectosingenieria@gmail.com" TargetMode="External"/><Relationship Id="rId519" Type="http://schemas.openxmlformats.org/officeDocument/2006/relationships/hyperlink" Target="mailto:juan.grajales@spci.com.co" TargetMode="External"/><Relationship Id="rId116" Type="http://schemas.openxmlformats.org/officeDocument/2006/relationships/hyperlink" Target="mailto:n.garcia@condiseno.co" TargetMode="External"/><Relationship Id="rId158" Type="http://schemas.openxmlformats.org/officeDocument/2006/relationships/hyperlink" Target="mailto:david.lopera@socomes.com" TargetMode="External"/><Relationship Id="rId323" Type="http://schemas.openxmlformats.org/officeDocument/2006/relationships/hyperlink" Target="mailto:juan.grajales@spci.com.co" TargetMode="External"/><Relationship Id="rId20" Type="http://schemas.openxmlformats.org/officeDocument/2006/relationships/hyperlink" Target="mailto:lmontoyaspci@gmail.com" TargetMode="External"/><Relationship Id="rId62" Type="http://schemas.openxmlformats.org/officeDocument/2006/relationships/hyperlink" Target="mailto:andresreinosa@iayc.co" TargetMode="External"/><Relationship Id="rId365" Type="http://schemas.openxmlformats.org/officeDocument/2006/relationships/hyperlink" Target="mailto:residente2@procoi.com" TargetMode="External"/><Relationship Id="rId225" Type="http://schemas.openxmlformats.org/officeDocument/2006/relationships/hyperlink" Target="mailto:juan.grajales@spci.com.co" TargetMode="External"/><Relationship Id="rId267" Type="http://schemas.openxmlformats.org/officeDocument/2006/relationships/hyperlink" Target="mailto:jcamilo.builes@ingeniobim.co" TargetMode="External"/><Relationship Id="rId432" Type="http://schemas.openxmlformats.org/officeDocument/2006/relationships/hyperlink" Target="mailto:arquitectura1@pye.com.co" TargetMode="External"/><Relationship Id="rId474" Type="http://schemas.openxmlformats.org/officeDocument/2006/relationships/hyperlink" Target="mailto:juan.grajales@spci.com.co" TargetMode="External"/><Relationship Id="rId127" Type="http://schemas.openxmlformats.org/officeDocument/2006/relationships/hyperlink" Target="mailto:estevancastano@gmail.com" TargetMode="External"/><Relationship Id="rId31" Type="http://schemas.openxmlformats.org/officeDocument/2006/relationships/hyperlink" Target="mailto:cristian.marin@espiral.com.co" TargetMode="External"/><Relationship Id="rId73" Type="http://schemas.openxmlformats.org/officeDocument/2006/relationships/hyperlink" Target="mailto:proyectos@procoi.com" TargetMode="External"/><Relationship Id="rId169" Type="http://schemas.openxmlformats.org/officeDocument/2006/relationships/hyperlink" Target="mailto:arestrepoe@conconcreto.com" TargetMode="External"/><Relationship Id="rId334" Type="http://schemas.openxmlformats.org/officeDocument/2006/relationships/hyperlink" Target="mailto:jaristizabal@con-axion.com" TargetMode="External"/><Relationship Id="rId376" Type="http://schemas.openxmlformats.org/officeDocument/2006/relationships/hyperlink" Target="mailto:david.lopera@socomes.com" TargetMode="External"/><Relationship Id="rId4" Type="http://schemas.openxmlformats.org/officeDocument/2006/relationships/hyperlink" Target="mailto:cristianlondono@mensulaingenieros.com" TargetMode="External"/><Relationship Id="rId180" Type="http://schemas.openxmlformats.org/officeDocument/2006/relationships/hyperlink" Target="mailto:jorge.velez@socoda.com.co" TargetMode="External"/><Relationship Id="rId236" Type="http://schemas.openxmlformats.org/officeDocument/2006/relationships/hyperlink" Target="mailto:Buena_mesa@hotmail.com" TargetMode="External"/><Relationship Id="rId278" Type="http://schemas.openxmlformats.org/officeDocument/2006/relationships/hyperlink" Target="mailto:proyectos1spci@gmail.com" TargetMode="External"/><Relationship Id="rId401" Type="http://schemas.openxmlformats.org/officeDocument/2006/relationships/hyperlink" Target="mailto:proyectos2@jomarkseguridad.com" TargetMode="External"/><Relationship Id="rId443" Type="http://schemas.openxmlformats.org/officeDocument/2006/relationships/hyperlink" Target="mailto:proyectos1spci@gmail.com" TargetMode="External"/><Relationship Id="rId303" Type="http://schemas.openxmlformats.org/officeDocument/2006/relationships/hyperlink" Target="mailto:costosypresupuestos1@spcisas.com.co" TargetMode="External"/><Relationship Id="rId485" Type="http://schemas.openxmlformats.org/officeDocument/2006/relationships/hyperlink" Target="mailto:juan.grajales@spci.com.co" TargetMode="External"/><Relationship Id="rId42" Type="http://schemas.openxmlformats.org/officeDocument/2006/relationships/hyperlink" Target="mailto:jllamas@hidromaq-gt.com" TargetMode="External"/><Relationship Id="rId84" Type="http://schemas.openxmlformats.org/officeDocument/2006/relationships/hyperlink" Target="mailto:cristiamondragon.spci@gmail.com" TargetMode="External"/><Relationship Id="rId138" Type="http://schemas.openxmlformats.org/officeDocument/2006/relationships/hyperlink" Target="mailto:proyectos@santiagorojas.com.co" TargetMode="External"/><Relationship Id="rId345" Type="http://schemas.openxmlformats.org/officeDocument/2006/relationships/hyperlink" Target="mailto:costosypresupuestos1@spcisas.com.co" TargetMode="External"/><Relationship Id="rId387" Type="http://schemas.openxmlformats.org/officeDocument/2006/relationships/hyperlink" Target="mailto:carlos.munera@cuadraporcuadra.com" TargetMode="External"/><Relationship Id="rId510" Type="http://schemas.openxmlformats.org/officeDocument/2006/relationships/hyperlink" Target="mailto:yaddy.giron@solida.com.co" TargetMode="External"/><Relationship Id="rId191" Type="http://schemas.openxmlformats.org/officeDocument/2006/relationships/hyperlink" Target="mailto:cristiamondragon.spci@gmail.com" TargetMode="External"/><Relationship Id="rId205" Type="http://schemas.openxmlformats.org/officeDocument/2006/relationships/hyperlink" Target="mailto:LGLONDON@gmail.com" TargetMode="External"/><Relationship Id="rId247" Type="http://schemas.openxmlformats.org/officeDocument/2006/relationships/hyperlink" Target="mailto:cristiamondragon.spci@gmail.com" TargetMode="External"/><Relationship Id="rId412" Type="http://schemas.openxmlformats.org/officeDocument/2006/relationships/hyperlink" Target="mailto:fabervilla1@gmail.com" TargetMode="External"/><Relationship Id="rId107" Type="http://schemas.openxmlformats.org/officeDocument/2006/relationships/hyperlink" Target="mailto:alvaromanosalva@sfiregroup.com" TargetMode="External"/><Relationship Id="rId289" Type="http://schemas.openxmlformats.org/officeDocument/2006/relationships/hyperlink" Target="mailto:juan.grajales@spci.com.co" TargetMode="External"/><Relationship Id="rId454" Type="http://schemas.openxmlformats.org/officeDocument/2006/relationships/hyperlink" Target="mailto:cristinapalacio@mensulaingenieros.com" TargetMode="External"/><Relationship Id="rId496" Type="http://schemas.openxmlformats.org/officeDocument/2006/relationships/hyperlink" Target="mailto:sarafrancorendon@gmail.com" TargetMode="External"/><Relationship Id="rId11" Type="http://schemas.openxmlformats.org/officeDocument/2006/relationships/hyperlink" Target="mailto:juan.grajales@spci.com.co" TargetMode="External"/><Relationship Id="rId53" Type="http://schemas.openxmlformats.org/officeDocument/2006/relationships/hyperlink" Target="mailto:alejandrogomezvillegas@gmail.com" TargetMode="External"/><Relationship Id="rId149" Type="http://schemas.openxmlformats.org/officeDocument/2006/relationships/hyperlink" Target="mailto:laduque@colombina.com" TargetMode="External"/><Relationship Id="rId314" Type="http://schemas.openxmlformats.org/officeDocument/2006/relationships/hyperlink" Target="mailto:Juan.Henaoo@envigado.gov.co" TargetMode="External"/><Relationship Id="rId356" Type="http://schemas.openxmlformats.org/officeDocument/2006/relationships/hyperlink" Target="mailto:catalina.catajara9@gmail.com" TargetMode="External"/><Relationship Id="rId398" Type="http://schemas.openxmlformats.org/officeDocument/2006/relationships/hyperlink" Target="mailto:yaddy.giron@solida.com.co" TargetMode="External"/><Relationship Id="rId521" Type="http://schemas.openxmlformats.org/officeDocument/2006/relationships/printerSettings" Target="../printerSettings/printerSettings4.bin"/><Relationship Id="rId95" Type="http://schemas.openxmlformats.org/officeDocument/2006/relationships/hyperlink" Target="mailto:jjaramillo@conexoinmobiliario.com" TargetMode="External"/><Relationship Id="rId160" Type="http://schemas.openxmlformats.org/officeDocument/2006/relationships/hyperlink" Target="mailto:daniel.echeverri@avanteing.com" TargetMode="External"/><Relationship Id="rId216" Type="http://schemas.openxmlformats.org/officeDocument/2006/relationships/hyperlink" Target="mailto:juan.grajales@spci.com.co" TargetMode="External"/><Relationship Id="rId423" Type="http://schemas.openxmlformats.org/officeDocument/2006/relationships/hyperlink" Target="mailto:arquitecta.alejandrasanchez@gmail.com" TargetMode="External"/><Relationship Id="rId258" Type="http://schemas.openxmlformats.org/officeDocument/2006/relationships/hyperlink" Target="mailto:dir.proyectos5@spcisas.com.co" TargetMode="External"/><Relationship Id="rId465" Type="http://schemas.openxmlformats.org/officeDocument/2006/relationships/hyperlink" Target="mailto:costosypresupuestos1@spcisas.com.co" TargetMode="External"/><Relationship Id="rId22" Type="http://schemas.openxmlformats.org/officeDocument/2006/relationships/hyperlink" Target="mailto:alejandroyepes@ingenieriayvivienda.com" TargetMode="External"/><Relationship Id="rId64" Type="http://schemas.openxmlformats.org/officeDocument/2006/relationships/hyperlink" Target="mailto:blancasaldarriaga@arquitecturayconcreto.com" TargetMode="External"/><Relationship Id="rId118" Type="http://schemas.openxmlformats.org/officeDocument/2006/relationships/hyperlink" Target="mailto:ing.luisalejandrov@gmail.com" TargetMode="External"/><Relationship Id="rId325" Type="http://schemas.openxmlformats.org/officeDocument/2006/relationships/hyperlink" Target="mailto:harlentrespalacios@trazosurbanos.com.co" TargetMode="External"/><Relationship Id="rId367" Type="http://schemas.openxmlformats.org/officeDocument/2006/relationships/hyperlink" Target="mailto:costosypresupuestos1@spcisas.com.co" TargetMode="External"/><Relationship Id="rId171" Type="http://schemas.openxmlformats.org/officeDocument/2006/relationships/hyperlink" Target="mailto:Juan.martinez@grupomingenieria.com.co" TargetMode="External"/><Relationship Id="rId227" Type="http://schemas.openxmlformats.org/officeDocument/2006/relationships/hyperlink" Target="mailto:lady.lopez@spci.com.co" TargetMode="External"/><Relationship Id="rId269" Type="http://schemas.openxmlformats.org/officeDocument/2006/relationships/hyperlink" Target="mailto:n.garcia@condiseno.co" TargetMode="External"/><Relationship Id="rId434" Type="http://schemas.openxmlformats.org/officeDocument/2006/relationships/hyperlink" Target="mailto:proyectos@santiagorojas.com.co" TargetMode="External"/><Relationship Id="rId476" Type="http://schemas.openxmlformats.org/officeDocument/2006/relationships/hyperlink" Target="mailto:Jorge.rodriguez@ospinas.com.co" TargetMode="External"/><Relationship Id="rId33" Type="http://schemas.openxmlformats.org/officeDocument/2006/relationships/hyperlink" Target="mailto:avelasquez@admirisltda.com" TargetMode="External"/><Relationship Id="rId129" Type="http://schemas.openxmlformats.org/officeDocument/2006/relationships/hyperlink" Target="mailto:ljaramillog@sura.com.co" TargetMode="External"/><Relationship Id="rId280" Type="http://schemas.openxmlformats.org/officeDocument/2006/relationships/hyperlink" Target="mailto:jmoreno@inma.com.co" TargetMode="External"/><Relationship Id="rId336" Type="http://schemas.openxmlformats.org/officeDocument/2006/relationships/hyperlink" Target="mailto:mdavila@conexoinmobiliario.com" TargetMode="External"/><Relationship Id="rId501" Type="http://schemas.openxmlformats.org/officeDocument/2006/relationships/hyperlink" Target="mailto:Proyectos2@jomarkseguridad.com" TargetMode="External"/><Relationship Id="rId75" Type="http://schemas.openxmlformats.org/officeDocument/2006/relationships/hyperlink" Target="mailto:jmaserrano@gmail.com" TargetMode="External"/><Relationship Id="rId140" Type="http://schemas.openxmlformats.org/officeDocument/2006/relationships/hyperlink" Target="mailto:dir.comercial@spcisas.com.co" TargetMode="External"/><Relationship Id="rId182" Type="http://schemas.openxmlformats.org/officeDocument/2006/relationships/hyperlink" Target="mailto:arturoalcaingenieria@gmail.com" TargetMode="External"/><Relationship Id="rId378" Type="http://schemas.openxmlformats.org/officeDocument/2006/relationships/hyperlink" Target="mailto:residente4@procoi.com" TargetMode="External"/><Relationship Id="rId403" Type="http://schemas.openxmlformats.org/officeDocument/2006/relationships/hyperlink" Target="mailto:proyectos2@jomarkseguridad.com" TargetMode="External"/><Relationship Id="rId6" Type="http://schemas.openxmlformats.org/officeDocument/2006/relationships/hyperlink" Target="mailto:hacevedo@interve.co" TargetMode="External"/><Relationship Id="rId238" Type="http://schemas.openxmlformats.org/officeDocument/2006/relationships/hyperlink" Target="mailto:coordinacion@krearingenieria.com" TargetMode="External"/><Relationship Id="rId445" Type="http://schemas.openxmlformats.org/officeDocument/2006/relationships/hyperlink" Target="mailto:proyectos1spci@gmail.com" TargetMode="External"/><Relationship Id="rId487" Type="http://schemas.openxmlformats.org/officeDocument/2006/relationships/hyperlink" Target="mailto:jalon.apolo21@gmail.com" TargetMode="External"/><Relationship Id="rId291" Type="http://schemas.openxmlformats.org/officeDocument/2006/relationships/hyperlink" Target="mailto:n.garcia@condiseno.co" TargetMode="External"/><Relationship Id="rId305" Type="http://schemas.openxmlformats.org/officeDocument/2006/relationships/hyperlink" Target="mailto:gerencia@projectsolutions.com.co" TargetMode="External"/><Relationship Id="rId347" Type="http://schemas.openxmlformats.org/officeDocument/2006/relationships/hyperlink" Target="mailto:dir.proyectos4@spcisas.com.co" TargetMode="External"/><Relationship Id="rId512" Type="http://schemas.openxmlformats.org/officeDocument/2006/relationships/hyperlink" Target="mailto:costosypresupuestos1@spcisas.com.co" TargetMode="External"/><Relationship Id="rId44" Type="http://schemas.openxmlformats.org/officeDocument/2006/relationships/hyperlink" Target="mailto:jzapata@contex.com.co" TargetMode="External"/><Relationship Id="rId86" Type="http://schemas.openxmlformats.org/officeDocument/2006/relationships/hyperlink" Target="mailto:juan.diaz@altipal.com.co" TargetMode="External"/><Relationship Id="rId151" Type="http://schemas.openxmlformats.org/officeDocument/2006/relationships/hyperlink" Target="mailto:proyectos1spci@gmail.com" TargetMode="External"/><Relationship Id="rId389" Type="http://schemas.openxmlformats.org/officeDocument/2006/relationships/hyperlink" Target="mailto:dir.mantenimiento@spcisas.com.co" TargetMode="External"/><Relationship Id="rId193" Type="http://schemas.openxmlformats.org/officeDocument/2006/relationships/hyperlink" Target="mailto:proyectos@santiagorojas.com.co" TargetMode="External"/><Relationship Id="rId207" Type="http://schemas.openxmlformats.org/officeDocument/2006/relationships/hyperlink" Target="mailto:serviciotecnicoayb@hotmail.com" TargetMode="External"/><Relationship Id="rId249" Type="http://schemas.openxmlformats.org/officeDocument/2006/relationships/hyperlink" Target="mailto:proyectos1spci@gmail.com" TargetMode="External"/><Relationship Id="rId414" Type="http://schemas.openxmlformats.org/officeDocument/2006/relationships/hyperlink" Target="mailto:valeria.haydar@upb.edu.co" TargetMode="External"/><Relationship Id="rId456" Type="http://schemas.openxmlformats.org/officeDocument/2006/relationships/hyperlink" Target="mailto:julian.gutierrez@espiral.com.co" TargetMode="External"/><Relationship Id="rId498" Type="http://schemas.openxmlformats.org/officeDocument/2006/relationships/hyperlink" Target="mailto:gino1037@hotmail.com" TargetMode="External"/><Relationship Id="rId13" Type="http://schemas.openxmlformats.org/officeDocument/2006/relationships/hyperlink" Target="mailto:joseestrada@casasana.com.co" TargetMode="External"/><Relationship Id="rId109" Type="http://schemas.openxmlformats.org/officeDocument/2006/relationships/hyperlink" Target="mailto:david.lopera@socomes.com" TargetMode="External"/><Relationship Id="rId260" Type="http://schemas.openxmlformats.org/officeDocument/2006/relationships/hyperlink" Target="mailto:bravo259@hotmail.com" TargetMode="External"/><Relationship Id="rId316" Type="http://schemas.openxmlformats.org/officeDocument/2006/relationships/hyperlink" Target="mailto:bravo259@hotmail.com" TargetMode="External"/><Relationship Id="rId523" Type="http://schemas.openxmlformats.org/officeDocument/2006/relationships/vmlDrawing" Target="../drawings/vmlDrawing4.vml"/><Relationship Id="rId55" Type="http://schemas.openxmlformats.org/officeDocument/2006/relationships/hyperlink" Target="mailto:avelasquez@admirisltda.com" TargetMode="External"/><Relationship Id="rId97" Type="http://schemas.openxmlformats.org/officeDocument/2006/relationships/hyperlink" Target="mailto:jjaramillo@conexoinmobiliario.com" TargetMode="External"/><Relationship Id="rId120" Type="http://schemas.openxmlformats.org/officeDocument/2006/relationships/hyperlink" Target="mailto:david.lopera@socomes.com" TargetMode="External"/><Relationship Id="rId358" Type="http://schemas.openxmlformats.org/officeDocument/2006/relationships/hyperlink" Target="mailto:arquitecta.danielacordoba@gmail.com" TargetMode="External"/><Relationship Id="rId162" Type="http://schemas.openxmlformats.org/officeDocument/2006/relationships/hyperlink" Target="mailto:proyectos@santiagorojas.com.co" TargetMode="External"/><Relationship Id="rId218" Type="http://schemas.openxmlformats.org/officeDocument/2006/relationships/hyperlink" Target="mailto:Juan.Velandia@iff.com" TargetMode="External"/><Relationship Id="rId425" Type="http://schemas.openxmlformats.org/officeDocument/2006/relationships/hyperlink" Target="mailto:Johana.montoya@perfek.com.co" TargetMode="External"/><Relationship Id="rId467" Type="http://schemas.openxmlformats.org/officeDocument/2006/relationships/hyperlink" Target="mailto:sebastian.rojasvi@gmail.com" TargetMode="External"/><Relationship Id="rId271" Type="http://schemas.openxmlformats.org/officeDocument/2006/relationships/hyperlink" Target="mailto:ljaramillog@sura.com.co" TargetMode="External"/><Relationship Id="rId24" Type="http://schemas.openxmlformats.org/officeDocument/2006/relationships/hyperlink" Target="mailto:cristinapalacio@mensulaingenieros.com" TargetMode="External"/><Relationship Id="rId66" Type="http://schemas.openxmlformats.org/officeDocument/2006/relationships/hyperlink" Target="mailto:mauroguzmanspci@gmail.com" TargetMode="External"/><Relationship Id="rId131" Type="http://schemas.openxmlformats.org/officeDocument/2006/relationships/hyperlink" Target="mailto:gustavo.canchila@udea.edu.co" TargetMode="External"/><Relationship Id="rId327" Type="http://schemas.openxmlformats.org/officeDocument/2006/relationships/hyperlink" Target="mailto:proyectos1spci@gmail.com" TargetMode="External"/><Relationship Id="rId369" Type="http://schemas.openxmlformats.org/officeDocument/2006/relationships/hyperlink" Target="mailto:proyectos@santiagorojas.com.co" TargetMode="External"/><Relationship Id="rId173" Type="http://schemas.openxmlformats.org/officeDocument/2006/relationships/hyperlink" Target="mailto:juan.grajales@spci.com.co" TargetMode="External"/><Relationship Id="rId229" Type="http://schemas.openxmlformats.org/officeDocument/2006/relationships/hyperlink" Target="mailto:comercial@dcs.com.co" TargetMode="External"/><Relationship Id="rId380" Type="http://schemas.openxmlformats.org/officeDocument/2006/relationships/hyperlink" Target="mailto:dsaldarriaga@interve.co" TargetMode="External"/><Relationship Id="rId436" Type="http://schemas.openxmlformats.org/officeDocument/2006/relationships/hyperlink" Target="mailto:farboleda@interve.co" TargetMode="External"/><Relationship Id="rId240" Type="http://schemas.openxmlformats.org/officeDocument/2006/relationships/hyperlink" Target="mailto:cristianlondono@mensulaingenieros.com" TargetMode="External"/><Relationship Id="rId478" Type="http://schemas.openxmlformats.org/officeDocument/2006/relationships/hyperlink" Target="mailto:epantoja@contex.com.co" TargetMode="External"/><Relationship Id="rId35" Type="http://schemas.openxmlformats.org/officeDocument/2006/relationships/hyperlink" Target="mailto:avelasquez@admirisltda.com" TargetMode="External"/><Relationship Id="rId77" Type="http://schemas.openxmlformats.org/officeDocument/2006/relationships/hyperlink" Target="mailto:Gustavo.betancourt@homeideal.com.co" TargetMode="External"/><Relationship Id="rId100" Type="http://schemas.openxmlformats.org/officeDocument/2006/relationships/hyperlink" Target="mailto:fevgiral@bancolombia.com.co" TargetMode="External"/><Relationship Id="rId282" Type="http://schemas.openxmlformats.org/officeDocument/2006/relationships/hyperlink" Target="mailto:jzapata@contex.com.co" TargetMode="External"/><Relationship Id="rId338" Type="http://schemas.openxmlformats.org/officeDocument/2006/relationships/hyperlink" Target="mailto:costosypresupuestos1@spcisas.com.co" TargetMode="External"/><Relationship Id="rId503" Type="http://schemas.openxmlformats.org/officeDocument/2006/relationships/hyperlink" Target="mailto:john.gomez@obrasde.com" TargetMode="External"/><Relationship Id="rId8" Type="http://schemas.openxmlformats.org/officeDocument/2006/relationships/hyperlink" Target="mailto:ascomercial@securetec.com.co" TargetMode="External"/><Relationship Id="rId142" Type="http://schemas.openxmlformats.org/officeDocument/2006/relationships/hyperlink" Target="mailto:auxiliarmedellin@andirent.co" TargetMode="External"/><Relationship Id="rId184" Type="http://schemas.openxmlformats.org/officeDocument/2006/relationships/hyperlink" Target="mailto:ing.luisalejandrov@gmail.com" TargetMode="External"/><Relationship Id="rId391" Type="http://schemas.openxmlformats.org/officeDocument/2006/relationships/hyperlink" Target="mailto:administracion.york@bluedoors.co" TargetMode="External"/><Relationship Id="rId405" Type="http://schemas.openxmlformats.org/officeDocument/2006/relationships/hyperlink" Target="mailto:dirproyectos@securetec.com.co" TargetMode="External"/><Relationship Id="rId447" Type="http://schemas.openxmlformats.org/officeDocument/2006/relationships/hyperlink" Target="mailto:cakintero@gmail.com" TargetMode="External"/><Relationship Id="rId251" Type="http://schemas.openxmlformats.org/officeDocument/2006/relationships/hyperlink" Target="mailto:coordinacion@krearingenieria.com" TargetMode="External"/><Relationship Id="rId489" Type="http://schemas.openxmlformats.org/officeDocument/2006/relationships/hyperlink" Target="mailto:arqjunior@ideabasearquitectos.com" TargetMode="External"/><Relationship Id="rId46" Type="http://schemas.openxmlformats.org/officeDocument/2006/relationships/hyperlink" Target="mailto:elizabethacevedo@convel.co" TargetMode="External"/><Relationship Id="rId293" Type="http://schemas.openxmlformats.org/officeDocument/2006/relationships/hyperlink" Target="mailto:mauricio.gutierrez@spci.com.co" TargetMode="External"/><Relationship Id="rId307" Type="http://schemas.openxmlformats.org/officeDocument/2006/relationships/hyperlink" Target="mailto:arquitecta.alejandrasanchez@gmail.com" TargetMode="External"/><Relationship Id="rId349" Type="http://schemas.openxmlformats.org/officeDocument/2006/relationships/hyperlink" Target="mailto:residenteobra@insigniasa.com.co" TargetMode="External"/><Relationship Id="rId514" Type="http://schemas.openxmlformats.org/officeDocument/2006/relationships/hyperlink" Target="mailto:Proyectos2@jomarkseguridad.com" TargetMode="External"/><Relationship Id="rId88" Type="http://schemas.openxmlformats.org/officeDocument/2006/relationships/hyperlink" Target="mailto:gino1037@hotmail.com" TargetMode="External"/><Relationship Id="rId111" Type="http://schemas.openxmlformats.org/officeDocument/2006/relationships/hyperlink" Target="mailto:camila.debedout@cnv.com.co" TargetMode="External"/><Relationship Id="rId153" Type="http://schemas.openxmlformats.org/officeDocument/2006/relationships/hyperlink" Target="mailto:carolina@hidrofsalinas.com" TargetMode="External"/><Relationship Id="rId195" Type="http://schemas.openxmlformats.org/officeDocument/2006/relationships/hyperlink" Target="mailto:arestrepoe@conconcreto.com" TargetMode="External"/><Relationship Id="rId209" Type="http://schemas.openxmlformats.org/officeDocument/2006/relationships/hyperlink" Target="mailto:andrea.poveda@ospinas.com.co" TargetMode="External"/><Relationship Id="rId360" Type="http://schemas.openxmlformats.org/officeDocument/2006/relationships/hyperlink" Target="mailto:disenos@coinsi.com" TargetMode="External"/><Relationship Id="rId416" Type="http://schemas.openxmlformats.org/officeDocument/2006/relationships/hyperlink" Target="mailto:juan.londono@serviciosipm.com" TargetMode="External"/><Relationship Id="rId220" Type="http://schemas.openxmlformats.org/officeDocument/2006/relationships/hyperlink" Target="mailto:juan.grajales@spci.com.co" TargetMode="External"/><Relationship Id="rId458" Type="http://schemas.openxmlformats.org/officeDocument/2006/relationships/hyperlink" Target="mailto:info@ambitotaller.com" TargetMode="External"/><Relationship Id="rId15" Type="http://schemas.openxmlformats.org/officeDocument/2006/relationships/hyperlink" Target="mailto:proyectos1spci@gmail.com" TargetMode="External"/><Relationship Id="rId57" Type="http://schemas.openxmlformats.org/officeDocument/2006/relationships/hyperlink" Target="mailto:elizabethacevedo@convel.co" TargetMode="External"/><Relationship Id="rId262" Type="http://schemas.openxmlformats.org/officeDocument/2006/relationships/hyperlink" Target="mailto:gerencia@projectsolutions.com.co" TargetMode="External"/><Relationship Id="rId318" Type="http://schemas.openxmlformats.org/officeDocument/2006/relationships/hyperlink" Target="mailto:cristiamondragon.spci@gmail.com" TargetMode="External"/><Relationship Id="rId525" Type="http://schemas.microsoft.com/office/2017/10/relationships/threadedComment" Target="../threadedComments/threadedComment2.xml"/><Relationship Id="rId99" Type="http://schemas.openxmlformats.org/officeDocument/2006/relationships/hyperlink" Target="mailto:dir.comercial@spcisas.com.co" TargetMode="External"/><Relationship Id="rId122" Type="http://schemas.openxmlformats.org/officeDocument/2006/relationships/hyperlink" Target="mailto:ascomercial@securetec.com.co" TargetMode="External"/><Relationship Id="rId164" Type="http://schemas.openxmlformats.org/officeDocument/2006/relationships/hyperlink" Target="mailto:hmiranda528@gmail.com" TargetMode="External"/><Relationship Id="rId371" Type="http://schemas.openxmlformats.org/officeDocument/2006/relationships/hyperlink" Target="mailto:admobra@fundacioncompartir.org" TargetMode="External"/><Relationship Id="rId427" Type="http://schemas.openxmlformats.org/officeDocument/2006/relationships/hyperlink" Target="mailto:juan.agudelo@hefex.co" TargetMode="External"/><Relationship Id="rId469" Type="http://schemas.openxmlformats.org/officeDocument/2006/relationships/hyperlink" Target="mailto:residente@ideastangibles.co" TargetMode="External"/><Relationship Id="rId26" Type="http://schemas.openxmlformats.org/officeDocument/2006/relationships/hyperlink" Target="mailto:mauroguzmanspci@gmail.com" TargetMode="External"/><Relationship Id="rId231" Type="http://schemas.openxmlformats.org/officeDocument/2006/relationships/hyperlink" Target="mailto:proyectos@santiagorojas.com.co" TargetMode="External"/><Relationship Id="rId273" Type="http://schemas.openxmlformats.org/officeDocument/2006/relationships/hyperlink" Target="mailto:proyectos1spci@gmail.com" TargetMode="External"/><Relationship Id="rId329" Type="http://schemas.openxmlformats.org/officeDocument/2006/relationships/hyperlink" Target="mailto:costosypresupuestos1@spcisas.com.co" TargetMode="External"/><Relationship Id="rId480" Type="http://schemas.openxmlformats.org/officeDocument/2006/relationships/hyperlink" Target="mailto:lidertecnico@coinsi.com" TargetMode="External"/><Relationship Id="rId68" Type="http://schemas.openxmlformats.org/officeDocument/2006/relationships/hyperlink" Target="mailto:proyectos1spci@gmail.com" TargetMode="External"/><Relationship Id="rId133" Type="http://schemas.openxmlformats.org/officeDocument/2006/relationships/hyperlink" Target="mailto:comercial@ingesed.com" TargetMode="External"/><Relationship Id="rId175" Type="http://schemas.openxmlformats.org/officeDocument/2006/relationships/hyperlink" Target="mailto:paolopez@ensambleespaciosvivos.com" TargetMode="External"/><Relationship Id="rId340" Type="http://schemas.openxmlformats.org/officeDocument/2006/relationships/hyperlink" Target="mailto:gerenciafw@hotmail.com" TargetMode="External"/><Relationship Id="rId200" Type="http://schemas.openxmlformats.org/officeDocument/2006/relationships/hyperlink" Target="mailto:juan.grajales@spci.com.co" TargetMode="External"/><Relationship Id="rId382" Type="http://schemas.openxmlformats.org/officeDocument/2006/relationships/hyperlink" Target="mailto:operaciones@complexllanogrande.com" TargetMode="External"/><Relationship Id="rId438" Type="http://schemas.openxmlformats.org/officeDocument/2006/relationships/hyperlink" Target="mailto:costosypresupuestos1@spcisas.com.co" TargetMode="External"/><Relationship Id="rId242" Type="http://schemas.openxmlformats.org/officeDocument/2006/relationships/hyperlink" Target="mailto:gerencia@projectsolutions.com.co" TargetMode="External"/><Relationship Id="rId284" Type="http://schemas.openxmlformats.org/officeDocument/2006/relationships/hyperlink" Target="mailto:juan.grajales@spci.com.co" TargetMode="External"/><Relationship Id="rId491" Type="http://schemas.openxmlformats.org/officeDocument/2006/relationships/hyperlink" Target="mailto:edwin.cortes@grupoexcala.com" TargetMode="External"/><Relationship Id="rId505" Type="http://schemas.openxmlformats.org/officeDocument/2006/relationships/hyperlink" Target="mailto:costosypresupuestos1@spcisas.com.co" TargetMode="External"/><Relationship Id="rId37" Type="http://schemas.openxmlformats.org/officeDocument/2006/relationships/hyperlink" Target="mailto:n.garcia@condiseno.co" TargetMode="External"/><Relationship Id="rId79" Type="http://schemas.openxmlformats.org/officeDocument/2006/relationships/hyperlink" Target="mailto:proyectos1spci@gmail.com" TargetMode="External"/><Relationship Id="rId102" Type="http://schemas.openxmlformats.org/officeDocument/2006/relationships/hyperlink" Target="mailto:gino1037@hotmail.com" TargetMode="External"/><Relationship Id="rId144" Type="http://schemas.openxmlformats.org/officeDocument/2006/relationships/hyperlink" Target="mailto:genios23@hotmail.com" TargetMode="External"/><Relationship Id="rId90" Type="http://schemas.openxmlformats.org/officeDocument/2006/relationships/hyperlink" Target="mailto:david.lopera@socomes.com" TargetMode="External"/><Relationship Id="rId186" Type="http://schemas.openxmlformats.org/officeDocument/2006/relationships/hyperlink" Target="mailto:gaguirre@solciviles.com" TargetMode="External"/><Relationship Id="rId351" Type="http://schemas.openxmlformats.org/officeDocument/2006/relationships/hyperlink" Target="mailto:proyectos@servimatcolombia.com" TargetMode="External"/><Relationship Id="rId393" Type="http://schemas.openxmlformats.org/officeDocument/2006/relationships/hyperlink" Target="mailto:hacevedo@interve.co" TargetMode="External"/><Relationship Id="rId407" Type="http://schemas.openxmlformats.org/officeDocument/2006/relationships/hyperlink" Target="mailto:dir.mantenimiento@spcisas.com.co" TargetMode="External"/><Relationship Id="rId449" Type="http://schemas.openxmlformats.org/officeDocument/2006/relationships/hyperlink" Target="mailto:cnoguera@corparques.co" TargetMode="External"/><Relationship Id="rId211" Type="http://schemas.openxmlformats.org/officeDocument/2006/relationships/hyperlink" Target="mailto:jcotame@agrosavia.co" TargetMode="External"/><Relationship Id="rId253" Type="http://schemas.openxmlformats.org/officeDocument/2006/relationships/hyperlink" Target="mailto:dir.tecnico@spcisas.com.co" TargetMode="External"/><Relationship Id="rId295" Type="http://schemas.openxmlformats.org/officeDocument/2006/relationships/hyperlink" Target="mailto:produccion@spcisas.com.co" TargetMode="External"/><Relationship Id="rId309" Type="http://schemas.openxmlformats.org/officeDocument/2006/relationships/hyperlink" Target="mailto:dir.proyectos3@spcisas.com.co" TargetMode="External"/><Relationship Id="rId460" Type="http://schemas.openxmlformats.org/officeDocument/2006/relationships/hyperlink" Target="mailto:blancasaldarriaga@arquitecturayconcreto.com" TargetMode="External"/><Relationship Id="rId516" Type="http://schemas.openxmlformats.org/officeDocument/2006/relationships/hyperlink" Target="mailto:juan.londono@serviciosipm.com" TargetMode="External"/><Relationship Id="rId48" Type="http://schemas.openxmlformats.org/officeDocument/2006/relationships/hyperlink" Target="mailto:juan.8arq@gmail.com" TargetMode="External"/><Relationship Id="rId113" Type="http://schemas.openxmlformats.org/officeDocument/2006/relationships/hyperlink" Target="mailto:dir.comercial@spcisas.com.co" TargetMode="External"/><Relationship Id="rId320" Type="http://schemas.openxmlformats.org/officeDocument/2006/relationships/hyperlink" Target="mailto:eceballos@contex.com.co" TargetMode="External"/><Relationship Id="rId155" Type="http://schemas.openxmlformats.org/officeDocument/2006/relationships/hyperlink" Target="mailto:administrativo@sharu.com.co" TargetMode="External"/><Relationship Id="rId197" Type="http://schemas.openxmlformats.org/officeDocument/2006/relationships/hyperlink" Target="mailto:mauroguzmanspci@gmail.com" TargetMode="External"/><Relationship Id="rId362" Type="http://schemas.openxmlformats.org/officeDocument/2006/relationships/hyperlink" Target="mailto:david.lopera@socomes.com" TargetMode="External"/><Relationship Id="rId418" Type="http://schemas.openxmlformats.org/officeDocument/2006/relationships/hyperlink" Target="mailto:costosypresupuestos1@spcisas.com.co" TargetMode="External"/><Relationship Id="rId222" Type="http://schemas.openxmlformats.org/officeDocument/2006/relationships/hyperlink" Target="mailto:natalia.mejia@desur.gov.co" TargetMode="External"/><Relationship Id="rId264" Type="http://schemas.openxmlformats.org/officeDocument/2006/relationships/hyperlink" Target="mailto:cristiamondragon.spci@gmail.com" TargetMode="External"/><Relationship Id="rId471" Type="http://schemas.openxmlformats.org/officeDocument/2006/relationships/hyperlink" Target="mailto:360proyectosingenieria@gmail.com" TargetMode="External"/><Relationship Id="rId17" Type="http://schemas.openxmlformats.org/officeDocument/2006/relationships/hyperlink" Target="mailto:jad@unoendiez.com.co" TargetMode="External"/><Relationship Id="rId59" Type="http://schemas.openxmlformats.org/officeDocument/2006/relationships/hyperlink" Target="mailto:yvelez@hdgerenciaintegral.com" TargetMode="External"/><Relationship Id="rId124" Type="http://schemas.openxmlformats.org/officeDocument/2006/relationships/hyperlink" Target="mailto:alvaromanosalva@sfiregroup.com" TargetMode="External"/><Relationship Id="rId70" Type="http://schemas.openxmlformats.org/officeDocument/2006/relationships/hyperlink" Target="mailto:okobra3@gmail.com" TargetMode="External"/><Relationship Id="rId166" Type="http://schemas.openxmlformats.org/officeDocument/2006/relationships/hyperlink" Target="mailto:david.lopera@socomes.com" TargetMode="External"/><Relationship Id="rId331" Type="http://schemas.openxmlformats.org/officeDocument/2006/relationships/hyperlink" Target="mailto:costosypresupuestos1@spcisas.com.co" TargetMode="External"/><Relationship Id="rId373" Type="http://schemas.openxmlformats.org/officeDocument/2006/relationships/hyperlink" Target="mailto:ascomercial2@securetec.com.co" TargetMode="External"/><Relationship Id="rId429" Type="http://schemas.openxmlformats.org/officeDocument/2006/relationships/hyperlink" Target="mailto:Johana.montoya@perfek.com.co" TargetMode="External"/><Relationship Id="rId1" Type="http://schemas.openxmlformats.org/officeDocument/2006/relationships/hyperlink" Target="mailto:arquitecto@areasflexibles.com" TargetMode="External"/><Relationship Id="rId233" Type="http://schemas.openxmlformats.org/officeDocument/2006/relationships/hyperlink" Target="mailto:cristiamondragon.spci@gmail.com" TargetMode="External"/><Relationship Id="rId440" Type="http://schemas.openxmlformats.org/officeDocument/2006/relationships/hyperlink" Target="mailto:julialzate@une.net.co" TargetMode="External"/><Relationship Id="rId28" Type="http://schemas.openxmlformats.org/officeDocument/2006/relationships/hyperlink" Target="mailto:gino1037@hotmail.com" TargetMode="External"/><Relationship Id="rId275" Type="http://schemas.openxmlformats.org/officeDocument/2006/relationships/hyperlink" Target="mailto:mauricio.gutierrez@spci.com.co" TargetMode="External"/><Relationship Id="rId300" Type="http://schemas.openxmlformats.org/officeDocument/2006/relationships/hyperlink" Target="mailto:j.olmos@link-inmobiliario.com" TargetMode="External"/><Relationship Id="rId482" Type="http://schemas.openxmlformats.org/officeDocument/2006/relationships/hyperlink" Target="mailto:gino1037@hotmail.com" TargetMode="External"/><Relationship Id="rId81" Type="http://schemas.openxmlformats.org/officeDocument/2006/relationships/hyperlink" Target="mailto:gino1037@hotmail.com" TargetMode="External"/><Relationship Id="rId135" Type="http://schemas.openxmlformats.org/officeDocument/2006/relationships/hyperlink" Target="mailto:nestor.garcia@espiral.com.co" TargetMode="External"/><Relationship Id="rId177" Type="http://schemas.openxmlformats.org/officeDocument/2006/relationships/hyperlink" Target="mailto:analistap1.aprovisionamiento@coprocenva.coop" TargetMode="External"/><Relationship Id="rId342" Type="http://schemas.openxmlformats.org/officeDocument/2006/relationships/hyperlink" Target="mailto:juan.grajales@spci.com.co" TargetMode="External"/><Relationship Id="rId384" Type="http://schemas.openxmlformats.org/officeDocument/2006/relationships/hyperlink" Target="mailto:maria.vasquez@clinicadeoccidente.com" TargetMode="External"/><Relationship Id="rId202" Type="http://schemas.openxmlformats.org/officeDocument/2006/relationships/hyperlink" Target="mailto:david.lopera@socomes.com" TargetMode="External"/><Relationship Id="rId244" Type="http://schemas.openxmlformats.org/officeDocument/2006/relationships/hyperlink" Target="mailto:lsaldarriaga@londonogomez.com" TargetMode="External"/><Relationship Id="rId39" Type="http://schemas.openxmlformats.org/officeDocument/2006/relationships/hyperlink" Target="mailto:carolina.castano@melcol.com.co" TargetMode="External"/><Relationship Id="rId286" Type="http://schemas.openxmlformats.org/officeDocument/2006/relationships/hyperlink" Target="mailto:proyectos@santiagorojas.com.co" TargetMode="External"/><Relationship Id="rId451" Type="http://schemas.openxmlformats.org/officeDocument/2006/relationships/hyperlink" Target="mailto:proyectos1spci@gmail.com" TargetMode="External"/><Relationship Id="rId493" Type="http://schemas.openxmlformats.org/officeDocument/2006/relationships/hyperlink" Target="mailto:residente1@a5arquitectura.com" TargetMode="External"/><Relationship Id="rId507" Type="http://schemas.openxmlformats.org/officeDocument/2006/relationships/hyperlink" Target="mailto:Vanessazapata.fcr@gmail.com" TargetMode="External"/><Relationship Id="rId50" Type="http://schemas.openxmlformats.org/officeDocument/2006/relationships/hyperlink" Target="mailto:juan.grajales@spci.com.co" TargetMode="External"/><Relationship Id="rId104" Type="http://schemas.openxmlformats.org/officeDocument/2006/relationships/hyperlink" Target="mailto:proyectos1spci@gmail.com" TargetMode="External"/><Relationship Id="rId146" Type="http://schemas.openxmlformats.org/officeDocument/2006/relationships/hyperlink" Target="mailto:cristiamondragon.spci@gmail.com" TargetMode="External"/><Relationship Id="rId188" Type="http://schemas.openxmlformats.org/officeDocument/2006/relationships/hyperlink" Target="mailto:luisa.montoya@espiral.com.co" TargetMode="External"/><Relationship Id="rId311" Type="http://schemas.openxmlformats.org/officeDocument/2006/relationships/hyperlink" Target="mailto:claudia.ramirez@edyfica.co" TargetMode="External"/><Relationship Id="rId353" Type="http://schemas.openxmlformats.org/officeDocument/2006/relationships/hyperlink" Target="mailto:dianacardona@inhauser.co" TargetMode="External"/><Relationship Id="rId395" Type="http://schemas.openxmlformats.org/officeDocument/2006/relationships/hyperlink" Target="mailto:borneo2ph@hotmail.com" TargetMode="External"/><Relationship Id="rId409" Type="http://schemas.openxmlformats.org/officeDocument/2006/relationships/hyperlink" Target="mailto:proyectos@santiagorojas.com.co" TargetMode="External"/><Relationship Id="rId92" Type="http://schemas.openxmlformats.org/officeDocument/2006/relationships/hyperlink" Target="mailto:proyectos@santiagorojas.com.co" TargetMode="External"/><Relationship Id="rId213" Type="http://schemas.openxmlformats.org/officeDocument/2006/relationships/hyperlink" Target="mailto:francisco.unda@seriinco.com" TargetMode="External"/><Relationship Id="rId420" Type="http://schemas.openxmlformats.org/officeDocument/2006/relationships/hyperlink" Target="mailto:gaguirre@solciviles.com" TargetMode="External"/><Relationship Id="rId255" Type="http://schemas.openxmlformats.org/officeDocument/2006/relationships/hyperlink" Target="mailto:proyectos1spci@gmail.com" TargetMode="External"/><Relationship Id="rId297" Type="http://schemas.openxmlformats.org/officeDocument/2006/relationships/hyperlink" Target="mailto:costosypresupuestos1@spcisas.com.co" TargetMode="External"/><Relationship Id="rId462" Type="http://schemas.openxmlformats.org/officeDocument/2006/relationships/hyperlink" Target="mailto:dir.obramirasol@fundacioncompartir.org" TargetMode="External"/><Relationship Id="rId518" Type="http://schemas.openxmlformats.org/officeDocument/2006/relationships/hyperlink" Target="mailto:Lrestrepo@con-axion.com" TargetMode="External"/><Relationship Id="rId115" Type="http://schemas.openxmlformats.org/officeDocument/2006/relationships/hyperlink" Target="mailto:elizabeth.barrientos@cnv.com.co" TargetMode="External"/><Relationship Id="rId157" Type="http://schemas.openxmlformats.org/officeDocument/2006/relationships/hyperlink" Target="mailto:proyectos1spci@gmail.com" TargetMode="External"/><Relationship Id="rId322" Type="http://schemas.openxmlformats.org/officeDocument/2006/relationships/hyperlink" Target="mailto:juan.grajales@spci.com.co" TargetMode="External"/><Relationship Id="rId364" Type="http://schemas.openxmlformats.org/officeDocument/2006/relationships/hyperlink" Target="tel:321%20636%208440" TargetMode="External"/><Relationship Id="rId61" Type="http://schemas.openxmlformats.org/officeDocument/2006/relationships/hyperlink" Target="mailto:pedroprpo@gmail.com" TargetMode="External"/><Relationship Id="rId199" Type="http://schemas.openxmlformats.org/officeDocument/2006/relationships/hyperlink" Target="mailto:interventoriacecv@tipinterventoria.com" TargetMode="External"/><Relationship Id="rId19" Type="http://schemas.openxmlformats.org/officeDocument/2006/relationships/hyperlink" Target="mailto:lmontoyaspci@gmail.com" TargetMode="External"/><Relationship Id="rId224" Type="http://schemas.openxmlformats.org/officeDocument/2006/relationships/hyperlink" Target="mailto:gino1037@hotmail.com" TargetMode="External"/><Relationship Id="rId266" Type="http://schemas.openxmlformats.org/officeDocument/2006/relationships/hyperlink" Target="mailto:david.lopera@socomes.com" TargetMode="External"/><Relationship Id="rId431" Type="http://schemas.openxmlformats.org/officeDocument/2006/relationships/hyperlink" Target="mailto:Proyectos2@jomarkseguridad.com" TargetMode="External"/><Relationship Id="rId473" Type="http://schemas.openxmlformats.org/officeDocument/2006/relationships/hyperlink" Target="mailto:residente1@a5arquitectura.com" TargetMode="External"/><Relationship Id="rId30" Type="http://schemas.openxmlformats.org/officeDocument/2006/relationships/hyperlink" Target="mailto:david.lopera@socomes.com" TargetMode="External"/><Relationship Id="rId126" Type="http://schemas.openxmlformats.org/officeDocument/2006/relationships/hyperlink" Target="mailto:hemolinaconstrucciones@gmail.com" TargetMode="External"/><Relationship Id="rId168" Type="http://schemas.openxmlformats.org/officeDocument/2006/relationships/hyperlink" Target="mailto:carolina@hidrofsalinas.com" TargetMode="External"/><Relationship Id="rId333" Type="http://schemas.openxmlformats.org/officeDocument/2006/relationships/hyperlink" Target="mailto:proyectos@servimatcolombia.com" TargetMode="External"/><Relationship Id="rId72" Type="http://schemas.openxmlformats.org/officeDocument/2006/relationships/hyperlink" Target="mailto:mauroguzmanspci@gmail.com" TargetMode="External"/><Relationship Id="rId375" Type="http://schemas.openxmlformats.org/officeDocument/2006/relationships/hyperlink" Target="mailto:diseno4@gyd.com.co" TargetMode="External"/><Relationship Id="rId3" Type="http://schemas.openxmlformats.org/officeDocument/2006/relationships/hyperlink" Target="mailto:juan.grajales@spci.com.co" TargetMode="External"/><Relationship Id="rId235" Type="http://schemas.openxmlformats.org/officeDocument/2006/relationships/hyperlink" Target="mailto:johngonzalez@ensambleespaciosvivos.com" TargetMode="External"/><Relationship Id="rId277" Type="http://schemas.openxmlformats.org/officeDocument/2006/relationships/hyperlink" Target="mailto:proyectos1spci@gmail.com" TargetMode="External"/><Relationship Id="rId400" Type="http://schemas.openxmlformats.org/officeDocument/2006/relationships/hyperlink" Target="mailto:alvaromanosalva@sfiregroup.com" TargetMode="External"/><Relationship Id="rId442" Type="http://schemas.openxmlformats.org/officeDocument/2006/relationships/hyperlink" Target="mailto:david.lopera@socomes.com" TargetMode="External"/><Relationship Id="rId484" Type="http://schemas.openxmlformats.org/officeDocument/2006/relationships/hyperlink" Target="mailto:camilo.quintero@spci.com.co" TargetMode="External"/><Relationship Id="rId137" Type="http://schemas.openxmlformats.org/officeDocument/2006/relationships/hyperlink" Target="mailto:casaldarriaga@ces.edu.co" TargetMode="External"/><Relationship Id="rId302" Type="http://schemas.openxmlformats.org/officeDocument/2006/relationships/hyperlink" Target="mailto:jefe.mantenimiento@cabarria.com" TargetMode="External"/><Relationship Id="rId344" Type="http://schemas.openxmlformats.org/officeDocument/2006/relationships/hyperlink" Target="mailto:residenteciviles1@civiles-sas.com" TargetMode="External"/><Relationship Id="rId41" Type="http://schemas.openxmlformats.org/officeDocument/2006/relationships/hyperlink" Target="mailto:david.lopera@socomes.com" TargetMode="External"/><Relationship Id="rId83" Type="http://schemas.openxmlformats.org/officeDocument/2006/relationships/hyperlink" Target="mailto:gino1037@hotmail.com" TargetMode="External"/><Relationship Id="rId179" Type="http://schemas.openxmlformats.org/officeDocument/2006/relationships/hyperlink" Target="mailto:trescantosk@gmail.com" TargetMode="External"/><Relationship Id="rId386" Type="http://schemas.openxmlformats.org/officeDocument/2006/relationships/hyperlink" Target="mailto:lalopez@utp.edu.co" TargetMode="External"/><Relationship Id="rId190" Type="http://schemas.openxmlformats.org/officeDocument/2006/relationships/hyperlink" Target="mailto:mhincapie@coninsa.co" TargetMode="External"/><Relationship Id="rId204" Type="http://schemas.openxmlformats.org/officeDocument/2006/relationships/hyperlink" Target="mailto:cristian.alvarez@cnv.com.co" TargetMode="External"/><Relationship Id="rId246" Type="http://schemas.openxmlformats.org/officeDocument/2006/relationships/hyperlink" Target="mailto:jacosta@conconcreto.com" TargetMode="External"/><Relationship Id="rId288" Type="http://schemas.openxmlformats.org/officeDocument/2006/relationships/hyperlink" Target="mailto:costosypresupuestos1@spcisas.com.co" TargetMode="External"/><Relationship Id="rId411" Type="http://schemas.openxmlformats.org/officeDocument/2006/relationships/hyperlink" Target="mailto:cristinapalacio@mensulaingenieros.com" TargetMode="External"/><Relationship Id="rId453" Type="http://schemas.openxmlformats.org/officeDocument/2006/relationships/hyperlink" Target="mailto:david.lopera@socomes.com" TargetMode="External"/><Relationship Id="rId509" Type="http://schemas.openxmlformats.org/officeDocument/2006/relationships/hyperlink" Target="mailto:sebastian_fonseca@baxter.com" TargetMode="External"/><Relationship Id="rId106" Type="http://schemas.openxmlformats.org/officeDocument/2006/relationships/hyperlink" Target="mailto:clopez@rowtecnologia.com" TargetMode="External"/><Relationship Id="rId313" Type="http://schemas.openxmlformats.org/officeDocument/2006/relationships/hyperlink" Target="mailto:proyectos@fpservices.com.co" TargetMode="External"/><Relationship Id="rId495" Type="http://schemas.openxmlformats.org/officeDocument/2006/relationships/hyperlink" Target="mailto:edwin.cortes@grupoexcala.com" TargetMode="External"/><Relationship Id="rId10" Type="http://schemas.openxmlformats.org/officeDocument/2006/relationships/hyperlink" Target="mailto:sptcimarronas@gmail.com" TargetMode="External"/><Relationship Id="rId52" Type="http://schemas.openxmlformats.org/officeDocument/2006/relationships/hyperlink" Target="mailto:hacevedo@interve.co" TargetMode="External"/><Relationship Id="rId94" Type="http://schemas.openxmlformats.org/officeDocument/2006/relationships/hyperlink" Target="mailto:jjaramillo@conexoinmobiliario.com" TargetMode="External"/><Relationship Id="rId148" Type="http://schemas.openxmlformats.org/officeDocument/2006/relationships/hyperlink" Target="mailto:cristianlondono@mensulaingenieros.com" TargetMode="External"/><Relationship Id="rId355" Type="http://schemas.openxmlformats.org/officeDocument/2006/relationships/hyperlink" Target="mailto:mauricio.gutierrez@spci.com.co" TargetMode="External"/><Relationship Id="rId397" Type="http://schemas.openxmlformats.org/officeDocument/2006/relationships/hyperlink" Target="mailto:yaddy.giron@solida.com.co" TargetMode="External"/><Relationship Id="rId520" Type="http://schemas.openxmlformats.org/officeDocument/2006/relationships/hyperlink" Target="mailto:blancasaldarriaga@arquitecturayconcreto.com" TargetMode="External"/><Relationship Id="rId215" Type="http://schemas.openxmlformats.org/officeDocument/2006/relationships/hyperlink" Target="mailto:proyectos1spci@gmail.com" TargetMode="External"/><Relationship Id="rId257" Type="http://schemas.openxmlformats.org/officeDocument/2006/relationships/hyperlink" Target="mailto:n.garcia@condiseno.co" TargetMode="External"/><Relationship Id="rId422" Type="http://schemas.openxmlformats.org/officeDocument/2006/relationships/hyperlink" Target="mailto:meguerra0811@gmail.com" TargetMode="External"/><Relationship Id="rId464" Type="http://schemas.openxmlformats.org/officeDocument/2006/relationships/hyperlink" Target="mailto:360proyectosingenieria@gmail.com" TargetMode="External"/><Relationship Id="rId299" Type="http://schemas.openxmlformats.org/officeDocument/2006/relationships/hyperlink" Target="mailto:j.olmos@link-inmobiliario.com" TargetMode="External"/><Relationship Id="rId63" Type="http://schemas.openxmlformats.org/officeDocument/2006/relationships/hyperlink" Target="mailto:dir.comercial@spcisas.com.co" TargetMode="External"/><Relationship Id="rId159" Type="http://schemas.openxmlformats.org/officeDocument/2006/relationships/hyperlink" Target="mailto:juan.londono@serviciosipm.com" TargetMode="External"/><Relationship Id="rId366" Type="http://schemas.openxmlformats.org/officeDocument/2006/relationships/hyperlink" Target="mailto:gerencia.operacion@spcisas.com.co" TargetMode="External"/><Relationship Id="rId226" Type="http://schemas.openxmlformats.org/officeDocument/2006/relationships/hyperlink" Target="mailto:gerencia@projectsolutions.com.co" TargetMode="External"/><Relationship Id="rId433" Type="http://schemas.openxmlformats.org/officeDocument/2006/relationships/hyperlink" Target="mailto:maria.correa@espiral.com.co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mailto:alvaro.rojas@rrp.com.co" TargetMode="External"/><Relationship Id="rId299" Type="http://schemas.openxmlformats.org/officeDocument/2006/relationships/hyperlink" Target="mailto:claudia.ramirez@edyfica.co" TargetMode="External"/><Relationship Id="rId21" Type="http://schemas.openxmlformats.org/officeDocument/2006/relationships/hyperlink" Target="mailto:juan.grajales@spci.com.co" TargetMode="External"/><Relationship Id="rId63" Type="http://schemas.openxmlformats.org/officeDocument/2006/relationships/hyperlink" Target="mailto:dfelipediaz@gmail.com" TargetMode="External"/><Relationship Id="rId159" Type="http://schemas.openxmlformats.org/officeDocument/2006/relationships/hyperlink" Target="mailto:juan.grajales@spci.com.co" TargetMode="External"/><Relationship Id="rId324" Type="http://schemas.openxmlformats.org/officeDocument/2006/relationships/hyperlink" Target="mailto:milton.garzon@lasamericas.com.co" TargetMode="External"/><Relationship Id="rId366" Type="http://schemas.openxmlformats.org/officeDocument/2006/relationships/hyperlink" Target="mailto:proyectos2@jomarkseguridad.com" TargetMode="External"/><Relationship Id="rId170" Type="http://schemas.openxmlformats.org/officeDocument/2006/relationships/hyperlink" Target="mailto:parangor@conconcreto.com" TargetMode="External"/><Relationship Id="rId226" Type="http://schemas.openxmlformats.org/officeDocument/2006/relationships/hyperlink" Target="mailto:cristiam.mondragon@spci.com.co" TargetMode="External"/><Relationship Id="rId433" Type="http://schemas.openxmlformats.org/officeDocument/2006/relationships/hyperlink" Target="mailto:mlopez@hdgerenciaintegral.com" TargetMode="External"/><Relationship Id="rId268" Type="http://schemas.openxmlformats.org/officeDocument/2006/relationships/hyperlink" Target="mailto:abelplasencia@convel.co" TargetMode="External"/><Relationship Id="rId475" Type="http://schemas.openxmlformats.org/officeDocument/2006/relationships/hyperlink" Target="mailto:jhhhongarcia@gmail.com" TargetMode="External"/><Relationship Id="rId32" Type="http://schemas.openxmlformats.org/officeDocument/2006/relationships/hyperlink" Target="mailto:stellaibarra@gmail.com" TargetMode="External"/><Relationship Id="rId74" Type="http://schemas.openxmlformats.org/officeDocument/2006/relationships/hyperlink" Target="mailto:n.garcia@condiseno.co" TargetMode="External"/><Relationship Id="rId128" Type="http://schemas.openxmlformats.org/officeDocument/2006/relationships/hyperlink" Target="mailto:daniel.uribe@spci.com.co" TargetMode="External"/><Relationship Id="rId335" Type="http://schemas.openxmlformats.org/officeDocument/2006/relationships/hyperlink" Target="mailto:jorgerojas@iayc.co" TargetMode="External"/><Relationship Id="rId377" Type="http://schemas.openxmlformats.org/officeDocument/2006/relationships/hyperlink" Target="mailto:juan.londono@serviciosipm.com" TargetMode="External"/><Relationship Id="rId5" Type="http://schemas.openxmlformats.org/officeDocument/2006/relationships/hyperlink" Target="mailto:camilo.quintero@spci.com.co" TargetMode="External"/><Relationship Id="rId181" Type="http://schemas.openxmlformats.org/officeDocument/2006/relationships/hyperlink" Target="mailto:wilsonsanchez@coninsa.co" TargetMode="External"/><Relationship Id="rId237" Type="http://schemas.openxmlformats.org/officeDocument/2006/relationships/hyperlink" Target="mailto:ascomercial@securetec.com.co" TargetMode="External"/><Relationship Id="rId402" Type="http://schemas.openxmlformats.org/officeDocument/2006/relationships/hyperlink" Target="mailto:calmanya@jomarkseguridad.com" TargetMode="External"/><Relationship Id="rId279" Type="http://schemas.openxmlformats.org/officeDocument/2006/relationships/hyperlink" Target="mailto:copropiedades2@une.net.co" TargetMode="External"/><Relationship Id="rId444" Type="http://schemas.openxmlformats.org/officeDocument/2006/relationships/hyperlink" Target="mailto:judithelenatrujillo@gmail.com" TargetMode="External"/><Relationship Id="rId43" Type="http://schemas.openxmlformats.org/officeDocument/2006/relationships/hyperlink" Target="mailto:ana.restrepo@spci.com.co" TargetMode="External"/><Relationship Id="rId139" Type="http://schemas.openxmlformats.org/officeDocument/2006/relationships/hyperlink" Target="mailto:ana.restrepo@spci.com.co" TargetMode="External"/><Relationship Id="rId290" Type="http://schemas.openxmlformats.org/officeDocument/2006/relationships/hyperlink" Target="mailto:lcely@mdconstructora.com" TargetMode="External"/><Relationship Id="rId304" Type="http://schemas.openxmlformats.org/officeDocument/2006/relationships/hyperlink" Target="mailto:n.garcia@condiseno.co" TargetMode="External"/><Relationship Id="rId346" Type="http://schemas.openxmlformats.org/officeDocument/2006/relationships/hyperlink" Target="mailto:dir.vispenol@gmail.com" TargetMode="External"/><Relationship Id="rId388" Type="http://schemas.openxmlformats.org/officeDocument/2006/relationships/hyperlink" Target="mailto:dsaldarriaga@interve.co" TargetMode="External"/><Relationship Id="rId85" Type="http://schemas.openxmlformats.org/officeDocument/2006/relationships/hyperlink" Target="mailto:fgil@corona.com.co" TargetMode="External"/><Relationship Id="rId150" Type="http://schemas.openxmlformats.org/officeDocument/2006/relationships/hyperlink" Target="mailto:cesarlopez@convel.co" TargetMode="External"/><Relationship Id="rId192" Type="http://schemas.openxmlformats.org/officeDocument/2006/relationships/hyperlink" Target="mailto:dzapata@conconcreto.com" TargetMode="External"/><Relationship Id="rId206" Type="http://schemas.openxmlformats.org/officeDocument/2006/relationships/hyperlink" Target="mailto:asistente@santiagorojas.com.co" TargetMode="External"/><Relationship Id="rId413" Type="http://schemas.openxmlformats.org/officeDocument/2006/relationships/hyperlink" Target="mailto:laura.jaramillo@cnv.com.co" TargetMode="External"/><Relationship Id="rId248" Type="http://schemas.openxmlformats.org/officeDocument/2006/relationships/hyperlink" Target="mailto:daniel.uribe@spci.com.co" TargetMode="External"/><Relationship Id="rId455" Type="http://schemas.openxmlformats.org/officeDocument/2006/relationships/hyperlink" Target="mailto:info@mercomputo.com" TargetMode="External"/><Relationship Id="rId12" Type="http://schemas.openxmlformats.org/officeDocument/2006/relationships/hyperlink" Target="mailto:mlopez@hdgerenciaintegral.com" TargetMode="External"/><Relationship Id="rId108" Type="http://schemas.openxmlformats.org/officeDocument/2006/relationships/hyperlink" Target="mailto:s.valencia@g4ingenieros.com" TargetMode="External"/><Relationship Id="rId315" Type="http://schemas.openxmlformats.org/officeDocument/2006/relationships/hyperlink" Target="mailto:cristiam.mondragon@spci.com.co" TargetMode="External"/><Relationship Id="rId357" Type="http://schemas.openxmlformats.org/officeDocument/2006/relationships/hyperlink" Target="mailto:gerencia@projectsolutions.com.co" TargetMode="External"/><Relationship Id="rId54" Type="http://schemas.openxmlformats.org/officeDocument/2006/relationships/hyperlink" Target="mailto:linagonzalez@terrazino.co" TargetMode="External"/><Relationship Id="rId96" Type="http://schemas.openxmlformats.org/officeDocument/2006/relationships/hyperlink" Target="mailto:risksolutiong@gmail.com" TargetMode="External"/><Relationship Id="rId161" Type="http://schemas.openxmlformats.org/officeDocument/2006/relationships/hyperlink" Target="mailto:villaterrat2@gmail.com" TargetMode="External"/><Relationship Id="rId217" Type="http://schemas.openxmlformats.org/officeDocument/2006/relationships/hyperlink" Target="mailto:gjtamayo@gmail.com" TargetMode="External"/><Relationship Id="rId399" Type="http://schemas.openxmlformats.org/officeDocument/2006/relationships/hyperlink" Target="mailto:gcortes@cesde.edu.co" TargetMode="External"/><Relationship Id="rId259" Type="http://schemas.openxmlformats.org/officeDocument/2006/relationships/hyperlink" Target="mailto:juan.grajales@spci.com.co" TargetMode="External"/><Relationship Id="rId424" Type="http://schemas.openxmlformats.org/officeDocument/2006/relationships/hyperlink" Target="mailto:gerencia@projectsolutions.com.co" TargetMode="External"/><Relationship Id="rId466" Type="http://schemas.openxmlformats.org/officeDocument/2006/relationships/hyperlink" Target="mailto:mauricio.gutierrez@spci.com.co" TargetMode="External"/><Relationship Id="rId23" Type="http://schemas.openxmlformats.org/officeDocument/2006/relationships/hyperlink" Target="mailto:gerencia@projectsolutions.com.co" TargetMode="External"/><Relationship Id="rId119" Type="http://schemas.openxmlformats.org/officeDocument/2006/relationships/hyperlink" Target="mailto:ana.restrepo@spci.com.co" TargetMode="External"/><Relationship Id="rId270" Type="http://schemas.openxmlformats.org/officeDocument/2006/relationships/hyperlink" Target="mailto:carlos.quintero@bienesybienes.com.co" TargetMode="External"/><Relationship Id="rId326" Type="http://schemas.openxmlformats.org/officeDocument/2006/relationships/hyperlink" Target="mailto:parangor@conconcreto.com" TargetMode="External"/><Relationship Id="rId65" Type="http://schemas.openxmlformats.org/officeDocument/2006/relationships/hyperlink" Target="mailto:manaceve@bancolombia.com.co" TargetMode="External"/><Relationship Id="rId130" Type="http://schemas.openxmlformats.org/officeDocument/2006/relationships/hyperlink" Target="mailto:camilo.quintero@spci.com.co" TargetMode="External"/><Relationship Id="rId368" Type="http://schemas.openxmlformats.org/officeDocument/2006/relationships/hyperlink" Target="mailto:mmontoya@interve.co" TargetMode="External"/><Relationship Id="rId172" Type="http://schemas.openxmlformats.org/officeDocument/2006/relationships/hyperlink" Target="mailto:ascomercial@securetec.com.co" TargetMode="External"/><Relationship Id="rId228" Type="http://schemas.openxmlformats.org/officeDocument/2006/relationships/hyperlink" Target="mailto:blancasaldarriaga@arquitecturayconcreto.com" TargetMode="External"/><Relationship Id="rId435" Type="http://schemas.openxmlformats.org/officeDocument/2006/relationships/hyperlink" Target="mailto:dirproyectos@securetec.com.co" TargetMode="External"/><Relationship Id="rId477" Type="http://schemas.openxmlformats.org/officeDocument/2006/relationships/hyperlink" Target="mailto:obinsonmarulanda@arquitecturayconcreto.com" TargetMode="External"/><Relationship Id="rId281" Type="http://schemas.openxmlformats.org/officeDocument/2006/relationships/hyperlink" Target="mailto:cristiam.mondragon@spci.com.co" TargetMode="External"/><Relationship Id="rId337" Type="http://schemas.openxmlformats.org/officeDocument/2006/relationships/hyperlink" Target="mailto:gino1037@hotmail.com" TargetMode="External"/><Relationship Id="rId34" Type="http://schemas.openxmlformats.org/officeDocument/2006/relationships/hyperlink" Target="mailto:gino1037@hotmail.com" TargetMode="External"/><Relationship Id="rId76" Type="http://schemas.openxmlformats.org/officeDocument/2006/relationships/hyperlink" Target="mailto:ana.restrepo@spci.com.co" TargetMode="External"/><Relationship Id="rId141" Type="http://schemas.openxmlformats.org/officeDocument/2006/relationships/hyperlink" Target="mailto:eceballos@contex.com.co" TargetMode="External"/><Relationship Id="rId379" Type="http://schemas.openxmlformats.org/officeDocument/2006/relationships/hyperlink" Target="mailto:camilo.quintero@spci.com.co" TargetMode="External"/><Relationship Id="rId7" Type="http://schemas.openxmlformats.org/officeDocument/2006/relationships/hyperlink" Target="mailto:jrestrepo@bienesybienes.com.co" TargetMode="External"/><Relationship Id="rId183" Type="http://schemas.openxmlformats.org/officeDocument/2006/relationships/hyperlink" Target="mailto:ana.restrepo@spci.com.co" TargetMode="External"/><Relationship Id="rId239" Type="http://schemas.openxmlformats.org/officeDocument/2006/relationships/hyperlink" Target="mailto:dir.proyectos5@spcisas.com.co" TargetMode="External"/><Relationship Id="rId390" Type="http://schemas.openxmlformats.org/officeDocument/2006/relationships/hyperlink" Target="mailto:bernardo.white@casa.com.co" TargetMode="External"/><Relationship Id="rId404" Type="http://schemas.openxmlformats.org/officeDocument/2006/relationships/hyperlink" Target="mailto:mzapata@grupocolviva.com" TargetMode="External"/><Relationship Id="rId446" Type="http://schemas.openxmlformats.org/officeDocument/2006/relationships/hyperlink" Target="mailto:daniel.uribe@spci.com.co" TargetMode="External"/><Relationship Id="rId250" Type="http://schemas.openxmlformats.org/officeDocument/2006/relationships/hyperlink" Target="mailto:gerencia@securetec.com.co" TargetMode="External"/><Relationship Id="rId292" Type="http://schemas.openxmlformats.org/officeDocument/2006/relationships/hyperlink" Target="mailto:cristiam.mondragon@spci.com.co" TargetMode="External"/><Relationship Id="rId306" Type="http://schemas.openxmlformats.org/officeDocument/2006/relationships/hyperlink" Target="mailto:juan.londono@serviciosipm.com" TargetMode="External"/><Relationship Id="rId45" Type="http://schemas.openxmlformats.org/officeDocument/2006/relationships/hyperlink" Target="mailto:proyectos@santiagorojas.com.co" TargetMode="External"/><Relationship Id="rId87" Type="http://schemas.openxmlformats.org/officeDocument/2006/relationships/hyperlink" Target="mailto:gaguirre@solciviles.com" TargetMode="External"/><Relationship Id="rId110" Type="http://schemas.openxmlformats.org/officeDocument/2006/relationships/hyperlink" Target="mailto:n.garcia@condiseno.co" TargetMode="External"/><Relationship Id="rId348" Type="http://schemas.openxmlformats.org/officeDocument/2006/relationships/hyperlink" Target="mailto:daniel.melguizo@mineros.com.co" TargetMode="External"/><Relationship Id="rId152" Type="http://schemas.openxmlformats.org/officeDocument/2006/relationships/hyperlink" Target="mailto:mauricio.guzman@spci.com.co" TargetMode="External"/><Relationship Id="rId194" Type="http://schemas.openxmlformats.org/officeDocument/2006/relationships/hyperlink" Target="mailto:juan.grajales@spci.com.co" TargetMode="External"/><Relationship Id="rId208" Type="http://schemas.openxmlformats.org/officeDocument/2006/relationships/hyperlink" Target="mailto:camilo.quintero@spci.com.co" TargetMode="External"/><Relationship Id="rId415" Type="http://schemas.openxmlformats.org/officeDocument/2006/relationships/hyperlink" Target="mailto:cristiam.mondragon@spci.com.co" TargetMode="External"/><Relationship Id="rId457" Type="http://schemas.openxmlformats.org/officeDocument/2006/relationships/hyperlink" Target="mailto:santiagoisaza@convel.co" TargetMode="External"/><Relationship Id="rId261" Type="http://schemas.openxmlformats.org/officeDocument/2006/relationships/hyperlink" Target="mailto:maribel.osorioespinosa@gmail.com" TargetMode="External"/><Relationship Id="rId14" Type="http://schemas.openxmlformats.org/officeDocument/2006/relationships/hyperlink" Target="mailto:alvaromanosalva@sfiregroup.com" TargetMode="External"/><Relationship Id="rId56" Type="http://schemas.openxmlformats.org/officeDocument/2006/relationships/hyperlink" Target="mailto:manaceve@bancolombia.com.co" TargetMode="External"/><Relationship Id="rId317" Type="http://schemas.openxmlformats.org/officeDocument/2006/relationships/hyperlink" Target="mailto:Proyectos@clinicalasvegas.com" TargetMode="External"/><Relationship Id="rId359" Type="http://schemas.openxmlformats.org/officeDocument/2006/relationships/hyperlink" Target="mailto:mmontoya@interve.co" TargetMode="External"/><Relationship Id="rId98" Type="http://schemas.openxmlformats.org/officeDocument/2006/relationships/hyperlink" Target="mailto:gino1037@hotmail.com" TargetMode="External"/><Relationship Id="rId121" Type="http://schemas.openxmlformats.org/officeDocument/2006/relationships/hyperlink" Target="mailto:jaristizabal@con-axion.com" TargetMode="External"/><Relationship Id="rId163" Type="http://schemas.openxmlformats.org/officeDocument/2006/relationships/hyperlink" Target="mailto:camilomejia@trazosurbanos.com.co" TargetMode="External"/><Relationship Id="rId219" Type="http://schemas.openxmlformats.org/officeDocument/2006/relationships/hyperlink" Target="mailto:gaguirre@solciviles.com" TargetMode="External"/><Relationship Id="rId370" Type="http://schemas.openxmlformats.org/officeDocument/2006/relationships/hyperlink" Target="mailto:jaristizabal@conaltura.com" TargetMode="External"/><Relationship Id="rId426" Type="http://schemas.openxmlformats.org/officeDocument/2006/relationships/hyperlink" Target="mailto:Camilo.Chavez@quironsalud.com" TargetMode="External"/><Relationship Id="rId230" Type="http://schemas.openxmlformats.org/officeDocument/2006/relationships/hyperlink" Target="mailto:juan.grajales@spci.com.co" TargetMode="External"/><Relationship Id="rId468" Type="http://schemas.openxmlformats.org/officeDocument/2006/relationships/hyperlink" Target="mailto:jherrerau@conconcreto.com" TargetMode="External"/><Relationship Id="rId25" Type="http://schemas.openxmlformats.org/officeDocument/2006/relationships/hyperlink" Target="mailto:n.garcia@condiseno.co" TargetMode="External"/><Relationship Id="rId67" Type="http://schemas.openxmlformats.org/officeDocument/2006/relationships/hyperlink" Target="mailto:d.henao@stratego.com.co" TargetMode="External"/><Relationship Id="rId272" Type="http://schemas.openxmlformats.org/officeDocument/2006/relationships/hyperlink" Target="mailto:ana.restrepo@spci.com.co" TargetMode="External"/><Relationship Id="rId328" Type="http://schemas.openxmlformats.org/officeDocument/2006/relationships/hyperlink" Target="mailto:cristiam.mondragon@spci.com.co" TargetMode="External"/><Relationship Id="rId132" Type="http://schemas.openxmlformats.org/officeDocument/2006/relationships/hyperlink" Target="mailto:gerencia.atca@gmail.com" TargetMode="External"/><Relationship Id="rId174" Type="http://schemas.openxmlformats.org/officeDocument/2006/relationships/hyperlink" Target="mailto:dzapata@conconcreto.com" TargetMode="External"/><Relationship Id="rId381" Type="http://schemas.openxmlformats.org/officeDocument/2006/relationships/hyperlink" Target="mailto:director.administrativo@coprocenva.coop" TargetMode="External"/><Relationship Id="rId241" Type="http://schemas.openxmlformats.org/officeDocument/2006/relationships/hyperlink" Target="mailto:alejandrogomezvillegas@gmail.com" TargetMode="External"/><Relationship Id="rId437" Type="http://schemas.openxmlformats.org/officeDocument/2006/relationships/hyperlink" Target="mailto:andrea.poveda@ospinas.com.co" TargetMode="External"/><Relationship Id="rId479" Type="http://schemas.openxmlformats.org/officeDocument/2006/relationships/drawing" Target="../drawings/drawing5.xml"/><Relationship Id="rId36" Type="http://schemas.openxmlformats.org/officeDocument/2006/relationships/hyperlink" Target="mailto:danielavelez.fcr@gmail.com" TargetMode="External"/><Relationship Id="rId283" Type="http://schemas.openxmlformats.org/officeDocument/2006/relationships/hyperlink" Target="mailto:Vanessazapata.fcr@gmail.com" TargetMode="External"/><Relationship Id="rId339" Type="http://schemas.openxmlformats.org/officeDocument/2006/relationships/hyperlink" Target="mailto:obinsonmarulanda@arquitecturayconcreto.com" TargetMode="External"/><Relationship Id="rId78" Type="http://schemas.openxmlformats.org/officeDocument/2006/relationships/hyperlink" Target="mailto:david.lopera@socomes.com" TargetMode="External"/><Relationship Id="rId101" Type="http://schemas.openxmlformats.org/officeDocument/2006/relationships/hyperlink" Target="mailto:francisco.unda@seriinco.com" TargetMode="External"/><Relationship Id="rId143" Type="http://schemas.openxmlformats.org/officeDocument/2006/relationships/hyperlink" Target="mailto:ascomercial@securetec.com.co" TargetMode="External"/><Relationship Id="rId185" Type="http://schemas.openxmlformats.org/officeDocument/2006/relationships/hyperlink" Target="mailto:mauricio.guzman@spci.com.co" TargetMode="External"/><Relationship Id="rId350" Type="http://schemas.openxmlformats.org/officeDocument/2006/relationships/hyperlink" Target="mailto:santiagoduque@solucionesinmobiliariassas.com" TargetMode="External"/><Relationship Id="rId406" Type="http://schemas.openxmlformats.org/officeDocument/2006/relationships/hyperlink" Target="mailto:sraic.asistente@gmail.com" TargetMode="External"/><Relationship Id="rId9" Type="http://schemas.openxmlformats.org/officeDocument/2006/relationships/hyperlink" Target="mailto:gustavo.canchila@udea.edu.co" TargetMode="External"/><Relationship Id="rId210" Type="http://schemas.openxmlformats.org/officeDocument/2006/relationships/hyperlink" Target="mailto:cristiam.mondragon@spci.com.co" TargetMode="External"/><Relationship Id="rId392" Type="http://schemas.openxmlformats.org/officeDocument/2006/relationships/hyperlink" Target="mailto:director@calfa2019.com" TargetMode="External"/><Relationship Id="rId448" Type="http://schemas.openxmlformats.org/officeDocument/2006/relationships/hyperlink" Target="mailto:l.cuartas@verticeing.com" TargetMode="External"/><Relationship Id="rId252" Type="http://schemas.openxmlformats.org/officeDocument/2006/relationships/hyperlink" Target="mailto:cristiam.mondragon@spci.com.co" TargetMode="External"/><Relationship Id="rId294" Type="http://schemas.openxmlformats.org/officeDocument/2006/relationships/hyperlink" Target="mailto:disenos@coinsi.com" TargetMode="External"/><Relationship Id="rId308" Type="http://schemas.openxmlformats.org/officeDocument/2006/relationships/hyperlink" Target="mailto:comercial@comexinternacional.com.co" TargetMode="External"/><Relationship Id="rId47" Type="http://schemas.openxmlformats.org/officeDocument/2006/relationships/hyperlink" Target="mailto:gerencia@projectsolutions.com.co" TargetMode="External"/><Relationship Id="rId89" Type="http://schemas.openxmlformats.org/officeDocument/2006/relationships/hyperlink" Target="mailto:yaddy.giron@solida.com.co" TargetMode="External"/><Relationship Id="rId112" Type="http://schemas.openxmlformats.org/officeDocument/2006/relationships/hyperlink" Target="mailto:risksolutiong@gmail.com" TargetMode="External"/><Relationship Id="rId154" Type="http://schemas.openxmlformats.org/officeDocument/2006/relationships/hyperlink" Target="mailto:gaguirre@solciviles.com" TargetMode="External"/><Relationship Id="rId361" Type="http://schemas.openxmlformats.org/officeDocument/2006/relationships/hyperlink" Target="mailto:comercial@comexinternacional.com.co" TargetMode="External"/><Relationship Id="rId196" Type="http://schemas.openxmlformats.org/officeDocument/2006/relationships/hyperlink" Target="mailto:david.restrepo1205@gmail.com" TargetMode="External"/><Relationship Id="rId417" Type="http://schemas.openxmlformats.org/officeDocument/2006/relationships/hyperlink" Target="mailto:jpgarcia@primarioayd.com" TargetMode="External"/><Relationship Id="rId459" Type="http://schemas.openxmlformats.org/officeDocument/2006/relationships/hyperlink" Target="mailto:cristiam.mondragon@spci.com.co" TargetMode="External"/><Relationship Id="rId16" Type="http://schemas.openxmlformats.org/officeDocument/2006/relationships/hyperlink" Target="mailto:gino1037@hotmail.com" TargetMode="External"/><Relationship Id="rId221" Type="http://schemas.openxmlformats.org/officeDocument/2006/relationships/hyperlink" Target="mailto:ana.restrepo@spci.com.co" TargetMode="External"/><Relationship Id="rId263" Type="http://schemas.openxmlformats.org/officeDocument/2006/relationships/hyperlink" Target="mailto:dsaldarriaga@interve.co" TargetMode="External"/><Relationship Id="rId319" Type="http://schemas.openxmlformats.org/officeDocument/2006/relationships/hyperlink" Target="mailto:cristian.marin@espiral.com.co" TargetMode="External"/><Relationship Id="rId470" Type="http://schemas.openxmlformats.org/officeDocument/2006/relationships/hyperlink" Target="mailto:camilo.quintero@spci.com.co" TargetMode="External"/><Relationship Id="rId58" Type="http://schemas.openxmlformats.org/officeDocument/2006/relationships/hyperlink" Target="mailto:santiagolopez@mensulaingenieros.com" TargetMode="External"/><Relationship Id="rId123" Type="http://schemas.openxmlformats.org/officeDocument/2006/relationships/hyperlink" Target="mailto:danielpernett@centrosur.co" TargetMode="External"/><Relationship Id="rId330" Type="http://schemas.openxmlformats.org/officeDocument/2006/relationships/hyperlink" Target="mailto:eataborda.sedic@serviciosnutresa.com" TargetMode="External"/><Relationship Id="rId165" Type="http://schemas.openxmlformats.org/officeDocument/2006/relationships/hyperlink" Target="mailto:carlos.henao@seriinco.com" TargetMode="External"/><Relationship Id="rId372" Type="http://schemas.openxmlformats.org/officeDocument/2006/relationships/hyperlink" Target="mailto:jgomez@interve.co" TargetMode="External"/><Relationship Id="rId428" Type="http://schemas.openxmlformats.org/officeDocument/2006/relationships/hyperlink" Target="mailto:n.garcia@condiseno.co" TargetMode="External"/><Relationship Id="rId232" Type="http://schemas.openxmlformats.org/officeDocument/2006/relationships/hyperlink" Target="mailto:directorlean@inserco.com.co" TargetMode="External"/><Relationship Id="rId274" Type="http://schemas.openxmlformats.org/officeDocument/2006/relationships/hyperlink" Target="mailto:cristinapalacio@mensulaingenieros.com" TargetMode="External"/><Relationship Id="rId481" Type="http://schemas.openxmlformats.org/officeDocument/2006/relationships/comments" Target="../comments5.xml"/><Relationship Id="rId27" Type="http://schemas.openxmlformats.org/officeDocument/2006/relationships/hyperlink" Target="mailto:dianaperez@convel.co" TargetMode="External"/><Relationship Id="rId69" Type="http://schemas.openxmlformats.org/officeDocument/2006/relationships/hyperlink" Target="mailto:direccionoperativa@oviedo.com.co" TargetMode="External"/><Relationship Id="rId134" Type="http://schemas.openxmlformats.org/officeDocument/2006/relationships/hyperlink" Target="mailto:nataliacruz@mensulaingenieros.com" TargetMode="External"/><Relationship Id="rId80" Type="http://schemas.openxmlformats.org/officeDocument/2006/relationships/hyperlink" Target="mailto:laura.arias@studiosur.net" TargetMode="External"/><Relationship Id="rId176" Type="http://schemas.openxmlformats.org/officeDocument/2006/relationships/hyperlink" Target="mailto:juan.londono@serviciosipm.com" TargetMode="External"/><Relationship Id="rId341" Type="http://schemas.openxmlformats.org/officeDocument/2006/relationships/hyperlink" Target="mailto:omercial@comexinternacional.com.co" TargetMode="External"/><Relationship Id="rId383" Type="http://schemas.openxmlformats.org/officeDocument/2006/relationships/hyperlink" Target="mailto:proyectos2@jomarkseguridad.com" TargetMode="External"/><Relationship Id="rId439" Type="http://schemas.openxmlformats.org/officeDocument/2006/relationships/hyperlink" Target="mailto:camilo.quintero@spci.com.co" TargetMode="External"/><Relationship Id="rId201" Type="http://schemas.openxmlformats.org/officeDocument/2006/relationships/hyperlink" Target="mailto:camilo.quintero@spci.com.co" TargetMode="External"/><Relationship Id="rId243" Type="http://schemas.openxmlformats.org/officeDocument/2006/relationships/hyperlink" Target="mailto:mblanco@contex.com.co" TargetMode="External"/><Relationship Id="rId285" Type="http://schemas.openxmlformats.org/officeDocument/2006/relationships/hyperlink" Target="mailto:jorge.lopez@conveccion.com" TargetMode="External"/><Relationship Id="rId450" Type="http://schemas.openxmlformats.org/officeDocument/2006/relationships/hyperlink" Target="mailto:arestrepoe@conconcreto.com" TargetMode="External"/><Relationship Id="rId38" Type="http://schemas.openxmlformats.org/officeDocument/2006/relationships/hyperlink" Target="mailto:epantoja@contex.com.co" TargetMode="External"/><Relationship Id="rId103" Type="http://schemas.openxmlformats.org/officeDocument/2006/relationships/hyperlink" Target="mailto:cjimenez@coninsa.co" TargetMode="External"/><Relationship Id="rId310" Type="http://schemas.openxmlformats.org/officeDocument/2006/relationships/hyperlink" Target="mailto:luiferrestrepo@gmail.com" TargetMode="External"/><Relationship Id="rId91" Type="http://schemas.openxmlformats.org/officeDocument/2006/relationships/hyperlink" Target="mailto:ana.restrepo@spci.com.co" TargetMode="External"/><Relationship Id="rId145" Type="http://schemas.openxmlformats.org/officeDocument/2006/relationships/hyperlink" Target="mailto:juan.grajales@spci.com.co" TargetMode="External"/><Relationship Id="rId187" Type="http://schemas.openxmlformats.org/officeDocument/2006/relationships/hyperlink" Target="mailto:ana.restrepo@spci.com.co" TargetMode="External"/><Relationship Id="rId352" Type="http://schemas.openxmlformats.org/officeDocument/2006/relationships/hyperlink" Target="mailto:gino1037@hotmail.com" TargetMode="External"/><Relationship Id="rId394" Type="http://schemas.openxmlformats.org/officeDocument/2006/relationships/hyperlink" Target="mailto:mcvelasquez@contex.com.co" TargetMode="External"/><Relationship Id="rId408" Type="http://schemas.openxmlformats.org/officeDocument/2006/relationships/hyperlink" Target="mailto:jjaramillo@conexoinmobiliario.com" TargetMode="External"/><Relationship Id="rId212" Type="http://schemas.openxmlformats.org/officeDocument/2006/relationships/hyperlink" Target="mailto:cristiam.mondragon@spci.com.co" TargetMode="External"/><Relationship Id="rId254" Type="http://schemas.openxmlformats.org/officeDocument/2006/relationships/hyperlink" Target="mailto:proyectosbim@cantagirone.com" TargetMode="External"/><Relationship Id="rId49" Type="http://schemas.openxmlformats.org/officeDocument/2006/relationships/hyperlink" Target="mailto:ana.restrepo@spci.com.co" TargetMode="External"/><Relationship Id="rId114" Type="http://schemas.openxmlformats.org/officeDocument/2006/relationships/hyperlink" Target="mailto:camilomejia@trazosurbanos.com.co" TargetMode="External"/><Relationship Id="rId296" Type="http://schemas.openxmlformats.org/officeDocument/2006/relationships/hyperlink" Target="mailto:cristiam.mondragon@spci.com.co" TargetMode="External"/><Relationship Id="rId461" Type="http://schemas.openxmlformats.org/officeDocument/2006/relationships/hyperlink" Target="mailto:cristiam.mondragon@spci.com.co" TargetMode="External"/><Relationship Id="rId60" Type="http://schemas.openxmlformats.org/officeDocument/2006/relationships/hyperlink" Target="mailto:mlopez@hdgerenciaintegral.com" TargetMode="External"/><Relationship Id="rId156" Type="http://schemas.openxmlformats.org/officeDocument/2006/relationships/hyperlink" Target="mailto:proyectos2@jomarkseguridad.com" TargetMode="External"/><Relationship Id="rId198" Type="http://schemas.openxmlformats.org/officeDocument/2006/relationships/hyperlink" Target="mailto:juan.grajales@spci.com.co" TargetMode="External"/><Relationship Id="rId321" Type="http://schemas.openxmlformats.org/officeDocument/2006/relationships/hyperlink" Target="mailto:jahir.manrique@spci.com.co" TargetMode="External"/><Relationship Id="rId363" Type="http://schemas.openxmlformats.org/officeDocument/2006/relationships/hyperlink" Target="mailto:comercial@comexinternacional.com.co" TargetMode="External"/><Relationship Id="rId419" Type="http://schemas.openxmlformats.org/officeDocument/2006/relationships/hyperlink" Target="mailto:cristianospina@arquitecturayconcreto.com" TargetMode="External"/><Relationship Id="rId223" Type="http://schemas.openxmlformats.org/officeDocument/2006/relationships/hyperlink" Target="mailto:cristiam.mondragon@spci.com.co" TargetMode="External"/><Relationship Id="rId430" Type="http://schemas.openxmlformats.org/officeDocument/2006/relationships/hyperlink" Target="mailto:jmezaarcia@gmail.com" TargetMode="External"/><Relationship Id="rId18" Type="http://schemas.openxmlformats.org/officeDocument/2006/relationships/hyperlink" Target="mailto:proyectos2@jomarkseguridad.com" TargetMode="External"/><Relationship Id="rId265" Type="http://schemas.openxmlformats.org/officeDocument/2006/relationships/hyperlink" Target="mailto:l.cuartas@verticeing.com" TargetMode="External"/><Relationship Id="rId472" Type="http://schemas.openxmlformats.org/officeDocument/2006/relationships/hyperlink" Target="mailto:camilo.quintero@spci.com.co" TargetMode="External"/><Relationship Id="rId125" Type="http://schemas.openxmlformats.org/officeDocument/2006/relationships/hyperlink" Target="mailto:ingenierotecnico1@g4ingenieros.com" TargetMode="External"/><Relationship Id="rId167" Type="http://schemas.openxmlformats.org/officeDocument/2006/relationships/hyperlink" Target="mailto:dir.obramirasol@fundacioncompartir.org" TargetMode="External"/><Relationship Id="rId332" Type="http://schemas.openxmlformats.org/officeDocument/2006/relationships/hyperlink" Target="mailto:david.lopera@socomes.com" TargetMode="External"/><Relationship Id="rId374" Type="http://schemas.openxmlformats.org/officeDocument/2006/relationships/hyperlink" Target="mailto:laura.arias@studiosur.net" TargetMode="External"/><Relationship Id="rId71" Type="http://schemas.openxmlformats.org/officeDocument/2006/relationships/hyperlink" Target="mailto:dirproyectos@securetec.com.co" TargetMode="External"/><Relationship Id="rId234" Type="http://schemas.openxmlformats.org/officeDocument/2006/relationships/hyperlink" Target="mailto:mafe.focusdi@gmail.com" TargetMode="External"/><Relationship Id="rId2" Type="http://schemas.openxmlformats.org/officeDocument/2006/relationships/hyperlink" Target="mailto:cristinapalacio@mensulaingenieros.com" TargetMode="External"/><Relationship Id="rId29" Type="http://schemas.openxmlformats.org/officeDocument/2006/relationships/hyperlink" Target="mailto:olmes.rodriguez@desur.gov.co" TargetMode="External"/><Relationship Id="rId276" Type="http://schemas.openxmlformats.org/officeDocument/2006/relationships/hyperlink" Target="mailto:alvaro.garcia@seriinco.com" TargetMode="External"/><Relationship Id="rId441" Type="http://schemas.openxmlformats.org/officeDocument/2006/relationships/hyperlink" Target="mailto:dsaldarriaga@interve.co" TargetMode="External"/><Relationship Id="rId40" Type="http://schemas.openxmlformats.org/officeDocument/2006/relationships/hyperlink" Target="mailto:direccionmazanti@gmail.com" TargetMode="External"/><Relationship Id="rId136" Type="http://schemas.openxmlformats.org/officeDocument/2006/relationships/hyperlink" Target="mailto:yeisongonzalez@mensulaingenieros.com" TargetMode="External"/><Relationship Id="rId178" Type="http://schemas.openxmlformats.org/officeDocument/2006/relationships/hyperlink" Target="mailto:francisco.unda@seriinco.com" TargetMode="External"/><Relationship Id="rId301" Type="http://schemas.openxmlformats.org/officeDocument/2006/relationships/hyperlink" Target="mailto:hudinco@gmail.com" TargetMode="External"/><Relationship Id="rId343" Type="http://schemas.openxmlformats.org/officeDocument/2006/relationships/hyperlink" Target="mailto:cristiam.mondragon@spci.com.co" TargetMode="External"/><Relationship Id="rId82" Type="http://schemas.openxmlformats.org/officeDocument/2006/relationships/hyperlink" Target="mailto:simon.mesa@desur.gov.co" TargetMode="External"/><Relationship Id="rId203" Type="http://schemas.openxmlformats.org/officeDocument/2006/relationships/hyperlink" Target="mailto:directorlean@inserco.com.co" TargetMode="External"/><Relationship Id="rId385" Type="http://schemas.openxmlformats.org/officeDocument/2006/relationships/hyperlink" Target="mailto:coordinacionbiomedica@incare.com.co" TargetMode="External"/><Relationship Id="rId245" Type="http://schemas.openxmlformats.org/officeDocument/2006/relationships/hyperlink" Target="mailto:jahir.manrique@spci.com.co" TargetMode="External"/><Relationship Id="rId287" Type="http://schemas.openxmlformats.org/officeDocument/2006/relationships/hyperlink" Target="mailto:angela.toro@bienesybienes.com.co" TargetMode="External"/><Relationship Id="rId410" Type="http://schemas.openxmlformats.org/officeDocument/2006/relationships/hyperlink" Target="mailto:comercial@comexinternacional.com.co" TargetMode="External"/><Relationship Id="rId452" Type="http://schemas.openxmlformats.org/officeDocument/2006/relationships/hyperlink" Target="mailto:hidraulicaymontajes@gmail.com" TargetMode="External"/><Relationship Id="rId105" Type="http://schemas.openxmlformats.org/officeDocument/2006/relationships/hyperlink" Target="mailto:juan.grajales@spci.com.co" TargetMode="External"/><Relationship Id="rId147" Type="http://schemas.openxmlformats.org/officeDocument/2006/relationships/hyperlink" Target="mailto:juan.londono@serviciosipm.com" TargetMode="External"/><Relationship Id="rId312" Type="http://schemas.openxmlformats.org/officeDocument/2006/relationships/hyperlink" Target="mailto:hborda@mab.com.co" TargetMode="External"/><Relationship Id="rId354" Type="http://schemas.openxmlformats.org/officeDocument/2006/relationships/hyperlink" Target="mailto:interventoriaiuebloque14@gmail.com" TargetMode="External"/><Relationship Id="rId51" Type="http://schemas.openxmlformats.org/officeDocument/2006/relationships/hyperlink" Target="mailto:n.garcia@condiseno.co" TargetMode="External"/><Relationship Id="rId93" Type="http://schemas.openxmlformats.org/officeDocument/2006/relationships/hyperlink" Target="mailto:gino1037@hotmail.com" TargetMode="External"/><Relationship Id="rId189" Type="http://schemas.openxmlformats.org/officeDocument/2006/relationships/hyperlink" Target="mailto:simon.agudelo@labinmobiliario.com" TargetMode="External"/><Relationship Id="rId396" Type="http://schemas.openxmlformats.org/officeDocument/2006/relationships/hyperlink" Target="mailto:dsaldarriaga@interve.co" TargetMode="External"/><Relationship Id="rId3" Type="http://schemas.openxmlformats.org/officeDocument/2006/relationships/hyperlink" Target="mailto:juan.grajales@spci.com.co" TargetMode="External"/><Relationship Id="rId214" Type="http://schemas.openxmlformats.org/officeDocument/2006/relationships/hyperlink" Target="mailto:carmenza.guzman@urco.com.co" TargetMode="External"/><Relationship Id="rId235" Type="http://schemas.openxmlformats.org/officeDocument/2006/relationships/hyperlink" Target="mailto:david.lopera@socomes.com" TargetMode="External"/><Relationship Id="rId256" Type="http://schemas.openxmlformats.org/officeDocument/2006/relationships/hyperlink" Target="mailto:proyectosbim@cantagirone.com" TargetMode="External"/><Relationship Id="rId277" Type="http://schemas.openxmlformats.org/officeDocument/2006/relationships/hyperlink" Target="mailto:camilo.quintero@spci.com.co" TargetMode="External"/><Relationship Id="rId298" Type="http://schemas.openxmlformats.org/officeDocument/2006/relationships/hyperlink" Target="mailto:mlhenao@conconcreto.com" TargetMode="External"/><Relationship Id="rId400" Type="http://schemas.openxmlformats.org/officeDocument/2006/relationships/hyperlink" Target="mailto:proyectos2@jomarkseguridad.com" TargetMode="External"/><Relationship Id="rId421" Type="http://schemas.openxmlformats.org/officeDocument/2006/relationships/hyperlink" Target="mailto:danielpernett@centrosur.co" TargetMode="External"/><Relationship Id="rId442" Type="http://schemas.openxmlformats.org/officeDocument/2006/relationships/hyperlink" Target="mailto:daniel.uribe@spci.com.co" TargetMode="External"/><Relationship Id="rId463" Type="http://schemas.openxmlformats.org/officeDocument/2006/relationships/hyperlink" Target="mailto:maria1998gonzalez@hotmail.com" TargetMode="External"/><Relationship Id="rId116" Type="http://schemas.openxmlformats.org/officeDocument/2006/relationships/hyperlink" Target="mailto:juan.grajales@spci.com.co" TargetMode="External"/><Relationship Id="rId137" Type="http://schemas.openxmlformats.org/officeDocument/2006/relationships/hyperlink" Target="mailto:yeisongonzalez@mensulaingenieros.com" TargetMode="External"/><Relationship Id="rId158" Type="http://schemas.openxmlformats.org/officeDocument/2006/relationships/hyperlink" Target="mailto:esteban.escobar@apicdecolombia.com" TargetMode="External"/><Relationship Id="rId302" Type="http://schemas.openxmlformats.org/officeDocument/2006/relationships/hyperlink" Target="mailto:jugsanch@bancolombia.com.co" TargetMode="External"/><Relationship Id="rId323" Type="http://schemas.openxmlformats.org/officeDocument/2006/relationships/hyperlink" Target="mailto:carlos.henao@seriinco.com" TargetMode="External"/><Relationship Id="rId344" Type="http://schemas.openxmlformats.org/officeDocument/2006/relationships/hyperlink" Target="mailto:camilo.quintero@spci.com.co" TargetMode="External"/><Relationship Id="rId20" Type="http://schemas.openxmlformats.org/officeDocument/2006/relationships/hyperlink" Target="mailto:mauricio.guzman@spci.com.co" TargetMode="External"/><Relationship Id="rId41" Type="http://schemas.openxmlformats.org/officeDocument/2006/relationships/hyperlink" Target="mailto:ana.restrepo@spci.com.co" TargetMode="External"/><Relationship Id="rId62" Type="http://schemas.openxmlformats.org/officeDocument/2006/relationships/hyperlink" Target="mailto:valeriahaydar@gmail.com" TargetMode="External"/><Relationship Id="rId83" Type="http://schemas.openxmlformats.org/officeDocument/2006/relationships/hyperlink" Target="mailto:camilo.quintero@spci.com.co" TargetMode="External"/><Relationship Id="rId179" Type="http://schemas.openxmlformats.org/officeDocument/2006/relationships/hyperlink" Target="mailto:lrestrepo@javierlondono.com.co" TargetMode="External"/><Relationship Id="rId365" Type="http://schemas.openxmlformats.org/officeDocument/2006/relationships/hyperlink" Target="mailto:comercial@comexinternacional.com.co" TargetMode="External"/><Relationship Id="rId386" Type="http://schemas.openxmlformats.org/officeDocument/2006/relationships/hyperlink" Target="mailto:n.garcia@condiseno.co" TargetMode="External"/><Relationship Id="rId190" Type="http://schemas.openxmlformats.org/officeDocument/2006/relationships/hyperlink" Target="mailto:juan.londono@serviciosipm.com" TargetMode="External"/><Relationship Id="rId204" Type="http://schemas.openxmlformats.org/officeDocument/2006/relationships/hyperlink" Target="mailto:cesarllanosarquitectura@gmail.com" TargetMode="External"/><Relationship Id="rId225" Type="http://schemas.openxmlformats.org/officeDocument/2006/relationships/hyperlink" Target="mailto:bravo259@hotmail.com" TargetMode="External"/><Relationship Id="rId246" Type="http://schemas.openxmlformats.org/officeDocument/2006/relationships/hyperlink" Target="mailto:camilogomez@convel.co" TargetMode="External"/><Relationship Id="rId267" Type="http://schemas.openxmlformats.org/officeDocument/2006/relationships/hyperlink" Target="mailto:juan.grajales@spci.com.co" TargetMode="External"/><Relationship Id="rId288" Type="http://schemas.openxmlformats.org/officeDocument/2006/relationships/hyperlink" Target="mailto:angela.toro@bienesybienes.com.co" TargetMode="External"/><Relationship Id="rId411" Type="http://schemas.openxmlformats.org/officeDocument/2006/relationships/hyperlink" Target="mailto:gaguirre@solciviles.com" TargetMode="External"/><Relationship Id="rId432" Type="http://schemas.openxmlformats.org/officeDocument/2006/relationships/hyperlink" Target="mailto:daniel.uribe@spcisas.com.co" TargetMode="External"/><Relationship Id="rId453" Type="http://schemas.openxmlformats.org/officeDocument/2006/relationships/hyperlink" Target="mailto:clopez@viva1a.com.co" TargetMode="External"/><Relationship Id="rId474" Type="http://schemas.openxmlformats.org/officeDocument/2006/relationships/hyperlink" Target="mailto:construccion.sacproyectos@gmail.com" TargetMode="External"/><Relationship Id="rId106" Type="http://schemas.openxmlformats.org/officeDocument/2006/relationships/hyperlink" Target="mailto:carlos.quintero@bienesybienes.com.co" TargetMode="External"/><Relationship Id="rId127" Type="http://schemas.openxmlformats.org/officeDocument/2006/relationships/hyperlink" Target="mailto:paolalechter@chilco.com.co" TargetMode="External"/><Relationship Id="rId313" Type="http://schemas.openxmlformats.org/officeDocument/2006/relationships/hyperlink" Target="mailto:n.garcia@condiseno.co" TargetMode="External"/><Relationship Id="rId10" Type="http://schemas.openxmlformats.org/officeDocument/2006/relationships/hyperlink" Target="mailto:ana.restrepo@spci.com.co" TargetMode="External"/><Relationship Id="rId31" Type="http://schemas.openxmlformats.org/officeDocument/2006/relationships/hyperlink" Target="mailto:fjrestrepo@conconcreto.com" TargetMode="External"/><Relationship Id="rId52" Type="http://schemas.openxmlformats.org/officeDocument/2006/relationships/hyperlink" Target="mailto:ana.restrepo@spci.com.co" TargetMode="External"/><Relationship Id="rId73" Type="http://schemas.openxmlformats.org/officeDocument/2006/relationships/hyperlink" Target="mailto:espaciosdehogar@gmail.com" TargetMode="External"/><Relationship Id="rId94" Type="http://schemas.openxmlformats.org/officeDocument/2006/relationships/hyperlink" Target="mailto:gino1037@hotmail.com" TargetMode="External"/><Relationship Id="rId148" Type="http://schemas.openxmlformats.org/officeDocument/2006/relationships/hyperlink" Target="mailto:eceballos@contex.com.co" TargetMode="External"/><Relationship Id="rId169" Type="http://schemas.openxmlformats.org/officeDocument/2006/relationships/hyperlink" Target="mailto:andresreinosa@iayc.co" TargetMode="External"/><Relationship Id="rId334" Type="http://schemas.openxmlformats.org/officeDocument/2006/relationships/hyperlink" Target="mailto:proyectos2@jomarkseguridad.com" TargetMode="External"/><Relationship Id="rId355" Type="http://schemas.openxmlformats.org/officeDocument/2006/relationships/hyperlink" Target="mailto:cristiam.mondragon@spci.com.co" TargetMode="External"/><Relationship Id="rId376" Type="http://schemas.openxmlformats.org/officeDocument/2006/relationships/hyperlink" Target="mailto:Daniela.Alzate@smurfitkappa.com" TargetMode="External"/><Relationship Id="rId397" Type="http://schemas.openxmlformats.org/officeDocument/2006/relationships/hyperlink" Target="mailto:cadquisiciones@cantagirone.com" TargetMode="External"/><Relationship Id="rId4" Type="http://schemas.openxmlformats.org/officeDocument/2006/relationships/hyperlink" Target="mailto:francisco.unda@seriinco.com" TargetMode="External"/><Relationship Id="rId180" Type="http://schemas.openxmlformats.org/officeDocument/2006/relationships/hyperlink" Target="mailto:gaguirre@solciviles.com" TargetMode="External"/><Relationship Id="rId215" Type="http://schemas.openxmlformats.org/officeDocument/2006/relationships/hyperlink" Target="mailto:daironobando@estructurar.co" TargetMode="External"/><Relationship Id="rId236" Type="http://schemas.openxmlformats.org/officeDocument/2006/relationships/hyperlink" Target="mailto:david.lopera@socomes.com" TargetMode="External"/><Relationship Id="rId257" Type="http://schemas.openxmlformats.org/officeDocument/2006/relationships/hyperlink" Target="mailto:camilogomez@convel.co" TargetMode="External"/><Relationship Id="rId278" Type="http://schemas.openxmlformats.org/officeDocument/2006/relationships/hyperlink" Target="mailto:david.lopera@socomes.com" TargetMode="External"/><Relationship Id="rId401" Type="http://schemas.openxmlformats.org/officeDocument/2006/relationships/hyperlink" Target="mailto:proyectos2@jomarkseguridad.com" TargetMode="External"/><Relationship Id="rId422" Type="http://schemas.openxmlformats.org/officeDocument/2006/relationships/hyperlink" Target="mailto:carlos.cuello@pcmejia.com.co" TargetMode="External"/><Relationship Id="rId443" Type="http://schemas.openxmlformats.org/officeDocument/2006/relationships/hyperlink" Target="mailto:n.garcia@condiseno.co" TargetMode="External"/><Relationship Id="rId464" Type="http://schemas.openxmlformats.org/officeDocument/2006/relationships/hyperlink" Target="mailto:gerencia@projectsolutions.com.co" TargetMode="External"/><Relationship Id="rId303" Type="http://schemas.openxmlformats.org/officeDocument/2006/relationships/hyperlink" Target="mailto:proyectosbim@cantagirone.com" TargetMode="External"/><Relationship Id="rId42" Type="http://schemas.openxmlformats.org/officeDocument/2006/relationships/hyperlink" Target="mailto:proyectos@santiagorojas.com.co" TargetMode="External"/><Relationship Id="rId84" Type="http://schemas.openxmlformats.org/officeDocument/2006/relationships/hyperlink" Target="mailto:jrodriguez@ingesed.com" TargetMode="External"/><Relationship Id="rId138" Type="http://schemas.openxmlformats.org/officeDocument/2006/relationships/hyperlink" Target="mailto:coordinacion@conintel.com.co" TargetMode="External"/><Relationship Id="rId345" Type="http://schemas.openxmlformats.org/officeDocument/2006/relationships/hyperlink" Target="mailto:santiago.cardona@spci.com.co" TargetMode="External"/><Relationship Id="rId387" Type="http://schemas.openxmlformats.org/officeDocument/2006/relationships/hyperlink" Target="mailto:cristianlondono@mensulaingenieros.com" TargetMode="External"/><Relationship Id="rId191" Type="http://schemas.openxmlformats.org/officeDocument/2006/relationships/hyperlink" Target="mailto:juan.londono@serviciosipm.com" TargetMode="External"/><Relationship Id="rId205" Type="http://schemas.openxmlformats.org/officeDocument/2006/relationships/hyperlink" Target="mailto:camilo.quintero@spci.com.co" TargetMode="External"/><Relationship Id="rId247" Type="http://schemas.openxmlformats.org/officeDocument/2006/relationships/hyperlink" Target="mailto:jllamas@hidromaq-gt.com" TargetMode="External"/><Relationship Id="rId412" Type="http://schemas.openxmlformats.org/officeDocument/2006/relationships/hyperlink" Target="mailto:maria.correa@espiral.com.co" TargetMode="External"/><Relationship Id="rId107" Type="http://schemas.openxmlformats.org/officeDocument/2006/relationships/hyperlink" Target="mailto:ana.restrepo@spci.com.co" TargetMode="External"/><Relationship Id="rId289" Type="http://schemas.openxmlformats.org/officeDocument/2006/relationships/hyperlink" Target="mailto:angela.toro@bienesybienes.com.co" TargetMode="External"/><Relationship Id="rId454" Type="http://schemas.openxmlformats.org/officeDocument/2006/relationships/hyperlink" Target="mailto:rcigasyredes@gmail.com" TargetMode="External"/><Relationship Id="rId11" Type="http://schemas.openxmlformats.org/officeDocument/2006/relationships/hyperlink" Target="mailto:luisa.londono@ingeniobim.co" TargetMode="External"/><Relationship Id="rId53" Type="http://schemas.openxmlformats.org/officeDocument/2006/relationships/hyperlink" Target="mailto:camilo.quintero@spci.com.co" TargetMode="External"/><Relationship Id="rId149" Type="http://schemas.openxmlformats.org/officeDocument/2006/relationships/hyperlink" Target="mailto:eceballos@contex.com.co" TargetMode="External"/><Relationship Id="rId314" Type="http://schemas.openxmlformats.org/officeDocument/2006/relationships/hyperlink" Target="mailto:gerencia@projectsolutions.com.co" TargetMode="External"/><Relationship Id="rId356" Type="http://schemas.openxmlformats.org/officeDocument/2006/relationships/hyperlink" Target="mailto:cristiam.mondragon@spci.com.co" TargetMode="External"/><Relationship Id="rId398" Type="http://schemas.openxmlformats.org/officeDocument/2006/relationships/hyperlink" Target="mailto:gcortes@cesde.edu.co" TargetMode="External"/><Relationship Id="rId95" Type="http://schemas.openxmlformats.org/officeDocument/2006/relationships/hyperlink" Target="mailto:gerencia@securetec.com.co" TargetMode="External"/><Relationship Id="rId160" Type="http://schemas.openxmlformats.org/officeDocument/2006/relationships/hyperlink" Target="mailto:gino1037@hotmail.com" TargetMode="External"/><Relationship Id="rId216" Type="http://schemas.openxmlformats.org/officeDocument/2006/relationships/hyperlink" Target="mailto:gerencia@securetec.com.co" TargetMode="External"/><Relationship Id="rId423" Type="http://schemas.openxmlformats.org/officeDocument/2006/relationships/hyperlink" Target="mailto:gerencia@projectsolutions.com.co" TargetMode="External"/><Relationship Id="rId258" Type="http://schemas.openxmlformats.org/officeDocument/2006/relationships/hyperlink" Target="mailto:jllamas@hidromaq-gt.com" TargetMode="External"/><Relationship Id="rId465" Type="http://schemas.openxmlformats.org/officeDocument/2006/relationships/hyperlink" Target="mailto:mauricio.gutierrez@spci.com.co" TargetMode="External"/><Relationship Id="rId22" Type="http://schemas.openxmlformats.org/officeDocument/2006/relationships/hyperlink" Target="mailto:juan.grajales@spci.com.co" TargetMode="External"/><Relationship Id="rId64" Type="http://schemas.openxmlformats.org/officeDocument/2006/relationships/hyperlink" Target="mailto:arquitectura@labinmobiliario.com" TargetMode="External"/><Relationship Id="rId118" Type="http://schemas.openxmlformats.org/officeDocument/2006/relationships/hyperlink" Target="mailto:camilo.quintero@spci.com.co" TargetMode="External"/><Relationship Id="rId325" Type="http://schemas.openxmlformats.org/officeDocument/2006/relationships/hyperlink" Target="mailto:angela.toro@bienesybienes.com.co" TargetMode="External"/><Relationship Id="rId367" Type="http://schemas.openxmlformats.org/officeDocument/2006/relationships/hyperlink" Target="mailto:juliana.hoyos@solida.com.co" TargetMode="External"/><Relationship Id="rId171" Type="http://schemas.openxmlformats.org/officeDocument/2006/relationships/hyperlink" Target="mailto:germaneduardo.plata@fla.com.co" TargetMode="External"/><Relationship Id="rId227" Type="http://schemas.openxmlformats.org/officeDocument/2006/relationships/hyperlink" Target="mailto:andresreinosa@iayc.co" TargetMode="External"/><Relationship Id="rId269" Type="http://schemas.openxmlformats.org/officeDocument/2006/relationships/hyperlink" Target="mailto:david.lopera@socomes.com" TargetMode="External"/><Relationship Id="rId434" Type="http://schemas.openxmlformats.org/officeDocument/2006/relationships/hyperlink" Target="mailto:camilo.quintero@spci.com.co" TargetMode="External"/><Relationship Id="rId476" Type="http://schemas.openxmlformats.org/officeDocument/2006/relationships/hyperlink" Target="mailto:robinsonmarulanda@arquitecturayconcreto.com" TargetMode="External"/><Relationship Id="rId33" Type="http://schemas.openxmlformats.org/officeDocument/2006/relationships/hyperlink" Target="mailto:stellaibarra@gmail.com" TargetMode="External"/><Relationship Id="rId129" Type="http://schemas.openxmlformats.org/officeDocument/2006/relationships/hyperlink" Target="mailto:daniel.guzman@ingeniobim.co" TargetMode="External"/><Relationship Id="rId280" Type="http://schemas.openxmlformats.org/officeDocument/2006/relationships/hyperlink" Target="mailto:ascomercial@securetec.com.co" TargetMode="External"/><Relationship Id="rId336" Type="http://schemas.openxmlformats.org/officeDocument/2006/relationships/hyperlink" Target="mailto:ccvivas@spci.com.co" TargetMode="External"/><Relationship Id="rId75" Type="http://schemas.openxmlformats.org/officeDocument/2006/relationships/hyperlink" Target="mailto:juan.grajales@spci.com.co" TargetMode="External"/><Relationship Id="rId140" Type="http://schemas.openxmlformats.org/officeDocument/2006/relationships/hyperlink" Target="mailto:jbernal@interve.co" TargetMode="External"/><Relationship Id="rId182" Type="http://schemas.openxmlformats.org/officeDocument/2006/relationships/hyperlink" Target="mailto:lalopez@utp.edu.co" TargetMode="External"/><Relationship Id="rId378" Type="http://schemas.openxmlformats.org/officeDocument/2006/relationships/hyperlink" Target="mailto:cristiam.mondragon@spci.com.co" TargetMode="External"/><Relationship Id="rId403" Type="http://schemas.openxmlformats.org/officeDocument/2006/relationships/hyperlink" Target="mailto:proyectos2@jomarkseguridad.com" TargetMode="External"/><Relationship Id="rId6" Type="http://schemas.openxmlformats.org/officeDocument/2006/relationships/hyperlink" Target="mailto:juan.londono@serviciosipm.com" TargetMode="External"/><Relationship Id="rId238" Type="http://schemas.openxmlformats.org/officeDocument/2006/relationships/hyperlink" Target="mailto:juan.grajales@spci.com.co" TargetMode="External"/><Relationship Id="rId445" Type="http://schemas.openxmlformats.org/officeDocument/2006/relationships/hyperlink" Target="mailto:daniel.uribe@spci.com.co" TargetMode="External"/><Relationship Id="rId291" Type="http://schemas.openxmlformats.org/officeDocument/2006/relationships/hyperlink" Target="mailto:cristiam.mondragon@spci.com.co" TargetMode="External"/><Relationship Id="rId305" Type="http://schemas.openxmlformats.org/officeDocument/2006/relationships/hyperlink" Target="mailto:ana.restrepo@spci.com.co" TargetMode="External"/><Relationship Id="rId347" Type="http://schemas.openxmlformats.org/officeDocument/2006/relationships/hyperlink" Target="mailto:clrobayo@sura.com.co" TargetMode="External"/><Relationship Id="rId44" Type="http://schemas.openxmlformats.org/officeDocument/2006/relationships/hyperlink" Target="mailto:ana.restrepo@spci.com.co" TargetMode="External"/><Relationship Id="rId86" Type="http://schemas.openxmlformats.org/officeDocument/2006/relationships/hyperlink" Target="mailto:fgil@corona.com.co" TargetMode="External"/><Relationship Id="rId151" Type="http://schemas.openxmlformats.org/officeDocument/2006/relationships/hyperlink" Target="mailto:jbetancur@arquitecturayconcreto.com" TargetMode="External"/><Relationship Id="rId389" Type="http://schemas.openxmlformats.org/officeDocument/2006/relationships/hyperlink" Target="mailto:camilo.quintero@spci.com.co" TargetMode="External"/><Relationship Id="rId193" Type="http://schemas.openxmlformats.org/officeDocument/2006/relationships/hyperlink" Target="mailto:dzapata@conconcreto.com" TargetMode="External"/><Relationship Id="rId207" Type="http://schemas.openxmlformats.org/officeDocument/2006/relationships/hyperlink" Target="mailto:camilo.quintero@spci.com.co" TargetMode="External"/><Relationship Id="rId249" Type="http://schemas.openxmlformats.org/officeDocument/2006/relationships/hyperlink" Target="mailto:ivonnev.caballero@urosario.edu.co" TargetMode="External"/><Relationship Id="rId414" Type="http://schemas.openxmlformats.org/officeDocument/2006/relationships/hyperlink" Target="mailto:sraic.asistente@gmail.com" TargetMode="External"/><Relationship Id="rId456" Type="http://schemas.openxmlformats.org/officeDocument/2006/relationships/hyperlink" Target="mailto:cristiam.mondragon@spci.com.co" TargetMode="External"/><Relationship Id="rId13" Type="http://schemas.openxmlformats.org/officeDocument/2006/relationships/hyperlink" Target="mailto:dsaldarriaga@interve.co" TargetMode="External"/><Relationship Id="rId109" Type="http://schemas.openxmlformats.org/officeDocument/2006/relationships/hyperlink" Target="mailto:ceditierragrodirecciondeobra@gmail.com" TargetMode="External"/><Relationship Id="rId260" Type="http://schemas.openxmlformats.org/officeDocument/2006/relationships/hyperlink" Target="mailto:ana.restrepo@spci.com.co" TargetMode="External"/><Relationship Id="rId316" Type="http://schemas.openxmlformats.org/officeDocument/2006/relationships/hyperlink" Target="mailto:ahernandez@solucionesinmobiliariassas.com" TargetMode="External"/><Relationship Id="rId55" Type="http://schemas.openxmlformats.org/officeDocument/2006/relationships/hyperlink" Target="mailto:camilo.quintero@spci.com.co" TargetMode="External"/><Relationship Id="rId97" Type="http://schemas.openxmlformats.org/officeDocument/2006/relationships/hyperlink" Target="mailto:juan.londono@serviciosipm.com" TargetMode="External"/><Relationship Id="rId120" Type="http://schemas.openxmlformats.org/officeDocument/2006/relationships/hyperlink" Target="mailto:ana.restrepo@spci.com.co" TargetMode="External"/><Relationship Id="rId358" Type="http://schemas.openxmlformats.org/officeDocument/2006/relationships/hyperlink" Target="mailto:diseno4@gyd.com.co" TargetMode="External"/><Relationship Id="rId162" Type="http://schemas.openxmlformats.org/officeDocument/2006/relationships/hyperlink" Target="mailto:villaterrat2@gmail.com" TargetMode="External"/><Relationship Id="rId218" Type="http://schemas.openxmlformats.org/officeDocument/2006/relationships/hyperlink" Target="mailto:vmonsalve@conaltura.com," TargetMode="External"/><Relationship Id="rId425" Type="http://schemas.openxmlformats.org/officeDocument/2006/relationships/hyperlink" Target="mailto:zmlopez@coninsa.co" TargetMode="External"/><Relationship Id="rId467" Type="http://schemas.openxmlformats.org/officeDocument/2006/relationships/hyperlink" Target="mailto:famazo@mt.com.co" TargetMode="External"/><Relationship Id="rId271" Type="http://schemas.openxmlformats.org/officeDocument/2006/relationships/hyperlink" Target="mailto:juan.grajales@spci.com.co" TargetMode="External"/><Relationship Id="rId24" Type="http://schemas.openxmlformats.org/officeDocument/2006/relationships/hyperlink" Target="mailto:proyectos2@jomarkseguridad.com" TargetMode="External"/><Relationship Id="rId66" Type="http://schemas.openxmlformats.org/officeDocument/2006/relationships/hyperlink" Target="mailto:mferrer@interve.co" TargetMode="External"/><Relationship Id="rId131" Type="http://schemas.openxmlformats.org/officeDocument/2006/relationships/hyperlink" Target="mailto:interventoriadeboraetapa2@gmail.com" TargetMode="External"/><Relationship Id="rId327" Type="http://schemas.openxmlformats.org/officeDocument/2006/relationships/hyperlink" Target="mailto:proyectos2@jomarkseguridad.com" TargetMode="External"/><Relationship Id="rId369" Type="http://schemas.openxmlformats.org/officeDocument/2006/relationships/hyperlink" Target="mailto:carlos.quintero@bienesybienes.com.co" TargetMode="External"/><Relationship Id="rId173" Type="http://schemas.openxmlformats.org/officeDocument/2006/relationships/hyperlink" Target="mailto:dzapata@conconcreto.com" TargetMode="External"/><Relationship Id="rId229" Type="http://schemas.openxmlformats.org/officeDocument/2006/relationships/hyperlink" Target="mailto:juan.grajales@spci.com.co" TargetMode="External"/><Relationship Id="rId380" Type="http://schemas.openxmlformats.org/officeDocument/2006/relationships/hyperlink" Target="mailto:camilo.quintero@spci.com.co" TargetMode="External"/><Relationship Id="rId436" Type="http://schemas.openxmlformats.org/officeDocument/2006/relationships/hyperlink" Target="mailto:cristiam.mondragon@spci.com.co" TargetMode="External"/><Relationship Id="rId240" Type="http://schemas.openxmlformats.org/officeDocument/2006/relationships/hyperlink" Target="mailto:carlos.quintero@bienesybienes.com.co" TargetMode="External"/><Relationship Id="rId478" Type="http://schemas.openxmlformats.org/officeDocument/2006/relationships/printerSettings" Target="../printerSettings/printerSettings5.bin"/><Relationship Id="rId35" Type="http://schemas.openxmlformats.org/officeDocument/2006/relationships/hyperlink" Target="mailto:amontoya@contex.com.co" TargetMode="External"/><Relationship Id="rId77" Type="http://schemas.openxmlformats.org/officeDocument/2006/relationships/hyperlink" Target="mailto:ingenieriabrickcya@gmail.com" TargetMode="External"/><Relationship Id="rId100" Type="http://schemas.openxmlformats.org/officeDocument/2006/relationships/hyperlink" Target="mailto:mlopez@hdgerenciaintegral.com" TargetMode="External"/><Relationship Id="rId282" Type="http://schemas.openxmlformats.org/officeDocument/2006/relationships/hyperlink" Target="mailto:dsaldarriaga@interve.co" TargetMode="External"/><Relationship Id="rId338" Type="http://schemas.openxmlformats.org/officeDocument/2006/relationships/hyperlink" Target="mailto:gino1037@hotmail.com" TargetMode="External"/><Relationship Id="rId8" Type="http://schemas.openxmlformats.org/officeDocument/2006/relationships/hyperlink" Target="mailto:dir.tecnico@spcisas.com.co" TargetMode="External"/><Relationship Id="rId142" Type="http://schemas.openxmlformats.org/officeDocument/2006/relationships/hyperlink" Target="mailto:camilo.quintero@spci.com.co" TargetMode="External"/><Relationship Id="rId184" Type="http://schemas.openxmlformats.org/officeDocument/2006/relationships/hyperlink" Target="mailto:disenos@coinsi.com" TargetMode="External"/><Relationship Id="rId391" Type="http://schemas.openxmlformats.org/officeDocument/2006/relationships/hyperlink" Target="mailto:camilo.quintero@spci.com.co" TargetMode="External"/><Relationship Id="rId405" Type="http://schemas.openxmlformats.org/officeDocument/2006/relationships/hyperlink" Target="mailto:juan.grajales@spci.com.co" TargetMode="External"/><Relationship Id="rId447" Type="http://schemas.openxmlformats.org/officeDocument/2006/relationships/hyperlink" Target="mailto:mferrer@interve.co" TargetMode="External"/><Relationship Id="rId251" Type="http://schemas.openxmlformats.org/officeDocument/2006/relationships/hyperlink" Target="mailto:juan.londono@serviciosipm.com" TargetMode="External"/><Relationship Id="rId46" Type="http://schemas.openxmlformats.org/officeDocument/2006/relationships/hyperlink" Target="mailto:david.lopera@socomes.com" TargetMode="External"/><Relationship Id="rId293" Type="http://schemas.openxmlformats.org/officeDocument/2006/relationships/hyperlink" Target="mailto:unespacioarquitectos@gmail.com" TargetMode="External"/><Relationship Id="rId307" Type="http://schemas.openxmlformats.org/officeDocument/2006/relationships/hyperlink" Target="mailto:omercial@comexinternacional.com.co" TargetMode="External"/><Relationship Id="rId349" Type="http://schemas.openxmlformats.org/officeDocument/2006/relationships/hyperlink" Target="mailto:santiagoduque@solucionesinmobiliariassas.com" TargetMode="External"/><Relationship Id="rId88" Type="http://schemas.openxmlformats.org/officeDocument/2006/relationships/hyperlink" Target="mailto:alejandra.cuervo@desur.gov.co" TargetMode="External"/><Relationship Id="rId111" Type="http://schemas.openxmlformats.org/officeDocument/2006/relationships/hyperlink" Target="mailto:julianp@icaroconsulting.com.co" TargetMode="External"/><Relationship Id="rId153" Type="http://schemas.openxmlformats.org/officeDocument/2006/relationships/hyperlink" Target="mailto:cristiam.mondragon@spci.com.co" TargetMode="External"/><Relationship Id="rId195" Type="http://schemas.openxmlformats.org/officeDocument/2006/relationships/hyperlink" Target="mailto:cristiam.mondragon@spci.com.co" TargetMode="External"/><Relationship Id="rId209" Type="http://schemas.openxmlformats.org/officeDocument/2006/relationships/hyperlink" Target="mailto:camilo.quintero@spci.com.co" TargetMode="External"/><Relationship Id="rId360" Type="http://schemas.openxmlformats.org/officeDocument/2006/relationships/hyperlink" Target="mailto:gaguirre@solciviles.com" TargetMode="External"/><Relationship Id="rId416" Type="http://schemas.openxmlformats.org/officeDocument/2006/relationships/hyperlink" Target="mailto:hernan.ortiz@spci.com.co" TargetMode="External"/><Relationship Id="rId220" Type="http://schemas.openxmlformats.org/officeDocument/2006/relationships/hyperlink" Target="mailto:ana.restrepo@spci.com.co" TargetMode="External"/><Relationship Id="rId458" Type="http://schemas.openxmlformats.org/officeDocument/2006/relationships/hyperlink" Target="mailto:carlos.henao@seriinco.com" TargetMode="External"/><Relationship Id="rId15" Type="http://schemas.openxmlformats.org/officeDocument/2006/relationships/hyperlink" Target="mailto:gino1037@hotmail.com" TargetMode="External"/><Relationship Id="rId57" Type="http://schemas.openxmlformats.org/officeDocument/2006/relationships/hyperlink" Target="mailto:manaceve@bancolombia.com.co" TargetMode="External"/><Relationship Id="rId262" Type="http://schemas.openxmlformats.org/officeDocument/2006/relationships/hyperlink" Target="mailto:dsaldarriaga@interve.co" TargetMode="External"/><Relationship Id="rId318" Type="http://schemas.openxmlformats.org/officeDocument/2006/relationships/hyperlink" Target="mailto:comercial@comexinternacional.com.co" TargetMode="External"/><Relationship Id="rId99" Type="http://schemas.openxmlformats.org/officeDocument/2006/relationships/hyperlink" Target="mailto:ana.restrepo@spci.com.co" TargetMode="External"/><Relationship Id="rId122" Type="http://schemas.openxmlformats.org/officeDocument/2006/relationships/hyperlink" Target="mailto:danielpernett@centrosur.co" TargetMode="External"/><Relationship Id="rId164" Type="http://schemas.openxmlformats.org/officeDocument/2006/relationships/hyperlink" Target="mailto:Vanessazapata.fcr@gmail.com" TargetMode="External"/><Relationship Id="rId371" Type="http://schemas.openxmlformats.org/officeDocument/2006/relationships/hyperlink" Target="mailto:jaristizabal@conaltura.com" TargetMode="External"/><Relationship Id="rId427" Type="http://schemas.openxmlformats.org/officeDocument/2006/relationships/hyperlink" Target="mailto:angela.toro@bienesybienes.com.co" TargetMode="External"/><Relationship Id="rId469" Type="http://schemas.openxmlformats.org/officeDocument/2006/relationships/hyperlink" Target="mailto:mauricio.gutierrez@spci.com.co" TargetMode="External"/><Relationship Id="rId26" Type="http://schemas.openxmlformats.org/officeDocument/2006/relationships/hyperlink" Target="mailto:direccionmazanti@gmail.com" TargetMode="External"/><Relationship Id="rId231" Type="http://schemas.openxmlformats.org/officeDocument/2006/relationships/hyperlink" Target="mailto:ana.restrepo@spci.com.co" TargetMode="External"/><Relationship Id="rId273" Type="http://schemas.openxmlformats.org/officeDocument/2006/relationships/hyperlink" Target="mailto:n.garcia@condiseno.co" TargetMode="External"/><Relationship Id="rId329" Type="http://schemas.openxmlformats.org/officeDocument/2006/relationships/hyperlink" Target="mailto:eataborda.sedic@serviciosnutresa.com" TargetMode="External"/><Relationship Id="rId480" Type="http://schemas.openxmlformats.org/officeDocument/2006/relationships/vmlDrawing" Target="../drawings/vmlDrawing5.vml"/><Relationship Id="rId68" Type="http://schemas.openxmlformats.org/officeDocument/2006/relationships/hyperlink" Target="mailto:avelasquez@admirisltda.com" TargetMode="External"/><Relationship Id="rId133" Type="http://schemas.openxmlformats.org/officeDocument/2006/relationships/hyperlink" Target="mailto:ascomercial@securetec.com.co" TargetMode="External"/><Relationship Id="rId175" Type="http://schemas.openxmlformats.org/officeDocument/2006/relationships/hyperlink" Target="mailto:lrestrepo@javierlondono.com.co" TargetMode="External"/><Relationship Id="rId340" Type="http://schemas.openxmlformats.org/officeDocument/2006/relationships/hyperlink" Target="mailto:eleven.obras@gmail.com" TargetMode="External"/><Relationship Id="rId200" Type="http://schemas.openxmlformats.org/officeDocument/2006/relationships/hyperlink" Target="mailto:n.garcia@condiseno.co" TargetMode="External"/><Relationship Id="rId382" Type="http://schemas.openxmlformats.org/officeDocument/2006/relationships/hyperlink" Target="mailto:ernesto.castrillon@picso.com.co" TargetMode="External"/><Relationship Id="rId438" Type="http://schemas.openxmlformats.org/officeDocument/2006/relationships/hyperlink" Target="mailto:camilo.quintero@spci.com.co" TargetMode="External"/><Relationship Id="rId242" Type="http://schemas.openxmlformats.org/officeDocument/2006/relationships/hyperlink" Target="mailto:s.herran@condiseno.co" TargetMode="External"/><Relationship Id="rId284" Type="http://schemas.openxmlformats.org/officeDocument/2006/relationships/hyperlink" Target="mailto:angela.toro@bienesybienes.com.co" TargetMode="External"/><Relationship Id="rId37" Type="http://schemas.openxmlformats.org/officeDocument/2006/relationships/hyperlink" Target="mailto:daniel.uribe@spci.com.co" TargetMode="External"/><Relationship Id="rId79" Type="http://schemas.openxmlformats.org/officeDocument/2006/relationships/hyperlink" Target="mailto:david.lopera@socomes.com" TargetMode="External"/><Relationship Id="rId102" Type="http://schemas.openxmlformats.org/officeDocument/2006/relationships/hyperlink" Target="mailto:gerencia@projectsolutions.com.co" TargetMode="External"/><Relationship Id="rId144" Type="http://schemas.openxmlformats.org/officeDocument/2006/relationships/hyperlink" Target="mailto:juan.grajales@spci.com.co" TargetMode="External"/><Relationship Id="rId90" Type="http://schemas.openxmlformats.org/officeDocument/2006/relationships/hyperlink" Target="mailto:david.guzman@soportica.com" TargetMode="External"/><Relationship Id="rId186" Type="http://schemas.openxmlformats.org/officeDocument/2006/relationships/hyperlink" Target="mailto:cristiam.mondragon@spci.com.co" TargetMode="External"/><Relationship Id="rId351" Type="http://schemas.openxmlformats.org/officeDocument/2006/relationships/hyperlink" Target="mailto:n.garcia@condiseno.co" TargetMode="External"/><Relationship Id="rId393" Type="http://schemas.openxmlformats.org/officeDocument/2006/relationships/hyperlink" Target="mailto:dirproyectos@securetec.com.co" TargetMode="External"/><Relationship Id="rId407" Type="http://schemas.openxmlformats.org/officeDocument/2006/relationships/hyperlink" Target="mailto:rcigasyredes@gmail.com" TargetMode="External"/><Relationship Id="rId449" Type="http://schemas.openxmlformats.org/officeDocument/2006/relationships/hyperlink" Target="mailto:cristiam.mondragon@spci.com.co" TargetMode="External"/><Relationship Id="rId211" Type="http://schemas.openxmlformats.org/officeDocument/2006/relationships/hyperlink" Target="mailto:n.garcia@condiseno.co" TargetMode="External"/><Relationship Id="rId253" Type="http://schemas.openxmlformats.org/officeDocument/2006/relationships/hyperlink" Target="mailto:cristiam.mondragon@spci.com.co" TargetMode="External"/><Relationship Id="rId295" Type="http://schemas.openxmlformats.org/officeDocument/2006/relationships/hyperlink" Target="mailto:cristiam.mondragon@spci.com.co" TargetMode="External"/><Relationship Id="rId309" Type="http://schemas.openxmlformats.org/officeDocument/2006/relationships/hyperlink" Target="mailto:angelabravo@mensulaingenieros.com" TargetMode="External"/><Relationship Id="rId460" Type="http://schemas.openxmlformats.org/officeDocument/2006/relationships/hyperlink" Target="mailto:gerencia@projectsolutions.com.co" TargetMode="External"/><Relationship Id="rId48" Type="http://schemas.openxmlformats.org/officeDocument/2006/relationships/hyperlink" Target="mailto:gerencia@projectsolutions.com.co" TargetMode="External"/><Relationship Id="rId113" Type="http://schemas.openxmlformats.org/officeDocument/2006/relationships/hyperlink" Target="mailto:ana.restrepo@spci.com.co" TargetMode="External"/><Relationship Id="rId320" Type="http://schemas.openxmlformats.org/officeDocument/2006/relationships/hyperlink" Target="mailto:danielavelez.fcr@gmail.com" TargetMode="External"/><Relationship Id="rId155" Type="http://schemas.openxmlformats.org/officeDocument/2006/relationships/hyperlink" Target="mailto:cristianlondono@mensulaingenieros.com" TargetMode="External"/><Relationship Id="rId197" Type="http://schemas.openxmlformats.org/officeDocument/2006/relationships/hyperlink" Target="mailto:david.restrepo1205@gmail.com" TargetMode="External"/><Relationship Id="rId362" Type="http://schemas.openxmlformats.org/officeDocument/2006/relationships/hyperlink" Target="mailto:ascomercial2@securetec.com.co" TargetMode="External"/><Relationship Id="rId418" Type="http://schemas.openxmlformats.org/officeDocument/2006/relationships/hyperlink" Target="mailto:lmontoya@iconstructora.com.co" TargetMode="External"/><Relationship Id="rId222" Type="http://schemas.openxmlformats.org/officeDocument/2006/relationships/hyperlink" Target="mailto:ana.restrepo@spci.com.co" TargetMode="External"/><Relationship Id="rId264" Type="http://schemas.openxmlformats.org/officeDocument/2006/relationships/hyperlink" Target="mailto:juan.grajales@spci.com.co" TargetMode="External"/><Relationship Id="rId471" Type="http://schemas.openxmlformats.org/officeDocument/2006/relationships/hyperlink" Target="mailto:johanna.manjarres@ospinas.com.co" TargetMode="External"/><Relationship Id="rId17" Type="http://schemas.openxmlformats.org/officeDocument/2006/relationships/hyperlink" Target="mailto:carlos.henao@seriinco.com" TargetMode="External"/><Relationship Id="rId59" Type="http://schemas.openxmlformats.org/officeDocument/2006/relationships/hyperlink" Target="mailto:avelasquez@admirisltda.com" TargetMode="External"/><Relationship Id="rId124" Type="http://schemas.openxmlformats.org/officeDocument/2006/relationships/hyperlink" Target="mailto:ablanco@contex.com.co" TargetMode="External"/><Relationship Id="rId70" Type="http://schemas.openxmlformats.org/officeDocument/2006/relationships/hyperlink" Target="mailto:dirproyectos@securetec.com.co" TargetMode="External"/><Relationship Id="rId166" Type="http://schemas.openxmlformats.org/officeDocument/2006/relationships/hyperlink" Target="mailto:carlos.henao@seriinco.com" TargetMode="External"/><Relationship Id="rId331" Type="http://schemas.openxmlformats.org/officeDocument/2006/relationships/hyperlink" Target="mailto:cristiam.mondragon@spci.com.co" TargetMode="External"/><Relationship Id="rId373" Type="http://schemas.openxmlformats.org/officeDocument/2006/relationships/hyperlink" Target="mailto:cristiam.mondragon@spci.com.co" TargetMode="External"/><Relationship Id="rId429" Type="http://schemas.openxmlformats.org/officeDocument/2006/relationships/hyperlink" Target="mailto:ana.restrepo@spci.com.co" TargetMode="External"/><Relationship Id="rId1" Type="http://schemas.openxmlformats.org/officeDocument/2006/relationships/hyperlink" Target="mailto:proyectos3@jomarkseguridad.com" TargetMode="External"/><Relationship Id="rId233" Type="http://schemas.openxmlformats.org/officeDocument/2006/relationships/hyperlink" Target="mailto:cristiam.mondragon@spci.com.co" TargetMode="External"/><Relationship Id="rId440" Type="http://schemas.openxmlformats.org/officeDocument/2006/relationships/hyperlink" Target="mailto:cristiam.mondragon@spci.com.co" TargetMode="External"/><Relationship Id="rId28" Type="http://schemas.openxmlformats.org/officeDocument/2006/relationships/hyperlink" Target="mailto:angelabravo@mensulaingenieros.com" TargetMode="External"/><Relationship Id="rId275" Type="http://schemas.openxmlformats.org/officeDocument/2006/relationships/hyperlink" Target="mailto:cristinapalacio@mensulaingenieros.com" TargetMode="External"/><Relationship Id="rId300" Type="http://schemas.openxmlformats.org/officeDocument/2006/relationships/hyperlink" Target="mailto:camilo.quintero@spci.com.co" TargetMode="External"/><Relationship Id="rId81" Type="http://schemas.openxmlformats.org/officeDocument/2006/relationships/hyperlink" Target="mailto:cristiam.mondragon@spci.com.co" TargetMode="External"/><Relationship Id="rId135" Type="http://schemas.openxmlformats.org/officeDocument/2006/relationships/hyperlink" Target="mailto:francisco.unda@seriinco.com" TargetMode="External"/><Relationship Id="rId177" Type="http://schemas.openxmlformats.org/officeDocument/2006/relationships/hyperlink" Target="mailto:juan.londono@serviciosipm.com" TargetMode="External"/><Relationship Id="rId342" Type="http://schemas.openxmlformats.org/officeDocument/2006/relationships/hyperlink" Target="mailto:camilo.quintero@spci.com.co" TargetMode="External"/><Relationship Id="rId384" Type="http://schemas.openxmlformats.org/officeDocument/2006/relationships/hyperlink" Target="mailto:cristiam.mondragon@spci.com.co" TargetMode="External"/><Relationship Id="rId202" Type="http://schemas.openxmlformats.org/officeDocument/2006/relationships/hyperlink" Target="mailto:obrazonaescuadra@gmail.com" TargetMode="External"/><Relationship Id="rId244" Type="http://schemas.openxmlformats.org/officeDocument/2006/relationships/hyperlink" Target="mailto:santi.car9@hotmail.com" TargetMode="External"/><Relationship Id="rId39" Type="http://schemas.openxmlformats.org/officeDocument/2006/relationships/hyperlink" Target="mailto:jgiraldo@solucionesinmobiliariassas.com6" TargetMode="External"/><Relationship Id="rId286" Type="http://schemas.openxmlformats.org/officeDocument/2006/relationships/hyperlink" Target="mailto:jugsanch@bancolombia.com.co" TargetMode="External"/><Relationship Id="rId451" Type="http://schemas.openxmlformats.org/officeDocument/2006/relationships/hyperlink" Target="mailto:cristiam.mondragon@spci.com.co" TargetMode="External"/><Relationship Id="rId50" Type="http://schemas.openxmlformats.org/officeDocument/2006/relationships/hyperlink" Target="mailto:linagonzalez@terrazino.co" TargetMode="External"/><Relationship Id="rId104" Type="http://schemas.openxmlformats.org/officeDocument/2006/relationships/hyperlink" Target="mailto:asistente@santiagorojas.com.co" TargetMode="External"/><Relationship Id="rId146" Type="http://schemas.openxmlformats.org/officeDocument/2006/relationships/hyperlink" Target="mailto:juan.londono@serviciosipm.com" TargetMode="External"/><Relationship Id="rId188" Type="http://schemas.openxmlformats.org/officeDocument/2006/relationships/hyperlink" Target="mailto:jjosorio@conconcreto.com" TargetMode="External"/><Relationship Id="rId311" Type="http://schemas.openxmlformats.org/officeDocument/2006/relationships/hyperlink" Target="mailto:cristiam.mondragon@spci.com.co" TargetMode="External"/><Relationship Id="rId353" Type="http://schemas.openxmlformats.org/officeDocument/2006/relationships/hyperlink" Target="mailto:cristinapalacio@mensulaingenieros.com" TargetMode="External"/><Relationship Id="rId395" Type="http://schemas.openxmlformats.org/officeDocument/2006/relationships/hyperlink" Target="mailto:jorgerojas@iayc.co" TargetMode="External"/><Relationship Id="rId409" Type="http://schemas.openxmlformats.org/officeDocument/2006/relationships/hyperlink" Target="mailto:luiscuartas@gmail.com" TargetMode="External"/><Relationship Id="rId92" Type="http://schemas.openxmlformats.org/officeDocument/2006/relationships/hyperlink" Target="mailto:dirproyectos@socomes.com" TargetMode="External"/><Relationship Id="rId213" Type="http://schemas.openxmlformats.org/officeDocument/2006/relationships/hyperlink" Target="mailto:direccionobra@procicsas.com" TargetMode="External"/><Relationship Id="rId420" Type="http://schemas.openxmlformats.org/officeDocument/2006/relationships/hyperlink" Target="mailto:ana.ramirez@bienesybienes.com.co" TargetMode="External"/><Relationship Id="rId255" Type="http://schemas.openxmlformats.org/officeDocument/2006/relationships/hyperlink" Target="mailto:eceballos@contex.com.co" TargetMode="External"/><Relationship Id="rId297" Type="http://schemas.openxmlformats.org/officeDocument/2006/relationships/hyperlink" Target="mailto:camilo.quintero@spci.com.co" TargetMode="External"/><Relationship Id="rId462" Type="http://schemas.openxmlformats.org/officeDocument/2006/relationships/hyperlink" Target="mailto:mlopez@hdgerenciaintegral.com" TargetMode="External"/><Relationship Id="rId115" Type="http://schemas.openxmlformats.org/officeDocument/2006/relationships/hyperlink" Target="mailto:cristianlondono@mensulaingenieros.com" TargetMode="External"/><Relationship Id="rId157" Type="http://schemas.openxmlformats.org/officeDocument/2006/relationships/hyperlink" Target="mailto:cristianlondono@mensulaingenieros.com" TargetMode="External"/><Relationship Id="rId322" Type="http://schemas.openxmlformats.org/officeDocument/2006/relationships/hyperlink" Target="mailto:juan.londono@serviciosipm.com" TargetMode="External"/><Relationship Id="rId364" Type="http://schemas.openxmlformats.org/officeDocument/2006/relationships/hyperlink" Target="mailto:joan.manuel.durango@gmail.com" TargetMode="External"/><Relationship Id="rId61" Type="http://schemas.openxmlformats.org/officeDocument/2006/relationships/hyperlink" Target="mailto:ana.restrepo@spci.com.co" TargetMode="External"/><Relationship Id="rId199" Type="http://schemas.openxmlformats.org/officeDocument/2006/relationships/hyperlink" Target="mailto:ce.prana26@gmail.com" TargetMode="External"/><Relationship Id="rId19" Type="http://schemas.openxmlformats.org/officeDocument/2006/relationships/hyperlink" Target="mailto:proyectos2@jomarkseguridad.com" TargetMode="External"/><Relationship Id="rId224" Type="http://schemas.openxmlformats.org/officeDocument/2006/relationships/hyperlink" Target="mailto:cristiam.mondragon@spci.com.co" TargetMode="External"/><Relationship Id="rId266" Type="http://schemas.openxmlformats.org/officeDocument/2006/relationships/hyperlink" Target="mailto:l.cuartas@verticeing.com" TargetMode="External"/><Relationship Id="rId431" Type="http://schemas.openxmlformats.org/officeDocument/2006/relationships/hyperlink" Target="mailto:daniel.uribe@spcisas.com.co" TargetMode="External"/><Relationship Id="rId473" Type="http://schemas.openxmlformats.org/officeDocument/2006/relationships/hyperlink" Target="mailto:juan.grajales@spci.com.co" TargetMode="External"/><Relationship Id="rId30" Type="http://schemas.openxmlformats.org/officeDocument/2006/relationships/hyperlink" Target="mailto:fjrestrepo@conconcreto.com" TargetMode="External"/><Relationship Id="rId126" Type="http://schemas.openxmlformats.org/officeDocument/2006/relationships/hyperlink" Target="mailto:s.valencia@g4ingenieros.com" TargetMode="External"/><Relationship Id="rId168" Type="http://schemas.openxmlformats.org/officeDocument/2006/relationships/hyperlink" Target="mailto:dir.obramirasol@fundacioncompartir.org" TargetMode="External"/><Relationship Id="rId333" Type="http://schemas.openxmlformats.org/officeDocument/2006/relationships/hyperlink" Target="mailto:truanda@hotmail.com" TargetMode="External"/><Relationship Id="rId72" Type="http://schemas.openxmlformats.org/officeDocument/2006/relationships/hyperlink" Target="mailto:Oscar.AcunaHernandez@teleperformance.com" TargetMode="External"/><Relationship Id="rId375" Type="http://schemas.openxmlformats.org/officeDocument/2006/relationships/hyperlink" Target="mailto:Daniela.Alzate@smurfitkappa.com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mailto:david.lopera@socomes.com" TargetMode="External"/><Relationship Id="rId299" Type="http://schemas.openxmlformats.org/officeDocument/2006/relationships/hyperlink" Target="mailto:obinsonmarulanda@arquitecturayconcreto.com" TargetMode="External"/><Relationship Id="rId21" Type="http://schemas.openxmlformats.org/officeDocument/2006/relationships/hyperlink" Target="mailto:alvaromanosalva@sfiregroup.com" TargetMode="External"/><Relationship Id="rId63" Type="http://schemas.openxmlformats.org/officeDocument/2006/relationships/hyperlink" Target="mailto:dsaldarriaga@interve.co" TargetMode="External"/><Relationship Id="rId159" Type="http://schemas.openxmlformats.org/officeDocument/2006/relationships/hyperlink" Target="mailto:miguelrobayo@sfiregroup.com" TargetMode="External"/><Relationship Id="rId324" Type="http://schemas.openxmlformats.org/officeDocument/2006/relationships/hyperlink" Target="mailto:dbetancur@aia.com.co" TargetMode="External"/><Relationship Id="rId366" Type="http://schemas.openxmlformats.org/officeDocument/2006/relationships/hyperlink" Target="mailto:paolopez@paoarq.com" TargetMode="External"/><Relationship Id="rId170" Type="http://schemas.openxmlformats.org/officeDocument/2006/relationships/hyperlink" Target="mailto:gino1037@hotmail.com" TargetMode="External"/><Relationship Id="rId226" Type="http://schemas.openxmlformats.org/officeDocument/2006/relationships/hyperlink" Target="mailto:olgallego@sena.edu.co" TargetMode="External"/><Relationship Id="rId433" Type="http://schemas.openxmlformats.org/officeDocument/2006/relationships/hyperlink" Target="mailto:francisco.unda@seriinco.com" TargetMode="External"/><Relationship Id="rId268" Type="http://schemas.openxmlformats.org/officeDocument/2006/relationships/hyperlink" Target="mailto:cristiam.mondragon@spci.com.co" TargetMode="External"/><Relationship Id="rId475" Type="http://schemas.openxmlformats.org/officeDocument/2006/relationships/hyperlink" Target="mailto:estefania.ospina@dinpro.com.co" TargetMode="External"/><Relationship Id="rId32" Type="http://schemas.openxmlformats.org/officeDocument/2006/relationships/hyperlink" Target="mailto:pduque@columbus.edu.co" TargetMode="External"/><Relationship Id="rId74" Type="http://schemas.openxmlformats.org/officeDocument/2006/relationships/hyperlink" Target="mailto:gino1037@hotmail.com" TargetMode="External"/><Relationship Id="rId128" Type="http://schemas.openxmlformats.org/officeDocument/2006/relationships/hyperlink" Target="mailto:camilo.torres@espiral.com.co" TargetMode="External"/><Relationship Id="rId335" Type="http://schemas.openxmlformats.org/officeDocument/2006/relationships/hyperlink" Target="mailto:camilo.quintero@spci.com.co" TargetMode="External"/><Relationship Id="rId377" Type="http://schemas.openxmlformats.org/officeDocument/2006/relationships/hyperlink" Target="mailto:interventoriamontry@gmail.com" TargetMode="External"/><Relationship Id="rId500" Type="http://schemas.openxmlformats.org/officeDocument/2006/relationships/comments" Target="../comments6.xml"/><Relationship Id="rId5" Type="http://schemas.openxmlformats.org/officeDocument/2006/relationships/hyperlink" Target="mailto:victor.saldarriaga@spci.com.co" TargetMode="External"/><Relationship Id="rId181" Type="http://schemas.openxmlformats.org/officeDocument/2006/relationships/hyperlink" Target="mailto:gaguirre@solciviles.com" TargetMode="External"/><Relationship Id="rId237" Type="http://schemas.openxmlformats.org/officeDocument/2006/relationships/hyperlink" Target="mailto:cristiam.mondragon@spci.com.co" TargetMode="External"/><Relationship Id="rId402" Type="http://schemas.openxmlformats.org/officeDocument/2006/relationships/hyperlink" Target="mailto:lidersst@institutodelcorazon.org.co" TargetMode="External"/><Relationship Id="rId279" Type="http://schemas.openxmlformats.org/officeDocument/2006/relationships/hyperlink" Target="mailto:camilo.quintero@spci.com.co" TargetMode="External"/><Relationship Id="rId444" Type="http://schemas.openxmlformats.org/officeDocument/2006/relationships/hyperlink" Target="mailto:arqlinagil@gmail.com" TargetMode="External"/><Relationship Id="rId486" Type="http://schemas.openxmlformats.org/officeDocument/2006/relationships/hyperlink" Target="mailto:auxiliar.socomes@gmail.com" TargetMode="External"/><Relationship Id="rId43" Type="http://schemas.openxmlformats.org/officeDocument/2006/relationships/hyperlink" Target="mailto:alvaromanosalva@sfiregroup.com" TargetMode="External"/><Relationship Id="rId139" Type="http://schemas.openxmlformats.org/officeDocument/2006/relationships/hyperlink" Target="mailto:william.hernandez@construgen.com" TargetMode="External"/><Relationship Id="rId290" Type="http://schemas.openxmlformats.org/officeDocument/2006/relationships/hyperlink" Target="mailto:plablomateo@yahoo.com" TargetMode="External"/><Relationship Id="rId304" Type="http://schemas.openxmlformats.org/officeDocument/2006/relationships/hyperlink" Target="mailto:david.lopera@socomes.com" TargetMode="External"/><Relationship Id="rId346" Type="http://schemas.openxmlformats.org/officeDocument/2006/relationships/hyperlink" Target="mailto:lsaldarriaga@interlg.com" TargetMode="External"/><Relationship Id="rId388" Type="http://schemas.openxmlformats.org/officeDocument/2006/relationships/hyperlink" Target="mailto:marsoluc.construcciones@gmail.com" TargetMode="External"/><Relationship Id="rId85" Type="http://schemas.openxmlformats.org/officeDocument/2006/relationships/hyperlink" Target="mailto:cristiam.mondragon@spci.com.co" TargetMode="External"/><Relationship Id="rId150" Type="http://schemas.openxmlformats.org/officeDocument/2006/relationships/hyperlink" Target="mailto:proyectos2@jomarkseguridad.com" TargetMode="External"/><Relationship Id="rId192" Type="http://schemas.openxmlformats.org/officeDocument/2006/relationships/hyperlink" Target="mailto:luisa.londono@ingeniobim.co" TargetMode="External"/><Relationship Id="rId206" Type="http://schemas.openxmlformats.org/officeDocument/2006/relationships/hyperlink" Target="mailto:dirobra.gruposanremo@gmail.com" TargetMode="External"/><Relationship Id="rId413" Type="http://schemas.openxmlformats.org/officeDocument/2006/relationships/hyperlink" Target="mailto:calmanya@jomarkseguridad.com" TargetMode="External"/><Relationship Id="rId248" Type="http://schemas.openxmlformats.org/officeDocument/2006/relationships/hyperlink" Target="mailto:comercial@firesupply.com.co" TargetMode="External"/><Relationship Id="rId455" Type="http://schemas.openxmlformats.org/officeDocument/2006/relationships/hyperlink" Target="mailto:arquitectura@gradeco.com.co" TargetMode="External"/><Relationship Id="rId497" Type="http://schemas.openxmlformats.org/officeDocument/2006/relationships/printerSettings" Target="../printerSettings/printerSettings6.bin"/><Relationship Id="rId12" Type="http://schemas.openxmlformats.org/officeDocument/2006/relationships/hyperlink" Target="mailto:danielpernett@centrosur.co" TargetMode="External"/><Relationship Id="rId108" Type="http://schemas.openxmlformats.org/officeDocument/2006/relationships/hyperlink" Target="mailto:comercial@comexinternacional.com.co" TargetMode="External"/><Relationship Id="rId315" Type="http://schemas.openxmlformats.org/officeDocument/2006/relationships/hyperlink" Target="mailto:mcvelasquez@contex.com.co" TargetMode="External"/><Relationship Id="rId357" Type="http://schemas.openxmlformats.org/officeDocument/2006/relationships/hyperlink" Target="mailto:liliana.gutierrez@studiosur.net" TargetMode="External"/><Relationship Id="rId54" Type="http://schemas.openxmlformats.org/officeDocument/2006/relationships/hyperlink" Target="mailto:laura.arias@studiosur.net" TargetMode="External"/><Relationship Id="rId96" Type="http://schemas.openxmlformats.org/officeDocument/2006/relationships/hyperlink" Target="mailto:hidraulicaymontajes@gmail.com" TargetMode="External"/><Relationship Id="rId161" Type="http://schemas.openxmlformats.org/officeDocument/2006/relationships/hyperlink" Target="mailto:jefe.mantenimiento@mic.com.co" TargetMode="External"/><Relationship Id="rId217" Type="http://schemas.openxmlformats.org/officeDocument/2006/relationships/hyperlink" Target="mailto:parangor@conconcreto.com" TargetMode="External"/><Relationship Id="rId399" Type="http://schemas.openxmlformats.org/officeDocument/2006/relationships/hyperlink" Target="mailto:johner.payares@bienesybienes.com.co" TargetMode="External"/><Relationship Id="rId259" Type="http://schemas.openxmlformats.org/officeDocument/2006/relationships/hyperlink" Target="mailto:ascomercial2@securetec.com.co" TargetMode="External"/><Relationship Id="rId424" Type="http://schemas.openxmlformats.org/officeDocument/2006/relationships/hyperlink" Target="mailto:ngonima@aia.com.co" TargetMode="External"/><Relationship Id="rId466" Type="http://schemas.openxmlformats.org/officeDocument/2006/relationships/hyperlink" Target="mailto:sraic.asistente@gmail.com" TargetMode="External"/><Relationship Id="rId23" Type="http://schemas.openxmlformats.org/officeDocument/2006/relationships/hyperlink" Target="mailto:n.garcia@condiseno.co" TargetMode="External"/><Relationship Id="rId119" Type="http://schemas.openxmlformats.org/officeDocument/2006/relationships/hyperlink" Target="mailto:esteban.perez@tzd.com.co" TargetMode="External"/><Relationship Id="rId270" Type="http://schemas.openxmlformats.org/officeDocument/2006/relationships/hyperlink" Target="mailto:interventoria.menteplena@gmail.com" TargetMode="External"/><Relationship Id="rId326" Type="http://schemas.openxmlformats.org/officeDocument/2006/relationships/hyperlink" Target="mailto:alvarol@toroposada.com" TargetMode="External"/><Relationship Id="rId65" Type="http://schemas.openxmlformats.org/officeDocument/2006/relationships/hyperlink" Target="mailto:n.garcia@condiseno.co" TargetMode="External"/><Relationship Id="rId130" Type="http://schemas.openxmlformats.org/officeDocument/2006/relationships/hyperlink" Target="mailto:equipo@4rqstudio.com" TargetMode="External"/><Relationship Id="rId368" Type="http://schemas.openxmlformats.org/officeDocument/2006/relationships/hyperlink" Target="mailto:admin@studiosur.net" TargetMode="External"/><Relationship Id="rId172" Type="http://schemas.openxmlformats.org/officeDocument/2006/relationships/hyperlink" Target="mailto:gino1037@hotmail.com" TargetMode="External"/><Relationship Id="rId228" Type="http://schemas.openxmlformats.org/officeDocument/2006/relationships/hyperlink" Target="mailto:proyectos2@jomarkseguridad.com" TargetMode="External"/><Relationship Id="rId435" Type="http://schemas.openxmlformats.org/officeDocument/2006/relationships/hyperlink" Target="mailto:proyectos2@jomarkseguridad.com" TargetMode="External"/><Relationship Id="rId477" Type="http://schemas.openxmlformats.org/officeDocument/2006/relationships/hyperlink" Target="mailto:jcardonm@gmail.com" TargetMode="External"/><Relationship Id="rId281" Type="http://schemas.openxmlformats.org/officeDocument/2006/relationships/hyperlink" Target="mailto:licitaciones@spci.com.co" TargetMode="External"/><Relationship Id="rId337" Type="http://schemas.openxmlformats.org/officeDocument/2006/relationships/hyperlink" Target="mailto:cristiam.mondragon@spci.com.co" TargetMode="External"/><Relationship Id="rId34" Type="http://schemas.openxmlformats.org/officeDocument/2006/relationships/hyperlink" Target="mailto:diseno@constructoradeobras.com" TargetMode="External"/><Relationship Id="rId76" Type="http://schemas.openxmlformats.org/officeDocument/2006/relationships/hyperlink" Target="mailto:bayron.puerta@spci.com.co" TargetMode="External"/><Relationship Id="rId141" Type="http://schemas.openxmlformats.org/officeDocument/2006/relationships/hyperlink" Target="mailto:alvaromanosalva@sfiregroup.com" TargetMode="External"/><Relationship Id="rId379" Type="http://schemas.openxmlformats.org/officeDocument/2006/relationships/hyperlink" Target="mailto:camilo.quintero@spci.com.co" TargetMode="External"/><Relationship Id="rId7" Type="http://schemas.openxmlformats.org/officeDocument/2006/relationships/hyperlink" Target="mailto:mantenimiento@hrd.gov.co" TargetMode="External"/><Relationship Id="rId183" Type="http://schemas.openxmlformats.org/officeDocument/2006/relationships/hyperlink" Target="mailto:diseno4@gyd.com.co" TargetMode="External"/><Relationship Id="rId239" Type="http://schemas.openxmlformats.org/officeDocument/2006/relationships/hyperlink" Target="mailto:cristiam.mondragon@spci.com.co" TargetMode="External"/><Relationship Id="rId390" Type="http://schemas.openxmlformats.org/officeDocument/2006/relationships/hyperlink" Target="mailto:arquitectura2@mg.com.co" TargetMode="External"/><Relationship Id="rId404" Type="http://schemas.openxmlformats.org/officeDocument/2006/relationships/hyperlink" Target="mailto:ngonima@aia.com.co" TargetMode="External"/><Relationship Id="rId446" Type="http://schemas.openxmlformats.org/officeDocument/2006/relationships/hyperlink" Target="mailto:juan.grajales@spci.com.co" TargetMode="External"/><Relationship Id="rId250" Type="http://schemas.openxmlformats.org/officeDocument/2006/relationships/hyperlink" Target="mailto:mauricio.gutierrez@spci.com.co" TargetMode="External"/><Relationship Id="rId292" Type="http://schemas.openxmlformats.org/officeDocument/2006/relationships/hyperlink" Target="mailto:obinsonmarulanda@arquitecturayconcreto.com" TargetMode="External"/><Relationship Id="rId306" Type="http://schemas.openxmlformats.org/officeDocument/2006/relationships/hyperlink" Target="mailto:parangor@conconcreto.com" TargetMode="External"/><Relationship Id="rId488" Type="http://schemas.openxmlformats.org/officeDocument/2006/relationships/hyperlink" Target="mailto:dir.tecnico@spci.com.co" TargetMode="External"/><Relationship Id="rId45" Type="http://schemas.openxmlformats.org/officeDocument/2006/relationships/hyperlink" Target="mailto:sraic.diseno@gmail.com" TargetMode="External"/><Relationship Id="rId87" Type="http://schemas.openxmlformats.org/officeDocument/2006/relationships/hyperlink" Target="mailto:jjaramillo@conexoinmobiliario.com" TargetMode="External"/><Relationship Id="rId110" Type="http://schemas.openxmlformats.org/officeDocument/2006/relationships/hyperlink" Target="mailto:david.lopera@socomes.com" TargetMode="External"/><Relationship Id="rId348" Type="http://schemas.openxmlformats.org/officeDocument/2006/relationships/hyperlink" Target="mailto:juan.grajales@spci.com.co" TargetMode="External"/><Relationship Id="rId152" Type="http://schemas.openxmlformats.org/officeDocument/2006/relationships/hyperlink" Target="mailto:obrasms84@gmail.com" TargetMode="External"/><Relationship Id="rId194" Type="http://schemas.openxmlformats.org/officeDocument/2006/relationships/hyperlink" Target="mailto:camilo.quintero@spci.com.co" TargetMode="External"/><Relationship Id="rId208" Type="http://schemas.openxmlformats.org/officeDocument/2006/relationships/hyperlink" Target="mailto:Kathe.jara@hotmail.com" TargetMode="External"/><Relationship Id="rId415" Type="http://schemas.openxmlformats.org/officeDocument/2006/relationships/hyperlink" Target="mailto:arielg@sohinco.com" TargetMode="External"/><Relationship Id="rId457" Type="http://schemas.openxmlformats.org/officeDocument/2006/relationships/hyperlink" Target="mailto:arquitectura@gradeco.com.co" TargetMode="External"/><Relationship Id="rId261" Type="http://schemas.openxmlformats.org/officeDocument/2006/relationships/hyperlink" Target="mailto:proyectos@prosoma.com.co" TargetMode="External"/><Relationship Id="rId499" Type="http://schemas.openxmlformats.org/officeDocument/2006/relationships/vmlDrawing" Target="../drawings/vmlDrawing6.vml"/><Relationship Id="rId14" Type="http://schemas.openxmlformats.org/officeDocument/2006/relationships/hyperlink" Target="mailto:valentina.chacon@desur.gov.co" TargetMode="External"/><Relationship Id="rId56" Type="http://schemas.openxmlformats.org/officeDocument/2006/relationships/hyperlink" Target="mailto:maritzam@sohinco.com" TargetMode="External"/><Relationship Id="rId317" Type="http://schemas.openxmlformats.org/officeDocument/2006/relationships/hyperlink" Target="mailto:btamayo@ipcproyectos.co" TargetMode="External"/><Relationship Id="rId359" Type="http://schemas.openxmlformats.org/officeDocument/2006/relationships/hyperlink" Target="mailto:gino1037@hotmail.com" TargetMode="External"/><Relationship Id="rId98" Type="http://schemas.openxmlformats.org/officeDocument/2006/relationships/hyperlink" Target="mailto:jherrerau@conconcreto.com" TargetMode="External"/><Relationship Id="rId121" Type="http://schemas.openxmlformats.org/officeDocument/2006/relationships/hyperlink" Target="mailto:hidraulicaymontajes@gmail.com" TargetMode="External"/><Relationship Id="rId163" Type="http://schemas.openxmlformats.org/officeDocument/2006/relationships/hyperlink" Target="mailto:mauricio.guzman@spci.com.co" TargetMode="External"/><Relationship Id="rId219" Type="http://schemas.openxmlformats.org/officeDocument/2006/relationships/hyperlink" Target="mailto:gino1037@hotmail.com" TargetMode="External"/><Relationship Id="rId370" Type="http://schemas.openxmlformats.org/officeDocument/2006/relationships/hyperlink" Target="mailto:mauricio.gutierrez@spci.com.co" TargetMode="External"/><Relationship Id="rId426" Type="http://schemas.openxmlformats.org/officeDocument/2006/relationships/hyperlink" Target="mailto:comercial@comexinternacional.com.co" TargetMode="External"/><Relationship Id="rId230" Type="http://schemas.openxmlformats.org/officeDocument/2006/relationships/hyperlink" Target="mailto:zmlopez@coninsa.co" TargetMode="External"/><Relationship Id="rId468" Type="http://schemas.openxmlformats.org/officeDocument/2006/relationships/hyperlink" Target="mailto:david.lopera@socomes.com" TargetMode="External"/><Relationship Id="rId25" Type="http://schemas.openxmlformats.org/officeDocument/2006/relationships/hyperlink" Target="mailto:cristiam.mondragon@spci.com.co" TargetMode="External"/><Relationship Id="rId67" Type="http://schemas.openxmlformats.org/officeDocument/2006/relationships/hyperlink" Target="mailto:david.lopera@socomes.com" TargetMode="External"/><Relationship Id="rId272" Type="http://schemas.openxmlformats.org/officeDocument/2006/relationships/hyperlink" Target="mailto:obinsonmarulanda@arquitecturayconcreto.com" TargetMode="External"/><Relationship Id="rId328" Type="http://schemas.openxmlformats.org/officeDocument/2006/relationships/hyperlink" Target="mailto:jcamilo.builes@ingeniobim.co" TargetMode="External"/><Relationship Id="rId132" Type="http://schemas.openxmlformats.org/officeDocument/2006/relationships/hyperlink" Target="mailto:carlos.gil@risksg.com" TargetMode="External"/><Relationship Id="rId174" Type="http://schemas.openxmlformats.org/officeDocument/2006/relationships/hyperlink" Target="mailto:frodriguez@conaltura.com" TargetMode="External"/><Relationship Id="rId381" Type="http://schemas.openxmlformats.org/officeDocument/2006/relationships/hyperlink" Target="mailto:mlugo@viva1a.com.co" TargetMode="External"/><Relationship Id="rId241" Type="http://schemas.openxmlformats.org/officeDocument/2006/relationships/hyperlink" Target="mailto:dvelez@contex.com.co" TargetMode="External"/><Relationship Id="rId437" Type="http://schemas.openxmlformats.org/officeDocument/2006/relationships/hyperlink" Target="mailto:david.lopera@socomes.com" TargetMode="External"/><Relationship Id="rId479" Type="http://schemas.openxmlformats.org/officeDocument/2006/relationships/hyperlink" Target="mailto:hwagner519@gmail.com" TargetMode="External"/><Relationship Id="rId36" Type="http://schemas.openxmlformats.org/officeDocument/2006/relationships/hyperlink" Target="mailto:zmlopez@coninsa.co" TargetMode="External"/><Relationship Id="rId283" Type="http://schemas.openxmlformats.org/officeDocument/2006/relationships/hyperlink" Target="mailto:comercial@ingesed.com" TargetMode="External"/><Relationship Id="rId339" Type="http://schemas.openxmlformats.org/officeDocument/2006/relationships/hyperlink" Target="mailto:cristiam.mondragon@spci.com.co" TargetMode="External"/><Relationship Id="rId490" Type="http://schemas.openxmlformats.org/officeDocument/2006/relationships/hyperlink" Target="mailto:detectarsystems@gmail.com" TargetMode="External"/><Relationship Id="rId78" Type="http://schemas.openxmlformats.org/officeDocument/2006/relationships/hyperlink" Target="mailto:juan.grajales@spci.com.co" TargetMode="External"/><Relationship Id="rId101" Type="http://schemas.openxmlformats.org/officeDocument/2006/relationships/hyperlink" Target="mailto:alvaromanosalva@sfiregroup.com" TargetMode="External"/><Relationship Id="rId143" Type="http://schemas.openxmlformats.org/officeDocument/2006/relationships/hyperlink" Target="mailto:sraic.diseno@gmail.com" TargetMode="External"/><Relationship Id="rId185" Type="http://schemas.openxmlformats.org/officeDocument/2006/relationships/hyperlink" Target="mailto:cristiam.mondragon@spci.com.co" TargetMode="External"/><Relationship Id="rId350" Type="http://schemas.openxmlformats.org/officeDocument/2006/relationships/hyperlink" Target="mailto:jorge.escobar@espiral.com.co" TargetMode="External"/><Relationship Id="rId406" Type="http://schemas.openxmlformats.org/officeDocument/2006/relationships/hyperlink" Target="mailto:construccionbazar@tipinterventoria.com" TargetMode="External"/><Relationship Id="rId9" Type="http://schemas.openxmlformats.org/officeDocument/2006/relationships/hyperlink" Target="mailto:ana.restrepo@spci.com.co" TargetMode="External"/><Relationship Id="rId210" Type="http://schemas.openxmlformats.org/officeDocument/2006/relationships/hyperlink" Target="mailto:eidyalzateq@clinicaces.edu.co" TargetMode="External"/><Relationship Id="rId392" Type="http://schemas.openxmlformats.org/officeDocument/2006/relationships/hyperlink" Target="mailto:camilo.quintero@spci.com.co" TargetMode="External"/><Relationship Id="rId448" Type="http://schemas.openxmlformats.org/officeDocument/2006/relationships/hyperlink" Target="mailto:sebastianochoa@arquitecturayconcreto.com" TargetMode="External"/><Relationship Id="rId252" Type="http://schemas.openxmlformats.org/officeDocument/2006/relationships/hyperlink" Target="mailto:cristiam.mondragon@spci.com.co" TargetMode="External"/><Relationship Id="rId294" Type="http://schemas.openxmlformats.org/officeDocument/2006/relationships/hyperlink" Target="mailto:aplostudio.info@gmail.com" TargetMode="External"/><Relationship Id="rId308" Type="http://schemas.openxmlformats.org/officeDocument/2006/relationships/hyperlink" Target="mailto:ingrossosas@gmail.com" TargetMode="External"/><Relationship Id="rId47" Type="http://schemas.openxmlformats.org/officeDocument/2006/relationships/hyperlink" Target="mailto:mauricio.guzman@spci.com.co" TargetMode="External"/><Relationship Id="rId89" Type="http://schemas.openxmlformats.org/officeDocument/2006/relationships/hyperlink" Target="mailto:n.garcia@condiseno.co" TargetMode="External"/><Relationship Id="rId112" Type="http://schemas.openxmlformats.org/officeDocument/2006/relationships/hyperlink" Target="mailto:maria.madrid@bienesybienes.com.co" TargetMode="External"/><Relationship Id="rId154" Type="http://schemas.openxmlformats.org/officeDocument/2006/relationships/hyperlink" Target="mailto:ana.restrepo@spci.com.co" TargetMode="External"/><Relationship Id="rId361" Type="http://schemas.openxmlformats.org/officeDocument/2006/relationships/hyperlink" Target="mailto:jorgemaya@centrosur.co" TargetMode="External"/><Relationship Id="rId196" Type="http://schemas.openxmlformats.org/officeDocument/2006/relationships/hyperlink" Target="mailto:pduque@columbus.edu.co" TargetMode="External"/><Relationship Id="rId417" Type="http://schemas.openxmlformats.org/officeDocument/2006/relationships/hyperlink" Target="mailto:lcastillo@conaltura.com" TargetMode="External"/><Relationship Id="rId459" Type="http://schemas.openxmlformats.org/officeDocument/2006/relationships/hyperlink" Target="mailto:dir.tecnico@spci.com.co" TargetMode="External"/><Relationship Id="rId16" Type="http://schemas.openxmlformats.org/officeDocument/2006/relationships/hyperlink" Target="mailto:mauricio.guzman@spci.com.co" TargetMode="External"/><Relationship Id="rId221" Type="http://schemas.openxmlformats.org/officeDocument/2006/relationships/hyperlink" Target="mailto:jrodriguez@ingesed.com" TargetMode="External"/><Relationship Id="rId263" Type="http://schemas.openxmlformats.org/officeDocument/2006/relationships/hyperlink" Target="mailto:miguelrobayo@sfiregroup.com" TargetMode="External"/><Relationship Id="rId319" Type="http://schemas.openxmlformats.org/officeDocument/2006/relationships/hyperlink" Target="mailto:camilo.quintero@spci.com.co" TargetMode="External"/><Relationship Id="rId470" Type="http://schemas.openxmlformats.org/officeDocument/2006/relationships/hyperlink" Target="mailto:cristiam.mondragon@spci.com.co" TargetMode="External"/><Relationship Id="rId58" Type="http://schemas.openxmlformats.org/officeDocument/2006/relationships/hyperlink" Target="mailto:cristiam.mondragon@spci.com.co" TargetMode="External"/><Relationship Id="rId123" Type="http://schemas.openxmlformats.org/officeDocument/2006/relationships/hyperlink" Target="mailto:ana.restrepo@spci.com.co" TargetMode="External"/><Relationship Id="rId330" Type="http://schemas.openxmlformats.org/officeDocument/2006/relationships/hyperlink" Target="mailto:cristiam.mondragon@spci.com.co" TargetMode="External"/><Relationship Id="rId165" Type="http://schemas.openxmlformats.org/officeDocument/2006/relationships/hyperlink" Target="mailto:santiago.cardona@spci.com.co" TargetMode="External"/><Relationship Id="rId372" Type="http://schemas.openxmlformats.org/officeDocument/2006/relationships/hyperlink" Target="mailto:sraic.asistente@gmail.com" TargetMode="External"/><Relationship Id="rId428" Type="http://schemas.openxmlformats.org/officeDocument/2006/relationships/hyperlink" Target="mailto:proyectos@clinicaelrosario.com" TargetMode="External"/><Relationship Id="rId232" Type="http://schemas.openxmlformats.org/officeDocument/2006/relationships/hyperlink" Target="mailto:Vanessazapata.fcr@gmail.com" TargetMode="External"/><Relationship Id="rId274" Type="http://schemas.openxmlformats.org/officeDocument/2006/relationships/hyperlink" Target="mailto:daniel.guzman@ingeniobim.co" TargetMode="External"/><Relationship Id="rId481" Type="http://schemas.openxmlformats.org/officeDocument/2006/relationships/hyperlink" Target="mailto:andresramirez@convel.co" TargetMode="External"/><Relationship Id="rId27" Type="http://schemas.openxmlformats.org/officeDocument/2006/relationships/hyperlink" Target="mailto:kevin15batista@gmail.com" TargetMode="External"/><Relationship Id="rId69" Type="http://schemas.openxmlformats.org/officeDocument/2006/relationships/hyperlink" Target="mailto:maritzam@sohinco.com" TargetMode="External"/><Relationship Id="rId134" Type="http://schemas.openxmlformats.org/officeDocument/2006/relationships/hyperlink" Target="mailto:cristiam.mondragon@spci.com.co" TargetMode="External"/><Relationship Id="rId80" Type="http://schemas.openxmlformats.org/officeDocument/2006/relationships/hyperlink" Target="mailto:bayron.puerta@spci.com.co" TargetMode="External"/><Relationship Id="rId176" Type="http://schemas.openxmlformats.org/officeDocument/2006/relationships/hyperlink" Target="mailto:frodriguez@conaltura.com" TargetMode="External"/><Relationship Id="rId341" Type="http://schemas.openxmlformats.org/officeDocument/2006/relationships/hyperlink" Target="mailto:camilo.quintero@spci.com.co" TargetMode="External"/><Relationship Id="rId383" Type="http://schemas.openxmlformats.org/officeDocument/2006/relationships/hyperlink" Target="mailto:jbernal@interve.co" TargetMode="External"/><Relationship Id="rId439" Type="http://schemas.openxmlformats.org/officeDocument/2006/relationships/hyperlink" Target="mailto:obinsonmarulanda@arquitecturayconcreto.com" TargetMode="External"/><Relationship Id="rId201" Type="http://schemas.openxmlformats.org/officeDocument/2006/relationships/hyperlink" Target="mailto:sebastianochoa@arquitecturayconcreto.com" TargetMode="External"/><Relationship Id="rId243" Type="http://schemas.openxmlformats.org/officeDocument/2006/relationships/hyperlink" Target="mailto:diseno4@gyd.com.co" TargetMode="External"/><Relationship Id="rId285" Type="http://schemas.openxmlformats.org/officeDocument/2006/relationships/hyperlink" Target="mailto:cristiam.mondragon@spci.com.co" TargetMode="External"/><Relationship Id="rId450" Type="http://schemas.openxmlformats.org/officeDocument/2006/relationships/hyperlink" Target="mailto:david.lopera@socomes.com" TargetMode="External"/><Relationship Id="rId38" Type="http://schemas.openxmlformats.org/officeDocument/2006/relationships/hyperlink" Target="mailto:obrasms84@gmail.com" TargetMode="External"/><Relationship Id="rId103" Type="http://schemas.openxmlformats.org/officeDocument/2006/relationships/hyperlink" Target="mailto:directorlean@inserco.com.co" TargetMode="External"/><Relationship Id="rId310" Type="http://schemas.openxmlformats.org/officeDocument/2006/relationships/hyperlink" Target="mailto:juan.vanegas@spci.com.co" TargetMode="External"/><Relationship Id="rId492" Type="http://schemas.openxmlformats.org/officeDocument/2006/relationships/hyperlink" Target="mailto:tatiana@tipinterventoria.com" TargetMode="External"/><Relationship Id="rId91" Type="http://schemas.openxmlformats.org/officeDocument/2006/relationships/hyperlink" Target="mailto:jorge.escobar@espiral.com.co" TargetMode="External"/><Relationship Id="rId145" Type="http://schemas.openxmlformats.org/officeDocument/2006/relationships/hyperlink" Target="mailto:jrodriguez@ingesed.com" TargetMode="External"/><Relationship Id="rId187" Type="http://schemas.openxmlformats.org/officeDocument/2006/relationships/hyperlink" Target="mailto:juan.londono@serviciosipm.com" TargetMode="External"/><Relationship Id="rId352" Type="http://schemas.openxmlformats.org/officeDocument/2006/relationships/hyperlink" Target="mailto:jtamayol@unal.edu.co" TargetMode="External"/><Relationship Id="rId394" Type="http://schemas.openxmlformats.org/officeDocument/2006/relationships/hyperlink" Target="mailto:dir.tecnico@spci.com.co" TargetMode="External"/><Relationship Id="rId408" Type="http://schemas.openxmlformats.org/officeDocument/2006/relationships/hyperlink" Target="mailto:asierra@sierrastudio.com.co" TargetMode="External"/><Relationship Id="rId212" Type="http://schemas.openxmlformats.org/officeDocument/2006/relationships/hyperlink" Target="mailto:william.hernandez@construgen.com" TargetMode="External"/><Relationship Id="rId254" Type="http://schemas.openxmlformats.org/officeDocument/2006/relationships/hyperlink" Target="mailto:andres.gomez@aia.com.co" TargetMode="External"/><Relationship Id="rId49" Type="http://schemas.openxmlformats.org/officeDocument/2006/relationships/hyperlink" Target="mailto:jorgemolano@macca.com.co" TargetMode="External"/><Relationship Id="rId114" Type="http://schemas.openxmlformats.org/officeDocument/2006/relationships/hyperlink" Target="mailto:n.garcia@condiseno.co" TargetMode="External"/><Relationship Id="rId296" Type="http://schemas.openxmlformats.org/officeDocument/2006/relationships/hyperlink" Target="mailto:obra.lacalleja.fcr@gmail.com" TargetMode="External"/><Relationship Id="rId461" Type="http://schemas.openxmlformats.org/officeDocument/2006/relationships/hyperlink" Target="mailto:dacorrea@rcimontajes.co" TargetMode="External"/><Relationship Id="rId60" Type="http://schemas.openxmlformats.org/officeDocument/2006/relationships/hyperlink" Target="mailto:ana.restrepo@spci.com.co" TargetMode="External"/><Relationship Id="rId156" Type="http://schemas.openxmlformats.org/officeDocument/2006/relationships/hyperlink" Target="mailto:analistasst@ccpremiumplaza.com" TargetMode="External"/><Relationship Id="rId198" Type="http://schemas.openxmlformats.org/officeDocument/2006/relationships/hyperlink" Target="mailto:proyectos2@jomarkseguridad.com" TargetMode="External"/><Relationship Id="rId321" Type="http://schemas.openxmlformats.org/officeDocument/2006/relationships/hyperlink" Target="mailto:aprendizsst@grupomilagros.com" TargetMode="External"/><Relationship Id="rId363" Type="http://schemas.openxmlformats.org/officeDocument/2006/relationships/hyperlink" Target="mailto:asistenteadmonverticall@gmail.com" TargetMode="External"/><Relationship Id="rId419" Type="http://schemas.openxmlformats.org/officeDocument/2006/relationships/hyperlink" Target="mailto:lcastillo@conaltura.com" TargetMode="External"/><Relationship Id="rId223" Type="http://schemas.openxmlformats.org/officeDocument/2006/relationships/hyperlink" Target="mailto:lmontoya@iconstructora.com.co" TargetMode="External"/><Relationship Id="rId430" Type="http://schemas.openxmlformats.org/officeDocument/2006/relationships/hyperlink" Target="mailto:coordinacion@conintel.com.co" TargetMode="External"/><Relationship Id="rId18" Type="http://schemas.openxmlformats.org/officeDocument/2006/relationships/hyperlink" Target="mailto:paradigmaarquitecturasas@gmail.com" TargetMode="External"/><Relationship Id="rId265" Type="http://schemas.openxmlformats.org/officeDocument/2006/relationships/hyperlink" Target="mailto:hernan.ortiz@spci.com.co" TargetMode="External"/><Relationship Id="rId472" Type="http://schemas.openxmlformats.org/officeDocument/2006/relationships/hyperlink" Target="mailto:jsalazar@nivelum.com" TargetMode="External"/><Relationship Id="rId125" Type="http://schemas.openxmlformats.org/officeDocument/2006/relationships/hyperlink" Target="mailto:lmontoya@iconstructora.com.co" TargetMode="External"/><Relationship Id="rId167" Type="http://schemas.openxmlformats.org/officeDocument/2006/relationships/hyperlink" Target="mailto:laura.arias@studiosur.net" TargetMode="External"/><Relationship Id="rId332" Type="http://schemas.openxmlformats.org/officeDocument/2006/relationships/hyperlink" Target="mailto:victor.saldarriaga@spci.com.co" TargetMode="External"/><Relationship Id="rId374" Type="http://schemas.openxmlformats.org/officeDocument/2006/relationships/hyperlink" Target="mailto:camilo.quintero@spci.com.co" TargetMode="External"/><Relationship Id="rId71" Type="http://schemas.openxmlformats.org/officeDocument/2006/relationships/hyperlink" Target="mailto:parangor@conconcreto.com" TargetMode="External"/><Relationship Id="rId234" Type="http://schemas.openxmlformats.org/officeDocument/2006/relationships/hyperlink" Target="mailto:zmlopez@coninsa.co" TargetMode="External"/><Relationship Id="rId2" Type="http://schemas.openxmlformats.org/officeDocument/2006/relationships/hyperlink" Target="mailto:gino1037@hotmail.com" TargetMode="External"/><Relationship Id="rId29" Type="http://schemas.openxmlformats.org/officeDocument/2006/relationships/hyperlink" Target="mailto:aguasingenieriamed@gmail.com" TargetMode="External"/><Relationship Id="rId276" Type="http://schemas.openxmlformats.org/officeDocument/2006/relationships/hyperlink" Target="mailto:cristiam.mondragon@spci.com.co" TargetMode="External"/><Relationship Id="rId441" Type="http://schemas.openxmlformats.org/officeDocument/2006/relationships/hyperlink" Target="mailto:comercial@ingesed.com" TargetMode="External"/><Relationship Id="rId483" Type="http://schemas.openxmlformats.org/officeDocument/2006/relationships/hyperlink" Target="mailto:info@ismd.com.co" TargetMode="External"/><Relationship Id="rId40" Type="http://schemas.openxmlformats.org/officeDocument/2006/relationships/hyperlink" Target="mailto:cristiam.mondragon@spci.com.co" TargetMode="External"/><Relationship Id="rId136" Type="http://schemas.openxmlformats.org/officeDocument/2006/relationships/hyperlink" Target="mailto:calmanya@jomarkseguridad.com" TargetMode="External"/><Relationship Id="rId178" Type="http://schemas.openxmlformats.org/officeDocument/2006/relationships/hyperlink" Target="mailto:camilo.quintero@spci.com.co" TargetMode="External"/><Relationship Id="rId301" Type="http://schemas.openxmlformats.org/officeDocument/2006/relationships/hyperlink" Target="mailto:cristiam.mondragon@spci.com.co" TargetMode="External"/><Relationship Id="rId343" Type="http://schemas.openxmlformats.org/officeDocument/2006/relationships/hyperlink" Target="mailto:ldominguezt@conconcreto.com" TargetMode="External"/><Relationship Id="rId82" Type="http://schemas.openxmlformats.org/officeDocument/2006/relationships/hyperlink" Target="mailto:carlos.henao@seriinco.com" TargetMode="External"/><Relationship Id="rId203" Type="http://schemas.openxmlformats.org/officeDocument/2006/relationships/hyperlink" Target="mailto:comercial@comexinternacional.com.co" TargetMode="External"/><Relationship Id="rId385" Type="http://schemas.openxmlformats.org/officeDocument/2006/relationships/hyperlink" Target="mailto:juannaranjo@convel.co" TargetMode="External"/><Relationship Id="rId245" Type="http://schemas.openxmlformats.org/officeDocument/2006/relationships/hyperlink" Target="mailto:dirproyectos@securetec.com.co" TargetMode="External"/><Relationship Id="rId287" Type="http://schemas.openxmlformats.org/officeDocument/2006/relationships/hyperlink" Target="mailto:juan.vanegas@spci.com.co" TargetMode="External"/><Relationship Id="rId410" Type="http://schemas.openxmlformats.org/officeDocument/2006/relationships/hyperlink" Target="mailto:directorlean@inserco.com.co" TargetMode="External"/><Relationship Id="rId452" Type="http://schemas.openxmlformats.org/officeDocument/2006/relationships/hyperlink" Target="mailto:ascomercial2@securetec.com.co" TargetMode="External"/><Relationship Id="rId494" Type="http://schemas.openxmlformats.org/officeDocument/2006/relationships/hyperlink" Target="mailto:directorlean@inserco.com.co" TargetMode="External"/><Relationship Id="rId105" Type="http://schemas.openxmlformats.org/officeDocument/2006/relationships/hyperlink" Target="mailto:jorge.escobar@espiral.com.co" TargetMode="External"/><Relationship Id="rId147" Type="http://schemas.openxmlformats.org/officeDocument/2006/relationships/hyperlink" Target="mailto:leidyalzateq@clinicaces.edu.co" TargetMode="External"/><Relationship Id="rId312" Type="http://schemas.openxmlformats.org/officeDocument/2006/relationships/hyperlink" Target="mailto:francisco.unda@seriinco.com" TargetMode="External"/><Relationship Id="rId354" Type="http://schemas.openxmlformats.org/officeDocument/2006/relationships/hyperlink" Target="mailto:josemaya@firemarshal.com.co" TargetMode="External"/><Relationship Id="rId51" Type="http://schemas.openxmlformats.org/officeDocument/2006/relationships/hyperlink" Target="mailto:david.lopera@socomes.com" TargetMode="External"/><Relationship Id="rId93" Type="http://schemas.openxmlformats.org/officeDocument/2006/relationships/hyperlink" Target="mailto:carlos.henao@seriinco.com" TargetMode="External"/><Relationship Id="rId189" Type="http://schemas.openxmlformats.org/officeDocument/2006/relationships/hyperlink" Target="mailto:lsaldarriaga@interlg.com" TargetMode="External"/><Relationship Id="rId396" Type="http://schemas.openxmlformats.org/officeDocument/2006/relationships/hyperlink" Target="mailto:clopez@viva1a.com.co" TargetMode="External"/><Relationship Id="rId214" Type="http://schemas.openxmlformats.org/officeDocument/2006/relationships/hyperlink" Target="mailto:fjrestrepo@conconcreto.com" TargetMode="External"/><Relationship Id="rId256" Type="http://schemas.openxmlformats.org/officeDocument/2006/relationships/hyperlink" Target="mailto:Daniel.Vasquez@camaramedellin.com.co" TargetMode="External"/><Relationship Id="rId298" Type="http://schemas.openxmlformats.org/officeDocument/2006/relationships/hyperlink" Target="mailto:carlos.henao@seriinco.com" TargetMode="External"/><Relationship Id="rId421" Type="http://schemas.openxmlformats.org/officeDocument/2006/relationships/hyperlink" Target="mailto:gersonmarulanda@mensulaingenieros.com" TargetMode="External"/><Relationship Id="rId463" Type="http://schemas.openxmlformats.org/officeDocument/2006/relationships/hyperlink" Target="mailto:mallkilometrozero@gmail.com" TargetMode="External"/><Relationship Id="rId116" Type="http://schemas.openxmlformats.org/officeDocument/2006/relationships/hyperlink" Target="mailto:ana.restrepo@spci.com.co" TargetMode="External"/><Relationship Id="rId158" Type="http://schemas.openxmlformats.org/officeDocument/2006/relationships/hyperlink" Target="mailto:ana.restrepo@spci.com.co" TargetMode="External"/><Relationship Id="rId323" Type="http://schemas.openxmlformats.org/officeDocument/2006/relationships/hyperlink" Target="mailto:dbetancur@aia.com.co" TargetMode="External"/><Relationship Id="rId20" Type="http://schemas.openxmlformats.org/officeDocument/2006/relationships/hyperlink" Target="mailto:epantoja@contex.com.co" TargetMode="External"/><Relationship Id="rId62" Type="http://schemas.openxmlformats.org/officeDocument/2006/relationships/hyperlink" Target="mailto:pduque@columbus.edu.co" TargetMode="External"/><Relationship Id="rId365" Type="http://schemas.openxmlformats.org/officeDocument/2006/relationships/hyperlink" Target="mailto:dbetancur@aia.com.co" TargetMode="External"/><Relationship Id="rId225" Type="http://schemas.openxmlformats.org/officeDocument/2006/relationships/hyperlink" Target="mailto:mauricio.guzman@spci.com.co" TargetMode="External"/><Relationship Id="rId267" Type="http://schemas.openxmlformats.org/officeDocument/2006/relationships/hyperlink" Target="mailto:dirproyectos@securetec.com.co" TargetMode="External"/><Relationship Id="rId432" Type="http://schemas.openxmlformats.org/officeDocument/2006/relationships/hyperlink" Target="mailto:carlos.henao@seriinco.com" TargetMode="External"/><Relationship Id="rId474" Type="http://schemas.openxmlformats.org/officeDocument/2006/relationships/hyperlink" Target="mailto:n.garcia@condiseno.co" TargetMode="External"/><Relationship Id="rId106" Type="http://schemas.openxmlformats.org/officeDocument/2006/relationships/hyperlink" Target="mailto:juan.grajales@spci.com.co" TargetMode="External"/><Relationship Id="rId127" Type="http://schemas.openxmlformats.org/officeDocument/2006/relationships/hyperlink" Target="mailto:camilo.torres@espiral.com.co" TargetMode="External"/><Relationship Id="rId313" Type="http://schemas.openxmlformats.org/officeDocument/2006/relationships/hyperlink" Target="mailto:juan.londono@serviciosipm.com" TargetMode="External"/><Relationship Id="rId495" Type="http://schemas.openxmlformats.org/officeDocument/2006/relationships/hyperlink" Target="mailto:residentebelen.sinergia@gmail.com" TargetMode="External"/><Relationship Id="rId10" Type="http://schemas.openxmlformats.org/officeDocument/2006/relationships/hyperlink" Target="mailto:david.lopera@socomes.com" TargetMode="External"/><Relationship Id="rId31" Type="http://schemas.openxmlformats.org/officeDocument/2006/relationships/hyperlink" Target="mailto:pduque@columbus.edu.co" TargetMode="External"/><Relationship Id="rId52" Type="http://schemas.openxmlformats.org/officeDocument/2006/relationships/hyperlink" Target="mailto:mcvelasquez@contex.com.co" TargetMode="External"/><Relationship Id="rId73" Type="http://schemas.openxmlformats.org/officeDocument/2006/relationships/hyperlink" Target="mailto:johnvelezconsultorias@gmail.com" TargetMode="External"/><Relationship Id="rId94" Type="http://schemas.openxmlformats.org/officeDocument/2006/relationships/hyperlink" Target="mailto:juan.grajales@spci.com.co" TargetMode="External"/><Relationship Id="rId148" Type="http://schemas.openxmlformats.org/officeDocument/2006/relationships/hyperlink" Target="mailto:juan.londono@serviciosipm.com" TargetMode="External"/><Relationship Id="rId169" Type="http://schemas.openxmlformats.org/officeDocument/2006/relationships/hyperlink" Target="mailto:sraic.asistente@gmail.com" TargetMode="External"/><Relationship Id="rId334" Type="http://schemas.openxmlformats.org/officeDocument/2006/relationships/hyperlink" Target="mailto:gino1037@hotmail.com" TargetMode="External"/><Relationship Id="rId355" Type="http://schemas.openxmlformats.org/officeDocument/2006/relationships/hyperlink" Target="mailto:dirarquitectura@casasbee.com" TargetMode="External"/><Relationship Id="rId376" Type="http://schemas.openxmlformats.org/officeDocument/2006/relationships/hyperlink" Target="mailto:camilo.quintero@spci.com.co" TargetMode="External"/><Relationship Id="rId397" Type="http://schemas.openxmlformats.org/officeDocument/2006/relationships/hyperlink" Target="mailto:clopez@viva1a.com.co" TargetMode="External"/><Relationship Id="rId4" Type="http://schemas.openxmlformats.org/officeDocument/2006/relationships/hyperlink" Target="mailto:jhonatan.aguirre@construgen.com" TargetMode="External"/><Relationship Id="rId180" Type="http://schemas.openxmlformats.org/officeDocument/2006/relationships/hyperlink" Target="mailto:camilo.quintero@spci.com.co" TargetMode="External"/><Relationship Id="rId215" Type="http://schemas.openxmlformats.org/officeDocument/2006/relationships/hyperlink" Target="mailto:ventas@felingenieria.onmicrosoft.com" TargetMode="External"/><Relationship Id="rId236" Type="http://schemas.openxmlformats.org/officeDocument/2006/relationships/hyperlink" Target="mailto:gerenciaproyectos@rpmedicas.co" TargetMode="External"/><Relationship Id="rId257" Type="http://schemas.openxmlformats.org/officeDocument/2006/relationships/hyperlink" Target="mailto:camilo.quintero@spci.com.co" TargetMode="External"/><Relationship Id="rId278" Type="http://schemas.openxmlformats.org/officeDocument/2006/relationships/hyperlink" Target="mailto:ascomercial2@securetec.com.co" TargetMode="External"/><Relationship Id="rId401" Type="http://schemas.openxmlformats.org/officeDocument/2006/relationships/hyperlink" Target="mailto:calmanya@jomarkseguridad.com" TargetMode="External"/><Relationship Id="rId422" Type="http://schemas.openxmlformats.org/officeDocument/2006/relationships/hyperlink" Target="mailto:calmanya@jomarkseguridad.com" TargetMode="External"/><Relationship Id="rId443" Type="http://schemas.openxmlformats.org/officeDocument/2006/relationships/hyperlink" Target="mailto:david.lopera@socomes.com" TargetMode="External"/><Relationship Id="rId464" Type="http://schemas.openxmlformats.org/officeDocument/2006/relationships/hyperlink" Target="mailto:cristiam.mondragon@spci.com.co" TargetMode="External"/><Relationship Id="rId303" Type="http://schemas.openxmlformats.org/officeDocument/2006/relationships/hyperlink" Target="mailto:david.lopera@socomes.com" TargetMode="External"/><Relationship Id="rId485" Type="http://schemas.openxmlformats.org/officeDocument/2006/relationships/hyperlink" Target="mailto:carlos.henao@seriinco.com" TargetMode="External"/><Relationship Id="rId42" Type="http://schemas.openxmlformats.org/officeDocument/2006/relationships/hyperlink" Target="mailto:bayron.puerta@spci.com.co" TargetMode="External"/><Relationship Id="rId84" Type="http://schemas.openxmlformats.org/officeDocument/2006/relationships/hyperlink" Target="mailto:e.ramirez@verticeing.com" TargetMode="External"/><Relationship Id="rId138" Type="http://schemas.openxmlformats.org/officeDocument/2006/relationships/hyperlink" Target="mailto:laura.arias@studiosur.net" TargetMode="External"/><Relationship Id="rId345" Type="http://schemas.openxmlformats.org/officeDocument/2006/relationships/hyperlink" Target="mailto:gersonmarulanda@mensulaingenieros.com" TargetMode="External"/><Relationship Id="rId387" Type="http://schemas.openxmlformats.org/officeDocument/2006/relationships/hyperlink" Target="mailto:krendon@kyjingenieros.co" TargetMode="External"/><Relationship Id="rId191" Type="http://schemas.openxmlformats.org/officeDocument/2006/relationships/hyperlink" Target="mailto:david.lopera@socomes.com" TargetMode="External"/><Relationship Id="rId205" Type="http://schemas.openxmlformats.org/officeDocument/2006/relationships/hyperlink" Target="mailto:n.garcia@condiseno.co" TargetMode="External"/><Relationship Id="rId247" Type="http://schemas.openxmlformats.org/officeDocument/2006/relationships/hyperlink" Target="mailto:dirproyectos@securetec.com.co" TargetMode="External"/><Relationship Id="rId412" Type="http://schemas.openxmlformats.org/officeDocument/2006/relationships/hyperlink" Target="mailto:amtorres@conconcreto.com" TargetMode="External"/><Relationship Id="rId107" Type="http://schemas.openxmlformats.org/officeDocument/2006/relationships/hyperlink" Target="mailto:cvivas@conaltura.com" TargetMode="External"/><Relationship Id="rId289" Type="http://schemas.openxmlformats.org/officeDocument/2006/relationships/hyperlink" Target="mailto:j.alvarez@celesteypiedra.com" TargetMode="External"/><Relationship Id="rId454" Type="http://schemas.openxmlformats.org/officeDocument/2006/relationships/hyperlink" Target="mailto:amtorres@conconcreto.com" TargetMode="External"/><Relationship Id="rId496" Type="http://schemas.openxmlformats.org/officeDocument/2006/relationships/hyperlink" Target="mailto:valentinaortega@mensulaingenieros.com" TargetMode="External"/><Relationship Id="rId11" Type="http://schemas.openxmlformats.org/officeDocument/2006/relationships/hyperlink" Target="mailto:david.lopera@socomes.com" TargetMode="External"/><Relationship Id="rId53" Type="http://schemas.openxmlformats.org/officeDocument/2006/relationships/hyperlink" Target="mailto:juan.grajales@spci.com.co" TargetMode="External"/><Relationship Id="rId149" Type="http://schemas.openxmlformats.org/officeDocument/2006/relationships/hyperlink" Target="mailto:juan.londono@serviciosipm.com" TargetMode="External"/><Relationship Id="rId314" Type="http://schemas.openxmlformats.org/officeDocument/2006/relationships/hyperlink" Target="mailto:cristina@sumario.co" TargetMode="External"/><Relationship Id="rId356" Type="http://schemas.openxmlformats.org/officeDocument/2006/relationships/hyperlink" Target="mailto:victor.saldarriaga@spci.com.co" TargetMode="External"/><Relationship Id="rId398" Type="http://schemas.openxmlformats.org/officeDocument/2006/relationships/hyperlink" Target="mailto:alexander.moreno@construgen.com" TargetMode="External"/><Relationship Id="rId95" Type="http://schemas.openxmlformats.org/officeDocument/2006/relationships/hyperlink" Target="mailto:ana.restrepo@spci.com.co" TargetMode="External"/><Relationship Id="rId160" Type="http://schemas.openxmlformats.org/officeDocument/2006/relationships/hyperlink" Target="mailto:epantoja@contex.com.co" TargetMode="External"/><Relationship Id="rId216" Type="http://schemas.openxmlformats.org/officeDocument/2006/relationships/hyperlink" Target="mailto:hgallego@conconcreto.com" TargetMode="External"/><Relationship Id="rId423" Type="http://schemas.openxmlformats.org/officeDocument/2006/relationships/hyperlink" Target="mailto:juan.grajales@spci.com.co" TargetMode="External"/><Relationship Id="rId258" Type="http://schemas.openxmlformats.org/officeDocument/2006/relationships/hyperlink" Target="mailto:daniel.guzman@ingeniobim.co" TargetMode="External"/><Relationship Id="rId465" Type="http://schemas.openxmlformats.org/officeDocument/2006/relationships/hyperlink" Target="mailto:arielg@sohinco.com" TargetMode="External"/><Relationship Id="rId22" Type="http://schemas.openxmlformats.org/officeDocument/2006/relationships/hyperlink" Target="mailto:licitaciones@spci.com.co" TargetMode="External"/><Relationship Id="rId64" Type="http://schemas.openxmlformats.org/officeDocument/2006/relationships/hyperlink" Target="mailto:proyectos2@jomarkseguridad.com" TargetMode="External"/><Relationship Id="rId118" Type="http://schemas.openxmlformats.org/officeDocument/2006/relationships/hyperlink" Target="mailto:gerencia@securetec.com.co" TargetMode="External"/><Relationship Id="rId325" Type="http://schemas.openxmlformats.org/officeDocument/2006/relationships/hyperlink" Target="mailto:sraic.diseno@gmail.com" TargetMode="External"/><Relationship Id="rId367" Type="http://schemas.openxmlformats.org/officeDocument/2006/relationships/hyperlink" Target="mailto:comercial@ingesed.com" TargetMode="External"/><Relationship Id="rId171" Type="http://schemas.openxmlformats.org/officeDocument/2006/relationships/hyperlink" Target="mailto:edgar.lopez@abile.co" TargetMode="External"/><Relationship Id="rId227" Type="http://schemas.openxmlformats.org/officeDocument/2006/relationships/hyperlink" Target="mailto:igiraldo@proyectosurbanos.com.co" TargetMode="External"/><Relationship Id="rId269" Type="http://schemas.openxmlformats.org/officeDocument/2006/relationships/hyperlink" Target="mailto:alvaromanosalva@sfiregroup.com" TargetMode="External"/><Relationship Id="rId434" Type="http://schemas.openxmlformats.org/officeDocument/2006/relationships/hyperlink" Target="mailto:alvaromanosalva@sfiregroup.com" TargetMode="External"/><Relationship Id="rId476" Type="http://schemas.openxmlformats.org/officeDocument/2006/relationships/hyperlink" Target="mailto:estefania.ospina@dinpro.com.co" TargetMode="External"/><Relationship Id="rId33" Type="http://schemas.openxmlformats.org/officeDocument/2006/relationships/hyperlink" Target="mailto:jtoro@con-axion.com" TargetMode="External"/><Relationship Id="rId129" Type="http://schemas.openxmlformats.org/officeDocument/2006/relationships/hyperlink" Target="mailto:david.lopera@socomes.com" TargetMode="External"/><Relationship Id="rId280" Type="http://schemas.openxmlformats.org/officeDocument/2006/relationships/hyperlink" Target="mailto:fgomez@viva1a.com.co" TargetMode="External"/><Relationship Id="rId336" Type="http://schemas.openxmlformats.org/officeDocument/2006/relationships/hyperlink" Target="mailto:camilo.quintero@spci.com.co" TargetMode="External"/><Relationship Id="rId75" Type="http://schemas.openxmlformats.org/officeDocument/2006/relationships/hyperlink" Target="mailto:eortiz@byr.com.co" TargetMode="External"/><Relationship Id="rId140" Type="http://schemas.openxmlformats.org/officeDocument/2006/relationships/hyperlink" Target="mailto:luisa.londono@ingeniobim.co" TargetMode="External"/><Relationship Id="rId182" Type="http://schemas.openxmlformats.org/officeDocument/2006/relationships/hyperlink" Target="mailto:ldelgado@bomberosenvigado.org" TargetMode="External"/><Relationship Id="rId378" Type="http://schemas.openxmlformats.org/officeDocument/2006/relationships/hyperlink" Target="mailto:camilo.quintero@spci.com.co" TargetMode="External"/><Relationship Id="rId403" Type="http://schemas.openxmlformats.org/officeDocument/2006/relationships/hyperlink" Target="mailto:mdfernandez@humiclima.com" TargetMode="External"/><Relationship Id="rId6" Type="http://schemas.openxmlformats.org/officeDocument/2006/relationships/hyperlink" Target="mailto:victor.saldarriaga@spci.com.co" TargetMode="External"/><Relationship Id="rId238" Type="http://schemas.openxmlformats.org/officeDocument/2006/relationships/hyperlink" Target="mailto:camilo.quintero@spci.com.co" TargetMode="External"/><Relationship Id="rId445" Type="http://schemas.openxmlformats.org/officeDocument/2006/relationships/hyperlink" Target="mailto:dacorrea@rcimontajes.co" TargetMode="External"/><Relationship Id="rId487" Type="http://schemas.openxmlformats.org/officeDocument/2006/relationships/hyperlink" Target="mailto:n.garcia@condiseno.co" TargetMode="External"/><Relationship Id="rId291" Type="http://schemas.openxmlformats.org/officeDocument/2006/relationships/hyperlink" Target="mailto:plablomateo@yahoo.com" TargetMode="External"/><Relationship Id="rId305" Type="http://schemas.openxmlformats.org/officeDocument/2006/relationships/hyperlink" Target="mailto:obinsonmarulanda@arquitecturayconcreto.com" TargetMode="External"/><Relationship Id="rId347" Type="http://schemas.openxmlformats.org/officeDocument/2006/relationships/hyperlink" Target="mailto:gino1037@hotmail.com" TargetMode="External"/><Relationship Id="rId44" Type="http://schemas.openxmlformats.org/officeDocument/2006/relationships/hyperlink" Target="mailto:alvaromanosalva@sfiregroup.com" TargetMode="External"/><Relationship Id="rId86" Type="http://schemas.openxmlformats.org/officeDocument/2006/relationships/hyperlink" Target="mailto:cristiam.mondragon@spci.com.co" TargetMode="External"/><Relationship Id="rId151" Type="http://schemas.openxmlformats.org/officeDocument/2006/relationships/hyperlink" Target="mailto:obrasms84@gmail.com" TargetMode="External"/><Relationship Id="rId389" Type="http://schemas.openxmlformats.org/officeDocument/2006/relationships/hyperlink" Target="mailto:Braian.Lopez@hbfuller.com" TargetMode="External"/><Relationship Id="rId193" Type="http://schemas.openxmlformats.org/officeDocument/2006/relationships/hyperlink" Target="mailto:liliana.gutierrez@studiosur.net" TargetMode="External"/><Relationship Id="rId207" Type="http://schemas.openxmlformats.org/officeDocument/2006/relationships/hyperlink" Target="mailto:danielavelez.fcr@gmail.com" TargetMode="External"/><Relationship Id="rId249" Type="http://schemas.openxmlformats.org/officeDocument/2006/relationships/hyperlink" Target="mailto:mauricio.gutierrez@spci.com.co" TargetMode="External"/><Relationship Id="rId414" Type="http://schemas.openxmlformats.org/officeDocument/2006/relationships/hyperlink" Target="mailto:mauricio.gutierrez@spci.com.co" TargetMode="External"/><Relationship Id="rId456" Type="http://schemas.openxmlformats.org/officeDocument/2006/relationships/hyperlink" Target="mailto:dirproyectos@securetec.com.co" TargetMode="External"/><Relationship Id="rId498" Type="http://schemas.openxmlformats.org/officeDocument/2006/relationships/drawing" Target="../drawings/drawing6.xml"/><Relationship Id="rId13" Type="http://schemas.openxmlformats.org/officeDocument/2006/relationships/hyperlink" Target="mailto:apb2573@yahoo.es" TargetMode="External"/><Relationship Id="rId109" Type="http://schemas.openxmlformats.org/officeDocument/2006/relationships/hyperlink" Target="mailto:david.lopera@socomes.com" TargetMode="External"/><Relationship Id="rId260" Type="http://schemas.openxmlformats.org/officeDocument/2006/relationships/hyperlink" Target="mailto:proyectos@prosoma.com.co" TargetMode="External"/><Relationship Id="rId316" Type="http://schemas.openxmlformats.org/officeDocument/2006/relationships/hyperlink" Target="mailto:btamayo@ipcproyectos.co" TargetMode="External"/><Relationship Id="rId55" Type="http://schemas.openxmlformats.org/officeDocument/2006/relationships/hyperlink" Target="mailto:carlos.henao@seriinco.com" TargetMode="External"/><Relationship Id="rId97" Type="http://schemas.openxmlformats.org/officeDocument/2006/relationships/hyperlink" Target="mailto:proyectos2@jomarkseguridad.com" TargetMode="External"/><Relationship Id="rId120" Type="http://schemas.openxmlformats.org/officeDocument/2006/relationships/hyperlink" Target="mailto:hidraulicaymontajes@gmail.com" TargetMode="External"/><Relationship Id="rId358" Type="http://schemas.openxmlformats.org/officeDocument/2006/relationships/hyperlink" Target="mailto:gino1037@hotmail.com" TargetMode="External"/><Relationship Id="rId162" Type="http://schemas.openxmlformats.org/officeDocument/2006/relationships/hyperlink" Target="mailto:spava@exsolven.com.co" TargetMode="External"/><Relationship Id="rId218" Type="http://schemas.openxmlformats.org/officeDocument/2006/relationships/hyperlink" Target="mailto:ana.restrepo@spci.com.co" TargetMode="External"/><Relationship Id="rId425" Type="http://schemas.openxmlformats.org/officeDocument/2006/relationships/hyperlink" Target="mailto:dir.tecnico@spci.com.co" TargetMode="External"/><Relationship Id="rId467" Type="http://schemas.openxmlformats.org/officeDocument/2006/relationships/hyperlink" Target="mailto:cristiam.mondragon@spci.com.co" TargetMode="External"/><Relationship Id="rId271" Type="http://schemas.openxmlformats.org/officeDocument/2006/relationships/hyperlink" Target="mailto:liliana.gutierrez@studiosur.net" TargetMode="External"/><Relationship Id="rId24" Type="http://schemas.openxmlformats.org/officeDocument/2006/relationships/hyperlink" Target="mailto:Camilo.Chavez@quironsalud.com" TargetMode="External"/><Relationship Id="rId66" Type="http://schemas.openxmlformats.org/officeDocument/2006/relationships/hyperlink" Target="mailto:hidraulicaymontajes@gmail.com" TargetMode="External"/><Relationship Id="rId131" Type="http://schemas.openxmlformats.org/officeDocument/2006/relationships/hyperlink" Target="mailto:jlarrota@ordenhospitalaria.org" TargetMode="External"/><Relationship Id="rId327" Type="http://schemas.openxmlformats.org/officeDocument/2006/relationships/hyperlink" Target="mailto:jcamilo.builes@ingeniobim.co" TargetMode="External"/><Relationship Id="rId369" Type="http://schemas.openxmlformats.org/officeDocument/2006/relationships/hyperlink" Target="mailto:admin@studiosur.net" TargetMode="External"/><Relationship Id="rId173" Type="http://schemas.openxmlformats.org/officeDocument/2006/relationships/hyperlink" Target="mailto:frodriguez@conaltura.com" TargetMode="External"/><Relationship Id="rId229" Type="http://schemas.openxmlformats.org/officeDocument/2006/relationships/hyperlink" Target="mailto:gerenciaproyectos@rpmedicas.co" TargetMode="External"/><Relationship Id="rId380" Type="http://schemas.openxmlformats.org/officeDocument/2006/relationships/hyperlink" Target="mailto:carolina@hidrofsalinas.com" TargetMode="External"/><Relationship Id="rId436" Type="http://schemas.openxmlformats.org/officeDocument/2006/relationships/hyperlink" Target="mailto:sebra.arq@gmail.com" TargetMode="External"/><Relationship Id="rId240" Type="http://schemas.openxmlformats.org/officeDocument/2006/relationships/hyperlink" Target="mailto:mauricio.guzman@spci.com.co" TargetMode="External"/><Relationship Id="rId478" Type="http://schemas.openxmlformats.org/officeDocument/2006/relationships/hyperlink" Target="mailto:johner.payares@bienesybienes.com.co" TargetMode="External"/><Relationship Id="rId35" Type="http://schemas.openxmlformats.org/officeDocument/2006/relationships/hyperlink" Target="mailto:daniel.uribe@spci.com.co" TargetMode="External"/><Relationship Id="rId77" Type="http://schemas.openxmlformats.org/officeDocument/2006/relationships/hyperlink" Target="mailto:diseno4@gyd.com.co" TargetMode="External"/><Relationship Id="rId100" Type="http://schemas.openxmlformats.org/officeDocument/2006/relationships/hyperlink" Target="mailto:cristiam.mondragon@spci.com.co" TargetMode="External"/><Relationship Id="rId282" Type="http://schemas.openxmlformats.org/officeDocument/2006/relationships/hyperlink" Target="mailto:sandra@urbica.co" TargetMode="External"/><Relationship Id="rId338" Type="http://schemas.openxmlformats.org/officeDocument/2006/relationships/hyperlink" Target="mailto:alvaromanosalva@sfiregroup.com" TargetMode="External"/><Relationship Id="rId8" Type="http://schemas.openxmlformats.org/officeDocument/2006/relationships/hyperlink" Target="mailto:luisa.londono@ingeniobim.co" TargetMode="External"/><Relationship Id="rId142" Type="http://schemas.openxmlformats.org/officeDocument/2006/relationships/hyperlink" Target="mailto:dacorrea@rcimontajes.co" TargetMode="External"/><Relationship Id="rId184" Type="http://schemas.openxmlformats.org/officeDocument/2006/relationships/hyperlink" Target="mailto:juan.londono@serviciosipm.com" TargetMode="External"/><Relationship Id="rId391" Type="http://schemas.openxmlformats.org/officeDocument/2006/relationships/hyperlink" Target="mailto:camilo.quintero@spci.com.co" TargetMode="External"/><Relationship Id="rId405" Type="http://schemas.openxmlformats.org/officeDocument/2006/relationships/hyperlink" Target="mailto:david.lopera@socomes.com" TargetMode="External"/><Relationship Id="rId447" Type="http://schemas.openxmlformats.org/officeDocument/2006/relationships/hyperlink" Target="mailto:coordinadorobra@gruporaiz.com.co" TargetMode="External"/><Relationship Id="rId251" Type="http://schemas.openxmlformats.org/officeDocument/2006/relationships/hyperlink" Target="mailto:camilo.quintero@spci.com.co" TargetMode="External"/><Relationship Id="rId489" Type="http://schemas.openxmlformats.org/officeDocument/2006/relationships/hyperlink" Target="mailto:dir.tecnico@spci.com.co" TargetMode="External"/><Relationship Id="rId46" Type="http://schemas.openxmlformats.org/officeDocument/2006/relationships/hyperlink" Target="mailto:juan.grajales@spci.com.co" TargetMode="External"/><Relationship Id="rId293" Type="http://schemas.openxmlformats.org/officeDocument/2006/relationships/hyperlink" Target="mailto:carlos.henao@seriinco.com" TargetMode="External"/><Relationship Id="rId307" Type="http://schemas.openxmlformats.org/officeDocument/2006/relationships/hyperlink" Target="mailto:escapeto28@gmail.com" TargetMode="External"/><Relationship Id="rId349" Type="http://schemas.openxmlformats.org/officeDocument/2006/relationships/hyperlink" Target="mailto:wledesma@viva1a.com.co" TargetMode="External"/><Relationship Id="rId88" Type="http://schemas.openxmlformats.org/officeDocument/2006/relationships/hyperlink" Target="mailto:cristianlondono@mensulaingenieros.com" TargetMode="External"/><Relationship Id="rId111" Type="http://schemas.openxmlformats.org/officeDocument/2006/relationships/hyperlink" Target="mailto:maria.jimenez@bataua.com" TargetMode="External"/><Relationship Id="rId153" Type="http://schemas.openxmlformats.org/officeDocument/2006/relationships/hyperlink" Target="mailto:anuri.obra@gmail.com" TargetMode="External"/><Relationship Id="rId195" Type="http://schemas.openxmlformats.org/officeDocument/2006/relationships/hyperlink" Target="mailto:cristiam.mondragon@spci.com.co" TargetMode="External"/><Relationship Id="rId209" Type="http://schemas.openxmlformats.org/officeDocument/2006/relationships/hyperlink" Target="mailto:dirproyectos@securetec.com.co" TargetMode="External"/><Relationship Id="rId360" Type="http://schemas.openxmlformats.org/officeDocument/2006/relationships/hyperlink" Target="mailto:gino1037@hotmail.com" TargetMode="External"/><Relationship Id="rId416" Type="http://schemas.openxmlformats.org/officeDocument/2006/relationships/hyperlink" Target="mailto:arielg@sohinco.com" TargetMode="External"/><Relationship Id="rId220" Type="http://schemas.openxmlformats.org/officeDocument/2006/relationships/hyperlink" Target="mailto:esteban.perez@tzd.com.co" TargetMode="External"/><Relationship Id="rId458" Type="http://schemas.openxmlformats.org/officeDocument/2006/relationships/hyperlink" Target="mailto:keylagarcia@estructurar.co" TargetMode="External"/><Relationship Id="rId15" Type="http://schemas.openxmlformats.org/officeDocument/2006/relationships/hyperlink" Target="mailto:equipo@4rqstudio.com" TargetMode="External"/><Relationship Id="rId57" Type="http://schemas.openxmlformats.org/officeDocument/2006/relationships/hyperlink" Target="mailto:dirproyectos@securetec.com.co" TargetMode="External"/><Relationship Id="rId262" Type="http://schemas.openxmlformats.org/officeDocument/2006/relationships/hyperlink" Target="mailto:proyectos@prosoma.com.co" TargetMode="External"/><Relationship Id="rId318" Type="http://schemas.openxmlformats.org/officeDocument/2006/relationships/hyperlink" Target="mailto:valentinaortega@mensulaingenieros.com" TargetMode="External"/><Relationship Id="rId99" Type="http://schemas.openxmlformats.org/officeDocument/2006/relationships/hyperlink" Target="mailto:cristiam.mondragon@spci.com.co" TargetMode="External"/><Relationship Id="rId122" Type="http://schemas.openxmlformats.org/officeDocument/2006/relationships/hyperlink" Target="mailto:maria.madrid@bienesybienes.com.co" TargetMode="External"/><Relationship Id="rId164" Type="http://schemas.openxmlformats.org/officeDocument/2006/relationships/hyperlink" Target="mailto:pduque@columbus.edu.co" TargetMode="External"/><Relationship Id="rId371" Type="http://schemas.openxmlformats.org/officeDocument/2006/relationships/hyperlink" Target="mailto:mlugo@viva1a.com.co" TargetMode="External"/><Relationship Id="rId427" Type="http://schemas.openxmlformats.org/officeDocument/2006/relationships/hyperlink" Target="mailto:proyectos@clinicaelrosario.com" TargetMode="External"/><Relationship Id="rId469" Type="http://schemas.openxmlformats.org/officeDocument/2006/relationships/hyperlink" Target="mailto:oscarfcr2@gmail.com" TargetMode="External"/><Relationship Id="rId26" Type="http://schemas.openxmlformats.org/officeDocument/2006/relationships/hyperlink" Target="mailto:cristiam.mondragon@spci.com.co" TargetMode="External"/><Relationship Id="rId231" Type="http://schemas.openxmlformats.org/officeDocument/2006/relationships/hyperlink" Target="mailto:juan.grajales@spci.com.co" TargetMode="External"/><Relationship Id="rId273" Type="http://schemas.openxmlformats.org/officeDocument/2006/relationships/hyperlink" Target="mailto:daniel.guzman@ingeniobim.co" TargetMode="External"/><Relationship Id="rId329" Type="http://schemas.openxmlformats.org/officeDocument/2006/relationships/hyperlink" Target="mailto:cristiam.mondragon@spci.com.co" TargetMode="External"/><Relationship Id="rId480" Type="http://schemas.openxmlformats.org/officeDocument/2006/relationships/hyperlink" Target="mailto:sebastianbedoya@paralelo-group.com" TargetMode="External"/><Relationship Id="rId68" Type="http://schemas.openxmlformats.org/officeDocument/2006/relationships/hyperlink" Target="mailto:maritzam@sohinco.com" TargetMode="External"/><Relationship Id="rId133" Type="http://schemas.openxmlformats.org/officeDocument/2006/relationships/hyperlink" Target="mailto:camilo.quintero@spci.com.co" TargetMode="External"/><Relationship Id="rId175" Type="http://schemas.openxmlformats.org/officeDocument/2006/relationships/hyperlink" Target="mailto:frodriguez@conaltura.com" TargetMode="External"/><Relationship Id="rId340" Type="http://schemas.openxmlformats.org/officeDocument/2006/relationships/hyperlink" Target="mailto:crendono@grupo-exito.com" TargetMode="External"/><Relationship Id="rId200" Type="http://schemas.openxmlformats.org/officeDocument/2006/relationships/hyperlink" Target="mailto:luisa.londono@ingeniobim.co" TargetMode="External"/><Relationship Id="rId382" Type="http://schemas.openxmlformats.org/officeDocument/2006/relationships/hyperlink" Target="mailto:juan.grajales@spci.com.co" TargetMode="External"/><Relationship Id="rId438" Type="http://schemas.openxmlformats.org/officeDocument/2006/relationships/hyperlink" Target="mailto:david.lopera@socomes.com" TargetMode="External"/><Relationship Id="rId242" Type="http://schemas.openxmlformats.org/officeDocument/2006/relationships/hyperlink" Target="mailto:mauricio.guzman@spci.com.co" TargetMode="External"/><Relationship Id="rId284" Type="http://schemas.openxmlformats.org/officeDocument/2006/relationships/hyperlink" Target="mailto:villaterrat2@gmail.com" TargetMode="External"/><Relationship Id="rId491" Type="http://schemas.openxmlformats.org/officeDocument/2006/relationships/hyperlink" Target="mailto:alvaromanosalva@sfiregroup.com" TargetMode="External"/><Relationship Id="rId37" Type="http://schemas.openxmlformats.org/officeDocument/2006/relationships/hyperlink" Target="mailto:obrasms84@gmail.com" TargetMode="External"/><Relationship Id="rId79" Type="http://schemas.openxmlformats.org/officeDocument/2006/relationships/hyperlink" Target="mailto:david.velez@spci.com.co" TargetMode="External"/><Relationship Id="rId102" Type="http://schemas.openxmlformats.org/officeDocument/2006/relationships/hyperlink" Target="mailto:mauricio.guzman@spci.com.co" TargetMode="External"/><Relationship Id="rId144" Type="http://schemas.openxmlformats.org/officeDocument/2006/relationships/hyperlink" Target="mailto:victor.saldarriaga@spci.com.co" TargetMode="External"/><Relationship Id="rId90" Type="http://schemas.openxmlformats.org/officeDocument/2006/relationships/hyperlink" Target="mailto:carlos.henao@seriinco.com" TargetMode="External"/><Relationship Id="rId186" Type="http://schemas.openxmlformats.org/officeDocument/2006/relationships/hyperlink" Target="mailto:camilo.quintero@spci.com.co" TargetMode="External"/><Relationship Id="rId351" Type="http://schemas.openxmlformats.org/officeDocument/2006/relationships/hyperlink" Target="mailto:juan.grajales@spci.com.co" TargetMode="External"/><Relationship Id="rId393" Type="http://schemas.openxmlformats.org/officeDocument/2006/relationships/hyperlink" Target="mailto:camilo.quintero@spci.com.co" TargetMode="External"/><Relationship Id="rId407" Type="http://schemas.openxmlformats.org/officeDocument/2006/relationships/hyperlink" Target="mailto:comercial@ingesed.com" TargetMode="External"/><Relationship Id="rId449" Type="http://schemas.openxmlformats.org/officeDocument/2006/relationships/hyperlink" Target="mailto:cristiam.mondragon@spci.com.co" TargetMode="External"/><Relationship Id="rId211" Type="http://schemas.openxmlformats.org/officeDocument/2006/relationships/hyperlink" Target="mailto:lmontoya@iconstructora.com.co" TargetMode="External"/><Relationship Id="rId253" Type="http://schemas.openxmlformats.org/officeDocument/2006/relationships/hyperlink" Target="mailto:andres.gomez@aia.com.co" TargetMode="External"/><Relationship Id="rId295" Type="http://schemas.openxmlformats.org/officeDocument/2006/relationships/hyperlink" Target="mailto:arquitectura4@molinoviejo.co" TargetMode="External"/><Relationship Id="rId309" Type="http://schemas.openxmlformats.org/officeDocument/2006/relationships/hyperlink" Target="mailto:david.lopera@socomes.com" TargetMode="External"/><Relationship Id="rId460" Type="http://schemas.openxmlformats.org/officeDocument/2006/relationships/hyperlink" Target="mailto:rafaelb@toroposada.com" TargetMode="External"/><Relationship Id="rId48" Type="http://schemas.openxmlformats.org/officeDocument/2006/relationships/hyperlink" Target="mailto:maurogavi@une.net.co" TargetMode="External"/><Relationship Id="rId113" Type="http://schemas.openxmlformats.org/officeDocument/2006/relationships/hyperlink" Target="mailto:yeisongonzalez@mensulaingenieros.com" TargetMode="External"/><Relationship Id="rId320" Type="http://schemas.openxmlformats.org/officeDocument/2006/relationships/hyperlink" Target="mailto:francisco.unda@seriinco.com" TargetMode="External"/><Relationship Id="rId155" Type="http://schemas.openxmlformats.org/officeDocument/2006/relationships/hyperlink" Target="mailto:jrodriguez@ingesed.com" TargetMode="External"/><Relationship Id="rId197" Type="http://schemas.openxmlformats.org/officeDocument/2006/relationships/hyperlink" Target="mailto:angie.foronda@plasticosminipet.com" TargetMode="External"/><Relationship Id="rId362" Type="http://schemas.openxmlformats.org/officeDocument/2006/relationships/hyperlink" Target="mailto:juanfranco@mt.com.co" TargetMode="External"/><Relationship Id="rId418" Type="http://schemas.openxmlformats.org/officeDocument/2006/relationships/hyperlink" Target="mailto:lcastillo@conaltura.com" TargetMode="External"/><Relationship Id="rId222" Type="http://schemas.openxmlformats.org/officeDocument/2006/relationships/hyperlink" Target="mailto:gino1037@hotmail.com" TargetMode="External"/><Relationship Id="rId264" Type="http://schemas.openxmlformats.org/officeDocument/2006/relationships/hyperlink" Target="mailto:lmontoya@iconstructora.com.co" TargetMode="External"/><Relationship Id="rId471" Type="http://schemas.openxmlformats.org/officeDocument/2006/relationships/hyperlink" Target="mailto:cmesa@coninsa.co" TargetMode="External"/><Relationship Id="rId17" Type="http://schemas.openxmlformats.org/officeDocument/2006/relationships/hyperlink" Target="mailto:cristian.cano@lasamericas.com.co" TargetMode="External"/><Relationship Id="rId59" Type="http://schemas.openxmlformats.org/officeDocument/2006/relationships/hyperlink" Target="mailto:jorgerojas@iayc.co" TargetMode="External"/><Relationship Id="rId124" Type="http://schemas.openxmlformats.org/officeDocument/2006/relationships/hyperlink" Target="mailto:cristina@sumario.co" TargetMode="External"/><Relationship Id="rId70" Type="http://schemas.openxmlformats.org/officeDocument/2006/relationships/hyperlink" Target="mailto:n.garcia@condiseno.co" TargetMode="External"/><Relationship Id="rId166" Type="http://schemas.openxmlformats.org/officeDocument/2006/relationships/hyperlink" Target="mailto:dirproyectos@securetec.com.co" TargetMode="External"/><Relationship Id="rId331" Type="http://schemas.openxmlformats.org/officeDocument/2006/relationships/hyperlink" Target="mailto:victor.saldarriaga@spci.com.co" TargetMode="External"/><Relationship Id="rId373" Type="http://schemas.openxmlformats.org/officeDocument/2006/relationships/hyperlink" Target="mailto:mhincapie@coninsa.co" TargetMode="External"/><Relationship Id="rId429" Type="http://schemas.openxmlformats.org/officeDocument/2006/relationships/hyperlink" Target="mailto:calmanya@jomarkseguridad.com" TargetMode="External"/><Relationship Id="rId1" Type="http://schemas.openxmlformats.org/officeDocument/2006/relationships/hyperlink" Target="mailto:gino1037@hotmail.com" TargetMode="External"/><Relationship Id="rId233" Type="http://schemas.openxmlformats.org/officeDocument/2006/relationships/hyperlink" Target="mailto:zmlopez@coninsa.co" TargetMode="External"/><Relationship Id="rId440" Type="http://schemas.openxmlformats.org/officeDocument/2006/relationships/hyperlink" Target="mailto:lsaldarriaga@interlg.com" TargetMode="External"/><Relationship Id="rId28" Type="http://schemas.openxmlformats.org/officeDocument/2006/relationships/hyperlink" Target="mailto:daniel.uribe@spci.com.co" TargetMode="External"/><Relationship Id="rId275" Type="http://schemas.openxmlformats.org/officeDocument/2006/relationships/hyperlink" Target="mailto:comercial@ingesed.com" TargetMode="External"/><Relationship Id="rId300" Type="http://schemas.openxmlformats.org/officeDocument/2006/relationships/hyperlink" Target="mailto:cristiam.mondragon@spci.com.co" TargetMode="External"/><Relationship Id="rId482" Type="http://schemas.openxmlformats.org/officeDocument/2006/relationships/hyperlink" Target="mailto:ascomercial2@securetec.com.co" TargetMode="External"/><Relationship Id="rId81" Type="http://schemas.openxmlformats.org/officeDocument/2006/relationships/hyperlink" Target="mailto:carlos.henao@seriinco.com" TargetMode="External"/><Relationship Id="rId135" Type="http://schemas.openxmlformats.org/officeDocument/2006/relationships/hyperlink" Target="mailto:diseno4@gyd.com.co" TargetMode="External"/><Relationship Id="rId177" Type="http://schemas.openxmlformats.org/officeDocument/2006/relationships/hyperlink" Target="mailto:camilo.quintero@spci.com.co" TargetMode="External"/><Relationship Id="rId342" Type="http://schemas.openxmlformats.org/officeDocument/2006/relationships/hyperlink" Target="mailto:rvasquez@estudiotransversal.com.co" TargetMode="External"/><Relationship Id="rId384" Type="http://schemas.openxmlformats.org/officeDocument/2006/relationships/hyperlink" Target="mailto:construdelllano23@gmail.com" TargetMode="External"/><Relationship Id="rId202" Type="http://schemas.openxmlformats.org/officeDocument/2006/relationships/hyperlink" Target="mailto:fcrtamarapuerta@gmail.com" TargetMode="External"/><Relationship Id="rId244" Type="http://schemas.openxmlformats.org/officeDocument/2006/relationships/hyperlink" Target="mailto:ana.restrepo@spci.com.co" TargetMode="External"/><Relationship Id="rId39" Type="http://schemas.openxmlformats.org/officeDocument/2006/relationships/hyperlink" Target="mailto:david.lopera@socomes.com" TargetMode="External"/><Relationship Id="rId286" Type="http://schemas.openxmlformats.org/officeDocument/2006/relationships/hyperlink" Target="mailto:david.lopera@socomes.com" TargetMode="External"/><Relationship Id="rId451" Type="http://schemas.openxmlformats.org/officeDocument/2006/relationships/hyperlink" Target="mailto:ascomercial2@securetec.com.co" TargetMode="External"/><Relationship Id="rId493" Type="http://schemas.openxmlformats.org/officeDocument/2006/relationships/hyperlink" Target="mailto:johner.payares@bienesybienes.com.co" TargetMode="External"/><Relationship Id="rId50" Type="http://schemas.openxmlformats.org/officeDocument/2006/relationships/hyperlink" Target="mailto:ascomercial2@securetec.com.co" TargetMode="External"/><Relationship Id="rId104" Type="http://schemas.openxmlformats.org/officeDocument/2006/relationships/hyperlink" Target="mailto:jherrerau@conconcreto.com" TargetMode="External"/><Relationship Id="rId146" Type="http://schemas.openxmlformats.org/officeDocument/2006/relationships/hyperlink" Target="mailto:hseqsuper@gmail.com" TargetMode="External"/><Relationship Id="rId188" Type="http://schemas.openxmlformats.org/officeDocument/2006/relationships/hyperlink" Target="mailto:berincesas@gmail.com" TargetMode="External"/><Relationship Id="rId311" Type="http://schemas.openxmlformats.org/officeDocument/2006/relationships/hyperlink" Target="mailto:david.lopera@socomes.com" TargetMode="External"/><Relationship Id="rId353" Type="http://schemas.openxmlformats.org/officeDocument/2006/relationships/hyperlink" Target="mailto:escapeto28@gmail.com" TargetMode="External"/><Relationship Id="rId395" Type="http://schemas.openxmlformats.org/officeDocument/2006/relationships/hyperlink" Target="mailto:mlugo@viva1a.com.co" TargetMode="External"/><Relationship Id="rId409" Type="http://schemas.openxmlformats.org/officeDocument/2006/relationships/hyperlink" Target="mailto:directorlean@inserco.com.co" TargetMode="External"/><Relationship Id="rId92" Type="http://schemas.openxmlformats.org/officeDocument/2006/relationships/hyperlink" Target="mailto:jcardonm@gmail.com" TargetMode="External"/><Relationship Id="rId213" Type="http://schemas.openxmlformats.org/officeDocument/2006/relationships/hyperlink" Target="mailto:lsaldarriaga@interlg.com" TargetMode="External"/><Relationship Id="rId420" Type="http://schemas.openxmlformats.org/officeDocument/2006/relationships/hyperlink" Target="mailto:lcastillo@conaltura.com" TargetMode="External"/><Relationship Id="rId255" Type="http://schemas.openxmlformats.org/officeDocument/2006/relationships/hyperlink" Target="mailto:cristiam.mondragon@spci.com.co" TargetMode="External"/><Relationship Id="rId297" Type="http://schemas.openxmlformats.org/officeDocument/2006/relationships/hyperlink" Target="mailto:david.lopera@socomes.com" TargetMode="External"/><Relationship Id="rId462" Type="http://schemas.openxmlformats.org/officeDocument/2006/relationships/hyperlink" Target="mailto:Anaduque@solucionesinmobiliairiassas.com" TargetMode="External"/><Relationship Id="rId115" Type="http://schemas.openxmlformats.org/officeDocument/2006/relationships/hyperlink" Target="mailto:diseno4@gyd.com.co" TargetMode="External"/><Relationship Id="rId157" Type="http://schemas.openxmlformats.org/officeDocument/2006/relationships/hyperlink" Target="mailto:camilo.quintero@spci.com.co" TargetMode="External"/><Relationship Id="rId322" Type="http://schemas.openxmlformats.org/officeDocument/2006/relationships/hyperlink" Target="mailto:venaver@une.net.co" TargetMode="External"/><Relationship Id="rId364" Type="http://schemas.openxmlformats.org/officeDocument/2006/relationships/hyperlink" Target="mailto:dbetancur@aia.com.co" TargetMode="External"/><Relationship Id="rId61" Type="http://schemas.openxmlformats.org/officeDocument/2006/relationships/hyperlink" Target="mailto:comercial@comexinternacional.com.co" TargetMode="External"/><Relationship Id="rId199" Type="http://schemas.openxmlformats.org/officeDocument/2006/relationships/hyperlink" Target="mailto:daniel.gomez@edyfica.co" TargetMode="External"/><Relationship Id="rId19" Type="http://schemas.openxmlformats.org/officeDocument/2006/relationships/hyperlink" Target="mailto:gerencia@securetec.com.co" TargetMode="External"/><Relationship Id="rId224" Type="http://schemas.openxmlformats.org/officeDocument/2006/relationships/hyperlink" Target="mailto:oscar.rivas@greenland.co" TargetMode="External"/><Relationship Id="rId266" Type="http://schemas.openxmlformats.org/officeDocument/2006/relationships/hyperlink" Target="mailto:jorgerojas@iayc.co" TargetMode="External"/><Relationship Id="rId431" Type="http://schemas.openxmlformats.org/officeDocument/2006/relationships/hyperlink" Target="mailto:camilo.quintero@spci.com.co" TargetMode="External"/><Relationship Id="rId473" Type="http://schemas.openxmlformats.org/officeDocument/2006/relationships/hyperlink" Target="mailto:francisco.unda@seriinco.com" TargetMode="External"/><Relationship Id="rId30" Type="http://schemas.openxmlformats.org/officeDocument/2006/relationships/hyperlink" Target="mailto:jfontalvo@viva1a.com.co" TargetMode="External"/><Relationship Id="rId126" Type="http://schemas.openxmlformats.org/officeDocument/2006/relationships/hyperlink" Target="mailto:maurenvalenciatoro@gmail.com" TargetMode="External"/><Relationship Id="rId168" Type="http://schemas.openxmlformats.org/officeDocument/2006/relationships/hyperlink" Target="mailto:dirproyectos@securetec.com.co" TargetMode="External"/><Relationship Id="rId333" Type="http://schemas.openxmlformats.org/officeDocument/2006/relationships/hyperlink" Target="mailto:rafaelb@toroposada.com" TargetMode="External"/><Relationship Id="rId72" Type="http://schemas.openxmlformats.org/officeDocument/2006/relationships/hyperlink" Target="mailto:posventasconintel@gmail.com" TargetMode="External"/><Relationship Id="rId375" Type="http://schemas.openxmlformats.org/officeDocument/2006/relationships/hyperlink" Target="mailto:carolina@hidrofsalinas.com" TargetMode="External"/><Relationship Id="rId3" Type="http://schemas.openxmlformats.org/officeDocument/2006/relationships/hyperlink" Target="mailto:alvaromanosalva@sfiregroup.com" TargetMode="External"/><Relationship Id="rId235" Type="http://schemas.openxmlformats.org/officeDocument/2006/relationships/hyperlink" Target="mailto:zmlopez@coninsa.co" TargetMode="External"/><Relationship Id="rId277" Type="http://schemas.openxmlformats.org/officeDocument/2006/relationships/hyperlink" Target="mailto:ascomercial2@securetec.com.co" TargetMode="External"/><Relationship Id="rId400" Type="http://schemas.openxmlformats.org/officeDocument/2006/relationships/hyperlink" Target="mailto:aagudelol@conconcreto.com" TargetMode="External"/><Relationship Id="rId442" Type="http://schemas.openxmlformats.org/officeDocument/2006/relationships/hyperlink" Target="mailto:comercial@ingesed.com" TargetMode="External"/><Relationship Id="rId484" Type="http://schemas.openxmlformats.org/officeDocument/2006/relationships/hyperlink" Target="mailto:jenifer.orozco@ingeniobim.co" TargetMode="External"/><Relationship Id="rId137" Type="http://schemas.openxmlformats.org/officeDocument/2006/relationships/hyperlink" Target="mailto:cristianospina@arquitecturayconcreto.com" TargetMode="External"/><Relationship Id="rId302" Type="http://schemas.openxmlformats.org/officeDocument/2006/relationships/hyperlink" Target="mailto:juan.grajales@spci.com.co" TargetMode="External"/><Relationship Id="rId344" Type="http://schemas.openxmlformats.org/officeDocument/2006/relationships/hyperlink" Target="mailto:n.garcia@condiseno.co" TargetMode="External"/><Relationship Id="rId41" Type="http://schemas.openxmlformats.org/officeDocument/2006/relationships/hyperlink" Target="mailto:gino1037@hotmail.com" TargetMode="External"/><Relationship Id="rId83" Type="http://schemas.openxmlformats.org/officeDocument/2006/relationships/hyperlink" Target="mailto:jorgemolano@macca.com.co" TargetMode="External"/><Relationship Id="rId179" Type="http://schemas.openxmlformats.org/officeDocument/2006/relationships/hyperlink" Target="mailto:cristiam.mondragon@spci.com.co" TargetMode="External"/><Relationship Id="rId386" Type="http://schemas.openxmlformats.org/officeDocument/2006/relationships/hyperlink" Target="mailto:camilo.quintero@spci.com.co" TargetMode="External"/><Relationship Id="rId190" Type="http://schemas.openxmlformats.org/officeDocument/2006/relationships/hyperlink" Target="mailto:directorlean@inserco.com.co" TargetMode="External"/><Relationship Id="rId204" Type="http://schemas.openxmlformats.org/officeDocument/2006/relationships/hyperlink" Target="mailto:david.lopera@socomes.com" TargetMode="External"/><Relationship Id="rId246" Type="http://schemas.openxmlformats.org/officeDocument/2006/relationships/hyperlink" Target="mailto:johana.rojas@bienesybienes.com.co" TargetMode="External"/><Relationship Id="rId288" Type="http://schemas.openxmlformats.org/officeDocument/2006/relationships/hyperlink" Target="mailto:n.garcia@condiseno.co" TargetMode="External"/><Relationship Id="rId411" Type="http://schemas.openxmlformats.org/officeDocument/2006/relationships/hyperlink" Target="mailto:juan.grajales@spci.com.co" TargetMode="External"/><Relationship Id="rId453" Type="http://schemas.openxmlformats.org/officeDocument/2006/relationships/hyperlink" Target="mailto:arestrepoe@conconcreto.com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proyectos@prosoma.com.co" TargetMode="External"/><Relationship Id="rId21" Type="http://schemas.openxmlformats.org/officeDocument/2006/relationships/hyperlink" Target="mailto:dir.tecnico@spci.com.co" TargetMode="External"/><Relationship Id="rId324" Type="http://schemas.openxmlformats.org/officeDocument/2006/relationships/hyperlink" Target="mailto:mhernandezm@conconcreto.com" TargetMode="External"/><Relationship Id="rId531" Type="http://schemas.openxmlformats.org/officeDocument/2006/relationships/hyperlink" Target="mailto:valentinaortega@mensulaingenieros.com" TargetMode="External"/><Relationship Id="rId170" Type="http://schemas.openxmlformats.org/officeDocument/2006/relationships/hyperlink" Target="mailto:gestioncompras@conaltura.com" TargetMode="External"/><Relationship Id="rId268" Type="http://schemas.openxmlformats.org/officeDocument/2006/relationships/hyperlink" Target="mailto:a.parra@viveloop.com" TargetMode="External"/><Relationship Id="rId475" Type="http://schemas.openxmlformats.org/officeDocument/2006/relationships/hyperlink" Target="mailto:detectarsystems@gmail.com" TargetMode="External"/><Relationship Id="rId32" Type="http://schemas.openxmlformats.org/officeDocument/2006/relationships/hyperlink" Target="mailto:Paola.MOYA@mccain.com.co" TargetMode="External"/><Relationship Id="rId128" Type="http://schemas.openxmlformats.org/officeDocument/2006/relationships/hyperlink" Target="mailto:mantenimientosantillana@mts.com.co" TargetMode="External"/><Relationship Id="rId335" Type="http://schemas.openxmlformats.org/officeDocument/2006/relationships/hyperlink" Target="mailto:ascomercial2@securetec.com.co" TargetMode="External"/><Relationship Id="rId542" Type="http://schemas.openxmlformats.org/officeDocument/2006/relationships/comments" Target="../comments7.xml"/><Relationship Id="rId181" Type="http://schemas.openxmlformats.org/officeDocument/2006/relationships/hyperlink" Target="mailto:jecheverri@londonogomez.com" TargetMode="External"/><Relationship Id="rId402" Type="http://schemas.openxmlformats.org/officeDocument/2006/relationships/hyperlink" Target="mailto:aagudelol@conconcreto.com" TargetMode="External"/><Relationship Id="rId279" Type="http://schemas.openxmlformats.org/officeDocument/2006/relationships/hyperlink" Target="mailto:mauricio.gutierrez@spci.com.co" TargetMode="External"/><Relationship Id="rId486" Type="http://schemas.openxmlformats.org/officeDocument/2006/relationships/hyperlink" Target="mailto:josorio@vid.org.co" TargetMode="External"/><Relationship Id="rId43" Type="http://schemas.openxmlformats.org/officeDocument/2006/relationships/hyperlink" Target="mailto:carlos.henao@seriinco.com" TargetMode="External"/><Relationship Id="rId139" Type="http://schemas.openxmlformats.org/officeDocument/2006/relationships/hyperlink" Target="mailto:juan.grajales@spci.com.co" TargetMode="External"/><Relationship Id="rId346" Type="http://schemas.openxmlformats.org/officeDocument/2006/relationships/hyperlink" Target="mailto:licitaciones@spci.com.co" TargetMode="External"/><Relationship Id="rId85" Type="http://schemas.openxmlformats.org/officeDocument/2006/relationships/hyperlink" Target="mailto:analista.presupuesto@seriinco.com" TargetMode="External"/><Relationship Id="rId150" Type="http://schemas.openxmlformats.org/officeDocument/2006/relationships/hyperlink" Target="mailto:adriana@a3consulting.com.co" TargetMode="External"/><Relationship Id="rId192" Type="http://schemas.openxmlformats.org/officeDocument/2006/relationships/hyperlink" Target="mailto:mateo.restrepo@ingeniobim.co" TargetMode="External"/><Relationship Id="rId206" Type="http://schemas.openxmlformats.org/officeDocument/2006/relationships/hyperlink" Target="mailto:hduque@hdgerenciaintegral.com" TargetMode="External"/><Relationship Id="rId413" Type="http://schemas.openxmlformats.org/officeDocument/2006/relationships/hyperlink" Target="mailto:luisa.renteria@geniussports.com" TargetMode="External"/><Relationship Id="rId248" Type="http://schemas.openxmlformats.org/officeDocument/2006/relationships/hyperlink" Target="mailto:n.garcia@condiseno.co" TargetMode="External"/><Relationship Id="rId455" Type="http://schemas.openxmlformats.org/officeDocument/2006/relationships/hyperlink" Target="mailto:carlos.henao@seriinco.com" TargetMode="External"/><Relationship Id="rId497" Type="http://schemas.openxmlformats.org/officeDocument/2006/relationships/hyperlink" Target="mailto:carlos.henao@seriinco.com" TargetMode="External"/><Relationship Id="rId12" Type="http://schemas.openxmlformats.org/officeDocument/2006/relationships/hyperlink" Target="mailto:andrea.sanchez@studiosur.net" TargetMode="External"/><Relationship Id="rId108" Type="http://schemas.openxmlformats.org/officeDocument/2006/relationships/hyperlink" Target="mailto:Jhonocampoarq@gmail.com" TargetMode="External"/><Relationship Id="rId315" Type="http://schemas.openxmlformats.org/officeDocument/2006/relationships/hyperlink" Target="mailto:sandras@progressa.com.co" TargetMode="External"/><Relationship Id="rId357" Type="http://schemas.openxmlformats.org/officeDocument/2006/relationships/hyperlink" Target="mailto:vanessazapata.fcr@gmail.com" TargetMode="External"/><Relationship Id="rId522" Type="http://schemas.openxmlformats.org/officeDocument/2006/relationships/hyperlink" Target="mailto:dacorrea@rcimontajes.co" TargetMode="External"/><Relationship Id="rId54" Type="http://schemas.openxmlformats.org/officeDocument/2006/relationships/hyperlink" Target="mailto:nataliavasquez@centrosur.co" TargetMode="External"/><Relationship Id="rId96" Type="http://schemas.openxmlformats.org/officeDocument/2006/relationships/hyperlink" Target="mailto:operacionesingesed@gmail.com" TargetMode="External"/><Relationship Id="rId161" Type="http://schemas.openxmlformats.org/officeDocument/2006/relationships/hyperlink" Target="mailto:daniela.rios@ieb.co" TargetMode="External"/><Relationship Id="rId217" Type="http://schemas.openxmlformats.org/officeDocument/2006/relationships/hyperlink" Target="mailto:dir.proyectos@goodgroup.com.co" TargetMode="External"/><Relationship Id="rId399" Type="http://schemas.openxmlformats.org/officeDocument/2006/relationships/hyperlink" Target="mailto:ascomercial2@securetec.com.co" TargetMode="External"/><Relationship Id="rId259" Type="http://schemas.openxmlformats.org/officeDocument/2006/relationships/hyperlink" Target="mailto:dir.tecnico@spci.com.co" TargetMode="External"/><Relationship Id="rId424" Type="http://schemas.openxmlformats.org/officeDocument/2006/relationships/hyperlink" Target="mailto:mateo@a3consulting.com.co" TargetMode="External"/><Relationship Id="rId466" Type="http://schemas.openxmlformats.org/officeDocument/2006/relationships/hyperlink" Target="mailto:NBerrio@ingenierosmecanicos.com.co" TargetMode="External"/><Relationship Id="rId23" Type="http://schemas.openxmlformats.org/officeDocument/2006/relationships/hyperlink" Target="mailto:esteban.marin@abile.co" TargetMode="External"/><Relationship Id="rId119" Type="http://schemas.openxmlformats.org/officeDocument/2006/relationships/hyperlink" Target="mailto:proyectos@prosoma.com.co" TargetMode="External"/><Relationship Id="rId270" Type="http://schemas.openxmlformats.org/officeDocument/2006/relationships/hyperlink" Target="mailto:bryanstvn22@gmail.com" TargetMode="External"/><Relationship Id="rId326" Type="http://schemas.openxmlformats.org/officeDocument/2006/relationships/hyperlink" Target="mailto:afatt@proyectosurbanos.com.co" TargetMode="External"/><Relationship Id="rId533" Type="http://schemas.openxmlformats.org/officeDocument/2006/relationships/hyperlink" Target="mailto:dir.tecnico@spci.com.co" TargetMode="External"/><Relationship Id="rId65" Type="http://schemas.openxmlformats.org/officeDocument/2006/relationships/hyperlink" Target="mailto:posventas@perfek.com.co" TargetMode="External"/><Relationship Id="rId130" Type="http://schemas.openxmlformats.org/officeDocument/2006/relationships/hyperlink" Target="mailto:zmlopez@coninsa.co" TargetMode="External"/><Relationship Id="rId368" Type="http://schemas.openxmlformats.org/officeDocument/2006/relationships/hyperlink" Target="mailto:proyectos1@rcimontajes.co" TargetMode="External"/><Relationship Id="rId172" Type="http://schemas.openxmlformats.org/officeDocument/2006/relationships/hyperlink" Target="mailto:gestioncompras@conaltura.com" TargetMode="External"/><Relationship Id="rId228" Type="http://schemas.openxmlformats.org/officeDocument/2006/relationships/hyperlink" Target="mailto:ccarrillom@conconcreto.com" TargetMode="External"/><Relationship Id="rId435" Type="http://schemas.openxmlformats.org/officeDocument/2006/relationships/hyperlink" Target="mailto:cristinapalacio@mensulaingenieros.com" TargetMode="External"/><Relationship Id="rId477" Type="http://schemas.openxmlformats.org/officeDocument/2006/relationships/hyperlink" Target="mailto:germanmartinez@arquitecturayconcreto.com" TargetMode="External"/><Relationship Id="rId281" Type="http://schemas.openxmlformats.org/officeDocument/2006/relationships/hyperlink" Target="mailto:plantacopagea@gmail.com" TargetMode="External"/><Relationship Id="rId337" Type="http://schemas.openxmlformats.org/officeDocument/2006/relationships/hyperlink" Target="mailto:awhite@mt.com.co" TargetMode="External"/><Relationship Id="rId502" Type="http://schemas.openxmlformats.org/officeDocument/2006/relationships/hyperlink" Target="mailto:johana.montoya@perfek.com.co" TargetMode="External"/><Relationship Id="rId34" Type="http://schemas.openxmlformats.org/officeDocument/2006/relationships/hyperlink" Target="mailto:zmlopez@coninsa.co" TargetMode="External"/><Relationship Id="rId76" Type="http://schemas.openxmlformats.org/officeDocument/2006/relationships/hyperlink" Target="mailto:manuela.henao@desur.gov.co" TargetMode="External"/><Relationship Id="rId141" Type="http://schemas.openxmlformats.org/officeDocument/2006/relationships/hyperlink" Target="mailto:aldiaz@otacc.com" TargetMode="External"/><Relationship Id="rId379" Type="http://schemas.openxmlformats.org/officeDocument/2006/relationships/hyperlink" Target="mailto:casaldarriaga@ces.edu.co" TargetMode="External"/><Relationship Id="rId7" Type="http://schemas.openxmlformats.org/officeDocument/2006/relationships/hyperlink" Target="mailto:marcelav@iconsultores.com.co" TargetMode="External"/><Relationship Id="rId183" Type="http://schemas.openxmlformats.org/officeDocument/2006/relationships/hyperlink" Target="mailto:david.lopera@socomes.com" TargetMode="External"/><Relationship Id="rId239" Type="http://schemas.openxmlformats.org/officeDocument/2006/relationships/hyperlink" Target="mailto:mferrer@interve.co" TargetMode="External"/><Relationship Id="rId390" Type="http://schemas.openxmlformats.org/officeDocument/2006/relationships/hyperlink" Target="mailto:n.garcia@condiseno.co" TargetMode="External"/><Relationship Id="rId404" Type="http://schemas.openxmlformats.org/officeDocument/2006/relationships/hyperlink" Target="mailto:inmobiliariayconstructorasj@gmail.com" TargetMode="External"/><Relationship Id="rId446" Type="http://schemas.openxmlformats.org/officeDocument/2006/relationships/hyperlink" Target="mailto:juan.grajales@spci.com.co" TargetMode="External"/><Relationship Id="rId250" Type="http://schemas.openxmlformats.org/officeDocument/2006/relationships/hyperlink" Target="mailto:dirproyectos@securetec.com.co" TargetMode="External"/><Relationship Id="rId292" Type="http://schemas.openxmlformats.org/officeDocument/2006/relationships/hyperlink" Target="mailto:alvaromanosalva@sfiregroup.com" TargetMode="External"/><Relationship Id="rId306" Type="http://schemas.openxmlformats.org/officeDocument/2006/relationships/hyperlink" Target="mailto:Jhonocampoarq@gmail.com" TargetMode="External"/><Relationship Id="rId488" Type="http://schemas.openxmlformats.org/officeDocument/2006/relationships/hyperlink" Target="mailto:jenifer.orozco@ingeniobim.co" TargetMode="External"/><Relationship Id="rId45" Type="http://schemas.openxmlformats.org/officeDocument/2006/relationships/hyperlink" Target="mailto:d.tjang-a-sjin@ceadnv.com" TargetMode="External"/><Relationship Id="rId87" Type="http://schemas.openxmlformats.org/officeDocument/2006/relationships/hyperlink" Target="mailto:awhite@mt.com.co" TargetMode="External"/><Relationship Id="rId110" Type="http://schemas.openxmlformats.org/officeDocument/2006/relationships/hyperlink" Target="mailto:detectarsystems@gmail.com" TargetMode="External"/><Relationship Id="rId348" Type="http://schemas.openxmlformats.org/officeDocument/2006/relationships/hyperlink" Target="mailto:coordinadorproyectos1@g4ingenieros.com" TargetMode="External"/><Relationship Id="rId513" Type="http://schemas.openxmlformats.org/officeDocument/2006/relationships/hyperlink" Target="mailto:camilo.quintero@spci.com.co" TargetMode="External"/><Relationship Id="rId152" Type="http://schemas.openxmlformats.org/officeDocument/2006/relationships/hyperlink" Target="mailto:vivianagomez@paralelo-group.com" TargetMode="External"/><Relationship Id="rId194" Type="http://schemas.openxmlformats.org/officeDocument/2006/relationships/hyperlink" Target="mailto:ascomercial2@securetec.com.co" TargetMode="External"/><Relationship Id="rId208" Type="http://schemas.openxmlformats.org/officeDocument/2006/relationships/hyperlink" Target="mailto:helena.mahecha@d1.com.co" TargetMode="External"/><Relationship Id="rId415" Type="http://schemas.openxmlformats.org/officeDocument/2006/relationships/hyperlink" Target="mailto:ascomercial2@securetec.com.co" TargetMode="External"/><Relationship Id="rId457" Type="http://schemas.openxmlformats.org/officeDocument/2006/relationships/hyperlink" Target="mailto:fcrtamarapuerta@gmail.com" TargetMode="External"/><Relationship Id="rId261" Type="http://schemas.openxmlformats.org/officeDocument/2006/relationships/hyperlink" Target="mailto:dir.tecnico@spci.com.co" TargetMode="External"/><Relationship Id="rId499" Type="http://schemas.openxmlformats.org/officeDocument/2006/relationships/hyperlink" Target="mailto:proyectos@clinicaelrosario.com" TargetMode="External"/><Relationship Id="rId14" Type="http://schemas.openxmlformats.org/officeDocument/2006/relationships/hyperlink" Target="mailto:lcastillo@conaltura.com" TargetMode="External"/><Relationship Id="rId56" Type="http://schemas.openxmlformats.org/officeDocument/2006/relationships/hyperlink" Target="mailto:proyectoselectricosamd@gmail.com" TargetMode="External"/><Relationship Id="rId317" Type="http://schemas.openxmlformats.org/officeDocument/2006/relationships/hyperlink" Target="mailto:laura.rpo19@gmail.com" TargetMode="External"/><Relationship Id="rId359" Type="http://schemas.openxmlformats.org/officeDocument/2006/relationships/hyperlink" Target="mailto:dir.tecnico@spci.com.co" TargetMode="External"/><Relationship Id="rId524" Type="http://schemas.openxmlformats.org/officeDocument/2006/relationships/hyperlink" Target="mailto:residente3@solucionesinmobiliariassas.com" TargetMode="External"/><Relationship Id="rId98" Type="http://schemas.openxmlformats.org/officeDocument/2006/relationships/hyperlink" Target="mailto:julian.gutierrez@espiral.com.co" TargetMode="External"/><Relationship Id="rId121" Type="http://schemas.openxmlformats.org/officeDocument/2006/relationships/hyperlink" Target="mailto:javierzapa25@gmail.com" TargetMode="External"/><Relationship Id="rId163" Type="http://schemas.openxmlformats.org/officeDocument/2006/relationships/hyperlink" Target="mailto:leidyalzateq@clinicaces.edu.co" TargetMode="External"/><Relationship Id="rId219" Type="http://schemas.openxmlformats.org/officeDocument/2006/relationships/hyperlink" Target="mailto:ccarrillom@conconcreto.com" TargetMode="External"/><Relationship Id="rId370" Type="http://schemas.openxmlformats.org/officeDocument/2006/relationships/hyperlink" Target="mailto:vanessazapata.fcr@gmail.com" TargetMode="External"/><Relationship Id="rId426" Type="http://schemas.openxmlformats.org/officeDocument/2006/relationships/hyperlink" Target="mailto:alvaromanosalva@sfiregroup.com" TargetMode="External"/><Relationship Id="rId230" Type="http://schemas.openxmlformats.org/officeDocument/2006/relationships/hyperlink" Target="mailto:cristina@sumario.co" TargetMode="External"/><Relationship Id="rId468" Type="http://schemas.openxmlformats.org/officeDocument/2006/relationships/hyperlink" Target="mailto:camilo.quintero@spci.com.co" TargetMode="External"/><Relationship Id="rId25" Type="http://schemas.openxmlformats.org/officeDocument/2006/relationships/hyperlink" Target="mailto:alejandrab.4ac@gmail.com" TargetMode="External"/><Relationship Id="rId67" Type="http://schemas.openxmlformats.org/officeDocument/2006/relationships/hyperlink" Target="mailto:mhernandezm@conconcreto.com" TargetMode="External"/><Relationship Id="rId272" Type="http://schemas.openxmlformats.org/officeDocument/2006/relationships/hyperlink" Target="mailto:nidiazuluaga@mt.com.co" TargetMode="External"/><Relationship Id="rId328" Type="http://schemas.openxmlformats.org/officeDocument/2006/relationships/hyperlink" Target="mailto:analistaambiental@intecplast.com.co" TargetMode="External"/><Relationship Id="rId535" Type="http://schemas.openxmlformats.org/officeDocument/2006/relationships/hyperlink" Target="mailto:caleorca26@gmail.com" TargetMode="External"/><Relationship Id="rId132" Type="http://schemas.openxmlformats.org/officeDocument/2006/relationships/hyperlink" Target="mailto:ernestov@progressa.com.co" TargetMode="External"/><Relationship Id="rId174" Type="http://schemas.openxmlformats.org/officeDocument/2006/relationships/hyperlink" Target="mailto:gestioncompras@conaltura.com" TargetMode="External"/><Relationship Id="rId381" Type="http://schemas.openxmlformats.org/officeDocument/2006/relationships/hyperlink" Target="mailto:diseno4@gyd.com.co" TargetMode="External"/><Relationship Id="rId241" Type="http://schemas.openxmlformats.org/officeDocument/2006/relationships/hyperlink" Target="mailto:paula.cortes@divemotor.co" TargetMode="External"/><Relationship Id="rId437" Type="http://schemas.openxmlformats.org/officeDocument/2006/relationships/hyperlink" Target="mailto:cristinapalacio@mensulaingenieros.com" TargetMode="External"/><Relationship Id="rId479" Type="http://schemas.openxmlformats.org/officeDocument/2006/relationships/hyperlink" Target="mailto:ascomercial2@securetec.com.co" TargetMode="External"/><Relationship Id="rId36" Type="http://schemas.openxmlformats.org/officeDocument/2006/relationships/hyperlink" Target="mailto:dir.tecnico@spci.com.co" TargetMode="External"/><Relationship Id="rId283" Type="http://schemas.openxmlformats.org/officeDocument/2006/relationships/hyperlink" Target="mailto:david.lopera@socomes.com" TargetMode="External"/><Relationship Id="rId339" Type="http://schemas.openxmlformats.org/officeDocument/2006/relationships/hyperlink" Target="mailto:pubenza@tipinterventoria.com" TargetMode="External"/><Relationship Id="rId490" Type="http://schemas.openxmlformats.org/officeDocument/2006/relationships/hyperlink" Target="mailto:comercial@ingesed.com" TargetMode="External"/><Relationship Id="rId504" Type="http://schemas.openxmlformats.org/officeDocument/2006/relationships/hyperlink" Target="mailto:juan.grajales@spci.com.co" TargetMode="External"/><Relationship Id="rId78" Type="http://schemas.openxmlformats.org/officeDocument/2006/relationships/hyperlink" Target="mailto:coordinadoracomercial@securetec.com.co" TargetMode="External"/><Relationship Id="rId101" Type="http://schemas.openxmlformats.org/officeDocument/2006/relationships/hyperlink" Target="mailto:robinsonmarulanda@arquitecturayconcreto.com" TargetMode="External"/><Relationship Id="rId143" Type="http://schemas.openxmlformats.org/officeDocument/2006/relationships/hyperlink" Target="mailto:curibe@compose.com.co" TargetMode="External"/><Relationship Id="rId185" Type="http://schemas.openxmlformats.org/officeDocument/2006/relationships/hyperlink" Target="mailto:david.lopera@socomes.com" TargetMode="External"/><Relationship Id="rId350" Type="http://schemas.openxmlformats.org/officeDocument/2006/relationships/hyperlink" Target="mailto:proyectos@prosoma.com.co" TargetMode="External"/><Relationship Id="rId406" Type="http://schemas.openxmlformats.org/officeDocument/2006/relationships/hyperlink" Target="mailto:dirproyectos@securetec.com.co" TargetMode="External"/><Relationship Id="rId9" Type="http://schemas.openxmlformats.org/officeDocument/2006/relationships/hyperlink" Target="mailto:carlos.henao@seriinco.com" TargetMode="External"/><Relationship Id="rId210" Type="http://schemas.openxmlformats.org/officeDocument/2006/relationships/hyperlink" Target="mailto:robinsonmarulanda@arquitecturayconcreto.com" TargetMode="External"/><Relationship Id="rId392" Type="http://schemas.openxmlformats.org/officeDocument/2006/relationships/hyperlink" Target="mailto:Julicardonab15@gmail.com" TargetMode="External"/><Relationship Id="rId448" Type="http://schemas.openxmlformats.org/officeDocument/2006/relationships/hyperlink" Target="mailto:johana.rojas@bienesybienes.com.co" TargetMode="External"/><Relationship Id="rId252" Type="http://schemas.openxmlformats.org/officeDocument/2006/relationships/hyperlink" Target="mailto:aldiaz@otacc.com" TargetMode="External"/><Relationship Id="rId294" Type="http://schemas.openxmlformats.org/officeDocument/2006/relationships/hyperlink" Target="mailto:dir.tecnico@spci.com.co" TargetMode="External"/><Relationship Id="rId308" Type="http://schemas.openxmlformats.org/officeDocument/2006/relationships/hyperlink" Target="mailto:Jhonocampoarq@gmail.com" TargetMode="External"/><Relationship Id="rId515" Type="http://schemas.openxmlformats.org/officeDocument/2006/relationships/hyperlink" Target="mailto:dacorrea@rcimontajes.co" TargetMode="External"/><Relationship Id="rId47" Type="http://schemas.openxmlformats.org/officeDocument/2006/relationships/hyperlink" Target="mailto:escapeto28@gmail.com" TargetMode="External"/><Relationship Id="rId89" Type="http://schemas.openxmlformats.org/officeDocument/2006/relationships/hyperlink" Target="mailto:dir.tecnico@spci.com.co" TargetMode="External"/><Relationship Id="rId112" Type="http://schemas.openxmlformats.org/officeDocument/2006/relationships/hyperlink" Target="mailto:carlos.henao@seriinco.com" TargetMode="External"/><Relationship Id="rId154" Type="http://schemas.openxmlformats.org/officeDocument/2006/relationships/hyperlink" Target="mailto:escapeto28@gmail.com" TargetMode="External"/><Relationship Id="rId361" Type="http://schemas.openxmlformats.org/officeDocument/2006/relationships/hyperlink" Target="mailto:proyectos@clinicaelrosario.com" TargetMode="External"/><Relationship Id="rId196" Type="http://schemas.openxmlformats.org/officeDocument/2006/relationships/hyperlink" Target="mailto:ascomercial2@securetec.com.co" TargetMode="External"/><Relationship Id="rId417" Type="http://schemas.openxmlformats.org/officeDocument/2006/relationships/hyperlink" Target="mailto:josemaya@firemarshal.com.co" TargetMode="External"/><Relationship Id="rId459" Type="http://schemas.openxmlformats.org/officeDocument/2006/relationships/hyperlink" Target="mailto:dir.tecnico@spci.com.co" TargetMode="External"/><Relationship Id="rId16" Type="http://schemas.openxmlformats.org/officeDocument/2006/relationships/hyperlink" Target="mailto:hidraulicaymontajes@gmail.com" TargetMode="External"/><Relationship Id="rId221" Type="http://schemas.openxmlformats.org/officeDocument/2006/relationships/hyperlink" Target="mailto:dir.tecnico@spci.com.co" TargetMode="External"/><Relationship Id="rId263" Type="http://schemas.openxmlformats.org/officeDocument/2006/relationships/hyperlink" Target="mailto:jorge.escobar@espiral.com.co" TargetMode="External"/><Relationship Id="rId319" Type="http://schemas.openxmlformats.org/officeDocument/2006/relationships/hyperlink" Target="mailto:carlos.henao@seriinco.com" TargetMode="External"/><Relationship Id="rId470" Type="http://schemas.openxmlformats.org/officeDocument/2006/relationships/hyperlink" Target="mailto:goingenieriaysoluciones@gmail.com" TargetMode="External"/><Relationship Id="rId526" Type="http://schemas.openxmlformats.org/officeDocument/2006/relationships/hyperlink" Target="mailto:david.lopera@socomes.com" TargetMode="External"/><Relationship Id="rId58" Type="http://schemas.openxmlformats.org/officeDocument/2006/relationships/hyperlink" Target="mailto:operacionesingesed@gmail.com" TargetMode="External"/><Relationship Id="rId123" Type="http://schemas.openxmlformats.org/officeDocument/2006/relationships/hyperlink" Target="mailto:proyectos.fpservices@gmail.com" TargetMode="External"/><Relationship Id="rId330" Type="http://schemas.openxmlformats.org/officeDocument/2006/relationships/hyperlink" Target="mailto:heder.cardozo@isciviles.com.co" TargetMode="External"/><Relationship Id="rId165" Type="http://schemas.openxmlformats.org/officeDocument/2006/relationships/hyperlink" Target="mailto:danielavelez.fcr@gmail.com" TargetMode="External"/><Relationship Id="rId372" Type="http://schemas.openxmlformats.org/officeDocument/2006/relationships/hyperlink" Target="mailto:josemaya@firemarshal.com.co" TargetMode="External"/><Relationship Id="rId428" Type="http://schemas.openxmlformats.org/officeDocument/2006/relationships/hyperlink" Target="mailto:jmaserrano@gmail.com" TargetMode="External"/><Relationship Id="rId232" Type="http://schemas.openxmlformats.org/officeDocument/2006/relationships/hyperlink" Target="mailto:daniela.rios@ieb.co" TargetMode="External"/><Relationship Id="rId274" Type="http://schemas.openxmlformats.org/officeDocument/2006/relationships/hyperlink" Target="mailto:dir.tecnico@spci.com.co" TargetMode="External"/><Relationship Id="rId481" Type="http://schemas.openxmlformats.org/officeDocument/2006/relationships/hyperlink" Target="mailto:carlos.henao@seriinco.com" TargetMode="External"/><Relationship Id="rId27" Type="http://schemas.openxmlformats.org/officeDocument/2006/relationships/hyperlink" Target="mailto:n.garcia@condiseno.co" TargetMode="External"/><Relationship Id="rId69" Type="http://schemas.openxmlformats.org/officeDocument/2006/relationships/hyperlink" Target="mailto:construdelllano23@gmail.com" TargetMode="External"/><Relationship Id="rId134" Type="http://schemas.openxmlformats.org/officeDocument/2006/relationships/hyperlink" Target="mailto:mcvelasquez@contex.com.co" TargetMode="External"/><Relationship Id="rId537" Type="http://schemas.openxmlformats.org/officeDocument/2006/relationships/hyperlink" Target="mailto:krendon@kyjingenieros.co" TargetMode="External"/><Relationship Id="rId80" Type="http://schemas.openxmlformats.org/officeDocument/2006/relationships/hyperlink" Target="mailto:jhoyos@conexoinmobiliario.com" TargetMode="External"/><Relationship Id="rId176" Type="http://schemas.openxmlformats.org/officeDocument/2006/relationships/hyperlink" Target="mailto:calmanya@jomarkseguridad.com" TargetMode="External"/><Relationship Id="rId341" Type="http://schemas.openxmlformats.org/officeDocument/2006/relationships/hyperlink" Target="mailto:wilmer.chirivi@colgas.com" TargetMode="External"/><Relationship Id="rId383" Type="http://schemas.openxmlformats.org/officeDocument/2006/relationships/hyperlink" Target="mailto:ventas@verlimpio.com" TargetMode="External"/><Relationship Id="rId439" Type="http://schemas.openxmlformats.org/officeDocument/2006/relationships/hyperlink" Target="mailto:detectarsystems@gmail.com" TargetMode="External"/><Relationship Id="rId201" Type="http://schemas.openxmlformats.org/officeDocument/2006/relationships/hyperlink" Target="mailto:dir.tecnico@spci.com.co" TargetMode="External"/><Relationship Id="rId243" Type="http://schemas.openxmlformats.org/officeDocument/2006/relationships/hyperlink" Target="mailto:bmarquitecturayconstruccion@gmail.com" TargetMode="External"/><Relationship Id="rId285" Type="http://schemas.openxmlformats.org/officeDocument/2006/relationships/hyperlink" Target="mailto:alvaromanosalva@sfiregroup.com" TargetMode="External"/><Relationship Id="rId450" Type="http://schemas.openxmlformats.org/officeDocument/2006/relationships/hyperlink" Target="mailto:nalvarez@solciviles.com" TargetMode="External"/><Relationship Id="rId506" Type="http://schemas.openxmlformats.org/officeDocument/2006/relationships/hyperlink" Target="mailto:carlos.henao@seriinco.com" TargetMode="External"/><Relationship Id="rId38" Type="http://schemas.openxmlformats.org/officeDocument/2006/relationships/hyperlink" Target="mailto:dir.tecnico@spci.com.co" TargetMode="External"/><Relationship Id="rId103" Type="http://schemas.openxmlformats.org/officeDocument/2006/relationships/hyperlink" Target="mailto:zmlopez@coninsa.co" TargetMode="External"/><Relationship Id="rId310" Type="http://schemas.openxmlformats.org/officeDocument/2006/relationships/hyperlink" Target="mailto:amtorres@conconcreto.com" TargetMode="External"/><Relationship Id="rId492" Type="http://schemas.openxmlformats.org/officeDocument/2006/relationships/hyperlink" Target="mailto:gerencia@projectsolutions.com.co" TargetMode="External"/><Relationship Id="rId91" Type="http://schemas.openxmlformats.org/officeDocument/2006/relationships/hyperlink" Target="mailto:carlos.henao@seriinco.com" TargetMode="External"/><Relationship Id="rId145" Type="http://schemas.openxmlformats.org/officeDocument/2006/relationships/hyperlink" Target="mailto:hmalagonm@conconcreto.com" TargetMode="External"/><Relationship Id="rId187" Type="http://schemas.openxmlformats.org/officeDocument/2006/relationships/hyperlink" Target="mailto:Sergio@alammo.com.co" TargetMode="External"/><Relationship Id="rId352" Type="http://schemas.openxmlformats.org/officeDocument/2006/relationships/hyperlink" Target="mailto:dir.tecnico@spci.com.co" TargetMode="External"/><Relationship Id="rId394" Type="http://schemas.openxmlformats.org/officeDocument/2006/relationships/hyperlink" Target="mailto:josemaya@firemarshal.com.co" TargetMode="External"/><Relationship Id="rId408" Type="http://schemas.openxmlformats.org/officeDocument/2006/relationships/hyperlink" Target="mailto:eceballos@contex.com.co" TargetMode="External"/><Relationship Id="rId212" Type="http://schemas.openxmlformats.org/officeDocument/2006/relationships/hyperlink" Target="mailto:gmonroy@mipko.co" TargetMode="External"/><Relationship Id="rId254" Type="http://schemas.openxmlformats.org/officeDocument/2006/relationships/hyperlink" Target="mailto:dsosa@aia.com.co" TargetMode="External"/><Relationship Id="rId49" Type="http://schemas.openxmlformats.org/officeDocument/2006/relationships/hyperlink" Target="mailto:proyectos.afcprofire@gmail.com" TargetMode="External"/><Relationship Id="rId114" Type="http://schemas.openxmlformats.org/officeDocument/2006/relationships/hyperlink" Target="mailto:proyectos@prosoma.com.co" TargetMode="External"/><Relationship Id="rId296" Type="http://schemas.openxmlformats.org/officeDocument/2006/relationships/hyperlink" Target="mailto:dir.tecnico@spci.com.co" TargetMode="External"/><Relationship Id="rId461" Type="http://schemas.openxmlformats.org/officeDocument/2006/relationships/hyperlink" Target="mailto:david.lopera@socomes.com" TargetMode="External"/><Relationship Id="rId517" Type="http://schemas.openxmlformats.org/officeDocument/2006/relationships/hyperlink" Target="mailto:jecheverri@londonogomez.com" TargetMode="External"/><Relationship Id="rId60" Type="http://schemas.openxmlformats.org/officeDocument/2006/relationships/hyperlink" Target="mailto:dir.tecnico@spci.com.co" TargetMode="External"/><Relationship Id="rId156" Type="http://schemas.openxmlformats.org/officeDocument/2006/relationships/hyperlink" Target="mailto:david.lopera@socomes.com" TargetMode="External"/><Relationship Id="rId198" Type="http://schemas.openxmlformats.org/officeDocument/2006/relationships/hyperlink" Target="mailto:diseno4@gyd.com.co" TargetMode="External"/><Relationship Id="rId321" Type="http://schemas.openxmlformats.org/officeDocument/2006/relationships/hyperlink" Target="mailto:dirproyectos@securetec.com.co" TargetMode="External"/><Relationship Id="rId363" Type="http://schemas.openxmlformats.org/officeDocument/2006/relationships/hyperlink" Target="mailto:lduque@emergentslnes.com.co" TargetMode="External"/><Relationship Id="rId419" Type="http://schemas.openxmlformats.org/officeDocument/2006/relationships/hyperlink" Target="mailto:claudia.ramirez@edyfica.co" TargetMode="External"/><Relationship Id="rId223" Type="http://schemas.openxmlformats.org/officeDocument/2006/relationships/hyperlink" Target="mailto:sebastianochoa@arquitecturayconcreto.com" TargetMode="External"/><Relationship Id="rId430" Type="http://schemas.openxmlformats.org/officeDocument/2006/relationships/hyperlink" Target="mailto:dir.tecnico@spci.com.co" TargetMode="External"/><Relationship Id="rId18" Type="http://schemas.openxmlformats.org/officeDocument/2006/relationships/hyperlink" Target="mailto:gino1037@hotmail.com" TargetMode="External"/><Relationship Id="rId265" Type="http://schemas.openxmlformats.org/officeDocument/2006/relationships/hyperlink" Target="mailto:info@cigsismoresistencia.com" TargetMode="External"/><Relationship Id="rId472" Type="http://schemas.openxmlformats.org/officeDocument/2006/relationships/hyperlink" Target="mailto:paolopez@paoarq.com" TargetMode="External"/><Relationship Id="rId528" Type="http://schemas.openxmlformats.org/officeDocument/2006/relationships/hyperlink" Target="mailto:jose.ojeda@spci.com.co" TargetMode="External"/><Relationship Id="rId125" Type="http://schemas.openxmlformats.org/officeDocument/2006/relationships/hyperlink" Target="mailto:operacionesingesed@gmail.com" TargetMode="External"/><Relationship Id="rId167" Type="http://schemas.openxmlformats.org/officeDocument/2006/relationships/hyperlink" Target="mailto:jarboleda@isometrico.com.co" TargetMode="External"/><Relationship Id="rId332" Type="http://schemas.openxmlformats.org/officeDocument/2006/relationships/hyperlink" Target="mailto:andrea.sanchez@studiosur.net" TargetMode="External"/><Relationship Id="rId374" Type="http://schemas.openxmlformats.org/officeDocument/2006/relationships/hyperlink" Target="mailto:juannaranjo@convel.co" TargetMode="External"/><Relationship Id="rId71" Type="http://schemas.openxmlformats.org/officeDocument/2006/relationships/hyperlink" Target="mailto:carlosgomez@lineasismica.com.co" TargetMode="External"/><Relationship Id="rId234" Type="http://schemas.openxmlformats.org/officeDocument/2006/relationships/hyperlink" Target="mailto:dir.tecnico@spci.com.co" TargetMode="External"/><Relationship Id="rId2" Type="http://schemas.openxmlformats.org/officeDocument/2006/relationships/hyperlink" Target="mailto:carlos.henao@seriinco.com" TargetMode="External"/><Relationship Id="rId29" Type="http://schemas.openxmlformats.org/officeDocument/2006/relationships/hyperlink" Target="mailto:diseno4@gyd.com.co" TargetMode="External"/><Relationship Id="rId276" Type="http://schemas.openxmlformats.org/officeDocument/2006/relationships/hyperlink" Target="mailto:proyectos@prosoma.com.co" TargetMode="External"/><Relationship Id="rId441" Type="http://schemas.openxmlformats.org/officeDocument/2006/relationships/hyperlink" Target="mailto:goingenieriaysoluciones@gmail.com" TargetMode="External"/><Relationship Id="rId483" Type="http://schemas.openxmlformats.org/officeDocument/2006/relationships/hyperlink" Target="mailto:camilo.quintero@spci.com.co" TargetMode="External"/><Relationship Id="rId539" Type="http://schemas.openxmlformats.org/officeDocument/2006/relationships/printerSettings" Target="../printerSettings/printerSettings7.bin"/><Relationship Id="rId40" Type="http://schemas.openxmlformats.org/officeDocument/2006/relationships/hyperlink" Target="mailto:amartineza@conconcreto.com" TargetMode="External"/><Relationship Id="rId136" Type="http://schemas.openxmlformats.org/officeDocument/2006/relationships/hyperlink" Target="mailto:carlos.henao@seriinco.com" TargetMode="External"/><Relationship Id="rId178" Type="http://schemas.openxmlformats.org/officeDocument/2006/relationships/hyperlink" Target="mailto:mcvelasquez@contex.com.co" TargetMode="External"/><Relationship Id="rId301" Type="http://schemas.openxmlformats.org/officeDocument/2006/relationships/hyperlink" Target="mailto:gerencia@projectsolutions.com.co" TargetMode="External"/><Relationship Id="rId343" Type="http://schemas.openxmlformats.org/officeDocument/2006/relationships/hyperlink" Target="mailto:detectarsystems@gmail.com" TargetMode="External"/><Relationship Id="rId82" Type="http://schemas.openxmlformats.org/officeDocument/2006/relationships/hyperlink" Target="mailto:dir.tecnico@spci.com.co" TargetMode="External"/><Relationship Id="rId203" Type="http://schemas.openxmlformats.org/officeDocument/2006/relationships/hyperlink" Target="mailto:n.garcia@condiseno.co" TargetMode="External"/><Relationship Id="rId385" Type="http://schemas.openxmlformats.org/officeDocument/2006/relationships/hyperlink" Target="mailto:lduque@emergentslnes.com.co" TargetMode="External"/><Relationship Id="rId245" Type="http://schemas.openxmlformats.org/officeDocument/2006/relationships/hyperlink" Target="mailto:laura.arias@studiosur.net" TargetMode="External"/><Relationship Id="rId287" Type="http://schemas.openxmlformats.org/officeDocument/2006/relationships/hyperlink" Target="mailto:heder.cardozo@isciviles.com.co" TargetMode="External"/><Relationship Id="rId410" Type="http://schemas.openxmlformats.org/officeDocument/2006/relationships/hyperlink" Target="mailto:scorreab@conconcreto.com" TargetMode="External"/><Relationship Id="rId452" Type="http://schemas.openxmlformats.org/officeDocument/2006/relationships/hyperlink" Target="mailto:directora.activos@aceis.com.co" TargetMode="External"/><Relationship Id="rId494" Type="http://schemas.openxmlformats.org/officeDocument/2006/relationships/hyperlink" Target="mailto:camilo.quintero@spci.com.co" TargetMode="External"/><Relationship Id="rId508" Type="http://schemas.openxmlformats.org/officeDocument/2006/relationships/hyperlink" Target="mailto:diseno4@gyd.com.co" TargetMode="External"/><Relationship Id="rId105" Type="http://schemas.openxmlformats.org/officeDocument/2006/relationships/hyperlink" Target="mailto:d.tjang-a-sjin@ceadnv.com" TargetMode="External"/><Relationship Id="rId147" Type="http://schemas.openxmlformats.org/officeDocument/2006/relationships/hyperlink" Target="mailto:farboleda@interve.co" TargetMode="External"/><Relationship Id="rId312" Type="http://schemas.openxmlformats.org/officeDocument/2006/relationships/hyperlink" Target="mailto:amtorres@conconcreto.com" TargetMode="External"/><Relationship Id="rId354" Type="http://schemas.openxmlformats.org/officeDocument/2006/relationships/hyperlink" Target="mailto:carolina@hidrofsalinas.com" TargetMode="External"/><Relationship Id="rId51" Type="http://schemas.openxmlformats.org/officeDocument/2006/relationships/hyperlink" Target="mailto:operacionesingesed@gmail.com" TargetMode="External"/><Relationship Id="rId93" Type="http://schemas.openxmlformats.org/officeDocument/2006/relationships/hyperlink" Target="mailto:operacionesingesed@gmail.com" TargetMode="External"/><Relationship Id="rId189" Type="http://schemas.openxmlformats.org/officeDocument/2006/relationships/hyperlink" Target="mailto:e.ramirez@verticeing.com" TargetMode="External"/><Relationship Id="rId396" Type="http://schemas.openxmlformats.org/officeDocument/2006/relationships/hyperlink" Target="mailto:ascomercial2@securetec.com.co" TargetMode="External"/><Relationship Id="rId214" Type="http://schemas.openxmlformats.org/officeDocument/2006/relationships/hyperlink" Target="mailto:mauricio.gutierrez@spci.com.co" TargetMode="External"/><Relationship Id="rId256" Type="http://schemas.openxmlformats.org/officeDocument/2006/relationships/hyperlink" Target="mailto:dipenagos@solla.com" TargetMode="External"/><Relationship Id="rId298" Type="http://schemas.openxmlformats.org/officeDocument/2006/relationships/hyperlink" Target="mailto:david.lopera@socomes.com" TargetMode="External"/><Relationship Id="rId421" Type="http://schemas.openxmlformats.org/officeDocument/2006/relationships/hyperlink" Target="mailto:jose.vargas@celesteypiedra.com" TargetMode="External"/><Relationship Id="rId463" Type="http://schemas.openxmlformats.org/officeDocument/2006/relationships/hyperlink" Target="mailto:comercial@ingesed.com" TargetMode="External"/><Relationship Id="rId519" Type="http://schemas.openxmlformats.org/officeDocument/2006/relationships/hyperlink" Target="mailto:gcia.torresalianza@solucionesinmobiliariassas.com" TargetMode="External"/><Relationship Id="rId116" Type="http://schemas.openxmlformats.org/officeDocument/2006/relationships/hyperlink" Target="mailto:proyectos@prosoma.com.co" TargetMode="External"/><Relationship Id="rId158" Type="http://schemas.openxmlformats.org/officeDocument/2006/relationships/hyperlink" Target="mailto:diseno4@gyd.com.co" TargetMode="External"/><Relationship Id="rId323" Type="http://schemas.openxmlformats.org/officeDocument/2006/relationships/hyperlink" Target="mailto:johner.payares@bienesybienes.com.co" TargetMode="External"/><Relationship Id="rId530" Type="http://schemas.openxmlformats.org/officeDocument/2006/relationships/hyperlink" Target="mailto:comercial@comexinternacional.com.co" TargetMode="External"/><Relationship Id="rId20" Type="http://schemas.openxmlformats.org/officeDocument/2006/relationships/hyperlink" Target="mailto:gerencia@projectsolutions.com.co" TargetMode="External"/><Relationship Id="rId62" Type="http://schemas.openxmlformats.org/officeDocument/2006/relationships/hyperlink" Target="mailto:manuela.henao@desur.gov.co" TargetMode="External"/><Relationship Id="rId365" Type="http://schemas.openxmlformats.org/officeDocument/2006/relationships/hyperlink" Target="mailto:francisco.unda@seriinco.com" TargetMode="External"/><Relationship Id="rId225" Type="http://schemas.openxmlformats.org/officeDocument/2006/relationships/hyperlink" Target="mailto:anamariagarces@casdiquim.com.co" TargetMode="External"/><Relationship Id="rId267" Type="http://schemas.openxmlformats.org/officeDocument/2006/relationships/hyperlink" Target="mailto:ascomercial2@securetec.com.co" TargetMode="External"/><Relationship Id="rId432" Type="http://schemas.openxmlformats.org/officeDocument/2006/relationships/hyperlink" Target="mailto:parangor@conconcreto.com" TargetMode="External"/><Relationship Id="rId474" Type="http://schemas.openxmlformats.org/officeDocument/2006/relationships/hyperlink" Target="mailto:camilo.quintero@spci.com.co" TargetMode="External"/><Relationship Id="rId127" Type="http://schemas.openxmlformats.org/officeDocument/2006/relationships/hyperlink" Target="mailto:dir.tecnico@spci.com.co" TargetMode="External"/><Relationship Id="rId31" Type="http://schemas.openxmlformats.org/officeDocument/2006/relationships/hyperlink" Target="mailto:carlos.quintero@bienesybienes.com.co" TargetMode="External"/><Relationship Id="rId73" Type="http://schemas.openxmlformats.org/officeDocument/2006/relationships/hyperlink" Target="mailto:dir.tecnico@spci.com.co" TargetMode="External"/><Relationship Id="rId169" Type="http://schemas.openxmlformats.org/officeDocument/2006/relationships/hyperlink" Target="mailto:calmanya@jomarkseguridad.com" TargetMode="External"/><Relationship Id="rId334" Type="http://schemas.openxmlformats.org/officeDocument/2006/relationships/hyperlink" Target="mailto:dir.tecnico@spci.com.co" TargetMode="External"/><Relationship Id="rId376" Type="http://schemas.openxmlformats.org/officeDocument/2006/relationships/hyperlink" Target="mailto:dir.proyectos@goodgroup.com.co" TargetMode="External"/><Relationship Id="rId541" Type="http://schemas.openxmlformats.org/officeDocument/2006/relationships/vmlDrawing" Target="../drawings/vmlDrawing7.vml"/><Relationship Id="rId4" Type="http://schemas.openxmlformats.org/officeDocument/2006/relationships/hyperlink" Target="mailto:juliomillan@fpservices.com.co" TargetMode="External"/><Relationship Id="rId180" Type="http://schemas.openxmlformats.org/officeDocument/2006/relationships/hyperlink" Target="mailto:gaguirre@solciviles.com" TargetMode="External"/><Relationship Id="rId236" Type="http://schemas.openxmlformats.org/officeDocument/2006/relationships/hyperlink" Target="mailto:heder.cardozo@isciviles.com.co" TargetMode="External"/><Relationship Id="rId278" Type="http://schemas.openxmlformats.org/officeDocument/2006/relationships/hyperlink" Target="mailto:david.lopera@socomes.com" TargetMode="External"/><Relationship Id="rId401" Type="http://schemas.openxmlformats.org/officeDocument/2006/relationships/hyperlink" Target="mailto:GERENCIA@obrain.co" TargetMode="External"/><Relationship Id="rId443" Type="http://schemas.openxmlformats.org/officeDocument/2006/relationships/hyperlink" Target="mailto:gerencia@projectsolutions.com.co" TargetMode="External"/><Relationship Id="rId303" Type="http://schemas.openxmlformats.org/officeDocument/2006/relationships/hyperlink" Target="mailto:escapeto28@gmail.com" TargetMode="External"/><Relationship Id="rId485" Type="http://schemas.openxmlformats.org/officeDocument/2006/relationships/hyperlink" Target="mailto:pduque@columbus.edu.co" TargetMode="External"/><Relationship Id="rId42" Type="http://schemas.openxmlformats.org/officeDocument/2006/relationships/hyperlink" Target="mailto:dir.tecnico@spci.com.co" TargetMode="External"/><Relationship Id="rId84" Type="http://schemas.openxmlformats.org/officeDocument/2006/relationships/hyperlink" Target="mailto:robinsonmarulanda@arquitecturayconcreto.com" TargetMode="External"/><Relationship Id="rId138" Type="http://schemas.openxmlformats.org/officeDocument/2006/relationships/hyperlink" Target="mailto:residenteadministrativo@progressa.com.co" TargetMode="External"/><Relationship Id="rId345" Type="http://schemas.openxmlformats.org/officeDocument/2006/relationships/hyperlink" Target="mailto:johnnatan.duque@seriinco.com" TargetMode="External"/><Relationship Id="rId387" Type="http://schemas.openxmlformats.org/officeDocument/2006/relationships/hyperlink" Target="mailto:ventas@verlimpio.com" TargetMode="External"/><Relationship Id="rId510" Type="http://schemas.openxmlformats.org/officeDocument/2006/relationships/hyperlink" Target="mailto:camilo.quintero@spci.com.co" TargetMode="External"/><Relationship Id="rId191" Type="http://schemas.openxmlformats.org/officeDocument/2006/relationships/hyperlink" Target="mailto:camilo.quintero@spci.com.co" TargetMode="External"/><Relationship Id="rId205" Type="http://schemas.openxmlformats.org/officeDocument/2006/relationships/hyperlink" Target="mailto:n.garcia@condiseno.co" TargetMode="External"/><Relationship Id="rId247" Type="http://schemas.openxmlformats.org/officeDocument/2006/relationships/hyperlink" Target="mailto:david.lopera@socomes.com" TargetMode="External"/><Relationship Id="rId412" Type="http://schemas.openxmlformats.org/officeDocument/2006/relationships/hyperlink" Target="mailto:camiloz@vivenciartearquitectura.com" TargetMode="External"/><Relationship Id="rId107" Type="http://schemas.openxmlformats.org/officeDocument/2006/relationships/hyperlink" Target="mailto:Jhonocampoarq@gmail.com" TargetMode="External"/><Relationship Id="rId289" Type="http://schemas.openxmlformats.org/officeDocument/2006/relationships/hyperlink" Target="mailto:constru.hg@gmail.com" TargetMode="External"/><Relationship Id="rId454" Type="http://schemas.openxmlformats.org/officeDocument/2006/relationships/hyperlink" Target="mailto:carlos.henao@seriinco.com" TargetMode="External"/><Relationship Id="rId496" Type="http://schemas.openxmlformats.org/officeDocument/2006/relationships/hyperlink" Target="mailto:carlos.henao@seriinco.com" TargetMode="External"/><Relationship Id="rId11" Type="http://schemas.openxmlformats.org/officeDocument/2006/relationships/hyperlink" Target="mailto:andrea.sanchez@studiosur.net" TargetMode="External"/><Relationship Id="rId53" Type="http://schemas.openxmlformats.org/officeDocument/2006/relationships/hyperlink" Target="mailto:juliomillan@fpservices.com.co" TargetMode="External"/><Relationship Id="rId149" Type="http://schemas.openxmlformats.org/officeDocument/2006/relationships/hyperlink" Target="mailto:sebastianaguirrebu@gmail.com" TargetMode="External"/><Relationship Id="rId314" Type="http://schemas.openxmlformats.org/officeDocument/2006/relationships/hyperlink" Target="mailto:sandras@progressa.com.co" TargetMode="External"/><Relationship Id="rId356" Type="http://schemas.openxmlformats.org/officeDocument/2006/relationships/hyperlink" Target="mailto:ytamayo@coninsa.co" TargetMode="External"/><Relationship Id="rId398" Type="http://schemas.openxmlformats.org/officeDocument/2006/relationships/hyperlink" Target="mailto:dir.tecnico@spci.com.co" TargetMode="External"/><Relationship Id="rId521" Type="http://schemas.openxmlformats.org/officeDocument/2006/relationships/hyperlink" Target="mailto:juan.grajales@spci.com.co" TargetMode="External"/><Relationship Id="rId95" Type="http://schemas.openxmlformats.org/officeDocument/2006/relationships/hyperlink" Target="mailto:operacionesingesed@gmail.com" TargetMode="External"/><Relationship Id="rId160" Type="http://schemas.openxmlformats.org/officeDocument/2006/relationships/hyperlink" Target="mailto:robinsonmarulanda@arquitecturayconcreto.com" TargetMode="External"/><Relationship Id="rId216" Type="http://schemas.openxmlformats.org/officeDocument/2006/relationships/hyperlink" Target="mailto:mhernandezm@conconcreto.com" TargetMode="External"/><Relationship Id="rId423" Type="http://schemas.openxmlformats.org/officeDocument/2006/relationships/hyperlink" Target="mailto:ana.ramirez@bienesybienes.com.co" TargetMode="External"/><Relationship Id="rId258" Type="http://schemas.openxmlformats.org/officeDocument/2006/relationships/hyperlink" Target="mailto:camiloar@toroposada.com" TargetMode="External"/><Relationship Id="rId465" Type="http://schemas.openxmlformats.org/officeDocument/2006/relationships/hyperlink" Target="mailto:camilo.quintero@spci.com.co" TargetMode="External"/><Relationship Id="rId22" Type="http://schemas.openxmlformats.org/officeDocument/2006/relationships/hyperlink" Target="mailto:carolina.atheneaww@gmail.com" TargetMode="External"/><Relationship Id="rId64" Type="http://schemas.openxmlformats.org/officeDocument/2006/relationships/hyperlink" Target="mailto:garciakathe.96@gmail.com" TargetMode="External"/><Relationship Id="rId118" Type="http://schemas.openxmlformats.org/officeDocument/2006/relationships/hyperlink" Target="mailto:proyectos@prosoma.com.co" TargetMode="External"/><Relationship Id="rId325" Type="http://schemas.openxmlformats.org/officeDocument/2006/relationships/hyperlink" Target="mailto:detectarsystems@gmail.com" TargetMode="External"/><Relationship Id="rId367" Type="http://schemas.openxmlformats.org/officeDocument/2006/relationships/hyperlink" Target="mailto:calmanya@jomarkseguridad.com" TargetMode="External"/><Relationship Id="rId532" Type="http://schemas.openxmlformats.org/officeDocument/2006/relationships/hyperlink" Target="mailto:carlos.henao@seriinco.com" TargetMode="External"/><Relationship Id="rId171" Type="http://schemas.openxmlformats.org/officeDocument/2006/relationships/hyperlink" Target="mailto:gestioncompras@conaltura.com" TargetMode="External"/><Relationship Id="rId227" Type="http://schemas.openxmlformats.org/officeDocument/2006/relationships/hyperlink" Target="mailto:tecnico@quiraproyecto.com" TargetMode="External"/><Relationship Id="rId269" Type="http://schemas.openxmlformats.org/officeDocument/2006/relationships/hyperlink" Target="mailto:josemaya@firemarshal.com.co" TargetMode="External"/><Relationship Id="rId434" Type="http://schemas.openxmlformats.org/officeDocument/2006/relationships/hyperlink" Target="mailto:dir.tecnico@spci.com.co" TargetMode="External"/><Relationship Id="rId476" Type="http://schemas.openxmlformats.org/officeDocument/2006/relationships/hyperlink" Target="mailto:claudia.ramirez@edyfica.co" TargetMode="External"/><Relationship Id="rId33" Type="http://schemas.openxmlformats.org/officeDocument/2006/relationships/hyperlink" Target="mailto:Paola.MOYA@mccain.com.co" TargetMode="External"/><Relationship Id="rId129" Type="http://schemas.openxmlformats.org/officeDocument/2006/relationships/hyperlink" Target="mailto:camilo.quintero@spci.com.co" TargetMode="External"/><Relationship Id="rId280" Type="http://schemas.openxmlformats.org/officeDocument/2006/relationships/hyperlink" Target="mailto:coordisenos@consorcioccnc.com.co" TargetMode="External"/><Relationship Id="rId336" Type="http://schemas.openxmlformats.org/officeDocument/2006/relationships/hyperlink" Target="mailto:n.garcia@condiseno.co" TargetMode="External"/><Relationship Id="rId501" Type="http://schemas.openxmlformats.org/officeDocument/2006/relationships/hyperlink" Target="mailto:jlopezv3@kenvue.com" TargetMode="External"/><Relationship Id="rId543" Type="http://schemas.microsoft.com/office/2017/10/relationships/threadedComment" Target="../threadedComments/threadedComment3.xml"/><Relationship Id="rId75" Type="http://schemas.openxmlformats.org/officeDocument/2006/relationships/hyperlink" Target="mailto:directora.activos@aceis.com.co" TargetMode="External"/><Relationship Id="rId140" Type="http://schemas.openxmlformats.org/officeDocument/2006/relationships/hyperlink" Target="mailto:pubenza@tipinterventoria.com" TargetMode="External"/><Relationship Id="rId182" Type="http://schemas.openxmlformats.org/officeDocument/2006/relationships/hyperlink" Target="mailto:reservas@lamayoria.com" TargetMode="External"/><Relationship Id="rId378" Type="http://schemas.openxmlformats.org/officeDocument/2006/relationships/hyperlink" Target="mailto:ventas@verlimpio.com" TargetMode="External"/><Relationship Id="rId403" Type="http://schemas.openxmlformats.org/officeDocument/2006/relationships/hyperlink" Target="mailto:johana.rojas@bienesybienes.com.co" TargetMode="External"/><Relationship Id="rId6" Type="http://schemas.openxmlformats.org/officeDocument/2006/relationships/hyperlink" Target="mailto:n.garcia@condiseno.co" TargetMode="External"/><Relationship Id="rId238" Type="http://schemas.openxmlformats.org/officeDocument/2006/relationships/hyperlink" Target="mailto:bmarquitecturayconstruccion@gmail.com" TargetMode="External"/><Relationship Id="rId445" Type="http://schemas.openxmlformats.org/officeDocument/2006/relationships/hyperlink" Target="mailto:juan.grajales@spci.com.co" TargetMode="External"/><Relationship Id="rId487" Type="http://schemas.openxmlformats.org/officeDocument/2006/relationships/hyperlink" Target="mailto:proyectos8.arkec@gmail.com" TargetMode="External"/><Relationship Id="rId291" Type="http://schemas.openxmlformats.org/officeDocument/2006/relationships/hyperlink" Target="mailto:juan.grajales@spci.com.co" TargetMode="External"/><Relationship Id="rId305" Type="http://schemas.openxmlformats.org/officeDocument/2006/relationships/hyperlink" Target="mailto:cmesa@coninsa.co" TargetMode="External"/><Relationship Id="rId347" Type="http://schemas.openxmlformats.org/officeDocument/2006/relationships/hyperlink" Target="mailto:ascomercial2@securetec.com.co" TargetMode="External"/><Relationship Id="rId512" Type="http://schemas.openxmlformats.org/officeDocument/2006/relationships/hyperlink" Target="mailto:parangor@conconcreto.com" TargetMode="External"/><Relationship Id="rId44" Type="http://schemas.openxmlformats.org/officeDocument/2006/relationships/hyperlink" Target="mailto:dirproyectos@securetec.com.co" TargetMode="External"/><Relationship Id="rId86" Type="http://schemas.openxmlformats.org/officeDocument/2006/relationships/hyperlink" Target="mailto:jhoyos@conexoinmobiliario.com" TargetMode="External"/><Relationship Id="rId151" Type="http://schemas.openxmlformats.org/officeDocument/2006/relationships/hyperlink" Target="mailto:dir.tecnico@spci.com.co" TargetMode="External"/><Relationship Id="rId389" Type="http://schemas.openxmlformats.org/officeDocument/2006/relationships/hyperlink" Target="mailto:lduque@emergentslnes.com.co" TargetMode="External"/><Relationship Id="rId193" Type="http://schemas.openxmlformats.org/officeDocument/2006/relationships/hyperlink" Target="mailto:comercialipci1jomarkseguridad@gmail.com" TargetMode="External"/><Relationship Id="rId207" Type="http://schemas.openxmlformats.org/officeDocument/2006/relationships/hyperlink" Target="mailto:carlos.henao@seriinco.com" TargetMode="External"/><Relationship Id="rId249" Type="http://schemas.openxmlformats.org/officeDocument/2006/relationships/hyperlink" Target="mailto:carlos.henao@seriinco.com" TargetMode="External"/><Relationship Id="rId414" Type="http://schemas.openxmlformats.org/officeDocument/2006/relationships/hyperlink" Target="mailto:obraesquinadelhueco@gmail.com" TargetMode="External"/><Relationship Id="rId456" Type="http://schemas.openxmlformats.org/officeDocument/2006/relationships/hyperlink" Target="mailto:camilo.quintero@spci.com.co" TargetMode="External"/><Relationship Id="rId498" Type="http://schemas.openxmlformats.org/officeDocument/2006/relationships/hyperlink" Target="mailto:proyectos@clinicaelrosario.com" TargetMode="External"/><Relationship Id="rId13" Type="http://schemas.openxmlformats.org/officeDocument/2006/relationships/hyperlink" Target="mailto:coordinadordisenos@estructurar.co" TargetMode="External"/><Relationship Id="rId109" Type="http://schemas.openxmlformats.org/officeDocument/2006/relationships/hyperlink" Target="mailto:carlos.henao@seriinco.com" TargetMode="External"/><Relationship Id="rId260" Type="http://schemas.openxmlformats.org/officeDocument/2006/relationships/hyperlink" Target="mailto:dir.tecnico@spci.com.co" TargetMode="External"/><Relationship Id="rId316" Type="http://schemas.openxmlformats.org/officeDocument/2006/relationships/hyperlink" Target="mailto:geodr.182@hotmail.com" TargetMode="External"/><Relationship Id="rId523" Type="http://schemas.openxmlformats.org/officeDocument/2006/relationships/hyperlink" Target="mailto:residente3@solucionesinmobiliariassas.com" TargetMode="External"/><Relationship Id="rId55" Type="http://schemas.openxmlformats.org/officeDocument/2006/relationships/hyperlink" Target="mailto:trescantosk@gmail.com" TargetMode="External"/><Relationship Id="rId97" Type="http://schemas.openxmlformats.org/officeDocument/2006/relationships/hyperlink" Target="mailto:dpobregon@westquimica.com" TargetMode="External"/><Relationship Id="rId120" Type="http://schemas.openxmlformats.org/officeDocument/2006/relationships/hyperlink" Target="mailto:mmendez@alumina.com" TargetMode="External"/><Relationship Id="rId358" Type="http://schemas.openxmlformats.org/officeDocument/2006/relationships/hyperlink" Target="mailto:laura.arias@studiosur.net" TargetMode="External"/><Relationship Id="rId162" Type="http://schemas.openxmlformats.org/officeDocument/2006/relationships/hyperlink" Target="mailto:dir.tecnico@spci.com.co" TargetMode="External"/><Relationship Id="rId218" Type="http://schemas.openxmlformats.org/officeDocument/2006/relationships/hyperlink" Target="mailto:analucia@arangoarango.com" TargetMode="External"/><Relationship Id="rId425" Type="http://schemas.openxmlformats.org/officeDocument/2006/relationships/hyperlink" Target="mailto:detectarsystems@gmail.com" TargetMode="External"/><Relationship Id="rId467" Type="http://schemas.openxmlformats.org/officeDocument/2006/relationships/hyperlink" Target="mailto:obraesquinadelhueco@gmail.com" TargetMode="External"/><Relationship Id="rId271" Type="http://schemas.openxmlformats.org/officeDocument/2006/relationships/hyperlink" Target="mailto:dir.tecnico@spci.com.co" TargetMode="External"/><Relationship Id="rId24" Type="http://schemas.openxmlformats.org/officeDocument/2006/relationships/hyperlink" Target="mailto:comercial@equiposelrapido.com" TargetMode="External"/><Relationship Id="rId66" Type="http://schemas.openxmlformats.org/officeDocument/2006/relationships/hyperlink" Target="mailto:vanessazapata.fcr@gmail.com" TargetMode="External"/><Relationship Id="rId131" Type="http://schemas.openxmlformats.org/officeDocument/2006/relationships/hyperlink" Target="mailto:ernestov@progressa.com.co" TargetMode="External"/><Relationship Id="rId327" Type="http://schemas.openxmlformats.org/officeDocument/2006/relationships/hyperlink" Target="mailto:ascomercial2@securetec.com.co" TargetMode="External"/><Relationship Id="rId369" Type="http://schemas.openxmlformats.org/officeDocument/2006/relationships/hyperlink" Target="mailto:camilo.quintero@spci.com.co" TargetMode="External"/><Relationship Id="rId534" Type="http://schemas.openxmlformats.org/officeDocument/2006/relationships/hyperlink" Target="mailto:dir.tecnico@spci.com.co" TargetMode="External"/><Relationship Id="rId173" Type="http://schemas.openxmlformats.org/officeDocument/2006/relationships/hyperlink" Target="mailto:gestioncompras@conaltura.com" TargetMode="External"/><Relationship Id="rId229" Type="http://schemas.openxmlformats.org/officeDocument/2006/relationships/hyperlink" Target="mailto:cristina@sumario.co" TargetMode="External"/><Relationship Id="rId380" Type="http://schemas.openxmlformats.org/officeDocument/2006/relationships/hyperlink" Target="mailto:santi.car9@hotmail.com" TargetMode="External"/><Relationship Id="rId436" Type="http://schemas.openxmlformats.org/officeDocument/2006/relationships/hyperlink" Target="mailto:carlos.henao@seriinco.com" TargetMode="External"/><Relationship Id="rId240" Type="http://schemas.openxmlformats.org/officeDocument/2006/relationships/hyperlink" Target="mailto:dir.tecnico@spci.com.co" TargetMode="External"/><Relationship Id="rId478" Type="http://schemas.openxmlformats.org/officeDocument/2006/relationships/hyperlink" Target="mailto:carlos.henao@seriinco.com" TargetMode="External"/><Relationship Id="rId35" Type="http://schemas.openxmlformats.org/officeDocument/2006/relationships/hyperlink" Target="mailto:gerencia@projectsolutions.com.co" TargetMode="External"/><Relationship Id="rId77" Type="http://schemas.openxmlformats.org/officeDocument/2006/relationships/hyperlink" Target="mailto:mhernandezm@conconcreto.com" TargetMode="External"/><Relationship Id="rId100" Type="http://schemas.openxmlformats.org/officeDocument/2006/relationships/hyperlink" Target="mailto:laura.arias@studiosur.net" TargetMode="External"/><Relationship Id="rId282" Type="http://schemas.openxmlformats.org/officeDocument/2006/relationships/hyperlink" Target="mailto:david.lopera@socomes.com" TargetMode="External"/><Relationship Id="rId338" Type="http://schemas.openxmlformats.org/officeDocument/2006/relationships/hyperlink" Target="mailto:dirproyectos@securetec.com.co" TargetMode="External"/><Relationship Id="rId503" Type="http://schemas.openxmlformats.org/officeDocument/2006/relationships/hyperlink" Target="mailto:Nathalybarrerapalacio@gmail.com" TargetMode="External"/><Relationship Id="rId8" Type="http://schemas.openxmlformats.org/officeDocument/2006/relationships/hyperlink" Target="mailto:dir.tecnico@spci.com.co" TargetMode="External"/><Relationship Id="rId142" Type="http://schemas.openxmlformats.org/officeDocument/2006/relationships/hyperlink" Target="mailto:juliomillan@fpservices.com.co" TargetMode="External"/><Relationship Id="rId184" Type="http://schemas.openxmlformats.org/officeDocument/2006/relationships/hyperlink" Target="mailto:david.lopera@socomes.com" TargetMode="External"/><Relationship Id="rId391" Type="http://schemas.openxmlformats.org/officeDocument/2006/relationships/hyperlink" Target="mailto:jlopezv3@kenvue.com" TargetMode="External"/><Relationship Id="rId405" Type="http://schemas.openxmlformats.org/officeDocument/2006/relationships/hyperlink" Target="mailto:dir.tecnico@spci.com.co" TargetMode="External"/><Relationship Id="rId447" Type="http://schemas.openxmlformats.org/officeDocument/2006/relationships/hyperlink" Target="mailto:diseno4@gyd.com.co" TargetMode="External"/><Relationship Id="rId251" Type="http://schemas.openxmlformats.org/officeDocument/2006/relationships/hyperlink" Target="mailto:carlos.henao@seriinco.com" TargetMode="External"/><Relationship Id="rId489" Type="http://schemas.openxmlformats.org/officeDocument/2006/relationships/hyperlink" Target="mailto:mnieto@aia.com.co" TargetMode="External"/><Relationship Id="rId46" Type="http://schemas.openxmlformats.org/officeDocument/2006/relationships/hyperlink" Target="mailto:gino1037@hotmail.com" TargetMode="External"/><Relationship Id="rId293" Type="http://schemas.openxmlformats.org/officeDocument/2006/relationships/hyperlink" Target="mailto:alvaromanosalva@sfiregroup.com" TargetMode="External"/><Relationship Id="rId307" Type="http://schemas.openxmlformats.org/officeDocument/2006/relationships/hyperlink" Target="mailto:Jhonocampoarq@gmail.com" TargetMode="External"/><Relationship Id="rId349" Type="http://schemas.openxmlformats.org/officeDocument/2006/relationships/hyperlink" Target="mailto:francisco.unda@seriinco.com" TargetMode="External"/><Relationship Id="rId514" Type="http://schemas.openxmlformats.org/officeDocument/2006/relationships/hyperlink" Target="mailto:robinsonmarulanda@arquitecturayconcreto.com" TargetMode="External"/><Relationship Id="rId88" Type="http://schemas.openxmlformats.org/officeDocument/2006/relationships/hyperlink" Target="mailto:paola.cruz@masterplan.com.co" TargetMode="External"/><Relationship Id="rId111" Type="http://schemas.openxmlformats.org/officeDocument/2006/relationships/hyperlink" Target="mailto:residenteadministrativo@progressa.com.co" TargetMode="External"/><Relationship Id="rId153" Type="http://schemas.openxmlformats.org/officeDocument/2006/relationships/hyperlink" Target="mailto:dguzman@stop.com.co" TargetMode="External"/><Relationship Id="rId195" Type="http://schemas.openxmlformats.org/officeDocument/2006/relationships/hyperlink" Target="mailto:dirproyectos@securetec.com.co" TargetMode="External"/><Relationship Id="rId209" Type="http://schemas.openxmlformats.org/officeDocument/2006/relationships/hyperlink" Target="mailto:eceballos@contex.com.co" TargetMode="External"/><Relationship Id="rId360" Type="http://schemas.openxmlformats.org/officeDocument/2006/relationships/hyperlink" Target="mailto:n.garcia@condiseno.co" TargetMode="External"/><Relationship Id="rId416" Type="http://schemas.openxmlformats.org/officeDocument/2006/relationships/hyperlink" Target="mailto:gerencia@jmingenieriatotal.com.co" TargetMode="External"/><Relationship Id="rId220" Type="http://schemas.openxmlformats.org/officeDocument/2006/relationships/hyperlink" Target="mailto:arestrepoe@conconcreto.com" TargetMode="External"/><Relationship Id="rId458" Type="http://schemas.openxmlformats.org/officeDocument/2006/relationships/hyperlink" Target="mailto:mzuluaga1996@gmail.com" TargetMode="External"/><Relationship Id="rId15" Type="http://schemas.openxmlformats.org/officeDocument/2006/relationships/hyperlink" Target="mailto:j.pulgarin@altosdelaabadia.com" TargetMode="External"/><Relationship Id="rId57" Type="http://schemas.openxmlformats.org/officeDocument/2006/relationships/hyperlink" Target="mailto:operacionesingesed@gmail.com" TargetMode="External"/><Relationship Id="rId262" Type="http://schemas.openxmlformats.org/officeDocument/2006/relationships/hyperlink" Target="mailto:jmorao@conconcreto.com" TargetMode="External"/><Relationship Id="rId318" Type="http://schemas.openxmlformats.org/officeDocument/2006/relationships/hyperlink" Target="mailto:carlos.henao@seriinco.com" TargetMode="External"/><Relationship Id="rId525" Type="http://schemas.openxmlformats.org/officeDocument/2006/relationships/hyperlink" Target="mailto:mcvelasquez@contex.com.co" TargetMode="External"/><Relationship Id="rId99" Type="http://schemas.openxmlformats.org/officeDocument/2006/relationships/hyperlink" Target="mailto:tecnicoboho@gmail.com" TargetMode="External"/><Relationship Id="rId122" Type="http://schemas.openxmlformats.org/officeDocument/2006/relationships/hyperlink" Target="mailto:juan.montoya@clk.com.co" TargetMode="External"/><Relationship Id="rId164" Type="http://schemas.openxmlformats.org/officeDocument/2006/relationships/hyperlink" Target="mailto:cotizaciones@sanmartin.edu.co" TargetMode="External"/><Relationship Id="rId371" Type="http://schemas.openxmlformats.org/officeDocument/2006/relationships/hyperlink" Target="mailto:lfvalderrama@interve.co" TargetMode="External"/><Relationship Id="rId427" Type="http://schemas.openxmlformats.org/officeDocument/2006/relationships/hyperlink" Target="mailto:andreanunez@firemarshal.com.co" TargetMode="External"/><Relationship Id="rId469" Type="http://schemas.openxmlformats.org/officeDocument/2006/relationships/hyperlink" Target="mailto:santiagolopez@mensulaingenieros.com" TargetMode="External"/><Relationship Id="rId26" Type="http://schemas.openxmlformats.org/officeDocument/2006/relationships/hyperlink" Target="mailto:santiago@origamiproyectos.com" TargetMode="External"/><Relationship Id="rId231" Type="http://schemas.openxmlformats.org/officeDocument/2006/relationships/hyperlink" Target="mailto:ascomercial2@securetec.com.co" TargetMode="External"/><Relationship Id="rId273" Type="http://schemas.openxmlformats.org/officeDocument/2006/relationships/hyperlink" Target="mailto:dir.tecnico@spci.com.co" TargetMode="External"/><Relationship Id="rId329" Type="http://schemas.openxmlformats.org/officeDocument/2006/relationships/hyperlink" Target="mailto:analistaambiental@intecplast.com.co" TargetMode="External"/><Relationship Id="rId480" Type="http://schemas.openxmlformats.org/officeDocument/2006/relationships/hyperlink" Target="mailto:carlos.henao@seriinco.com" TargetMode="External"/><Relationship Id="rId536" Type="http://schemas.openxmlformats.org/officeDocument/2006/relationships/hyperlink" Target="mailto:administrativo2@lf.edu.co" TargetMode="External"/><Relationship Id="rId68" Type="http://schemas.openxmlformats.org/officeDocument/2006/relationships/hyperlink" Target="mailto:juan.grajales@spci.com.co" TargetMode="External"/><Relationship Id="rId133" Type="http://schemas.openxmlformats.org/officeDocument/2006/relationships/hyperlink" Target="mailto:calmanya@jomarkseguridad.com" TargetMode="External"/><Relationship Id="rId175" Type="http://schemas.openxmlformats.org/officeDocument/2006/relationships/hyperlink" Target="mailto:ascomercial2@securetec.com.co" TargetMode="External"/><Relationship Id="rId340" Type="http://schemas.openxmlformats.org/officeDocument/2006/relationships/hyperlink" Target="mailto:diseno4@gyd.com.co" TargetMode="External"/><Relationship Id="rId200" Type="http://schemas.openxmlformats.org/officeDocument/2006/relationships/hyperlink" Target="mailto:coordinacionvitral@gmail.com" TargetMode="External"/><Relationship Id="rId382" Type="http://schemas.openxmlformats.org/officeDocument/2006/relationships/hyperlink" Target="mailto:cmesa@coninsa.co" TargetMode="External"/><Relationship Id="rId438" Type="http://schemas.openxmlformats.org/officeDocument/2006/relationships/hyperlink" Target="mailto:mlopez@hdgerenciaintegral.com" TargetMode="External"/><Relationship Id="rId242" Type="http://schemas.openxmlformats.org/officeDocument/2006/relationships/hyperlink" Target="mailto:andreanunez@firemarshal.com.co" TargetMode="External"/><Relationship Id="rId284" Type="http://schemas.openxmlformats.org/officeDocument/2006/relationships/hyperlink" Target="mailto:jmorao@conconcreto.com" TargetMode="External"/><Relationship Id="rId491" Type="http://schemas.openxmlformats.org/officeDocument/2006/relationships/hyperlink" Target="mailto:comercial@ingesed.com" TargetMode="External"/><Relationship Id="rId505" Type="http://schemas.openxmlformats.org/officeDocument/2006/relationships/hyperlink" Target="mailto:comercial@comexinternacional.com.co" TargetMode="External"/><Relationship Id="rId37" Type="http://schemas.openxmlformats.org/officeDocument/2006/relationships/hyperlink" Target="mailto:dir.tecnico@spci.com.co" TargetMode="External"/><Relationship Id="rId79" Type="http://schemas.openxmlformats.org/officeDocument/2006/relationships/hyperlink" Target="mailto:nestor.garcia@espiral.com.co" TargetMode="External"/><Relationship Id="rId102" Type="http://schemas.openxmlformats.org/officeDocument/2006/relationships/hyperlink" Target="mailto:dir.tecnico@spci.com.co" TargetMode="External"/><Relationship Id="rId144" Type="http://schemas.openxmlformats.org/officeDocument/2006/relationships/hyperlink" Target="mailto:vivianagomez@paralelo-group.com" TargetMode="External"/><Relationship Id="rId90" Type="http://schemas.openxmlformats.org/officeDocument/2006/relationships/hyperlink" Target="mailto:dir.tecnico@spci.com.co" TargetMode="External"/><Relationship Id="rId186" Type="http://schemas.openxmlformats.org/officeDocument/2006/relationships/hyperlink" Target="mailto:carlos.henao@seriinco.com" TargetMode="External"/><Relationship Id="rId351" Type="http://schemas.openxmlformats.org/officeDocument/2006/relationships/hyperlink" Target="mailto:alvaromanosalva@sfiregroup.com" TargetMode="External"/><Relationship Id="rId393" Type="http://schemas.openxmlformats.org/officeDocument/2006/relationships/hyperlink" Target="mailto:directordeobra2024@gmail.com" TargetMode="External"/><Relationship Id="rId407" Type="http://schemas.openxmlformats.org/officeDocument/2006/relationships/hyperlink" Target="mailto:dirproyectos@securetec.com.co" TargetMode="External"/><Relationship Id="rId449" Type="http://schemas.openxmlformats.org/officeDocument/2006/relationships/hyperlink" Target="mailto:jesus3933@hotmail.com" TargetMode="External"/><Relationship Id="rId211" Type="http://schemas.openxmlformats.org/officeDocument/2006/relationships/hyperlink" Target="mailto:robinsonmarulanda@arquitecturayconcreto.com" TargetMode="External"/><Relationship Id="rId253" Type="http://schemas.openxmlformats.org/officeDocument/2006/relationships/hyperlink" Target="mailto:goingenieriaysoluciones@gmail.com" TargetMode="External"/><Relationship Id="rId295" Type="http://schemas.openxmlformats.org/officeDocument/2006/relationships/hyperlink" Target="mailto:dir.tecnico@spci.com.co" TargetMode="External"/><Relationship Id="rId309" Type="http://schemas.openxmlformats.org/officeDocument/2006/relationships/hyperlink" Target="mailto:Jhonocampoarq@gmail.com" TargetMode="External"/><Relationship Id="rId460" Type="http://schemas.openxmlformats.org/officeDocument/2006/relationships/hyperlink" Target="mailto:comercial@ingesed.com" TargetMode="External"/><Relationship Id="rId516" Type="http://schemas.openxmlformats.org/officeDocument/2006/relationships/hyperlink" Target="mailto:melissalopez@mltarq.com" TargetMode="External"/><Relationship Id="rId48" Type="http://schemas.openxmlformats.org/officeDocument/2006/relationships/hyperlink" Target="mailto:daniel.echeverri@avanteing.com" TargetMode="External"/><Relationship Id="rId113" Type="http://schemas.openxmlformats.org/officeDocument/2006/relationships/hyperlink" Target="mailto:constructora.house19@gmail.com" TargetMode="External"/><Relationship Id="rId320" Type="http://schemas.openxmlformats.org/officeDocument/2006/relationships/hyperlink" Target="mailto:ingenieria@inge10.com" TargetMode="External"/><Relationship Id="rId155" Type="http://schemas.openxmlformats.org/officeDocument/2006/relationships/hyperlink" Target="mailto:amtorres@conconcreto.com" TargetMode="External"/><Relationship Id="rId197" Type="http://schemas.openxmlformats.org/officeDocument/2006/relationships/hyperlink" Target="mailto:juan.grajales@spci.com.co" TargetMode="External"/><Relationship Id="rId362" Type="http://schemas.openxmlformats.org/officeDocument/2006/relationships/hyperlink" Target="mailto:dir.tecnico@spci.com.co" TargetMode="External"/><Relationship Id="rId418" Type="http://schemas.openxmlformats.org/officeDocument/2006/relationships/hyperlink" Target="mailto:gerencia@jmingenieriatotal.com.co" TargetMode="External"/><Relationship Id="rId222" Type="http://schemas.openxmlformats.org/officeDocument/2006/relationships/hyperlink" Target="mailto:sebastianochoa@arquitecturayconcreto.com" TargetMode="External"/><Relationship Id="rId264" Type="http://schemas.openxmlformats.org/officeDocument/2006/relationships/hyperlink" Target="mailto:hernan.ortiz@kardinal.com.co" TargetMode="External"/><Relationship Id="rId471" Type="http://schemas.openxmlformats.org/officeDocument/2006/relationships/hyperlink" Target="mailto:jherrerau@conconcreto.com" TargetMode="External"/><Relationship Id="rId17" Type="http://schemas.openxmlformats.org/officeDocument/2006/relationships/hyperlink" Target="mailto:direccion1sierrastudio@gmail.com" TargetMode="External"/><Relationship Id="rId59" Type="http://schemas.openxmlformats.org/officeDocument/2006/relationships/hyperlink" Target="mailto:dir.tecnico@spci.com.co" TargetMode="External"/><Relationship Id="rId124" Type="http://schemas.openxmlformats.org/officeDocument/2006/relationships/hyperlink" Target="mailto:aortiz@nivelum.com" TargetMode="External"/><Relationship Id="rId527" Type="http://schemas.openxmlformats.org/officeDocument/2006/relationships/hyperlink" Target="mailto:comercial@ingesed.com" TargetMode="External"/><Relationship Id="rId70" Type="http://schemas.openxmlformats.org/officeDocument/2006/relationships/hyperlink" Target="mailto:carlosgomez@lineasismica.com.co" TargetMode="External"/><Relationship Id="rId166" Type="http://schemas.openxmlformats.org/officeDocument/2006/relationships/hyperlink" Target="mailto:jvenegas@conexoinmobiliario.com" TargetMode="External"/><Relationship Id="rId331" Type="http://schemas.openxmlformats.org/officeDocument/2006/relationships/hyperlink" Target="mailto:heder.cardozo@isciviles.com.co" TargetMode="External"/><Relationship Id="rId373" Type="http://schemas.openxmlformats.org/officeDocument/2006/relationships/hyperlink" Target="mailto:carolina@hidrofsalinas.com" TargetMode="External"/><Relationship Id="rId429" Type="http://schemas.openxmlformats.org/officeDocument/2006/relationships/hyperlink" Target="mailto:proyectos@complementoretail.com" TargetMode="External"/><Relationship Id="rId1" Type="http://schemas.openxmlformats.org/officeDocument/2006/relationships/hyperlink" Target="mailto:carlos.henao@seriinco.com" TargetMode="External"/><Relationship Id="rId233" Type="http://schemas.openxmlformats.org/officeDocument/2006/relationships/hyperlink" Target="mailto:daniela.rios@ieb.co" TargetMode="External"/><Relationship Id="rId440" Type="http://schemas.openxmlformats.org/officeDocument/2006/relationships/hyperlink" Target="mailto:calmanya@jomarkseguridad.com" TargetMode="External"/><Relationship Id="rId28" Type="http://schemas.openxmlformats.org/officeDocument/2006/relationships/hyperlink" Target="mailto:gerencia@goodgroup.com.co" TargetMode="External"/><Relationship Id="rId275" Type="http://schemas.openxmlformats.org/officeDocument/2006/relationships/hyperlink" Target="mailto:robinsonmarulanda@arquitecturayconcreto.com" TargetMode="External"/><Relationship Id="rId300" Type="http://schemas.openxmlformats.org/officeDocument/2006/relationships/hyperlink" Target="mailto:paula.montoya@ieb.co" TargetMode="External"/><Relationship Id="rId482" Type="http://schemas.openxmlformats.org/officeDocument/2006/relationships/hyperlink" Target="mailto:dir.tecnico@spci.com.co" TargetMode="External"/><Relationship Id="rId538" Type="http://schemas.openxmlformats.org/officeDocument/2006/relationships/hyperlink" Target="mailto:directorlean@inserco.com.co" TargetMode="External"/><Relationship Id="rId81" Type="http://schemas.openxmlformats.org/officeDocument/2006/relationships/hyperlink" Target="mailto:coordinadoracomercial@securetec.com.co" TargetMode="External"/><Relationship Id="rId135" Type="http://schemas.openxmlformats.org/officeDocument/2006/relationships/hyperlink" Target="mailto:detectarsystems@gmail.com" TargetMode="External"/><Relationship Id="rId177" Type="http://schemas.openxmlformats.org/officeDocument/2006/relationships/hyperlink" Target="mailto:ana.toro@labinmobiliario.com" TargetMode="External"/><Relationship Id="rId342" Type="http://schemas.openxmlformats.org/officeDocument/2006/relationships/hyperlink" Target="mailto:dir.tecnico@spci.com.co" TargetMode="External"/><Relationship Id="rId384" Type="http://schemas.openxmlformats.org/officeDocument/2006/relationships/hyperlink" Target="mailto:liliana.gutierrez@studiosur.net" TargetMode="External"/><Relationship Id="rId202" Type="http://schemas.openxmlformats.org/officeDocument/2006/relationships/hyperlink" Target="mailto:dir.tecnico@spci.com.co" TargetMode="External"/><Relationship Id="rId244" Type="http://schemas.openxmlformats.org/officeDocument/2006/relationships/hyperlink" Target="mailto:luis.marin@coordi-integral.com.co" TargetMode="External"/><Relationship Id="rId39" Type="http://schemas.openxmlformats.org/officeDocument/2006/relationships/hyperlink" Target="mailto:dduque@pulsoproyectos.com" TargetMode="External"/><Relationship Id="rId286" Type="http://schemas.openxmlformats.org/officeDocument/2006/relationships/hyperlink" Target="mailto:alvaromanosalva@sfiregroup.com" TargetMode="External"/><Relationship Id="rId451" Type="http://schemas.openxmlformats.org/officeDocument/2006/relationships/hyperlink" Target="mailto:juan.montoyahidro@gmail.com" TargetMode="External"/><Relationship Id="rId493" Type="http://schemas.openxmlformats.org/officeDocument/2006/relationships/hyperlink" Target="mailto:carlos.henao@seriinco.com" TargetMode="External"/><Relationship Id="rId507" Type="http://schemas.openxmlformats.org/officeDocument/2006/relationships/hyperlink" Target="mailto:pequibo1@gmail.com" TargetMode="External"/><Relationship Id="rId50" Type="http://schemas.openxmlformats.org/officeDocument/2006/relationships/hyperlink" Target="mailto:gaguirre@solciviles.com" TargetMode="External"/><Relationship Id="rId104" Type="http://schemas.openxmlformats.org/officeDocument/2006/relationships/hyperlink" Target="mailto:juliomillan@fpservices.com.co" TargetMode="External"/><Relationship Id="rId146" Type="http://schemas.openxmlformats.org/officeDocument/2006/relationships/hyperlink" Target="mailto:andresmunoz@convel.co" TargetMode="External"/><Relationship Id="rId188" Type="http://schemas.openxmlformats.org/officeDocument/2006/relationships/hyperlink" Target="mailto:e.ramirez@verticeing.com" TargetMode="External"/><Relationship Id="rId311" Type="http://schemas.openxmlformats.org/officeDocument/2006/relationships/hyperlink" Target="mailto:amtorres@conconcreto.com" TargetMode="External"/><Relationship Id="rId353" Type="http://schemas.openxmlformats.org/officeDocument/2006/relationships/hyperlink" Target="mailto:julianmartinezp99@gmail.com" TargetMode="External"/><Relationship Id="rId395" Type="http://schemas.openxmlformats.org/officeDocument/2006/relationships/hyperlink" Target="mailto:eceballos@contex.com.co" TargetMode="External"/><Relationship Id="rId409" Type="http://schemas.openxmlformats.org/officeDocument/2006/relationships/hyperlink" Target="mailto:ascomercial2@securetec.com.co" TargetMode="External"/><Relationship Id="rId92" Type="http://schemas.openxmlformats.org/officeDocument/2006/relationships/hyperlink" Target="mailto:camilo.quintero@spci.com.co" TargetMode="External"/><Relationship Id="rId213" Type="http://schemas.openxmlformats.org/officeDocument/2006/relationships/hyperlink" Target="mailto:sposada@mt.com.co" TargetMode="External"/><Relationship Id="rId420" Type="http://schemas.openxmlformats.org/officeDocument/2006/relationships/hyperlink" Target="mailto:josemaya@firemarshal.com.co" TargetMode="External"/><Relationship Id="rId255" Type="http://schemas.openxmlformats.org/officeDocument/2006/relationships/hyperlink" Target="mailto:dipenagos@solla.com" TargetMode="External"/><Relationship Id="rId297" Type="http://schemas.openxmlformats.org/officeDocument/2006/relationships/hyperlink" Target="mailto:jgomez@acierto.com.co" TargetMode="External"/><Relationship Id="rId462" Type="http://schemas.openxmlformats.org/officeDocument/2006/relationships/hyperlink" Target="mailto:cristianortega@firemarshal.com.co" TargetMode="External"/><Relationship Id="rId518" Type="http://schemas.openxmlformats.org/officeDocument/2006/relationships/hyperlink" Target="mailto:claudia.ramirez@edyfica.co" TargetMode="External"/><Relationship Id="rId115" Type="http://schemas.openxmlformats.org/officeDocument/2006/relationships/hyperlink" Target="mailto:proyectos@prosoma.com.co" TargetMode="External"/><Relationship Id="rId157" Type="http://schemas.openxmlformats.org/officeDocument/2006/relationships/hyperlink" Target="mailto:r.lopez@ceadnv.com" TargetMode="External"/><Relationship Id="rId322" Type="http://schemas.openxmlformats.org/officeDocument/2006/relationships/hyperlink" Target="mailto:laura.arias@studiosur.net" TargetMode="External"/><Relationship Id="rId364" Type="http://schemas.openxmlformats.org/officeDocument/2006/relationships/hyperlink" Target="mailto:aux.proyectos@dryrefor.com" TargetMode="External"/><Relationship Id="rId61" Type="http://schemas.openxmlformats.org/officeDocument/2006/relationships/hyperlink" Target="mailto:dir.tecnico@spci.com.co" TargetMode="External"/><Relationship Id="rId199" Type="http://schemas.openxmlformats.org/officeDocument/2006/relationships/hyperlink" Target="mailto:coordinadorasst@productoseterna.com.co" TargetMode="External"/><Relationship Id="rId19" Type="http://schemas.openxmlformats.org/officeDocument/2006/relationships/hyperlink" Target="mailto:dir.tecnico@spci.com.co" TargetMode="External"/><Relationship Id="rId224" Type="http://schemas.openxmlformats.org/officeDocument/2006/relationships/hyperlink" Target="mailto:anamariagarces@casdiquim.com.co" TargetMode="External"/><Relationship Id="rId266" Type="http://schemas.openxmlformats.org/officeDocument/2006/relationships/hyperlink" Target="mailto:andreanunez@firemarshal.com.co" TargetMode="External"/><Relationship Id="rId431" Type="http://schemas.openxmlformats.org/officeDocument/2006/relationships/hyperlink" Target="mailto:danielrestrepo0804@gmail.com" TargetMode="External"/><Relationship Id="rId473" Type="http://schemas.openxmlformats.org/officeDocument/2006/relationships/hyperlink" Target="mailto:NBerrio@ingenierosmecanicos.com.co" TargetMode="External"/><Relationship Id="rId529" Type="http://schemas.openxmlformats.org/officeDocument/2006/relationships/hyperlink" Target="mailto:calmanya@jomarkseguridad.com" TargetMode="External"/><Relationship Id="rId30" Type="http://schemas.openxmlformats.org/officeDocument/2006/relationships/hyperlink" Target="mailto:dir.tecnico@spci.com.co" TargetMode="External"/><Relationship Id="rId126" Type="http://schemas.openxmlformats.org/officeDocument/2006/relationships/hyperlink" Target="mailto:scarmona@ains.com.co" TargetMode="External"/><Relationship Id="rId168" Type="http://schemas.openxmlformats.org/officeDocument/2006/relationships/hyperlink" Target="mailto:gerencia@projectsolutions.com.co" TargetMode="External"/><Relationship Id="rId333" Type="http://schemas.openxmlformats.org/officeDocument/2006/relationships/hyperlink" Target="mailto:dir.tecnico@spci.com.co" TargetMode="External"/><Relationship Id="rId540" Type="http://schemas.openxmlformats.org/officeDocument/2006/relationships/drawing" Target="../drawings/drawing7.xml"/><Relationship Id="rId72" Type="http://schemas.openxmlformats.org/officeDocument/2006/relationships/hyperlink" Target="mailto:hernan.ortiz@rentingspci.com.co" TargetMode="External"/><Relationship Id="rId375" Type="http://schemas.openxmlformats.org/officeDocument/2006/relationships/hyperlink" Target="mailto:juannaranjo@convel.co" TargetMode="External"/><Relationship Id="rId3" Type="http://schemas.openxmlformats.org/officeDocument/2006/relationships/hyperlink" Target="mailto:jvecino@interve.co" TargetMode="External"/><Relationship Id="rId235" Type="http://schemas.openxmlformats.org/officeDocument/2006/relationships/hyperlink" Target="mailto:Geinermontoya2015@gmail.com" TargetMode="External"/><Relationship Id="rId277" Type="http://schemas.openxmlformats.org/officeDocument/2006/relationships/hyperlink" Target="mailto:diseno4@gyd.com.co" TargetMode="External"/><Relationship Id="rId400" Type="http://schemas.openxmlformats.org/officeDocument/2006/relationships/hyperlink" Target="mailto:aagudelol@conconcreto.com" TargetMode="External"/><Relationship Id="rId442" Type="http://schemas.openxmlformats.org/officeDocument/2006/relationships/hyperlink" Target="mailto:goingenieriaysoluciones@gmail.com" TargetMode="External"/><Relationship Id="rId484" Type="http://schemas.openxmlformats.org/officeDocument/2006/relationships/hyperlink" Target="mailto:juan.grajales@spci.com.co" TargetMode="External"/><Relationship Id="rId137" Type="http://schemas.openxmlformats.org/officeDocument/2006/relationships/hyperlink" Target="mailto:coordinadoracomercial@securetec.com.co" TargetMode="External"/><Relationship Id="rId302" Type="http://schemas.openxmlformats.org/officeDocument/2006/relationships/hyperlink" Target="mailto:coordinacion@conintel.com.co" TargetMode="External"/><Relationship Id="rId344" Type="http://schemas.openxmlformats.org/officeDocument/2006/relationships/hyperlink" Target="mailto:aagudelol@conconcreto.com" TargetMode="External"/><Relationship Id="rId41" Type="http://schemas.openxmlformats.org/officeDocument/2006/relationships/hyperlink" Target="mailto:mhernandezm@conconcreto.com" TargetMode="External"/><Relationship Id="rId83" Type="http://schemas.openxmlformats.org/officeDocument/2006/relationships/hyperlink" Target="mailto:juliomillan@fpservices.com.co" TargetMode="External"/><Relationship Id="rId179" Type="http://schemas.openxmlformats.org/officeDocument/2006/relationships/hyperlink" Target="mailto:gerencia@goodgroup.com.co" TargetMode="External"/><Relationship Id="rId386" Type="http://schemas.openxmlformats.org/officeDocument/2006/relationships/hyperlink" Target="mailto:lduque@emergentslnes.com.co" TargetMode="External"/><Relationship Id="rId190" Type="http://schemas.openxmlformats.org/officeDocument/2006/relationships/hyperlink" Target="mailto:andres.rativa@roingenieria.com" TargetMode="External"/><Relationship Id="rId204" Type="http://schemas.openxmlformats.org/officeDocument/2006/relationships/hyperlink" Target="mailto:dise&#241;o4@gyd.com.co" TargetMode="External"/><Relationship Id="rId246" Type="http://schemas.openxmlformats.org/officeDocument/2006/relationships/hyperlink" Target="mailto:dir.tecnico@spci.com.co" TargetMode="External"/><Relationship Id="rId288" Type="http://schemas.openxmlformats.org/officeDocument/2006/relationships/hyperlink" Target="mailto:juan.grajales@spci.com.co" TargetMode="External"/><Relationship Id="rId411" Type="http://schemas.openxmlformats.org/officeDocument/2006/relationships/hyperlink" Target="mailto:scorreab@conconcreto.com" TargetMode="External"/><Relationship Id="rId453" Type="http://schemas.openxmlformats.org/officeDocument/2006/relationships/hyperlink" Target="mailto:santiagoduque@solucionesinmobiliariassas.com" TargetMode="External"/><Relationship Id="rId509" Type="http://schemas.openxmlformats.org/officeDocument/2006/relationships/hyperlink" Target="mailto:carlos.henao@seriinco.com" TargetMode="External"/><Relationship Id="rId106" Type="http://schemas.openxmlformats.org/officeDocument/2006/relationships/hyperlink" Target="mailto:david.lopera@socomes.com" TargetMode="External"/><Relationship Id="rId313" Type="http://schemas.openxmlformats.org/officeDocument/2006/relationships/hyperlink" Target="mailto:robinsonmarulanda@arquitecturayconcreto.com" TargetMode="External"/><Relationship Id="rId495" Type="http://schemas.openxmlformats.org/officeDocument/2006/relationships/hyperlink" Target="mailto:gestionhumana@cromatex.com.co" TargetMode="External"/><Relationship Id="rId10" Type="http://schemas.openxmlformats.org/officeDocument/2006/relationships/hyperlink" Target="mailto:gino1037@hotmail.com" TargetMode="External"/><Relationship Id="rId52" Type="http://schemas.openxmlformats.org/officeDocument/2006/relationships/hyperlink" Target="mailto:leidyalzateq@clinicaces.edu.co" TargetMode="External"/><Relationship Id="rId94" Type="http://schemas.openxmlformats.org/officeDocument/2006/relationships/hyperlink" Target="mailto:operacionesingesed@gmail.com" TargetMode="External"/><Relationship Id="rId148" Type="http://schemas.openxmlformats.org/officeDocument/2006/relationships/hyperlink" Target="mailto:n.garcia@condiseno.co" TargetMode="External"/><Relationship Id="rId355" Type="http://schemas.openxmlformats.org/officeDocument/2006/relationships/hyperlink" Target="mailto:analistacompras@smart.edu.co" TargetMode="External"/><Relationship Id="rId397" Type="http://schemas.openxmlformats.org/officeDocument/2006/relationships/hyperlink" Target="mailto:carolina@hidrofsalinas.com" TargetMode="External"/><Relationship Id="rId520" Type="http://schemas.openxmlformats.org/officeDocument/2006/relationships/hyperlink" Target="mailto:n.garcia@condiseno.co" TargetMode="External"/><Relationship Id="rId215" Type="http://schemas.openxmlformats.org/officeDocument/2006/relationships/hyperlink" Target="mailto:robinsonmarulanda@arquitecturayconcreto.com" TargetMode="External"/><Relationship Id="rId257" Type="http://schemas.openxmlformats.org/officeDocument/2006/relationships/hyperlink" Target="mailto:interventoria@westquimica.com" TargetMode="External"/><Relationship Id="rId422" Type="http://schemas.openxmlformats.org/officeDocument/2006/relationships/hyperlink" Target="mailto:jennifer.morales@asul.co" TargetMode="External"/><Relationship Id="rId464" Type="http://schemas.openxmlformats.org/officeDocument/2006/relationships/hyperlink" Target="mailto:camilo.quintero@spci.com.co" TargetMode="External"/><Relationship Id="rId299" Type="http://schemas.openxmlformats.org/officeDocument/2006/relationships/hyperlink" Target="mailto:carlos.henao@seriinco.com" TargetMode="External"/><Relationship Id="rId63" Type="http://schemas.openxmlformats.org/officeDocument/2006/relationships/hyperlink" Target="mailto:luisa.alarcon@bitacoraingenieria.com" TargetMode="External"/><Relationship Id="rId159" Type="http://schemas.openxmlformats.org/officeDocument/2006/relationships/hyperlink" Target="mailto:dirproyectos@securetec.com.co" TargetMode="External"/><Relationship Id="rId366" Type="http://schemas.openxmlformats.org/officeDocument/2006/relationships/hyperlink" Target="mailto:cristihan@solenium.co" TargetMode="External"/><Relationship Id="rId226" Type="http://schemas.openxmlformats.org/officeDocument/2006/relationships/hyperlink" Target="mailto:helena.mahecha@d1.com.co" TargetMode="External"/><Relationship Id="rId433" Type="http://schemas.openxmlformats.org/officeDocument/2006/relationships/hyperlink" Target="mailto:hidraulicaymontajes@gmail.com" TargetMode="External"/><Relationship Id="rId74" Type="http://schemas.openxmlformats.org/officeDocument/2006/relationships/hyperlink" Target="mailto:dircambulos@constructoradeobras.com" TargetMode="External"/><Relationship Id="rId377" Type="http://schemas.openxmlformats.org/officeDocument/2006/relationships/hyperlink" Target="mailto:dir.tecnico@spci.com.co" TargetMode="External"/><Relationship Id="rId500" Type="http://schemas.openxmlformats.org/officeDocument/2006/relationships/hyperlink" Target="mailto:jherrerau@conconcreto.com" TargetMode="External"/><Relationship Id="rId5" Type="http://schemas.openxmlformats.org/officeDocument/2006/relationships/hyperlink" Target="mailto:mauricio.guzman@spci.com.co" TargetMode="External"/><Relationship Id="rId237" Type="http://schemas.openxmlformats.org/officeDocument/2006/relationships/hyperlink" Target="mailto:heder.cardozo@isciviles.com.co" TargetMode="External"/><Relationship Id="rId444" Type="http://schemas.openxmlformats.org/officeDocument/2006/relationships/hyperlink" Target="mailto:goingenieriaysoluciones@gmail.com" TargetMode="External"/><Relationship Id="rId290" Type="http://schemas.openxmlformats.org/officeDocument/2006/relationships/hyperlink" Target="mailto:operaciones@goodgroup.com.co" TargetMode="External"/><Relationship Id="rId304" Type="http://schemas.openxmlformats.org/officeDocument/2006/relationships/hyperlink" Target="mailto:carlos.henao@seriinco.com" TargetMode="External"/><Relationship Id="rId388" Type="http://schemas.openxmlformats.org/officeDocument/2006/relationships/hyperlink" Target="mailto:berincesas@gmail.com" TargetMode="External"/><Relationship Id="rId511" Type="http://schemas.openxmlformats.org/officeDocument/2006/relationships/hyperlink" Target="mailto:lmontoya@iconstructora.com.co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mailto:gino1037@hotmail.com" TargetMode="External"/><Relationship Id="rId21" Type="http://schemas.openxmlformats.org/officeDocument/2006/relationships/hyperlink" Target="mailto:vanessazapata.fcr@gmail.com" TargetMode="External"/><Relationship Id="rId324" Type="http://schemas.openxmlformats.org/officeDocument/2006/relationships/hyperlink" Target="mailto:ypareja@conaltura.com" TargetMode="External"/><Relationship Id="rId531" Type="http://schemas.openxmlformats.org/officeDocument/2006/relationships/hyperlink" Target="mailto:proyectos@entretangencia.com" TargetMode="External"/><Relationship Id="rId170" Type="http://schemas.openxmlformats.org/officeDocument/2006/relationships/hyperlink" Target="mailto:miguana1504@gmail.com" TargetMode="External"/><Relationship Id="rId268" Type="http://schemas.openxmlformats.org/officeDocument/2006/relationships/hyperlink" Target="mailto:andrearestrepoarq@gmail.com" TargetMode="External"/><Relationship Id="rId475" Type="http://schemas.openxmlformats.org/officeDocument/2006/relationships/hyperlink" Target="mailto:ventas@socomes.com" TargetMode="External"/><Relationship Id="rId32" Type="http://schemas.openxmlformats.org/officeDocument/2006/relationships/hyperlink" Target="mailto:dir.tecnico@spci.com.co" TargetMode="External"/><Relationship Id="rId128" Type="http://schemas.openxmlformats.org/officeDocument/2006/relationships/hyperlink" Target="mailto:carlos.gil@risksg.com" TargetMode="External"/><Relationship Id="rId335" Type="http://schemas.openxmlformats.org/officeDocument/2006/relationships/hyperlink" Target="mailto:coor.relacionamiento@spci.com.co" TargetMode="External"/><Relationship Id="rId542" Type="http://schemas.openxmlformats.org/officeDocument/2006/relationships/hyperlink" Target="mailto:sosorio@nivelum.com" TargetMode="External"/><Relationship Id="rId181" Type="http://schemas.openxmlformats.org/officeDocument/2006/relationships/hyperlink" Target="mailto:carlos.henao@seriinco.com" TargetMode="External"/><Relationship Id="rId402" Type="http://schemas.openxmlformats.org/officeDocument/2006/relationships/hyperlink" Target="mailto:carolina@hidrofsalinas.com" TargetMode="External"/><Relationship Id="rId279" Type="http://schemas.openxmlformats.org/officeDocument/2006/relationships/hyperlink" Target="mailto:lsaldarriaga@interlg.com" TargetMode="External"/><Relationship Id="rId486" Type="http://schemas.openxmlformats.org/officeDocument/2006/relationships/hyperlink" Target="mailto:proyectos@prosoma.com.co" TargetMode="External"/><Relationship Id="rId43" Type="http://schemas.openxmlformats.org/officeDocument/2006/relationships/hyperlink" Target="mailto:dir.tecnico@spci.com.co" TargetMode="External"/><Relationship Id="rId139" Type="http://schemas.openxmlformats.org/officeDocument/2006/relationships/hyperlink" Target="mailto:dir.tecnico@spci.com.co" TargetMode="External"/><Relationship Id="rId346" Type="http://schemas.openxmlformats.org/officeDocument/2006/relationships/hyperlink" Target="mailto:Ramon.Garcia@corbeta.com.co" TargetMode="External"/><Relationship Id="rId553" Type="http://schemas.openxmlformats.org/officeDocument/2006/relationships/hyperlink" Target="mailto:comercial2@fpservices.com.co" TargetMode="External"/><Relationship Id="rId192" Type="http://schemas.openxmlformats.org/officeDocument/2006/relationships/hyperlink" Target="mailto:operacionesingesed@gmail.com" TargetMode="External"/><Relationship Id="rId206" Type="http://schemas.openxmlformats.org/officeDocument/2006/relationships/hyperlink" Target="mailto:dirproyectos@securetec.com.co" TargetMode="External"/><Relationship Id="rId413" Type="http://schemas.openxmlformats.org/officeDocument/2006/relationships/hyperlink" Target="mailto:coor.relacionamiento@spci.com.co" TargetMode="External"/><Relationship Id="rId497" Type="http://schemas.openxmlformats.org/officeDocument/2006/relationships/hyperlink" Target="mailto:dirproyectos@securetec.com.co" TargetMode="External"/><Relationship Id="rId357" Type="http://schemas.openxmlformats.org/officeDocument/2006/relationships/hyperlink" Target="mailto:sebastian.pamu94@gmail.com" TargetMode="External"/><Relationship Id="rId54" Type="http://schemas.openxmlformats.org/officeDocument/2006/relationships/hyperlink" Target="mailto:comercial@ingesed.com" TargetMode="External"/><Relationship Id="rId217" Type="http://schemas.openxmlformats.org/officeDocument/2006/relationships/hyperlink" Target="mailto:info@ingeniobim.co" TargetMode="External"/><Relationship Id="rId424" Type="http://schemas.openxmlformats.org/officeDocument/2006/relationships/hyperlink" Target="mailto:carolina@hidrofsalinas.com" TargetMode="External"/><Relationship Id="rId23" Type="http://schemas.openxmlformats.org/officeDocument/2006/relationships/hyperlink" Target="mailto:dir.tecnico@spci.com.co" TargetMode="External"/><Relationship Id="rId119" Type="http://schemas.openxmlformats.org/officeDocument/2006/relationships/hyperlink" Target="mailto:gino1037@hotmail.com" TargetMode="External"/><Relationship Id="rId270" Type="http://schemas.openxmlformats.org/officeDocument/2006/relationships/hyperlink" Target="mailto:dsaldarriaga@interve.co" TargetMode="External"/><Relationship Id="rId326" Type="http://schemas.openxmlformats.org/officeDocument/2006/relationships/hyperlink" Target="mailto:parangor@conconcreto.com" TargetMode="External"/><Relationship Id="rId533" Type="http://schemas.openxmlformats.org/officeDocument/2006/relationships/hyperlink" Target="mailto:n.garcia@condiseno.co" TargetMode="External"/><Relationship Id="rId65" Type="http://schemas.openxmlformats.org/officeDocument/2006/relationships/hyperlink" Target="mailto:jrodriguez@otacc.com" TargetMode="External"/><Relationship Id="rId130" Type="http://schemas.openxmlformats.org/officeDocument/2006/relationships/hyperlink" Target="mailto:dir.tecnico@spci.com.co" TargetMode="External"/><Relationship Id="rId368" Type="http://schemas.openxmlformats.org/officeDocument/2006/relationships/hyperlink" Target="mailto:gino1037@hotmail.com" TargetMode="External"/><Relationship Id="rId172" Type="http://schemas.openxmlformats.org/officeDocument/2006/relationships/hyperlink" Target="mailto:alvaromanosalva@sfiregroup.com" TargetMode="External"/><Relationship Id="rId228" Type="http://schemas.openxmlformats.org/officeDocument/2006/relationships/hyperlink" Target="mailto:jrodriguez@ingesed.com" TargetMode="External"/><Relationship Id="rId435" Type="http://schemas.openxmlformats.org/officeDocument/2006/relationships/hyperlink" Target="mailto:g.jaramillo.arq@gmail.com" TargetMode="External"/><Relationship Id="rId477" Type="http://schemas.openxmlformats.org/officeDocument/2006/relationships/hyperlink" Target="mailto:analistadeproyectos2@pro2.com.co" TargetMode="External"/><Relationship Id="rId281" Type="http://schemas.openxmlformats.org/officeDocument/2006/relationships/hyperlink" Target="mailto:carmenza.guzman@urco.com.co" TargetMode="External"/><Relationship Id="rId337" Type="http://schemas.openxmlformats.org/officeDocument/2006/relationships/hyperlink" Target="mailto:cristinapalacio@mensulaingenieros.com" TargetMode="External"/><Relationship Id="rId502" Type="http://schemas.openxmlformats.org/officeDocument/2006/relationships/hyperlink" Target="mailto:e.ramirez@altosdelaabadia.com" TargetMode="External"/><Relationship Id="rId34" Type="http://schemas.openxmlformats.org/officeDocument/2006/relationships/hyperlink" Target="mailto:goingenieriaysoluciones@gmail.com" TargetMode="External"/><Relationship Id="rId76" Type="http://schemas.openxmlformats.org/officeDocument/2006/relationships/hyperlink" Target="mailto:proyectos@prosoma.com.co" TargetMode="External"/><Relationship Id="rId141" Type="http://schemas.openxmlformats.org/officeDocument/2006/relationships/hyperlink" Target="mailto:coor.relacionamiento@spci.com.co" TargetMode="External"/><Relationship Id="rId379" Type="http://schemas.openxmlformats.org/officeDocument/2006/relationships/hyperlink" Target="mailto:alejandro.restrepomontoya@upb.edu.co" TargetMode="External"/><Relationship Id="rId544" Type="http://schemas.openxmlformats.org/officeDocument/2006/relationships/hyperlink" Target="mailto:fbustamantez@doublec.com" TargetMode="External"/><Relationship Id="rId7" Type="http://schemas.openxmlformats.org/officeDocument/2006/relationships/hyperlink" Target="mailto:dir.tecnico@spci.com.co" TargetMode="External"/><Relationship Id="rId183" Type="http://schemas.openxmlformats.org/officeDocument/2006/relationships/hyperlink" Target="mailto:gerencia@projectsolutions.com.co" TargetMode="External"/><Relationship Id="rId239" Type="http://schemas.openxmlformats.org/officeDocument/2006/relationships/hyperlink" Target="mailto:olcastaneda@conconcreto.com" TargetMode="External"/><Relationship Id="rId390" Type="http://schemas.openxmlformats.org/officeDocument/2006/relationships/hyperlink" Target="mailto:haguilar@contex.com.co" TargetMode="External"/><Relationship Id="rId404" Type="http://schemas.openxmlformats.org/officeDocument/2006/relationships/hyperlink" Target="mailto:njsirc@coninsa.co" TargetMode="External"/><Relationship Id="rId446" Type="http://schemas.openxmlformats.org/officeDocument/2006/relationships/hyperlink" Target="mailto:Cristian7628@hotmail.com" TargetMode="External"/><Relationship Id="rId250" Type="http://schemas.openxmlformats.org/officeDocument/2006/relationships/hyperlink" Target="mailto:innova.planlibre@gmail.com" TargetMode="External"/><Relationship Id="rId292" Type="http://schemas.openxmlformats.org/officeDocument/2006/relationships/hyperlink" Target="mailto:dmartinez@geodic.com.co" TargetMode="External"/><Relationship Id="rId306" Type="http://schemas.openxmlformats.org/officeDocument/2006/relationships/hyperlink" Target="mailto:servicioalcliente@logisticaintegraldeseguros.com" TargetMode="External"/><Relationship Id="rId488" Type="http://schemas.openxmlformats.org/officeDocument/2006/relationships/hyperlink" Target="mailto:proyectos.afcprofire@gmail.com" TargetMode="External"/><Relationship Id="rId45" Type="http://schemas.openxmlformats.org/officeDocument/2006/relationships/hyperlink" Target="mailto:Johana.montoya@perfek.com.co" TargetMode="External"/><Relationship Id="rId87" Type="http://schemas.openxmlformats.org/officeDocument/2006/relationships/hyperlink" Target="mailto:dchidraulicas@gmail.com" TargetMode="External"/><Relationship Id="rId110" Type="http://schemas.openxmlformats.org/officeDocument/2006/relationships/hyperlink" Target="mailto:dsaldarriaga@interve.co" TargetMode="External"/><Relationship Id="rId348" Type="http://schemas.openxmlformats.org/officeDocument/2006/relationships/hyperlink" Target="mailto:Directorcomercial@fireyequipos.com" TargetMode="External"/><Relationship Id="rId513" Type="http://schemas.openxmlformats.org/officeDocument/2006/relationships/hyperlink" Target="mailto:jramirezf@conaltura.com" TargetMode="External"/><Relationship Id="rId555" Type="http://schemas.openxmlformats.org/officeDocument/2006/relationships/hyperlink" Target="mailto:comercial2@fpservices.com.co" TargetMode="External"/><Relationship Id="rId152" Type="http://schemas.openxmlformats.org/officeDocument/2006/relationships/hyperlink" Target="mailto:n.garcia@condiseno.co" TargetMode="External"/><Relationship Id="rId194" Type="http://schemas.openxmlformats.org/officeDocument/2006/relationships/hyperlink" Target="mailto:lmontoya@iconsultores.com.co" TargetMode="External"/><Relationship Id="rId208" Type="http://schemas.openxmlformats.org/officeDocument/2006/relationships/hyperlink" Target="mailto:e.ramirez@verticeing.com" TargetMode="External"/><Relationship Id="rId415" Type="http://schemas.openxmlformats.org/officeDocument/2006/relationships/hyperlink" Target="mailto:josehenao@firemarshal.com.co" TargetMode="External"/><Relationship Id="rId457" Type="http://schemas.openxmlformats.org/officeDocument/2006/relationships/hyperlink" Target="mailto:ypareja@conaltura.com" TargetMode="External"/><Relationship Id="rId261" Type="http://schemas.openxmlformats.org/officeDocument/2006/relationships/hyperlink" Target="mailto:jrodriguez@ingesed.com" TargetMode="External"/><Relationship Id="rId499" Type="http://schemas.openxmlformats.org/officeDocument/2006/relationships/hyperlink" Target="mailto:coor.relacionamiento@spci.com.co" TargetMode="External"/><Relationship Id="rId14" Type="http://schemas.openxmlformats.org/officeDocument/2006/relationships/hyperlink" Target="mailto:gino1037@hotmail.com" TargetMode="External"/><Relationship Id="rId56" Type="http://schemas.openxmlformats.org/officeDocument/2006/relationships/hyperlink" Target="mailto:comercial@ingesed.com" TargetMode="External"/><Relationship Id="rId317" Type="http://schemas.openxmlformats.org/officeDocument/2006/relationships/hyperlink" Target="mailto:luz.ochoa@dinpro.com" TargetMode="External"/><Relationship Id="rId359" Type="http://schemas.openxmlformats.org/officeDocument/2006/relationships/hyperlink" Target="mailto:dir.tecnico@spci.com.co" TargetMode="External"/><Relationship Id="rId524" Type="http://schemas.openxmlformats.org/officeDocument/2006/relationships/hyperlink" Target="mailto:judithelenatrujillo@gmail.com" TargetMode="External"/><Relationship Id="rId98" Type="http://schemas.openxmlformats.org/officeDocument/2006/relationships/hyperlink" Target="mailto:david.lopera@socomes.com" TargetMode="External"/><Relationship Id="rId121" Type="http://schemas.openxmlformats.org/officeDocument/2006/relationships/hyperlink" Target="mailto:gino1037@hotmail.com" TargetMode="External"/><Relationship Id="rId163" Type="http://schemas.openxmlformats.org/officeDocument/2006/relationships/hyperlink" Target="mailto:arq.luis.salgado@gmail.com" TargetMode="External"/><Relationship Id="rId219" Type="http://schemas.openxmlformats.org/officeDocument/2006/relationships/hyperlink" Target="mailto:jorgerojas@iayc.co" TargetMode="External"/><Relationship Id="rId370" Type="http://schemas.openxmlformats.org/officeDocument/2006/relationships/hyperlink" Target="mailto:liderbim@conintel.com.co" TargetMode="External"/><Relationship Id="rId426" Type="http://schemas.openxmlformats.org/officeDocument/2006/relationships/hyperlink" Target="mailto:operacionesingesed@gmail.com" TargetMode="External"/><Relationship Id="rId230" Type="http://schemas.openxmlformats.org/officeDocument/2006/relationships/hyperlink" Target="mailto:carlos.henao@seriinco.com" TargetMode="External"/><Relationship Id="rId468" Type="http://schemas.openxmlformats.org/officeDocument/2006/relationships/hyperlink" Target="mailto:dir.tecnico@spci.com.co" TargetMode="External"/><Relationship Id="rId25" Type="http://schemas.openxmlformats.org/officeDocument/2006/relationships/hyperlink" Target="mailto:andreanunez@firemarshal.com.co" TargetMode="External"/><Relationship Id="rId67" Type="http://schemas.openxmlformats.org/officeDocument/2006/relationships/hyperlink" Target="mailto:John.valencia@perspectivaayc.com" TargetMode="External"/><Relationship Id="rId272" Type="http://schemas.openxmlformats.org/officeDocument/2006/relationships/hyperlink" Target="mailto:coordinadoracomercial@securetec.com.co" TargetMode="External"/><Relationship Id="rId328" Type="http://schemas.openxmlformats.org/officeDocument/2006/relationships/hyperlink" Target="mailto:hduque@hdgerenciaintegral.com" TargetMode="External"/><Relationship Id="rId535" Type="http://schemas.openxmlformats.org/officeDocument/2006/relationships/hyperlink" Target="mailto:pquintero@proyectosurbanos.com.co" TargetMode="External"/><Relationship Id="rId132" Type="http://schemas.openxmlformats.org/officeDocument/2006/relationships/hyperlink" Target="mailto:coordinadorproyectos1@g4ingenieros.com" TargetMode="External"/><Relationship Id="rId174" Type="http://schemas.openxmlformats.org/officeDocument/2006/relationships/hyperlink" Target="mailto:proyectos.afcprofire@gmail.com" TargetMode="External"/><Relationship Id="rId381" Type="http://schemas.openxmlformats.org/officeDocument/2006/relationships/hyperlink" Target="mailto:damesa@mt.com.co" TargetMode="External"/><Relationship Id="rId241" Type="http://schemas.openxmlformats.org/officeDocument/2006/relationships/hyperlink" Target="mailto:stellaibarra@gmail.com" TargetMode="External"/><Relationship Id="rId437" Type="http://schemas.openxmlformats.org/officeDocument/2006/relationships/hyperlink" Target="mailto:proyectos@entretangencia.com" TargetMode="External"/><Relationship Id="rId479" Type="http://schemas.openxmlformats.org/officeDocument/2006/relationships/hyperlink" Target="mailto:n.garcia@condiseno.co" TargetMode="External"/><Relationship Id="rId36" Type="http://schemas.openxmlformats.org/officeDocument/2006/relationships/hyperlink" Target="mailto:posventas@estructurar.co" TargetMode="External"/><Relationship Id="rId283" Type="http://schemas.openxmlformats.org/officeDocument/2006/relationships/hyperlink" Target="mailto:mauricio.guzman@spci.com.co" TargetMode="External"/><Relationship Id="rId339" Type="http://schemas.openxmlformats.org/officeDocument/2006/relationships/hyperlink" Target="mailto:diegozamora@drvingenieria.co" TargetMode="External"/><Relationship Id="rId490" Type="http://schemas.openxmlformats.org/officeDocument/2006/relationships/hyperlink" Target="mailto:Camacho.williams@co.sika.com" TargetMode="External"/><Relationship Id="rId504" Type="http://schemas.openxmlformats.org/officeDocument/2006/relationships/hyperlink" Target="mailto:auxalcala2@constructoradeobras.com" TargetMode="External"/><Relationship Id="rId546" Type="http://schemas.openxmlformats.org/officeDocument/2006/relationships/hyperlink" Target="mailto:Constructorafortich@gmail.com" TargetMode="External"/><Relationship Id="rId78" Type="http://schemas.openxmlformats.org/officeDocument/2006/relationships/hyperlink" Target="mailto:supervisionvillacielo@gmail.com" TargetMode="External"/><Relationship Id="rId101" Type="http://schemas.openxmlformats.org/officeDocument/2006/relationships/hyperlink" Target="mailto:manuela.henao@desur.gov.co" TargetMode="External"/><Relationship Id="rId143" Type="http://schemas.openxmlformats.org/officeDocument/2006/relationships/hyperlink" Target="mailto:costosypresupuesto@tipinterventoria.com" TargetMode="External"/><Relationship Id="rId185" Type="http://schemas.openxmlformats.org/officeDocument/2006/relationships/hyperlink" Target="mailto:carlos.henao@seriinco.com" TargetMode="External"/><Relationship Id="rId350" Type="http://schemas.openxmlformats.org/officeDocument/2006/relationships/hyperlink" Target="mailto:juliomillan@fpservices.com.co" TargetMode="External"/><Relationship Id="rId406" Type="http://schemas.openxmlformats.org/officeDocument/2006/relationships/hyperlink" Target="mailto:julian.gutierrez@espiral.com.co" TargetMode="External"/><Relationship Id="rId9" Type="http://schemas.openxmlformats.org/officeDocument/2006/relationships/hyperlink" Target="mailto:david.lopera@socomes.com" TargetMode="External"/><Relationship Id="rId210" Type="http://schemas.openxmlformats.org/officeDocument/2006/relationships/hyperlink" Target="mailto:esteban.jaramillo@link-inmobiliario.com" TargetMode="External"/><Relationship Id="rId392" Type="http://schemas.openxmlformats.org/officeDocument/2006/relationships/hyperlink" Target="mailto:carlos.henao@seriinco.com" TargetMode="External"/><Relationship Id="rId448" Type="http://schemas.openxmlformats.org/officeDocument/2006/relationships/hyperlink" Target="mailto:camiloar@toroposada.com" TargetMode="External"/><Relationship Id="rId252" Type="http://schemas.openxmlformats.org/officeDocument/2006/relationships/hyperlink" Target="mailto:residenteadministrativo@progressa.com.co" TargetMode="External"/><Relationship Id="rId294" Type="http://schemas.openxmlformats.org/officeDocument/2006/relationships/hyperlink" Target="mailto:david.lopera@socomes.com" TargetMode="External"/><Relationship Id="rId308" Type="http://schemas.openxmlformats.org/officeDocument/2006/relationships/hyperlink" Target="mailto:ventas@socomes.com" TargetMode="External"/><Relationship Id="rId515" Type="http://schemas.openxmlformats.org/officeDocument/2006/relationships/hyperlink" Target="mailto:soporte.comercial1@firesupply.com.co" TargetMode="External"/><Relationship Id="rId47" Type="http://schemas.openxmlformats.org/officeDocument/2006/relationships/hyperlink" Target="mailto:hidraulicaymontajes@gmail.com" TargetMode="External"/><Relationship Id="rId89" Type="http://schemas.openxmlformats.org/officeDocument/2006/relationships/hyperlink" Target="mailto:Apcom2.0@gmail.com" TargetMode="External"/><Relationship Id="rId112" Type="http://schemas.openxmlformats.org/officeDocument/2006/relationships/hyperlink" Target="mailto:mhernandezm@conconcreto.com" TargetMode="External"/><Relationship Id="rId154" Type="http://schemas.openxmlformats.org/officeDocument/2006/relationships/hyperlink" Target="mailto:cramirez@stop.com.co" TargetMode="External"/><Relationship Id="rId361" Type="http://schemas.openxmlformats.org/officeDocument/2006/relationships/hyperlink" Target="mailto:manuelabeltran@convel.co" TargetMode="External"/><Relationship Id="rId557" Type="http://schemas.openxmlformats.org/officeDocument/2006/relationships/hyperlink" Target="mailto:cmesa@coninsa.co" TargetMode="External"/><Relationship Id="rId196" Type="http://schemas.openxmlformats.org/officeDocument/2006/relationships/hyperlink" Target="mailto:e.ramirez@altosdelaabadia.com" TargetMode="External"/><Relationship Id="rId417" Type="http://schemas.openxmlformats.org/officeDocument/2006/relationships/hyperlink" Target="mailto:vdfarieta@coninsa.co" TargetMode="External"/><Relationship Id="rId459" Type="http://schemas.openxmlformats.org/officeDocument/2006/relationships/hyperlink" Target="mailto:coor.relacionamiento@spci.com.co" TargetMode="External"/><Relationship Id="rId16" Type="http://schemas.openxmlformats.org/officeDocument/2006/relationships/hyperlink" Target="mailto:comercial@ingesed.com" TargetMode="External"/><Relationship Id="rId221" Type="http://schemas.openxmlformats.org/officeDocument/2006/relationships/hyperlink" Target="mailto:operacionesingesed@gmail.com" TargetMode="External"/><Relationship Id="rId263" Type="http://schemas.openxmlformats.org/officeDocument/2006/relationships/hyperlink" Target="mailto:comercial@ingesed.com" TargetMode="External"/><Relationship Id="rId319" Type="http://schemas.openxmlformats.org/officeDocument/2006/relationships/hyperlink" Target="mailto:ytamayo@coninsa.co" TargetMode="External"/><Relationship Id="rId470" Type="http://schemas.openxmlformats.org/officeDocument/2006/relationships/hyperlink" Target="mailto:juanramirez@tres-e.com" TargetMode="External"/><Relationship Id="rId526" Type="http://schemas.openxmlformats.org/officeDocument/2006/relationships/hyperlink" Target="mailto:mrestrepo@montacargasamym.com" TargetMode="External"/><Relationship Id="rId58" Type="http://schemas.openxmlformats.org/officeDocument/2006/relationships/hyperlink" Target="mailto:andreanunez@firemarshal.com.co" TargetMode="External"/><Relationship Id="rId123" Type="http://schemas.openxmlformats.org/officeDocument/2006/relationships/hyperlink" Target="mailto:Karenmendez@mensulaingenieros.com" TargetMode="External"/><Relationship Id="rId330" Type="http://schemas.openxmlformats.org/officeDocument/2006/relationships/hyperlink" Target="mailto:andrea@proyectoarq.co" TargetMode="External"/><Relationship Id="rId165" Type="http://schemas.openxmlformats.org/officeDocument/2006/relationships/hyperlink" Target="mailto:operacionesingesed@gmail.com" TargetMode="External"/><Relationship Id="rId372" Type="http://schemas.openxmlformats.org/officeDocument/2006/relationships/hyperlink" Target="mailto:vanessazapata.fcr@gmail.com" TargetMode="External"/><Relationship Id="rId428" Type="http://schemas.openxmlformats.org/officeDocument/2006/relationships/hyperlink" Target="mailto:proyectos@elpenol-antioquia.gov.co" TargetMode="External"/><Relationship Id="rId232" Type="http://schemas.openxmlformats.org/officeDocument/2006/relationships/hyperlink" Target="mailto:diseno4@gyd.com.co" TargetMode="External"/><Relationship Id="rId274" Type="http://schemas.openxmlformats.org/officeDocument/2006/relationships/hyperlink" Target="mailto:jgallego@auteco.com" TargetMode="External"/><Relationship Id="rId481" Type="http://schemas.openxmlformats.org/officeDocument/2006/relationships/hyperlink" Target="mailto:aagudelol@conconcreto.com" TargetMode="External"/><Relationship Id="rId27" Type="http://schemas.openxmlformats.org/officeDocument/2006/relationships/hyperlink" Target="mailto:laura.cardona@perfek.com.co" TargetMode="External"/><Relationship Id="rId69" Type="http://schemas.openxmlformats.org/officeDocument/2006/relationships/hyperlink" Target="mailto:danielavelez.fcr@gmail.com" TargetMode="External"/><Relationship Id="rId134" Type="http://schemas.openxmlformats.org/officeDocument/2006/relationships/hyperlink" Target="mailto:simon.mesa@desur.gov.co" TargetMode="External"/><Relationship Id="rId537" Type="http://schemas.openxmlformats.org/officeDocument/2006/relationships/hyperlink" Target="mailto:angelabravo@mensulaingenieros.com" TargetMode="External"/><Relationship Id="rId80" Type="http://schemas.openxmlformats.org/officeDocument/2006/relationships/hyperlink" Target="mailto:alejandrohernandez@mensulaingenieros.com" TargetMode="External"/><Relationship Id="rId176" Type="http://schemas.openxmlformats.org/officeDocument/2006/relationships/hyperlink" Target="mailto:dir.tecnico@spci.com.co" TargetMode="External"/><Relationship Id="rId341" Type="http://schemas.openxmlformats.org/officeDocument/2006/relationships/hyperlink" Target="mailto:alejandro.restrepomontoya@upb.edu.co" TargetMode="External"/><Relationship Id="rId383" Type="http://schemas.openxmlformats.org/officeDocument/2006/relationships/hyperlink" Target="mailto:carlos.henao@seriinco.com" TargetMode="External"/><Relationship Id="rId439" Type="http://schemas.openxmlformats.org/officeDocument/2006/relationships/hyperlink" Target="mailto:mhernandezm@conconcreto.com" TargetMode="External"/><Relationship Id="rId201" Type="http://schemas.openxmlformats.org/officeDocument/2006/relationships/hyperlink" Target="mailto:lsaldarriaga@interlg.com" TargetMode="External"/><Relationship Id="rId243" Type="http://schemas.openxmlformats.org/officeDocument/2006/relationships/hyperlink" Target="mailto:mhernandezm@conconcreto.com" TargetMode="External"/><Relationship Id="rId285" Type="http://schemas.openxmlformats.org/officeDocument/2006/relationships/hyperlink" Target="mailto:sm@complementoretail.com" TargetMode="External"/><Relationship Id="rId450" Type="http://schemas.openxmlformats.org/officeDocument/2006/relationships/hyperlink" Target="mailto:ymunozg@conciviles.com" TargetMode="External"/><Relationship Id="rId506" Type="http://schemas.openxmlformats.org/officeDocument/2006/relationships/hyperlink" Target="mailto:fbustamantez@doublec.com" TargetMode="External"/><Relationship Id="rId38" Type="http://schemas.openxmlformats.org/officeDocument/2006/relationships/hyperlink" Target="mailto:dir.tecnico@spci.com.co" TargetMode="External"/><Relationship Id="rId103" Type="http://schemas.openxmlformats.org/officeDocument/2006/relationships/hyperlink" Target="mailto:sraic.diseno@gmail.com" TargetMode="External"/><Relationship Id="rId310" Type="http://schemas.openxmlformats.org/officeDocument/2006/relationships/hyperlink" Target="mailto:alvaro.rojas@rrp.com.co" TargetMode="External"/><Relationship Id="rId492" Type="http://schemas.openxmlformats.org/officeDocument/2006/relationships/hyperlink" Target="mailto:residenteadministrativo@progressa.com.co" TargetMode="External"/><Relationship Id="rId548" Type="http://schemas.openxmlformats.org/officeDocument/2006/relationships/hyperlink" Target="mailto:jramirezf@conaltura.com" TargetMode="External"/><Relationship Id="rId91" Type="http://schemas.openxmlformats.org/officeDocument/2006/relationships/hyperlink" Target="mailto:ypareja@conaltura.com" TargetMode="External"/><Relationship Id="rId145" Type="http://schemas.openxmlformats.org/officeDocument/2006/relationships/hyperlink" Target="mailto:dir.tecnico@spci.com.co" TargetMode="External"/><Relationship Id="rId187" Type="http://schemas.openxmlformats.org/officeDocument/2006/relationships/hyperlink" Target="mailto:josemaya@firemarshal.com.co" TargetMode="External"/><Relationship Id="rId352" Type="http://schemas.openxmlformats.org/officeDocument/2006/relationships/hyperlink" Target="mailto:danielavelez.fcr@gmail.com" TargetMode="External"/><Relationship Id="rId394" Type="http://schemas.openxmlformats.org/officeDocument/2006/relationships/hyperlink" Target="mailto:carlos.henao@seriinco.com" TargetMode="External"/><Relationship Id="rId408" Type="http://schemas.openxmlformats.org/officeDocument/2006/relationships/hyperlink" Target="mailto:rodrigo.lopez@aia.com.co" TargetMode="External"/><Relationship Id="rId212" Type="http://schemas.openxmlformats.org/officeDocument/2006/relationships/hyperlink" Target="mailto:josehenao@firemarshal.com.co" TargetMode="External"/><Relationship Id="rId254" Type="http://schemas.openxmlformats.org/officeDocument/2006/relationships/hyperlink" Target="mailto:evanegas@solucionesconstructivas.co" TargetMode="External"/><Relationship Id="rId49" Type="http://schemas.openxmlformats.org/officeDocument/2006/relationships/hyperlink" Target="mailto:dir.tecnico@spci.com.co" TargetMode="External"/><Relationship Id="rId114" Type="http://schemas.openxmlformats.org/officeDocument/2006/relationships/hyperlink" Target="mailto:administracion.43avenida@aceis.com.co" TargetMode="External"/><Relationship Id="rId296" Type="http://schemas.openxmlformats.org/officeDocument/2006/relationships/hyperlink" Target="mailto:gerencia@projectsolutions.com.co" TargetMode="External"/><Relationship Id="rId461" Type="http://schemas.openxmlformats.org/officeDocument/2006/relationships/hyperlink" Target="mailto:n.garcia@condiseno.co" TargetMode="External"/><Relationship Id="rId517" Type="http://schemas.openxmlformats.org/officeDocument/2006/relationships/hyperlink" Target="mailto:jrojas.horizontal@gmail.com" TargetMode="External"/><Relationship Id="rId559" Type="http://schemas.openxmlformats.org/officeDocument/2006/relationships/drawing" Target="../drawings/drawing8.xml"/><Relationship Id="rId60" Type="http://schemas.openxmlformats.org/officeDocument/2006/relationships/hyperlink" Target="mailto:comercial@ingesed.com" TargetMode="External"/><Relationship Id="rId156" Type="http://schemas.openxmlformats.org/officeDocument/2006/relationships/hyperlink" Target="mailto:alvarol@toroposada.com" TargetMode="External"/><Relationship Id="rId198" Type="http://schemas.openxmlformats.org/officeDocument/2006/relationships/hyperlink" Target="mailto:proyectos@paycol.com.co" TargetMode="External"/><Relationship Id="rId321" Type="http://schemas.openxmlformats.org/officeDocument/2006/relationships/hyperlink" Target="mailto:dacuervo@coninsa.co" TargetMode="External"/><Relationship Id="rId363" Type="http://schemas.openxmlformats.org/officeDocument/2006/relationships/hyperlink" Target="mailto:operacionesingesed@gmail.com" TargetMode="External"/><Relationship Id="rId419" Type="http://schemas.openxmlformats.org/officeDocument/2006/relationships/hyperlink" Target="mailto:juan.grajales@supplynetlatam.com" TargetMode="External"/><Relationship Id="rId223" Type="http://schemas.openxmlformats.org/officeDocument/2006/relationships/hyperlink" Target="mailto:comercial@ingesed.com" TargetMode="External"/><Relationship Id="rId430" Type="http://schemas.openxmlformats.org/officeDocument/2006/relationships/hyperlink" Target="mailto:njsirc@coninsa.co" TargetMode="External"/><Relationship Id="rId18" Type="http://schemas.openxmlformats.org/officeDocument/2006/relationships/hyperlink" Target="mailto:hacevedo@interve.co" TargetMode="External"/><Relationship Id="rId265" Type="http://schemas.openxmlformats.org/officeDocument/2006/relationships/hyperlink" Target="mailto:coor.relacionamiento@spci.com.co" TargetMode="External"/><Relationship Id="rId472" Type="http://schemas.openxmlformats.org/officeDocument/2006/relationships/hyperlink" Target="mailto:diseno4@gyd.com.co" TargetMode="External"/><Relationship Id="rId528" Type="http://schemas.openxmlformats.org/officeDocument/2006/relationships/hyperlink" Target="mailto:alvaro.garcia@seriinco.com" TargetMode="External"/><Relationship Id="rId125" Type="http://schemas.openxmlformats.org/officeDocument/2006/relationships/hyperlink" Target="mailto:juliomillan@fpservices.com.co" TargetMode="External"/><Relationship Id="rId167" Type="http://schemas.openxmlformats.org/officeDocument/2006/relationships/hyperlink" Target="mailto:alvaromanosalva@sfiregroup.com" TargetMode="External"/><Relationship Id="rId332" Type="http://schemas.openxmlformats.org/officeDocument/2006/relationships/hyperlink" Target="mailto:aagudelol@conconcreto.com" TargetMode="External"/><Relationship Id="rId374" Type="http://schemas.openxmlformats.org/officeDocument/2006/relationships/hyperlink" Target="mailto:zmlopez@coninsa.co" TargetMode="External"/><Relationship Id="rId71" Type="http://schemas.openxmlformats.org/officeDocument/2006/relationships/hyperlink" Target="mailto:dir.tecnico@spci.com.co" TargetMode="External"/><Relationship Id="rId234" Type="http://schemas.openxmlformats.org/officeDocument/2006/relationships/hyperlink" Target="mailto:arquitectura1@grupovalor.com.co" TargetMode="External"/><Relationship Id="rId2" Type="http://schemas.openxmlformats.org/officeDocument/2006/relationships/hyperlink" Target="mailto:coordinadorobra@gruporaiz.com.co" TargetMode="External"/><Relationship Id="rId29" Type="http://schemas.openxmlformats.org/officeDocument/2006/relationships/hyperlink" Target="mailto:dir.tecnico@spci.com.co" TargetMode="External"/><Relationship Id="rId276" Type="http://schemas.openxmlformats.org/officeDocument/2006/relationships/hyperlink" Target="mailto:coor.relacionamiento@spci.com.co" TargetMode="External"/><Relationship Id="rId441" Type="http://schemas.openxmlformats.org/officeDocument/2006/relationships/hyperlink" Target="mailto:coordinadordisenos@estructurar.co" TargetMode="External"/><Relationship Id="rId483" Type="http://schemas.openxmlformats.org/officeDocument/2006/relationships/hyperlink" Target="mailto:johnnatan.duque@seriinco.com" TargetMode="External"/><Relationship Id="rId539" Type="http://schemas.openxmlformats.org/officeDocument/2006/relationships/hyperlink" Target="mailto:comercial@ingesed.com" TargetMode="External"/><Relationship Id="rId40" Type="http://schemas.openxmlformats.org/officeDocument/2006/relationships/hyperlink" Target="mailto:jenifer.orozco@ingeniobim.co" TargetMode="External"/><Relationship Id="rId136" Type="http://schemas.openxmlformats.org/officeDocument/2006/relationships/hyperlink" Target="mailto:hidraulicaymontajes@gmail.com" TargetMode="External"/><Relationship Id="rId178" Type="http://schemas.openxmlformats.org/officeDocument/2006/relationships/hyperlink" Target="mailto:mrodriguez@fortiaminerals.com" TargetMode="External"/><Relationship Id="rId301" Type="http://schemas.openxmlformats.org/officeDocument/2006/relationships/hyperlink" Target="mailto:bimtribunales@arquitecturayconcreto.com" TargetMode="External"/><Relationship Id="rId343" Type="http://schemas.openxmlformats.org/officeDocument/2006/relationships/hyperlink" Target="mailto:alejandro.restrepomontoya@upb.edu.co" TargetMode="External"/><Relationship Id="rId550" Type="http://schemas.openxmlformats.org/officeDocument/2006/relationships/hyperlink" Target="mailto:Oriente@aci.edu.co" TargetMode="External"/><Relationship Id="rId82" Type="http://schemas.openxmlformats.org/officeDocument/2006/relationships/hyperlink" Target="mailto:analista.presupuesto@seriinco.com" TargetMode="External"/><Relationship Id="rId203" Type="http://schemas.openxmlformats.org/officeDocument/2006/relationships/hyperlink" Target="mailto:alvaromanosalva@sfiregroup.com" TargetMode="External"/><Relationship Id="rId385" Type="http://schemas.openxmlformats.org/officeDocument/2006/relationships/hyperlink" Target="mailto:gerencia@equiposelrapido.com" TargetMode="External"/><Relationship Id="rId245" Type="http://schemas.openxmlformats.org/officeDocument/2006/relationships/hyperlink" Target="mailto:dfelipediaz@gmail.com" TargetMode="External"/><Relationship Id="rId287" Type="http://schemas.openxmlformats.org/officeDocument/2006/relationships/hyperlink" Target="mailto:alejandro.restrepomontoya@upb.edu.co" TargetMode="External"/><Relationship Id="rId410" Type="http://schemas.openxmlformats.org/officeDocument/2006/relationships/hyperlink" Target="mailto:ascomercial2@securetec.com.co" TargetMode="External"/><Relationship Id="rId452" Type="http://schemas.openxmlformats.org/officeDocument/2006/relationships/hyperlink" Target="mailto:operaciones@goodgroup.com.co" TargetMode="External"/><Relationship Id="rId494" Type="http://schemas.openxmlformats.org/officeDocument/2006/relationships/hyperlink" Target="mailto:operaciones.fireyequipos@gmail.com" TargetMode="External"/><Relationship Id="rId508" Type="http://schemas.openxmlformats.org/officeDocument/2006/relationships/hyperlink" Target="mailto:operaciones.fireyequipos@gmail.com" TargetMode="External"/><Relationship Id="rId105" Type="http://schemas.openxmlformats.org/officeDocument/2006/relationships/hyperlink" Target="mailto:ytamayo@coninsa.co" TargetMode="External"/><Relationship Id="rId147" Type="http://schemas.openxmlformats.org/officeDocument/2006/relationships/hyperlink" Target="mailto:robinsonmarulanda@arquitecturayconcreto.com" TargetMode="External"/><Relationship Id="rId312" Type="http://schemas.openxmlformats.org/officeDocument/2006/relationships/hyperlink" Target="mailto:directorproyectos@he-ing.com" TargetMode="External"/><Relationship Id="rId354" Type="http://schemas.openxmlformats.org/officeDocument/2006/relationships/hyperlink" Target="mailto:dannycastro@arquitecturayconcreto.com" TargetMode="External"/><Relationship Id="rId51" Type="http://schemas.openxmlformats.org/officeDocument/2006/relationships/hyperlink" Target="mailto:claudia.ramirez@edyfica.co" TargetMode="External"/><Relationship Id="rId93" Type="http://schemas.openxmlformats.org/officeDocument/2006/relationships/hyperlink" Target="mailto:catalinamadrid@estructurar.co" TargetMode="External"/><Relationship Id="rId189" Type="http://schemas.openxmlformats.org/officeDocument/2006/relationships/hyperlink" Target="mailto:dir.tecnico@spci.com.co" TargetMode="External"/><Relationship Id="rId396" Type="http://schemas.openxmlformats.org/officeDocument/2006/relationships/hyperlink" Target="mailto:juanramirez@tres-e.com" TargetMode="External"/><Relationship Id="rId561" Type="http://schemas.openxmlformats.org/officeDocument/2006/relationships/comments" Target="../comments8.xml"/><Relationship Id="rId214" Type="http://schemas.openxmlformats.org/officeDocument/2006/relationships/hyperlink" Target="mailto:dir.tecnico@spci.com.co" TargetMode="External"/><Relationship Id="rId256" Type="http://schemas.openxmlformats.org/officeDocument/2006/relationships/hyperlink" Target="mailto:proyectos.afcprofire@gmail.com" TargetMode="External"/><Relationship Id="rId298" Type="http://schemas.openxmlformats.org/officeDocument/2006/relationships/hyperlink" Target="mailto:coordinadorproyectos1@g4ingenieros.com" TargetMode="External"/><Relationship Id="rId421" Type="http://schemas.openxmlformats.org/officeDocument/2006/relationships/hyperlink" Target="mailto:coord.infraestructura@incodol.com" TargetMode="External"/><Relationship Id="rId463" Type="http://schemas.openxmlformats.org/officeDocument/2006/relationships/hyperlink" Target="mailto:coordinadorproyectos1@g4ingenieros.com" TargetMode="External"/><Relationship Id="rId519" Type="http://schemas.openxmlformats.org/officeDocument/2006/relationships/hyperlink" Target="mailto:dir.tecnico@spci.com.co" TargetMode="External"/><Relationship Id="rId116" Type="http://schemas.openxmlformats.org/officeDocument/2006/relationships/hyperlink" Target="mailto:gino1037@hotmail.com" TargetMode="External"/><Relationship Id="rId158" Type="http://schemas.openxmlformats.org/officeDocument/2006/relationships/hyperlink" Target="mailto:director-adch@inorca.com.co" TargetMode="External"/><Relationship Id="rId323" Type="http://schemas.openxmlformats.org/officeDocument/2006/relationships/hyperlink" Target="mailto:ventas@socomes.com" TargetMode="External"/><Relationship Id="rId530" Type="http://schemas.openxmlformats.org/officeDocument/2006/relationships/hyperlink" Target="mailto:operaciones@goodgroup.com.co" TargetMode="External"/><Relationship Id="rId20" Type="http://schemas.openxmlformats.org/officeDocument/2006/relationships/hyperlink" Target="mailto:danielrestrepo0804@gmail.com" TargetMode="External"/><Relationship Id="rId62" Type="http://schemas.openxmlformats.org/officeDocument/2006/relationships/hyperlink" Target="mailto:liderbim@conintel.com.co" TargetMode="External"/><Relationship Id="rId365" Type="http://schemas.openxmlformats.org/officeDocument/2006/relationships/hyperlink" Target="mailto:clara.parra@sp.com.co" TargetMode="External"/><Relationship Id="rId225" Type="http://schemas.openxmlformats.org/officeDocument/2006/relationships/hyperlink" Target="mailto:johner.payares@bienesybienes.com.co" TargetMode="External"/><Relationship Id="rId267" Type="http://schemas.openxmlformats.org/officeDocument/2006/relationships/hyperlink" Target="mailto:comercial@ingesed.com" TargetMode="External"/><Relationship Id="rId432" Type="http://schemas.openxmlformats.org/officeDocument/2006/relationships/hyperlink" Target="mailto:gino1037@hotmail.com" TargetMode="External"/><Relationship Id="rId474" Type="http://schemas.openxmlformats.org/officeDocument/2006/relationships/hyperlink" Target="mailto:francisco.unda@seriinco.com" TargetMode="External"/><Relationship Id="rId127" Type="http://schemas.openxmlformats.org/officeDocument/2006/relationships/hyperlink" Target="mailto:trescantost3@gmail.com" TargetMode="External"/><Relationship Id="rId31" Type="http://schemas.openxmlformats.org/officeDocument/2006/relationships/hyperlink" Target="mailto:carlos.henao@seriinco.com" TargetMode="External"/><Relationship Id="rId73" Type="http://schemas.openxmlformats.org/officeDocument/2006/relationships/hyperlink" Target="mailto:maritzam@sohinco.com" TargetMode="External"/><Relationship Id="rId169" Type="http://schemas.openxmlformats.org/officeDocument/2006/relationships/hyperlink" Target="mailto:aasociados@gmail.com" TargetMode="External"/><Relationship Id="rId334" Type="http://schemas.openxmlformats.org/officeDocument/2006/relationships/hyperlink" Target="mailto:carlos.henao@seriinco.com" TargetMode="External"/><Relationship Id="rId376" Type="http://schemas.openxmlformats.org/officeDocument/2006/relationships/hyperlink" Target="mailto:dir.tecnico@spci.com.co" TargetMode="External"/><Relationship Id="rId541" Type="http://schemas.openxmlformats.org/officeDocument/2006/relationships/hyperlink" Target="mailto:juan.caicedo@ieb.co" TargetMode="External"/><Relationship Id="rId4" Type="http://schemas.openxmlformats.org/officeDocument/2006/relationships/hyperlink" Target="mailto:dcv@altosdelaabadia.com" TargetMode="External"/><Relationship Id="rId180" Type="http://schemas.openxmlformats.org/officeDocument/2006/relationships/hyperlink" Target="mailto:gerson@5pa.co" TargetMode="External"/><Relationship Id="rId236" Type="http://schemas.openxmlformats.org/officeDocument/2006/relationships/hyperlink" Target="mailto:jecheverri@londonogomez.com" TargetMode="External"/><Relationship Id="rId278" Type="http://schemas.openxmlformats.org/officeDocument/2006/relationships/hyperlink" Target="mailto:dacuervo@coninsa.co" TargetMode="External"/><Relationship Id="rId401" Type="http://schemas.openxmlformats.org/officeDocument/2006/relationships/hyperlink" Target="mailto:dquinterog@conconcreto.com" TargetMode="External"/><Relationship Id="rId443" Type="http://schemas.openxmlformats.org/officeDocument/2006/relationships/hyperlink" Target="mailto:eceballos@contex.com.co" TargetMode="External"/><Relationship Id="rId303" Type="http://schemas.openxmlformats.org/officeDocument/2006/relationships/hyperlink" Target="mailto:cpinilla@zonafrancabogota.com" TargetMode="External"/><Relationship Id="rId485" Type="http://schemas.openxmlformats.org/officeDocument/2006/relationships/hyperlink" Target="mailto:mnieto@aia.com.co" TargetMode="External"/><Relationship Id="rId42" Type="http://schemas.openxmlformats.org/officeDocument/2006/relationships/hyperlink" Target="mailto:Camilo.Chavez@quironsalud.com" TargetMode="External"/><Relationship Id="rId84" Type="http://schemas.openxmlformats.org/officeDocument/2006/relationships/hyperlink" Target="mailto:coordinadorproyectos1@g4ingenieros.com" TargetMode="External"/><Relationship Id="rId138" Type="http://schemas.openxmlformats.org/officeDocument/2006/relationships/hyperlink" Target="mailto:coorinfraestructura@cpolaya.com.co" TargetMode="External"/><Relationship Id="rId345" Type="http://schemas.openxmlformats.org/officeDocument/2006/relationships/hyperlink" Target="mailto:vgaona@cusezar.com" TargetMode="External"/><Relationship Id="rId387" Type="http://schemas.openxmlformats.org/officeDocument/2006/relationships/hyperlink" Target="mailto:proyectos@prosoma.com.co" TargetMode="External"/><Relationship Id="rId510" Type="http://schemas.openxmlformats.org/officeDocument/2006/relationships/hyperlink" Target="mailto:interventoriaaltamonte@gmail.com" TargetMode="External"/><Relationship Id="rId552" Type="http://schemas.openxmlformats.org/officeDocument/2006/relationships/hyperlink" Target="mailto:operacionesingesed@gmail.com" TargetMode="External"/><Relationship Id="rId191" Type="http://schemas.openxmlformats.org/officeDocument/2006/relationships/hyperlink" Target="mailto:dir.tecnico@spci.com.co" TargetMode="External"/><Relationship Id="rId205" Type="http://schemas.openxmlformats.org/officeDocument/2006/relationships/hyperlink" Target="mailto:dir.tecnico@spci.com.co" TargetMode="External"/><Relationship Id="rId247" Type="http://schemas.openxmlformats.org/officeDocument/2006/relationships/hyperlink" Target="mailto:eceballos@contex.com.co" TargetMode="External"/><Relationship Id="rId412" Type="http://schemas.openxmlformats.org/officeDocument/2006/relationships/hyperlink" Target="mailto:g.jaramillo.arq@gmail.com" TargetMode="External"/><Relationship Id="rId107" Type="http://schemas.openxmlformats.org/officeDocument/2006/relationships/hyperlink" Target="mailto:dir.tecnico@spci.com.co" TargetMode="External"/><Relationship Id="rId289" Type="http://schemas.openxmlformats.org/officeDocument/2006/relationships/hyperlink" Target="mailto:santiago.franco@redigroup.co" TargetMode="External"/><Relationship Id="rId454" Type="http://schemas.openxmlformats.org/officeDocument/2006/relationships/hyperlink" Target="mailto:coor.relacionamiento@spci.com.co" TargetMode="External"/><Relationship Id="rId496" Type="http://schemas.openxmlformats.org/officeDocument/2006/relationships/hyperlink" Target="mailto:gerencia@projectsolutions.com.co" TargetMode="External"/><Relationship Id="rId11" Type="http://schemas.openxmlformats.org/officeDocument/2006/relationships/hyperlink" Target="mailto:calmanya@jomarkseguridad.com" TargetMode="External"/><Relationship Id="rId53" Type="http://schemas.openxmlformats.org/officeDocument/2006/relationships/hyperlink" Target="mailto:hidraulicaymontajes@gmail.com" TargetMode="External"/><Relationship Id="rId149" Type="http://schemas.openxmlformats.org/officeDocument/2006/relationships/hyperlink" Target="mailto:n.garcia@condiseno.co" TargetMode="External"/><Relationship Id="rId314" Type="http://schemas.openxmlformats.org/officeDocument/2006/relationships/hyperlink" Target="mailto:erua@nivelum.com" TargetMode="External"/><Relationship Id="rId356" Type="http://schemas.openxmlformats.org/officeDocument/2006/relationships/hyperlink" Target="mailto:ancardona@comodisimos.com" TargetMode="External"/><Relationship Id="rId398" Type="http://schemas.openxmlformats.org/officeDocument/2006/relationships/hyperlink" Target="mailto:vanessazapata.fcr@gmail.com" TargetMode="External"/><Relationship Id="rId521" Type="http://schemas.openxmlformats.org/officeDocument/2006/relationships/hyperlink" Target="mailto:dir.tecnico@spci.com.co" TargetMode="External"/><Relationship Id="rId95" Type="http://schemas.openxmlformats.org/officeDocument/2006/relationships/hyperlink" Target="mailto:egomez@dobleele.co" TargetMode="External"/><Relationship Id="rId160" Type="http://schemas.openxmlformats.org/officeDocument/2006/relationships/hyperlink" Target="mailto:operacionesingesed@gmail.com" TargetMode="External"/><Relationship Id="rId216" Type="http://schemas.openxmlformats.org/officeDocument/2006/relationships/hyperlink" Target="mailto:e.ramirez@altosdelaabadia.com" TargetMode="External"/><Relationship Id="rId423" Type="http://schemas.openxmlformats.org/officeDocument/2006/relationships/hyperlink" Target="mailto:lforondav@conconcreto.com" TargetMode="External"/><Relationship Id="rId258" Type="http://schemas.openxmlformats.org/officeDocument/2006/relationships/hyperlink" Target="mailto:proyectos.afcprofire@gmail.com" TargetMode="External"/><Relationship Id="rId465" Type="http://schemas.openxmlformats.org/officeDocument/2006/relationships/hyperlink" Target="mailto:miguel.robayo@supplynetlatam.com" TargetMode="External"/><Relationship Id="rId22" Type="http://schemas.openxmlformats.org/officeDocument/2006/relationships/hyperlink" Target="mailto:n.garcia@condiseno.co" TargetMode="External"/><Relationship Id="rId64" Type="http://schemas.openxmlformats.org/officeDocument/2006/relationships/hyperlink" Target="mailto:Proyectos.invigeo@gmail.com" TargetMode="External"/><Relationship Id="rId118" Type="http://schemas.openxmlformats.org/officeDocument/2006/relationships/hyperlink" Target="mailto:gino1037@hotmail.com" TargetMode="External"/><Relationship Id="rId325" Type="http://schemas.openxmlformats.org/officeDocument/2006/relationships/hyperlink" Target="mailto:steven.londono@renovista.com.co" TargetMode="External"/><Relationship Id="rId367" Type="http://schemas.openxmlformats.org/officeDocument/2006/relationships/hyperlink" Target="mailto:gino1037@hotmail.com" TargetMode="External"/><Relationship Id="rId532" Type="http://schemas.openxmlformats.org/officeDocument/2006/relationships/hyperlink" Target="mailto:mantenimiento.maquibombas@gmail.com" TargetMode="External"/><Relationship Id="rId171" Type="http://schemas.openxmlformats.org/officeDocument/2006/relationships/hyperlink" Target="mailto:comercial@ingesed.com" TargetMode="External"/><Relationship Id="rId227" Type="http://schemas.openxmlformats.org/officeDocument/2006/relationships/hyperlink" Target="mailto:raquel.guzman@aliaxis-la.com" TargetMode="External"/><Relationship Id="rId269" Type="http://schemas.openxmlformats.org/officeDocument/2006/relationships/hyperlink" Target="mailto:rproyectos@90qbos.com" TargetMode="External"/><Relationship Id="rId434" Type="http://schemas.openxmlformats.org/officeDocument/2006/relationships/hyperlink" Target="mailto:mhernandezm@conconcreto.com" TargetMode="External"/><Relationship Id="rId476" Type="http://schemas.openxmlformats.org/officeDocument/2006/relationships/hyperlink" Target="mailto:mhernandezm@conconcreto.com" TargetMode="External"/><Relationship Id="rId33" Type="http://schemas.openxmlformats.org/officeDocument/2006/relationships/hyperlink" Target="mailto:operacionesingesed@gmail.com" TargetMode="External"/><Relationship Id="rId129" Type="http://schemas.openxmlformats.org/officeDocument/2006/relationships/hyperlink" Target="mailto:construimosespacioss@gmail.com" TargetMode="External"/><Relationship Id="rId280" Type="http://schemas.openxmlformats.org/officeDocument/2006/relationships/hyperlink" Target="mailto:gaguirre@solciviles.com" TargetMode="External"/><Relationship Id="rId336" Type="http://schemas.openxmlformats.org/officeDocument/2006/relationships/hyperlink" Target="mailto:alexander.oviedo@mineros.com.co" TargetMode="External"/><Relationship Id="rId501" Type="http://schemas.openxmlformats.org/officeDocument/2006/relationships/hyperlink" Target="mailto:coor.relacionamiento@spci.com.co" TargetMode="External"/><Relationship Id="rId543" Type="http://schemas.openxmlformats.org/officeDocument/2006/relationships/hyperlink" Target="mailto:sosorio@nivelum.com" TargetMode="External"/><Relationship Id="rId75" Type="http://schemas.openxmlformats.org/officeDocument/2006/relationships/hyperlink" Target="mailto:rafaelb@toroposada.com" TargetMode="External"/><Relationship Id="rId140" Type="http://schemas.openxmlformats.org/officeDocument/2006/relationships/hyperlink" Target="mailto:coor.relacionamiento@spci.com.co" TargetMode="External"/><Relationship Id="rId182" Type="http://schemas.openxmlformats.org/officeDocument/2006/relationships/hyperlink" Target="mailto:zmlopez@coninsa.co" TargetMode="External"/><Relationship Id="rId378" Type="http://schemas.openxmlformats.org/officeDocument/2006/relationships/hyperlink" Target="mailto:zmlopez@coninsa.co" TargetMode="External"/><Relationship Id="rId403" Type="http://schemas.openxmlformats.org/officeDocument/2006/relationships/hyperlink" Target="mailto:laura.villa@seriinco.com" TargetMode="External"/><Relationship Id="rId6" Type="http://schemas.openxmlformats.org/officeDocument/2006/relationships/hyperlink" Target="mailto:proyectos@santiagorojas.com.co" TargetMode="External"/><Relationship Id="rId238" Type="http://schemas.openxmlformats.org/officeDocument/2006/relationships/hyperlink" Target="mailto:e.ramirez@altosdelaabadia.com" TargetMode="External"/><Relationship Id="rId445" Type="http://schemas.openxmlformats.org/officeDocument/2006/relationships/hyperlink" Target="mailto:gerencia@grupoingenium.co" TargetMode="External"/><Relationship Id="rId487" Type="http://schemas.openxmlformats.org/officeDocument/2006/relationships/hyperlink" Target="mailto:diego.paredes@bienesybienes.com.co" TargetMode="External"/><Relationship Id="rId291" Type="http://schemas.openxmlformats.org/officeDocument/2006/relationships/hyperlink" Target="mailto:comercial@ingesed.com" TargetMode="External"/><Relationship Id="rId305" Type="http://schemas.openxmlformats.org/officeDocument/2006/relationships/hyperlink" Target="mailto:ingmecanico@montajesdemarca.com" TargetMode="External"/><Relationship Id="rId347" Type="http://schemas.openxmlformats.org/officeDocument/2006/relationships/hyperlink" Target="mailto:sebastianochoa@arquitecturayconcreto.com" TargetMode="External"/><Relationship Id="rId512" Type="http://schemas.openxmlformats.org/officeDocument/2006/relationships/hyperlink" Target="mailto:parangor@conconcreto.com" TargetMode="External"/><Relationship Id="rId44" Type="http://schemas.openxmlformats.org/officeDocument/2006/relationships/hyperlink" Target="mailto:arquitectura1@grupovalor.com.co" TargetMode="External"/><Relationship Id="rId86" Type="http://schemas.openxmlformats.org/officeDocument/2006/relationships/hyperlink" Target="mailto:cristinapalacio@mensulaingenieros.com" TargetMode="External"/><Relationship Id="rId151" Type="http://schemas.openxmlformats.org/officeDocument/2006/relationships/hyperlink" Target="mailto:jrodriguez@ingesed.com" TargetMode="External"/><Relationship Id="rId389" Type="http://schemas.openxmlformats.org/officeDocument/2006/relationships/hyperlink" Target="mailto:zmlopez@coninsa.co" TargetMode="External"/><Relationship Id="rId554" Type="http://schemas.openxmlformats.org/officeDocument/2006/relationships/hyperlink" Target="mailto:contacto@konzepto.co" TargetMode="External"/><Relationship Id="rId193" Type="http://schemas.openxmlformats.org/officeDocument/2006/relationships/hyperlink" Target="mailto:comercial@ingesed.com" TargetMode="External"/><Relationship Id="rId207" Type="http://schemas.openxmlformats.org/officeDocument/2006/relationships/hyperlink" Target="mailto:comercial@ingesed.com" TargetMode="External"/><Relationship Id="rId249" Type="http://schemas.openxmlformats.org/officeDocument/2006/relationships/hyperlink" Target="mailto:luisa.castano@grupoarke.com.co" TargetMode="External"/><Relationship Id="rId414" Type="http://schemas.openxmlformats.org/officeDocument/2006/relationships/hyperlink" Target="mailto:coor.relacionamiento@spci.com.co" TargetMode="External"/><Relationship Id="rId456" Type="http://schemas.openxmlformats.org/officeDocument/2006/relationships/hyperlink" Target="mailto:ypareja@conaltura.com" TargetMode="External"/><Relationship Id="rId498" Type="http://schemas.openxmlformats.org/officeDocument/2006/relationships/hyperlink" Target="mailto:alvaro.manosalva@supplynetlatam.com" TargetMode="External"/><Relationship Id="rId13" Type="http://schemas.openxmlformats.org/officeDocument/2006/relationships/hyperlink" Target="mailto:ytamayo@coninsa.co" TargetMode="External"/><Relationship Id="rId109" Type="http://schemas.openxmlformats.org/officeDocument/2006/relationships/hyperlink" Target="mailto:ytamayo@coninsa.co" TargetMode="External"/><Relationship Id="rId260" Type="http://schemas.openxmlformats.org/officeDocument/2006/relationships/hyperlink" Target="mailto:operaciones.erg@gmail.com" TargetMode="External"/><Relationship Id="rId316" Type="http://schemas.openxmlformats.org/officeDocument/2006/relationships/hyperlink" Target="mailto:vanessazapata.fcr@gmail.com" TargetMode="External"/><Relationship Id="rId523" Type="http://schemas.openxmlformats.org/officeDocument/2006/relationships/hyperlink" Target="mailto:gerencia@projectsolutions.com.co" TargetMode="External"/><Relationship Id="rId55" Type="http://schemas.openxmlformats.org/officeDocument/2006/relationships/hyperlink" Target="mailto:comercial@ingesed.com" TargetMode="External"/><Relationship Id="rId97" Type="http://schemas.openxmlformats.org/officeDocument/2006/relationships/hyperlink" Target="mailto:coinsersas2@gmail.com" TargetMode="External"/><Relationship Id="rId120" Type="http://schemas.openxmlformats.org/officeDocument/2006/relationships/hyperlink" Target="mailto:gino1037@hotmail.com" TargetMode="External"/><Relationship Id="rId358" Type="http://schemas.openxmlformats.org/officeDocument/2006/relationships/hyperlink" Target="mailto:director3@eymconstructores.com.co" TargetMode="External"/><Relationship Id="rId162" Type="http://schemas.openxmlformats.org/officeDocument/2006/relationships/hyperlink" Target="mailto:krendon@kyjingenieros.co" TargetMode="External"/><Relationship Id="rId218" Type="http://schemas.openxmlformats.org/officeDocument/2006/relationships/hyperlink" Target="mailto:jrodriguez@ingesed.com" TargetMode="External"/><Relationship Id="rId425" Type="http://schemas.openxmlformats.org/officeDocument/2006/relationships/hyperlink" Target="mailto:pquintero@proyectosurbanos.com.co" TargetMode="External"/><Relationship Id="rId467" Type="http://schemas.openxmlformats.org/officeDocument/2006/relationships/hyperlink" Target="mailto:vanessabuelvas@mensulaingenieros.com" TargetMode="External"/><Relationship Id="rId271" Type="http://schemas.openxmlformats.org/officeDocument/2006/relationships/hyperlink" Target="mailto:dir.tecnico@spci.com.co" TargetMode="External"/><Relationship Id="rId24" Type="http://schemas.openxmlformats.org/officeDocument/2006/relationships/hyperlink" Target="mailto:aagudelol@conconcreto.com" TargetMode="External"/><Relationship Id="rId66" Type="http://schemas.openxmlformats.org/officeDocument/2006/relationships/hyperlink" Target="mailto:muribe@fundamental-au.com" TargetMode="External"/><Relationship Id="rId131" Type="http://schemas.openxmlformats.org/officeDocument/2006/relationships/hyperlink" Target="mailto:dirproyectos@securetec.com.co" TargetMode="External"/><Relationship Id="rId327" Type="http://schemas.openxmlformats.org/officeDocument/2006/relationships/hyperlink" Target="mailto:oscarfcr2@gmail.com" TargetMode="External"/><Relationship Id="rId369" Type="http://schemas.openxmlformats.org/officeDocument/2006/relationships/hyperlink" Target="mailto:i.zuluaga@nucleoconstructora.com" TargetMode="External"/><Relationship Id="rId534" Type="http://schemas.openxmlformats.org/officeDocument/2006/relationships/hyperlink" Target="mailto:g.jaramillo.arq@gmail.com" TargetMode="External"/><Relationship Id="rId173" Type="http://schemas.openxmlformats.org/officeDocument/2006/relationships/hyperlink" Target="mailto:operacionesingesed@gmail.com" TargetMode="External"/><Relationship Id="rId229" Type="http://schemas.openxmlformats.org/officeDocument/2006/relationships/hyperlink" Target="mailto:ef.construccionessas@gmail.com" TargetMode="External"/><Relationship Id="rId380" Type="http://schemas.openxmlformats.org/officeDocument/2006/relationships/hyperlink" Target="mailto:proyectos.afcprofire@gmail.com" TargetMode="External"/><Relationship Id="rId436" Type="http://schemas.openxmlformats.org/officeDocument/2006/relationships/hyperlink" Target="mailto:inhauserproyectos@gmail.com" TargetMode="External"/><Relationship Id="rId240" Type="http://schemas.openxmlformats.org/officeDocument/2006/relationships/hyperlink" Target="mailto:dir.tecnico@spci.com.co" TargetMode="External"/><Relationship Id="rId478" Type="http://schemas.openxmlformats.org/officeDocument/2006/relationships/hyperlink" Target="mailto:heealvarezca@unal.edu.co" TargetMode="External"/><Relationship Id="rId35" Type="http://schemas.openxmlformats.org/officeDocument/2006/relationships/hyperlink" Target="mailto:dir.tecnico@spci.com.co" TargetMode="External"/><Relationship Id="rId77" Type="http://schemas.openxmlformats.org/officeDocument/2006/relationships/hyperlink" Target="mailto:dir.tecnico@spci.com.co" TargetMode="External"/><Relationship Id="rId100" Type="http://schemas.openxmlformats.org/officeDocument/2006/relationships/hyperlink" Target="mailto:directoraadmonjomarkseguridad@gmail.com" TargetMode="External"/><Relationship Id="rId282" Type="http://schemas.openxmlformats.org/officeDocument/2006/relationships/hyperlink" Target="mailto:dir.tecnico@spci.com.co" TargetMode="External"/><Relationship Id="rId338" Type="http://schemas.openxmlformats.org/officeDocument/2006/relationships/hyperlink" Target="mailto:gabriel.velez@construgen.com" TargetMode="External"/><Relationship Id="rId503" Type="http://schemas.openxmlformats.org/officeDocument/2006/relationships/hyperlink" Target="mailto:comercial@ingesed.com" TargetMode="External"/><Relationship Id="rId545" Type="http://schemas.openxmlformats.org/officeDocument/2006/relationships/hyperlink" Target="mailto:robinsonmarulanda@arquitecturayconcreto.com" TargetMode="External"/><Relationship Id="rId8" Type="http://schemas.openxmlformats.org/officeDocument/2006/relationships/hyperlink" Target="mailto:mauricio.guzman@spci.com.co" TargetMode="External"/><Relationship Id="rId142" Type="http://schemas.openxmlformats.org/officeDocument/2006/relationships/hyperlink" Target="mailto:jorge@a3consulting.com.co" TargetMode="External"/><Relationship Id="rId184" Type="http://schemas.openxmlformats.org/officeDocument/2006/relationships/hyperlink" Target="mailto:carlos.henao@seriinco.com" TargetMode="External"/><Relationship Id="rId391" Type="http://schemas.openxmlformats.org/officeDocument/2006/relationships/hyperlink" Target="mailto:cinmobiliariat@telval.com" TargetMode="External"/><Relationship Id="rId405" Type="http://schemas.openxmlformats.org/officeDocument/2006/relationships/hyperlink" Target="mailto:francisco.unda@seriinco.com" TargetMode="External"/><Relationship Id="rId447" Type="http://schemas.openxmlformats.org/officeDocument/2006/relationships/hyperlink" Target="mailto:residenteadministrativo@progressa.com.co" TargetMode="External"/><Relationship Id="rId251" Type="http://schemas.openxmlformats.org/officeDocument/2006/relationships/hyperlink" Target="mailto:santiago.franco@redigroup.co" TargetMode="External"/><Relationship Id="rId489" Type="http://schemas.openxmlformats.org/officeDocument/2006/relationships/hyperlink" Target="mailto:girarconstrucciones@gmail.com" TargetMode="External"/><Relationship Id="rId46" Type="http://schemas.openxmlformats.org/officeDocument/2006/relationships/hyperlink" Target="mailto:diseno4@gyd.com.co" TargetMode="External"/><Relationship Id="rId293" Type="http://schemas.openxmlformats.org/officeDocument/2006/relationships/hyperlink" Target="mailto:laura.arias@studiosur.net" TargetMode="External"/><Relationship Id="rId307" Type="http://schemas.openxmlformats.org/officeDocument/2006/relationships/hyperlink" Target="mailto:haguilar@contex.com.co" TargetMode="External"/><Relationship Id="rId349" Type="http://schemas.openxmlformats.org/officeDocument/2006/relationships/hyperlink" Target="mailto:alejandro.restrepomontoya@upb.edu.co" TargetMode="External"/><Relationship Id="rId514" Type="http://schemas.openxmlformats.org/officeDocument/2006/relationships/hyperlink" Target="mailto:francisco.unda@seriinco.com" TargetMode="External"/><Relationship Id="rId556" Type="http://schemas.openxmlformats.org/officeDocument/2006/relationships/hyperlink" Target="mailto:esencia.living1@gmail.com" TargetMode="External"/><Relationship Id="rId88" Type="http://schemas.openxmlformats.org/officeDocument/2006/relationships/hyperlink" Target="mailto:dchidraulicas@gmail.com" TargetMode="External"/><Relationship Id="rId111" Type="http://schemas.openxmlformats.org/officeDocument/2006/relationships/hyperlink" Target="mailto:ascomercial@securetec.com.co" TargetMode="External"/><Relationship Id="rId153" Type="http://schemas.openxmlformats.org/officeDocument/2006/relationships/hyperlink" Target="mailto:william.hernandez@construgen.com" TargetMode="External"/><Relationship Id="rId195" Type="http://schemas.openxmlformats.org/officeDocument/2006/relationships/hyperlink" Target="mailto:comercial5@servimatcolombia.com" TargetMode="External"/><Relationship Id="rId209" Type="http://schemas.openxmlformats.org/officeDocument/2006/relationships/hyperlink" Target="mailto:parangor@conconcreto.com" TargetMode="External"/><Relationship Id="rId360" Type="http://schemas.openxmlformats.org/officeDocument/2006/relationships/hyperlink" Target="mailto:proyectos3@nivel.co" TargetMode="External"/><Relationship Id="rId416" Type="http://schemas.openxmlformats.org/officeDocument/2006/relationships/hyperlink" Target="mailto:diseno4@gyd.com.co" TargetMode="External"/><Relationship Id="rId220" Type="http://schemas.openxmlformats.org/officeDocument/2006/relationships/hyperlink" Target="mailto:heder.cardozo@isciviles.com.co" TargetMode="External"/><Relationship Id="rId458" Type="http://schemas.openxmlformats.org/officeDocument/2006/relationships/hyperlink" Target="mailto:francisco.unda@seriinco.com" TargetMode="External"/><Relationship Id="rId15" Type="http://schemas.openxmlformats.org/officeDocument/2006/relationships/hyperlink" Target="mailto:dir.tecnico@spci.com.co" TargetMode="External"/><Relationship Id="rId57" Type="http://schemas.openxmlformats.org/officeDocument/2006/relationships/hyperlink" Target="mailto:comercial@ingesed.com" TargetMode="External"/><Relationship Id="rId262" Type="http://schemas.openxmlformats.org/officeDocument/2006/relationships/hyperlink" Target="mailto:coor.relacionamiento@spci.com.co" TargetMode="External"/><Relationship Id="rId318" Type="http://schemas.openxmlformats.org/officeDocument/2006/relationships/hyperlink" Target="mailto:dirproyectos@securetec.com.co" TargetMode="External"/><Relationship Id="rId525" Type="http://schemas.openxmlformats.org/officeDocument/2006/relationships/hyperlink" Target="mailto:fbustamantez@doublec.com" TargetMode="External"/><Relationship Id="rId99" Type="http://schemas.openxmlformats.org/officeDocument/2006/relationships/hyperlink" Target="mailto:jrodriguez@ingesed.com" TargetMode="External"/><Relationship Id="rId122" Type="http://schemas.openxmlformats.org/officeDocument/2006/relationships/hyperlink" Target="mailto:juliomillan@fpservices.com.co" TargetMode="External"/><Relationship Id="rId164" Type="http://schemas.openxmlformats.org/officeDocument/2006/relationships/hyperlink" Target="mailto:ksoto@aia.com.co" TargetMode="External"/><Relationship Id="rId371" Type="http://schemas.openxmlformats.org/officeDocument/2006/relationships/hyperlink" Target="mailto:gerencia@eymconstructores.com.co" TargetMode="External"/><Relationship Id="rId427" Type="http://schemas.openxmlformats.org/officeDocument/2006/relationships/hyperlink" Target="mailto:dir.tecnico@spci.com.co" TargetMode="External"/><Relationship Id="rId469" Type="http://schemas.openxmlformats.org/officeDocument/2006/relationships/hyperlink" Target="mailto:francisco.unda@seriinco.com" TargetMode="External"/><Relationship Id="rId26" Type="http://schemas.openxmlformats.org/officeDocument/2006/relationships/hyperlink" Target="mailto:juannarajo@convel.co" TargetMode="External"/><Relationship Id="rId231" Type="http://schemas.openxmlformats.org/officeDocument/2006/relationships/hyperlink" Target="mailto:operaciones@goodgroup.com.co" TargetMode="External"/><Relationship Id="rId273" Type="http://schemas.openxmlformats.org/officeDocument/2006/relationships/hyperlink" Target="mailto:gerencia@grupoingenium.co" TargetMode="External"/><Relationship Id="rId329" Type="http://schemas.openxmlformats.org/officeDocument/2006/relationships/hyperlink" Target="mailto:ingmecanico@montajesdemarca.com" TargetMode="External"/><Relationship Id="rId480" Type="http://schemas.openxmlformats.org/officeDocument/2006/relationships/hyperlink" Target="mailto:coor.relacionamiento@spci.com.co" TargetMode="External"/><Relationship Id="rId536" Type="http://schemas.openxmlformats.org/officeDocument/2006/relationships/hyperlink" Target="mailto:dir.tecnico@spci.com.co" TargetMode="External"/><Relationship Id="rId68" Type="http://schemas.openxmlformats.org/officeDocument/2006/relationships/hyperlink" Target="mailto:Geinermontoya2015@gmail.com" TargetMode="External"/><Relationship Id="rId133" Type="http://schemas.openxmlformats.org/officeDocument/2006/relationships/hyperlink" Target="mailto:directoraadmonjomarkseguridad@gmail.com" TargetMode="External"/><Relationship Id="rId175" Type="http://schemas.openxmlformats.org/officeDocument/2006/relationships/hyperlink" Target="mailto:heder.cardozo@isciviles.com.co" TargetMode="External"/><Relationship Id="rId340" Type="http://schemas.openxmlformats.org/officeDocument/2006/relationships/hyperlink" Target="mailto:luisa.alarcon@bitacoraingenieria.com" TargetMode="External"/><Relationship Id="rId200" Type="http://schemas.openxmlformats.org/officeDocument/2006/relationships/hyperlink" Target="mailto:francisco.unda@seriinco.com" TargetMode="External"/><Relationship Id="rId382" Type="http://schemas.openxmlformats.org/officeDocument/2006/relationships/hyperlink" Target="mailto:carlos.henao@seriinco.com" TargetMode="External"/><Relationship Id="rId438" Type="http://schemas.openxmlformats.org/officeDocument/2006/relationships/hyperlink" Target="mailto:mhernandezm@conconcreto.com" TargetMode="External"/><Relationship Id="rId242" Type="http://schemas.openxmlformats.org/officeDocument/2006/relationships/hyperlink" Target="mailto:dsaldarriaga@interve.co" TargetMode="External"/><Relationship Id="rId284" Type="http://schemas.openxmlformats.org/officeDocument/2006/relationships/hyperlink" Target="mailto:ygarcia@coninsa.co" TargetMode="External"/><Relationship Id="rId491" Type="http://schemas.openxmlformats.org/officeDocument/2006/relationships/hyperlink" Target="mailto:Camacho.williams@co.sika.com" TargetMode="External"/><Relationship Id="rId505" Type="http://schemas.openxmlformats.org/officeDocument/2006/relationships/hyperlink" Target="mailto:asistentesantillana@mts.com.co" TargetMode="External"/><Relationship Id="rId37" Type="http://schemas.openxmlformats.org/officeDocument/2006/relationships/hyperlink" Target="mailto:jrodriguez@ingesed.com" TargetMode="External"/><Relationship Id="rId79" Type="http://schemas.openxmlformats.org/officeDocument/2006/relationships/hyperlink" Target="mailto:dir.tecnico@spci.com.co" TargetMode="External"/><Relationship Id="rId102" Type="http://schemas.openxmlformats.org/officeDocument/2006/relationships/hyperlink" Target="mailto:sraic.diseno@gmail.com" TargetMode="External"/><Relationship Id="rId144" Type="http://schemas.openxmlformats.org/officeDocument/2006/relationships/hyperlink" Target="mailto:jrendon@doublec.com" TargetMode="External"/><Relationship Id="rId547" Type="http://schemas.openxmlformats.org/officeDocument/2006/relationships/hyperlink" Target="mailto:j.figueroa@ashesfire.co" TargetMode="External"/><Relationship Id="rId90" Type="http://schemas.openxmlformats.org/officeDocument/2006/relationships/hyperlink" Target="mailto:ypareja@conaltura.com" TargetMode="External"/><Relationship Id="rId186" Type="http://schemas.openxmlformats.org/officeDocument/2006/relationships/hyperlink" Target="mailto:r.lopez@ceadnv.com" TargetMode="External"/><Relationship Id="rId351" Type="http://schemas.openxmlformats.org/officeDocument/2006/relationships/hyperlink" Target="mailto:juliomillan@fpservices.com.co" TargetMode="External"/><Relationship Id="rId393" Type="http://schemas.openxmlformats.org/officeDocument/2006/relationships/hyperlink" Target="mailto:r.lopez@ceadnv.com" TargetMode="External"/><Relationship Id="rId407" Type="http://schemas.openxmlformats.org/officeDocument/2006/relationships/hyperlink" Target="mailto:francy.ardila@oxfordpackaging.com" TargetMode="External"/><Relationship Id="rId449" Type="http://schemas.openxmlformats.org/officeDocument/2006/relationships/hyperlink" Target="mailto:coor.relacionamiento@spci.com.co" TargetMode="External"/><Relationship Id="rId211" Type="http://schemas.openxmlformats.org/officeDocument/2006/relationships/hyperlink" Target="mailto:alejandrogiraldo@mensulaingenieros.com" TargetMode="External"/><Relationship Id="rId253" Type="http://schemas.openxmlformats.org/officeDocument/2006/relationships/hyperlink" Target="mailto:alexander.moreno@construgen.com" TargetMode="External"/><Relationship Id="rId295" Type="http://schemas.openxmlformats.org/officeDocument/2006/relationships/hyperlink" Target="mailto:coor.relacionamiento@spci.com.co" TargetMode="External"/><Relationship Id="rId309" Type="http://schemas.openxmlformats.org/officeDocument/2006/relationships/hyperlink" Target="mailto:alvaro.rojas@rrp.com.co" TargetMode="External"/><Relationship Id="rId460" Type="http://schemas.openxmlformats.org/officeDocument/2006/relationships/hyperlink" Target="mailto:sg.sst@c4logistica.com" TargetMode="External"/><Relationship Id="rId516" Type="http://schemas.openxmlformats.org/officeDocument/2006/relationships/hyperlink" Target="mailto:andres.cruz@afcprofire.com" TargetMode="External"/><Relationship Id="rId48" Type="http://schemas.openxmlformats.org/officeDocument/2006/relationships/hyperlink" Target="mailto:hidraulicaymontajes@gmail.com" TargetMode="External"/><Relationship Id="rId113" Type="http://schemas.openxmlformats.org/officeDocument/2006/relationships/hyperlink" Target="mailto:inversionescjsas@gmail.com" TargetMode="External"/><Relationship Id="rId320" Type="http://schemas.openxmlformats.org/officeDocument/2006/relationships/hyperlink" Target="mailto:ytamayo@coninsa.co" TargetMode="External"/><Relationship Id="rId558" Type="http://schemas.openxmlformats.org/officeDocument/2006/relationships/printerSettings" Target="../printerSettings/printerSettings8.bin"/><Relationship Id="rId155" Type="http://schemas.openxmlformats.org/officeDocument/2006/relationships/hyperlink" Target="mailto:l.cuartas@altosdelaabadia.com" TargetMode="External"/><Relationship Id="rId197" Type="http://schemas.openxmlformats.org/officeDocument/2006/relationships/hyperlink" Target="mailto:manuelabeltran@convel.co" TargetMode="External"/><Relationship Id="rId362" Type="http://schemas.openxmlformats.org/officeDocument/2006/relationships/hyperlink" Target="mailto:residente2@solucionesinmobiliariassas.com" TargetMode="External"/><Relationship Id="rId418" Type="http://schemas.openxmlformats.org/officeDocument/2006/relationships/hyperlink" Target="mailto:interventoriaterritorioverde@tipinterventoria.com" TargetMode="External"/><Relationship Id="rId222" Type="http://schemas.openxmlformats.org/officeDocument/2006/relationships/hyperlink" Target="mailto:carolina@hidrofsalinas.com" TargetMode="External"/><Relationship Id="rId264" Type="http://schemas.openxmlformats.org/officeDocument/2006/relationships/hyperlink" Target="mailto:comercial@ingesed.com" TargetMode="External"/><Relationship Id="rId471" Type="http://schemas.openxmlformats.org/officeDocument/2006/relationships/hyperlink" Target="mailto:coor.relacionamiento@spci.com.co" TargetMode="External"/><Relationship Id="rId17" Type="http://schemas.openxmlformats.org/officeDocument/2006/relationships/hyperlink" Target="mailto:n.garcia@condiseno.co" TargetMode="External"/><Relationship Id="rId59" Type="http://schemas.openxmlformats.org/officeDocument/2006/relationships/hyperlink" Target="mailto:manuela.henao@desur.gov.co" TargetMode="External"/><Relationship Id="rId124" Type="http://schemas.openxmlformats.org/officeDocument/2006/relationships/hyperlink" Target="mailto:pquintero@proyectosurbanos.com.co" TargetMode="External"/><Relationship Id="rId527" Type="http://schemas.openxmlformats.org/officeDocument/2006/relationships/hyperlink" Target="mailto:santiago.franco@redigroup.co" TargetMode="External"/><Relationship Id="rId70" Type="http://schemas.openxmlformats.org/officeDocument/2006/relationships/hyperlink" Target="mailto:danielavelez.fcr@gmail.com" TargetMode="External"/><Relationship Id="rId166" Type="http://schemas.openxmlformats.org/officeDocument/2006/relationships/hyperlink" Target="mailto:n.garcia@condiseno.co" TargetMode="External"/><Relationship Id="rId331" Type="http://schemas.openxmlformats.org/officeDocument/2006/relationships/hyperlink" Target="mailto:zmlopez@coninsa.co" TargetMode="External"/><Relationship Id="rId373" Type="http://schemas.openxmlformats.org/officeDocument/2006/relationships/hyperlink" Target="mailto:lauracamila030@hotmail.com" TargetMode="External"/><Relationship Id="rId429" Type="http://schemas.openxmlformats.org/officeDocument/2006/relationships/hyperlink" Target="mailto:andinaconstructura@gmail.com" TargetMode="External"/><Relationship Id="rId1" Type="http://schemas.openxmlformats.org/officeDocument/2006/relationships/hyperlink" Target="mailto:coordinadorobra@gruporaiz.com.co" TargetMode="External"/><Relationship Id="rId233" Type="http://schemas.openxmlformats.org/officeDocument/2006/relationships/hyperlink" Target="mailto:jrodriguez@ingesed.com" TargetMode="External"/><Relationship Id="rId440" Type="http://schemas.openxmlformats.org/officeDocument/2006/relationships/hyperlink" Target="mailto:Karenmendez@mensulaingenieros.com" TargetMode="External"/><Relationship Id="rId28" Type="http://schemas.openxmlformats.org/officeDocument/2006/relationships/hyperlink" Target="mailto:n.garcia@condiseno.co" TargetMode="External"/><Relationship Id="rId275" Type="http://schemas.openxmlformats.org/officeDocument/2006/relationships/hyperlink" Target="mailto:coordinadordisenos@estructurar.co" TargetMode="External"/><Relationship Id="rId300" Type="http://schemas.openxmlformats.org/officeDocument/2006/relationships/hyperlink" Target="mailto:fabian.gomez@arconsa.com.co" TargetMode="External"/><Relationship Id="rId482" Type="http://schemas.openxmlformats.org/officeDocument/2006/relationships/hyperlink" Target="mailto:camilo.quintero@spci.com.co" TargetMode="External"/><Relationship Id="rId538" Type="http://schemas.openxmlformats.org/officeDocument/2006/relationships/hyperlink" Target="mailto:sosorio@nivelum.com" TargetMode="External"/><Relationship Id="rId81" Type="http://schemas.openxmlformats.org/officeDocument/2006/relationships/hyperlink" Target="mailto:hidraulicaymontajes@gmail.com" TargetMode="External"/><Relationship Id="rId135" Type="http://schemas.openxmlformats.org/officeDocument/2006/relationships/hyperlink" Target="mailto:simon.mesa@desur.gov.co" TargetMode="External"/><Relationship Id="rId177" Type="http://schemas.openxmlformats.org/officeDocument/2006/relationships/hyperlink" Target="mailto:proyectosbim@cantagirone.com" TargetMode="External"/><Relationship Id="rId342" Type="http://schemas.openxmlformats.org/officeDocument/2006/relationships/hyperlink" Target="mailto:alejandro.restrepomontoya@upb.edu.co" TargetMode="External"/><Relationship Id="rId384" Type="http://schemas.openxmlformats.org/officeDocument/2006/relationships/hyperlink" Target="mailto:carlos.henao@seriinco.com" TargetMode="External"/><Relationship Id="rId202" Type="http://schemas.openxmlformats.org/officeDocument/2006/relationships/hyperlink" Target="mailto:coordinadorproyectos1@g4ingenieros.com" TargetMode="External"/><Relationship Id="rId244" Type="http://schemas.openxmlformats.org/officeDocument/2006/relationships/hyperlink" Target="mailto:jhon.osorio@mineros.com.co" TargetMode="External"/><Relationship Id="rId39" Type="http://schemas.openxmlformats.org/officeDocument/2006/relationships/hyperlink" Target="mailto:dir.tecnico@spci.com.co" TargetMode="External"/><Relationship Id="rId286" Type="http://schemas.openxmlformats.org/officeDocument/2006/relationships/hyperlink" Target="mailto:coordinador.administrativo@gradeco.com.co" TargetMode="External"/><Relationship Id="rId451" Type="http://schemas.openxmlformats.org/officeDocument/2006/relationships/hyperlink" Target="mailto:hyfireingenieros@gmail.com" TargetMode="External"/><Relationship Id="rId493" Type="http://schemas.openxmlformats.org/officeDocument/2006/relationships/hyperlink" Target="mailto:angelabravo@mensulaingenieros.com" TargetMode="External"/><Relationship Id="rId507" Type="http://schemas.openxmlformats.org/officeDocument/2006/relationships/hyperlink" Target="mailto:emerson.moraes@braspine.com.br" TargetMode="External"/><Relationship Id="rId549" Type="http://schemas.openxmlformats.org/officeDocument/2006/relationships/hyperlink" Target="mailto:amartineza@conconcreto.com" TargetMode="External"/><Relationship Id="rId50" Type="http://schemas.openxmlformats.org/officeDocument/2006/relationships/hyperlink" Target="mailto:reservas@lamayoria.com" TargetMode="External"/><Relationship Id="rId104" Type="http://schemas.openxmlformats.org/officeDocument/2006/relationships/hyperlink" Target="mailto:carolina@hidrofsalinas.com" TargetMode="External"/><Relationship Id="rId146" Type="http://schemas.openxmlformats.org/officeDocument/2006/relationships/hyperlink" Target="mailto:coorinfraestructura@cpolaya.com.co" TargetMode="External"/><Relationship Id="rId188" Type="http://schemas.openxmlformats.org/officeDocument/2006/relationships/hyperlink" Target="mailto:yisela.alvarez@duasrodas.com" TargetMode="External"/><Relationship Id="rId311" Type="http://schemas.openxmlformats.org/officeDocument/2006/relationships/hyperlink" Target="mailto:luz.ochoa@dinpro.com" TargetMode="External"/><Relationship Id="rId353" Type="http://schemas.openxmlformats.org/officeDocument/2006/relationships/hyperlink" Target="mailto:andrea.pineda@studiosur.net" TargetMode="External"/><Relationship Id="rId395" Type="http://schemas.openxmlformats.org/officeDocument/2006/relationships/hyperlink" Target="mailto:ytamayo@coninsa.co" TargetMode="External"/><Relationship Id="rId409" Type="http://schemas.openxmlformats.org/officeDocument/2006/relationships/hyperlink" Target="mailto:Directorcomercial@fireyequipos.com" TargetMode="External"/><Relationship Id="rId560" Type="http://schemas.openxmlformats.org/officeDocument/2006/relationships/vmlDrawing" Target="../drawings/vmlDrawing8.vml"/><Relationship Id="rId92" Type="http://schemas.openxmlformats.org/officeDocument/2006/relationships/hyperlink" Target="mailto:materialesysuministros@constructorakavan.com" TargetMode="External"/><Relationship Id="rId213" Type="http://schemas.openxmlformats.org/officeDocument/2006/relationships/hyperlink" Target="mailto:dycrci94@gmail.com" TargetMode="External"/><Relationship Id="rId420" Type="http://schemas.openxmlformats.org/officeDocument/2006/relationships/hyperlink" Target="mailto:zmlopez@coninsa.co" TargetMode="External"/><Relationship Id="rId255" Type="http://schemas.openxmlformats.org/officeDocument/2006/relationships/hyperlink" Target="mailto:proyectos.afcprofire@gmail.com" TargetMode="External"/><Relationship Id="rId297" Type="http://schemas.openxmlformats.org/officeDocument/2006/relationships/hyperlink" Target="mailto:nicolasvargas@convel.co" TargetMode="External"/><Relationship Id="rId462" Type="http://schemas.openxmlformats.org/officeDocument/2006/relationships/hyperlink" Target="mailto:carlos.henao@seriinco.com" TargetMode="External"/><Relationship Id="rId518" Type="http://schemas.openxmlformats.org/officeDocument/2006/relationships/hyperlink" Target="mailto:dir.tecnico@spci.com.co" TargetMode="External"/><Relationship Id="rId115" Type="http://schemas.openxmlformats.org/officeDocument/2006/relationships/hyperlink" Target="mailto:oscarfcr2@gmail.com" TargetMode="External"/><Relationship Id="rId157" Type="http://schemas.openxmlformats.org/officeDocument/2006/relationships/hyperlink" Target="mailto:serviciosgenerales@sannicolas.co" TargetMode="External"/><Relationship Id="rId322" Type="http://schemas.openxmlformats.org/officeDocument/2006/relationships/hyperlink" Target="mailto:gerencia@projectsolutions.com.co" TargetMode="External"/><Relationship Id="rId364" Type="http://schemas.openxmlformats.org/officeDocument/2006/relationships/hyperlink" Target="mailto:paradigmaarquitectura75@gmail.com" TargetMode="External"/><Relationship Id="rId61" Type="http://schemas.openxmlformats.org/officeDocument/2006/relationships/hyperlink" Target="mailto:comercial@ingesed.com" TargetMode="External"/><Relationship Id="rId199" Type="http://schemas.openxmlformats.org/officeDocument/2006/relationships/hyperlink" Target="mailto:dmoscoso@conconcreto.com" TargetMode="External"/><Relationship Id="rId19" Type="http://schemas.openxmlformats.org/officeDocument/2006/relationships/hyperlink" Target="mailto:jrodriguez@otacc.com" TargetMode="External"/><Relationship Id="rId224" Type="http://schemas.openxmlformats.org/officeDocument/2006/relationships/hyperlink" Target="mailto:scarmona@ains.com.co" TargetMode="External"/><Relationship Id="rId266" Type="http://schemas.openxmlformats.org/officeDocument/2006/relationships/hyperlink" Target="mailto:lilianavaldivieso@mensulaingenieros.com" TargetMode="External"/><Relationship Id="rId431" Type="http://schemas.openxmlformats.org/officeDocument/2006/relationships/hyperlink" Target="mailto:mhernandezm@conconcreto.com" TargetMode="External"/><Relationship Id="rId473" Type="http://schemas.openxmlformats.org/officeDocument/2006/relationships/hyperlink" Target="mailto:muribe@fundamental-au.com" TargetMode="External"/><Relationship Id="rId529" Type="http://schemas.openxmlformats.org/officeDocument/2006/relationships/hyperlink" Target="mailto:alvaro.garcia@seriinco.com" TargetMode="External"/><Relationship Id="rId30" Type="http://schemas.openxmlformats.org/officeDocument/2006/relationships/hyperlink" Target="mailto:gerencia@projectsolutions.com.co" TargetMode="External"/><Relationship Id="rId126" Type="http://schemas.openxmlformats.org/officeDocument/2006/relationships/hyperlink" Target="mailto:alejandra.restrepo@2becommerce.com" TargetMode="External"/><Relationship Id="rId168" Type="http://schemas.openxmlformats.org/officeDocument/2006/relationships/hyperlink" Target="mailto:dir.tecnico@spci.com.co" TargetMode="External"/><Relationship Id="rId333" Type="http://schemas.openxmlformats.org/officeDocument/2006/relationships/hyperlink" Target="mailto:paolopez@paoarq.com" TargetMode="External"/><Relationship Id="rId540" Type="http://schemas.openxmlformats.org/officeDocument/2006/relationships/hyperlink" Target="mailto:eqlaureles2@gmail.com" TargetMode="External"/><Relationship Id="rId72" Type="http://schemas.openxmlformats.org/officeDocument/2006/relationships/hyperlink" Target="mailto:ccabrera@fpciviles.com" TargetMode="External"/><Relationship Id="rId375" Type="http://schemas.openxmlformats.org/officeDocument/2006/relationships/hyperlink" Target="mailto:dir.tecnico@spci.com.co" TargetMode="External"/><Relationship Id="rId3" Type="http://schemas.openxmlformats.org/officeDocument/2006/relationships/hyperlink" Target="mailto:dir.proyectos@goodgroup.com.co" TargetMode="External"/><Relationship Id="rId235" Type="http://schemas.openxmlformats.org/officeDocument/2006/relationships/hyperlink" Target="mailto:e.ramirez@altosdelaabadia.com" TargetMode="External"/><Relationship Id="rId277" Type="http://schemas.openxmlformats.org/officeDocument/2006/relationships/hyperlink" Target="mailto:n.garcia@condiseno.co" TargetMode="External"/><Relationship Id="rId400" Type="http://schemas.openxmlformats.org/officeDocument/2006/relationships/hyperlink" Target="mailto:coor.relacionamiento@spci.com.co" TargetMode="External"/><Relationship Id="rId442" Type="http://schemas.openxmlformats.org/officeDocument/2006/relationships/hyperlink" Target="mailto:andrearestrepo@joarq.com" TargetMode="External"/><Relationship Id="rId484" Type="http://schemas.openxmlformats.org/officeDocument/2006/relationships/hyperlink" Target="mailto:sraic.diseno@gmail.com" TargetMode="External"/><Relationship Id="rId137" Type="http://schemas.openxmlformats.org/officeDocument/2006/relationships/hyperlink" Target="mailto:dir.tecnico@spci.com.co" TargetMode="External"/><Relationship Id="rId302" Type="http://schemas.openxmlformats.org/officeDocument/2006/relationships/hyperlink" Target="mailto:zmlopez@coninsa.co" TargetMode="External"/><Relationship Id="rId344" Type="http://schemas.openxmlformats.org/officeDocument/2006/relationships/hyperlink" Target="mailto:alejandro.restrepomontoya@upb.edu.co" TargetMode="External"/><Relationship Id="rId41" Type="http://schemas.openxmlformats.org/officeDocument/2006/relationships/hyperlink" Target="mailto:dircambulos@constructoradeobras.com" TargetMode="External"/><Relationship Id="rId83" Type="http://schemas.openxmlformats.org/officeDocument/2006/relationships/hyperlink" Target="mailto:alvaromanosalva@sfiregroup.com" TargetMode="External"/><Relationship Id="rId179" Type="http://schemas.openxmlformats.org/officeDocument/2006/relationships/hyperlink" Target="mailto:juanfossa77@gmail.com" TargetMode="External"/><Relationship Id="rId386" Type="http://schemas.openxmlformats.org/officeDocument/2006/relationships/hyperlink" Target="mailto:sraic.diseno@gmail.com" TargetMode="External"/><Relationship Id="rId551" Type="http://schemas.openxmlformats.org/officeDocument/2006/relationships/hyperlink" Target="mailto:josemaya@firemarshal.com.co" TargetMode="External"/><Relationship Id="rId190" Type="http://schemas.openxmlformats.org/officeDocument/2006/relationships/hyperlink" Target="mailto:berincesas@gmail.com" TargetMode="External"/><Relationship Id="rId204" Type="http://schemas.openxmlformats.org/officeDocument/2006/relationships/hyperlink" Target="mailto:Ramon.Garcia@corbeta.com.co" TargetMode="External"/><Relationship Id="rId246" Type="http://schemas.openxmlformats.org/officeDocument/2006/relationships/hyperlink" Target="mailto:comercial@ingesed.com" TargetMode="External"/><Relationship Id="rId288" Type="http://schemas.openxmlformats.org/officeDocument/2006/relationships/hyperlink" Target="mailto:santiago.franco@redigroup.co" TargetMode="External"/><Relationship Id="rId411" Type="http://schemas.openxmlformats.org/officeDocument/2006/relationships/hyperlink" Target="mailto:dirproyectos@securetec.com.co" TargetMode="External"/><Relationship Id="rId453" Type="http://schemas.openxmlformats.org/officeDocument/2006/relationships/hyperlink" Target="mailto:carlos.henao@seriinco.com" TargetMode="External"/><Relationship Id="rId509" Type="http://schemas.openxmlformats.org/officeDocument/2006/relationships/hyperlink" Target="mailto:santiago.franco@redigroup.co" TargetMode="External"/><Relationship Id="rId106" Type="http://schemas.openxmlformats.org/officeDocument/2006/relationships/hyperlink" Target="mailto:n.garcia@condiseno.co" TargetMode="External"/><Relationship Id="rId313" Type="http://schemas.openxmlformats.org/officeDocument/2006/relationships/hyperlink" Target="mailto:tesoreria@ceramicasrenacer.com" TargetMode="External"/><Relationship Id="rId495" Type="http://schemas.openxmlformats.org/officeDocument/2006/relationships/hyperlink" Target="mailto:operaciones.fireyequipos@gmail.com" TargetMode="External"/><Relationship Id="rId10" Type="http://schemas.openxmlformats.org/officeDocument/2006/relationships/hyperlink" Target="mailto:comercial@ingesed.com" TargetMode="External"/><Relationship Id="rId52" Type="http://schemas.openxmlformats.org/officeDocument/2006/relationships/hyperlink" Target="mailto:hidraulicaymontajes@gmail.com" TargetMode="External"/><Relationship Id="rId94" Type="http://schemas.openxmlformats.org/officeDocument/2006/relationships/hyperlink" Target="mailto:comercial@ingesed.com" TargetMode="External"/><Relationship Id="rId148" Type="http://schemas.openxmlformats.org/officeDocument/2006/relationships/hyperlink" Target="mailto:operacionesingesed@gmail.com" TargetMode="External"/><Relationship Id="rId355" Type="http://schemas.openxmlformats.org/officeDocument/2006/relationships/hyperlink" Target="mailto:francisco.unda@seriinco.com" TargetMode="External"/><Relationship Id="rId397" Type="http://schemas.openxmlformats.org/officeDocument/2006/relationships/hyperlink" Target="mailto:fbustamantez@doublec.com" TargetMode="External"/><Relationship Id="rId520" Type="http://schemas.openxmlformats.org/officeDocument/2006/relationships/hyperlink" Target="mailto:laura.arias@studiosur.net" TargetMode="External"/><Relationship Id="rId562" Type="http://schemas.microsoft.com/office/2017/10/relationships/threadedComment" Target="../threadedComments/threadedComment4.xml"/><Relationship Id="rId215" Type="http://schemas.openxmlformats.org/officeDocument/2006/relationships/hyperlink" Target="mailto:fcardona@constructivamente.com" TargetMode="External"/><Relationship Id="rId257" Type="http://schemas.openxmlformats.org/officeDocument/2006/relationships/hyperlink" Target="mailto:proyectos.afcprofire@gmail.com" TargetMode="External"/><Relationship Id="rId422" Type="http://schemas.openxmlformats.org/officeDocument/2006/relationships/hyperlink" Target="mailto:dir.tecnico@spci.com.co" TargetMode="External"/><Relationship Id="rId464" Type="http://schemas.openxmlformats.org/officeDocument/2006/relationships/hyperlink" Target="mailto:coordinadorproyectos1@g4ingenieros.com" TargetMode="External"/><Relationship Id="rId299" Type="http://schemas.openxmlformats.org/officeDocument/2006/relationships/hyperlink" Target="mailto:coordinadorsst@marketcerdo.com" TargetMode="External"/><Relationship Id="rId63" Type="http://schemas.openxmlformats.org/officeDocument/2006/relationships/hyperlink" Target="mailto:dir.tecnico@spci.com.co" TargetMode="External"/><Relationship Id="rId159" Type="http://schemas.openxmlformats.org/officeDocument/2006/relationships/hyperlink" Target="mailto:operacionesingesed@gmail.com" TargetMode="External"/><Relationship Id="rId366" Type="http://schemas.openxmlformats.org/officeDocument/2006/relationships/hyperlink" Target="mailto:gabriel.velez@construgen.com" TargetMode="External"/><Relationship Id="rId226" Type="http://schemas.openxmlformats.org/officeDocument/2006/relationships/hyperlink" Target="mailto:nruiz@grupoattia.com" TargetMode="External"/><Relationship Id="rId433" Type="http://schemas.openxmlformats.org/officeDocument/2006/relationships/hyperlink" Target="mailto:dir.tecnico@spci.com.co" TargetMode="External"/><Relationship Id="rId74" Type="http://schemas.openxmlformats.org/officeDocument/2006/relationships/hyperlink" Target="mailto:jmesa@conexoinmobiliario.com" TargetMode="External"/><Relationship Id="rId377" Type="http://schemas.openxmlformats.org/officeDocument/2006/relationships/hyperlink" Target="mailto:dir.tecnico@spci.com.co" TargetMode="External"/><Relationship Id="rId500" Type="http://schemas.openxmlformats.org/officeDocument/2006/relationships/hyperlink" Target="mailto:juannaranjo@convel.co" TargetMode="External"/><Relationship Id="rId5" Type="http://schemas.openxmlformats.org/officeDocument/2006/relationships/hyperlink" Target="mailto:ytamayo@coninsa.co" TargetMode="External"/><Relationship Id="rId237" Type="http://schemas.openxmlformats.org/officeDocument/2006/relationships/hyperlink" Target="mailto:mantenimiento@suratex.co" TargetMode="External"/><Relationship Id="rId444" Type="http://schemas.openxmlformats.org/officeDocument/2006/relationships/hyperlink" Target="mailto:dir.tecnico@spci.com.co" TargetMode="External"/><Relationship Id="rId290" Type="http://schemas.openxmlformats.org/officeDocument/2006/relationships/hyperlink" Target="mailto:comercial@ingesed.com" TargetMode="External"/><Relationship Id="rId304" Type="http://schemas.openxmlformats.org/officeDocument/2006/relationships/hyperlink" Target="mailto:coor.relacionamiento@spci.com.co" TargetMode="External"/><Relationship Id="rId388" Type="http://schemas.openxmlformats.org/officeDocument/2006/relationships/hyperlink" Target="mailto:egomez@dobleele.co" TargetMode="External"/><Relationship Id="rId511" Type="http://schemas.openxmlformats.org/officeDocument/2006/relationships/hyperlink" Target="mailto:juan.caicedo@ieb.co" TargetMode="External"/><Relationship Id="rId85" Type="http://schemas.openxmlformats.org/officeDocument/2006/relationships/hyperlink" Target="mailto:juannaranjo@convel.co" TargetMode="External"/><Relationship Id="rId150" Type="http://schemas.openxmlformats.org/officeDocument/2006/relationships/hyperlink" Target="mailto:n.garcia@condiseno.co" TargetMode="External"/><Relationship Id="rId248" Type="http://schemas.openxmlformats.org/officeDocument/2006/relationships/hyperlink" Target="mailto:alejandrogiraldo@mensulaingenieros.com" TargetMode="External"/><Relationship Id="rId455" Type="http://schemas.openxmlformats.org/officeDocument/2006/relationships/hyperlink" Target="mailto:ypareja@conaltura.com" TargetMode="External"/><Relationship Id="rId12" Type="http://schemas.openxmlformats.org/officeDocument/2006/relationships/hyperlink" Target="mailto:calmanya@jomarkseguridad.com" TargetMode="External"/><Relationship Id="rId108" Type="http://schemas.openxmlformats.org/officeDocument/2006/relationships/hyperlink" Target="mailto:cmesa@coninsa.co" TargetMode="External"/><Relationship Id="rId315" Type="http://schemas.openxmlformats.org/officeDocument/2006/relationships/hyperlink" Target="mailto:vdaza@solciviles.com" TargetMode="External"/><Relationship Id="rId522" Type="http://schemas.openxmlformats.org/officeDocument/2006/relationships/hyperlink" Target="mailto:camiloar@toroposada.com" TargetMode="External"/><Relationship Id="rId96" Type="http://schemas.openxmlformats.org/officeDocument/2006/relationships/hyperlink" Target="mailto:gerencia@projectsolutions.com.co" TargetMode="External"/><Relationship Id="rId161" Type="http://schemas.openxmlformats.org/officeDocument/2006/relationships/hyperlink" Target="mailto:krendon@kyjingenieros.co" TargetMode="External"/><Relationship Id="rId399" Type="http://schemas.openxmlformats.org/officeDocument/2006/relationships/hyperlink" Target="mailto:coordinadordisenos@estructurar.co" TargetMode="External"/><Relationship Id="rId259" Type="http://schemas.openxmlformats.org/officeDocument/2006/relationships/hyperlink" Target="mailto:comercial@ingesed.com" TargetMode="External"/><Relationship Id="rId466" Type="http://schemas.openxmlformats.org/officeDocument/2006/relationships/hyperlink" Target="mailto:coordinador.administrativo@gradeco.com.co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mailto:proyectos@jveraarqs.com" TargetMode="External"/><Relationship Id="rId21" Type="http://schemas.openxmlformats.org/officeDocument/2006/relationships/hyperlink" Target="mailto:jrodriguez@ingesed.com" TargetMode="External"/><Relationship Id="rId63" Type="http://schemas.openxmlformats.org/officeDocument/2006/relationships/hyperlink" Target="mailto:carlos.escamilla@cgr-bogota.com" TargetMode="External"/><Relationship Id="rId159" Type="http://schemas.openxmlformats.org/officeDocument/2006/relationships/hyperlink" Target="mailto:ascomercial2@securetec.com.co" TargetMode="External"/><Relationship Id="rId170" Type="http://schemas.openxmlformats.org/officeDocument/2006/relationships/hyperlink" Target="mailto:comercial@ingesed.com" TargetMode="External"/><Relationship Id="rId226" Type="http://schemas.openxmlformats.org/officeDocument/2006/relationships/hyperlink" Target="mailto:pduque@columbus.edu.co" TargetMode="External"/><Relationship Id="rId268" Type="http://schemas.openxmlformats.org/officeDocument/2006/relationships/hyperlink" Target="mailto:stevenrios@convel.co" TargetMode="External"/><Relationship Id="rId32" Type="http://schemas.openxmlformats.org/officeDocument/2006/relationships/hyperlink" Target="mailto:n.garcia@condiseno.co" TargetMode="External"/><Relationship Id="rId74" Type="http://schemas.openxmlformats.org/officeDocument/2006/relationships/hyperlink" Target="mailto:comercial@ingesed.com" TargetMode="External"/><Relationship Id="rId128" Type="http://schemas.openxmlformats.org/officeDocument/2006/relationships/hyperlink" Target="mailto:francisco.unda@seriinco.com" TargetMode="External"/><Relationship Id="rId5" Type="http://schemas.openxmlformats.org/officeDocument/2006/relationships/hyperlink" Target="mailto:comercial@goodgroup.com.co" TargetMode="External"/><Relationship Id="rId95" Type="http://schemas.openxmlformats.org/officeDocument/2006/relationships/hyperlink" Target="mailto:dscastro@coninsa.co" TargetMode="External"/><Relationship Id="rId160" Type="http://schemas.openxmlformats.org/officeDocument/2006/relationships/hyperlink" Target="mailto:francisco.unda@seriinco.com" TargetMode="External"/><Relationship Id="rId181" Type="http://schemas.openxmlformats.org/officeDocument/2006/relationships/hyperlink" Target="mailto:nataliavalenciar25@gmail.com" TargetMode="External"/><Relationship Id="rId216" Type="http://schemas.openxmlformats.org/officeDocument/2006/relationships/hyperlink" Target="mailto:dirproyectos@securetec.com.co" TargetMode="External"/><Relationship Id="rId237" Type="http://schemas.openxmlformats.org/officeDocument/2006/relationships/hyperlink" Target="mailto:Directorcomercial@fireyequipos.com" TargetMode="External"/><Relationship Id="rId258" Type="http://schemas.openxmlformats.org/officeDocument/2006/relationships/hyperlink" Target="mailto:operacionesingesed@gmail.com" TargetMode="External"/><Relationship Id="rId22" Type="http://schemas.openxmlformats.org/officeDocument/2006/relationships/hyperlink" Target="mailto:Constructorafortich@gmail.com" TargetMode="External"/><Relationship Id="rId43" Type="http://schemas.openxmlformats.org/officeDocument/2006/relationships/hyperlink" Target="mailto:n.garcia@condiseno.co" TargetMode="External"/><Relationship Id="rId64" Type="http://schemas.openxmlformats.org/officeDocument/2006/relationships/hyperlink" Target="mailto:operacionesingesed@gmail.com" TargetMode="External"/><Relationship Id="rId118" Type="http://schemas.openxmlformats.org/officeDocument/2006/relationships/hyperlink" Target="mailto:n.garcia@condiseno.co" TargetMode="External"/><Relationship Id="rId139" Type="http://schemas.openxmlformats.org/officeDocument/2006/relationships/hyperlink" Target="mailto:sebastianochoa@arquitecturayconcreto.com" TargetMode="External"/><Relationship Id="rId85" Type="http://schemas.openxmlformats.org/officeDocument/2006/relationships/hyperlink" Target="mailto:dir.tecnico@spci.com.co" TargetMode="External"/><Relationship Id="rId150" Type="http://schemas.openxmlformats.org/officeDocument/2006/relationships/hyperlink" Target="mailto:francisco.unda@seriinco.com" TargetMode="External"/><Relationship Id="rId171" Type="http://schemas.openxmlformats.org/officeDocument/2006/relationships/hyperlink" Target="mailto:comercial@ingesed.com" TargetMode="External"/><Relationship Id="rId192" Type="http://schemas.openxmlformats.org/officeDocument/2006/relationships/hyperlink" Target="mailto:ingemahidraulic@outlook.es" TargetMode="External"/><Relationship Id="rId206" Type="http://schemas.openxmlformats.org/officeDocument/2006/relationships/hyperlink" Target="mailto:n.eljach@alcieloconstructora.com" TargetMode="External"/><Relationship Id="rId227" Type="http://schemas.openxmlformats.org/officeDocument/2006/relationships/hyperlink" Target="mailto:juan.grajales@spci.com.co" TargetMode="External"/><Relationship Id="rId248" Type="http://schemas.openxmlformats.org/officeDocument/2006/relationships/hyperlink" Target="mailto:laura.arias@studiosur.net" TargetMode="External"/><Relationship Id="rId269" Type="http://schemas.openxmlformats.org/officeDocument/2006/relationships/hyperlink" Target="mailto:aescobar@conexoinmobiliario.com" TargetMode="External"/><Relationship Id="rId12" Type="http://schemas.openxmlformats.org/officeDocument/2006/relationships/hyperlink" Target="mailto:operacionesingesed@gmail.com" TargetMode="External"/><Relationship Id="rId33" Type="http://schemas.openxmlformats.org/officeDocument/2006/relationships/hyperlink" Target="mailto:javierzapa@mensulaingenieros.com" TargetMode="External"/><Relationship Id="rId108" Type="http://schemas.openxmlformats.org/officeDocument/2006/relationships/hyperlink" Target="mailto:diseno.casacalda@gmail.com" TargetMode="External"/><Relationship Id="rId129" Type="http://schemas.openxmlformats.org/officeDocument/2006/relationships/hyperlink" Target="mailto:diego.paredes@bienesybienes.com.co" TargetMode="External"/><Relationship Id="rId54" Type="http://schemas.openxmlformats.org/officeDocument/2006/relationships/hyperlink" Target="mailto:operacionesingesed@gmail.com" TargetMode="External"/><Relationship Id="rId75" Type="http://schemas.openxmlformats.org/officeDocument/2006/relationships/hyperlink" Target="mailto:comercial@ingesed.com" TargetMode="External"/><Relationship Id="rId96" Type="http://schemas.openxmlformats.org/officeDocument/2006/relationships/hyperlink" Target="mailto:sofia@ideabasearquitectos.com" TargetMode="External"/><Relationship Id="rId140" Type="http://schemas.openxmlformats.org/officeDocument/2006/relationships/hyperlink" Target="mailto:infraestructura@sannicolas.co" TargetMode="External"/><Relationship Id="rId161" Type="http://schemas.openxmlformats.org/officeDocument/2006/relationships/hyperlink" Target="mailto:david.lopera@socomes.com" TargetMode="External"/><Relationship Id="rId182" Type="http://schemas.openxmlformats.org/officeDocument/2006/relationships/hyperlink" Target="mailto:arq.hectorparra1598@gmail.com" TargetMode="External"/><Relationship Id="rId217" Type="http://schemas.openxmlformats.org/officeDocument/2006/relationships/hyperlink" Target="mailto:Manuelagomez@torosantamariaarquitectos.com.co" TargetMode="External"/><Relationship Id="rId6" Type="http://schemas.openxmlformats.org/officeDocument/2006/relationships/hyperlink" Target="mailto:coordinadorobra@raizconstructora.com.co" TargetMode="External"/><Relationship Id="rId238" Type="http://schemas.openxmlformats.org/officeDocument/2006/relationships/hyperlink" Target="mailto:Directorcomercial@fireyequipos.com" TargetMode="External"/><Relationship Id="rId259" Type="http://schemas.openxmlformats.org/officeDocument/2006/relationships/hyperlink" Target="mailto:operacionesingesed@gmail.com" TargetMode="External"/><Relationship Id="rId23" Type="http://schemas.openxmlformats.org/officeDocument/2006/relationships/hyperlink" Target="mailto:lsaldarriaga@interlg.com" TargetMode="External"/><Relationship Id="rId119" Type="http://schemas.openxmlformats.org/officeDocument/2006/relationships/hyperlink" Target="mailto:danielavelez.fcr@gmail.com" TargetMode="External"/><Relationship Id="rId270" Type="http://schemas.openxmlformats.org/officeDocument/2006/relationships/hyperlink" Target="mailto:aescobar@conexoinmobiliario.com" TargetMode="External"/><Relationship Id="rId44" Type="http://schemas.openxmlformats.org/officeDocument/2006/relationships/hyperlink" Target="mailto:aagudelol@conconcreto.com" TargetMode="External"/><Relationship Id="rId65" Type="http://schemas.openxmlformats.org/officeDocument/2006/relationships/hyperlink" Target="mailto:carlos.zapata@bienesybienes.com.co" TargetMode="External"/><Relationship Id="rId86" Type="http://schemas.openxmlformats.org/officeDocument/2006/relationships/hyperlink" Target="mailto:dir.tecnico@spci.com.co" TargetMode="External"/><Relationship Id="rId130" Type="http://schemas.openxmlformats.org/officeDocument/2006/relationships/hyperlink" Target="mailto:carlos.bernal@seriinco.com" TargetMode="External"/><Relationship Id="rId151" Type="http://schemas.openxmlformats.org/officeDocument/2006/relationships/hyperlink" Target="mailto:jrodriguez@ingesed.com" TargetMode="External"/><Relationship Id="rId172" Type="http://schemas.openxmlformats.org/officeDocument/2006/relationships/hyperlink" Target="mailto:camilo.quintero@spci.com.co" TargetMode="External"/><Relationship Id="rId193" Type="http://schemas.openxmlformats.org/officeDocument/2006/relationships/hyperlink" Target="mailto:proyectos@prosoma.com.co" TargetMode="External"/><Relationship Id="rId207" Type="http://schemas.openxmlformats.org/officeDocument/2006/relationships/hyperlink" Target="mailto:Licitacion2@conintel.com.co" TargetMode="External"/><Relationship Id="rId228" Type="http://schemas.openxmlformats.org/officeDocument/2006/relationships/hyperlink" Target="mailto:camilo.quintero@spci.com.co" TargetMode="External"/><Relationship Id="rId249" Type="http://schemas.openxmlformats.org/officeDocument/2006/relationships/hyperlink" Target="mailto:Directorcomercial@fireyequipos.com" TargetMode="External"/><Relationship Id="rId13" Type="http://schemas.openxmlformats.org/officeDocument/2006/relationships/hyperlink" Target="mailto:jrodriguez@ingesed.com" TargetMode="External"/><Relationship Id="rId109" Type="http://schemas.openxmlformats.org/officeDocument/2006/relationships/hyperlink" Target="mailto:l.cuartas@altosdelaabadia.com" TargetMode="External"/><Relationship Id="rId260" Type="http://schemas.openxmlformats.org/officeDocument/2006/relationships/hyperlink" Target="mailto:operacionesingesed@gmail.com" TargetMode="External"/><Relationship Id="rId34" Type="http://schemas.openxmlformats.org/officeDocument/2006/relationships/hyperlink" Target="mailto:administracion.43avenida@aceis.com.co" TargetMode="External"/><Relationship Id="rId55" Type="http://schemas.openxmlformats.org/officeDocument/2006/relationships/hyperlink" Target="mailto:mariacortes@gaspais.com.co" TargetMode="External"/><Relationship Id="rId76" Type="http://schemas.openxmlformats.org/officeDocument/2006/relationships/hyperlink" Target="mailto:liliana.gutierrez@studiosur.net" TargetMode="External"/><Relationship Id="rId97" Type="http://schemas.openxmlformats.org/officeDocument/2006/relationships/hyperlink" Target="mailto:njsirc@coninsa.co" TargetMode="External"/><Relationship Id="rId120" Type="http://schemas.openxmlformats.org/officeDocument/2006/relationships/hyperlink" Target="mailto:sstdianagiraldo@gmail.com" TargetMode="External"/><Relationship Id="rId141" Type="http://schemas.openxmlformats.org/officeDocument/2006/relationships/hyperlink" Target="mailto:juanda@casasbee.com" TargetMode="External"/><Relationship Id="rId7" Type="http://schemas.openxmlformats.org/officeDocument/2006/relationships/hyperlink" Target="mailto:planeacion@proyectosurbanos.com.co" TargetMode="External"/><Relationship Id="rId162" Type="http://schemas.openxmlformats.org/officeDocument/2006/relationships/hyperlink" Target="mailto:infraestructura@sannicolas.co" TargetMode="External"/><Relationship Id="rId183" Type="http://schemas.openxmlformats.org/officeDocument/2006/relationships/hyperlink" Target="mailto:comercial@ingesed.com" TargetMode="External"/><Relationship Id="rId218" Type="http://schemas.openxmlformats.org/officeDocument/2006/relationships/hyperlink" Target="mailto:comercial@ingesed.com" TargetMode="External"/><Relationship Id="rId239" Type="http://schemas.openxmlformats.org/officeDocument/2006/relationships/hyperlink" Target="mailto:lforondav@conconcreto.com" TargetMode="External"/><Relationship Id="rId250" Type="http://schemas.openxmlformats.org/officeDocument/2006/relationships/hyperlink" Target="mailto:plantacopagea@gmail.com" TargetMode="External"/><Relationship Id="rId271" Type="http://schemas.openxmlformats.org/officeDocument/2006/relationships/hyperlink" Target="mailto:coordinadoracomercial@securetec.com.co" TargetMode="External"/><Relationship Id="rId24" Type="http://schemas.openxmlformats.org/officeDocument/2006/relationships/hyperlink" Target="mailto:santiago.franco@redigroup.co" TargetMode="External"/><Relationship Id="rId45" Type="http://schemas.openxmlformats.org/officeDocument/2006/relationships/hyperlink" Target="mailto:sstdianagiraldo@gmail.com" TargetMode="External"/><Relationship Id="rId66" Type="http://schemas.openxmlformats.org/officeDocument/2006/relationships/hyperlink" Target="mailto:liliana.gutierrez@studiosur.net" TargetMode="External"/><Relationship Id="rId87" Type="http://schemas.openxmlformats.org/officeDocument/2006/relationships/hyperlink" Target="mailto:ypareja@conaltura.com" TargetMode="External"/><Relationship Id="rId110" Type="http://schemas.openxmlformats.org/officeDocument/2006/relationships/hyperlink" Target="mailto:coordinacion@conintel.com.co" TargetMode="External"/><Relationship Id="rId131" Type="http://schemas.openxmlformats.org/officeDocument/2006/relationships/hyperlink" Target="mailto:ypareja@conaltura.com" TargetMode="External"/><Relationship Id="rId152" Type="http://schemas.openxmlformats.org/officeDocument/2006/relationships/hyperlink" Target="mailto:gerencia@goodgroup.com.co" TargetMode="External"/><Relationship Id="rId173" Type="http://schemas.openxmlformats.org/officeDocument/2006/relationships/hyperlink" Target="mailto:Johana.montoya@perfek.com.co" TargetMode="External"/><Relationship Id="rId194" Type="http://schemas.openxmlformats.org/officeDocument/2006/relationships/hyperlink" Target="mailto:Directorcomercial@fireyequipos.com" TargetMode="External"/><Relationship Id="rId208" Type="http://schemas.openxmlformats.org/officeDocument/2006/relationships/hyperlink" Target="mailto:jramirezf@conaltura.com" TargetMode="External"/><Relationship Id="rId229" Type="http://schemas.openxmlformats.org/officeDocument/2006/relationships/hyperlink" Target="mailto:jlperez@otacc.com" TargetMode="External"/><Relationship Id="rId240" Type="http://schemas.openxmlformats.org/officeDocument/2006/relationships/hyperlink" Target="mailto:josealvarez@estructurar.co" TargetMode="External"/><Relationship Id="rId261" Type="http://schemas.openxmlformats.org/officeDocument/2006/relationships/hyperlink" Target="mailto:joarq.ngarcia@gmail.com" TargetMode="External"/><Relationship Id="rId14" Type="http://schemas.openxmlformats.org/officeDocument/2006/relationships/hyperlink" Target="mailto:julialzate@une.net.co" TargetMode="External"/><Relationship Id="rId35" Type="http://schemas.openxmlformats.org/officeDocument/2006/relationships/hyperlink" Target="mailto:e.ramirez@altosdelaabadia.com" TargetMode="External"/><Relationship Id="rId56" Type="http://schemas.openxmlformats.org/officeDocument/2006/relationships/hyperlink" Target="mailto:sstdianagiraldo@gmail.com" TargetMode="External"/><Relationship Id="rId77" Type="http://schemas.openxmlformats.org/officeDocument/2006/relationships/hyperlink" Target="mailto:luisgaviria@convel.co" TargetMode="External"/><Relationship Id="rId100" Type="http://schemas.openxmlformats.org/officeDocument/2006/relationships/hyperlink" Target="mailto:hyfireingenieros@gmail.com" TargetMode="External"/><Relationship Id="rId8" Type="http://schemas.openxmlformats.org/officeDocument/2006/relationships/hyperlink" Target="mailto:maria.betancur@neurologico.org.co" TargetMode="External"/><Relationship Id="rId98" Type="http://schemas.openxmlformats.org/officeDocument/2006/relationships/hyperlink" Target="mailto:analista3.nyp@aceis.com.co" TargetMode="External"/><Relationship Id="rId121" Type="http://schemas.openxmlformats.org/officeDocument/2006/relationships/hyperlink" Target="mailto:e.ramirez@altosdelaabadia.com" TargetMode="External"/><Relationship Id="rId142" Type="http://schemas.openxmlformats.org/officeDocument/2006/relationships/hyperlink" Target="mailto:matturobraconsolata@gmail.com" TargetMode="External"/><Relationship Id="rId163" Type="http://schemas.openxmlformats.org/officeDocument/2006/relationships/hyperlink" Target="mailto:arquitectura1@grupovalor.com.co" TargetMode="External"/><Relationship Id="rId184" Type="http://schemas.openxmlformats.org/officeDocument/2006/relationships/hyperlink" Target="mailto:camilo.quintero@spci.com.co" TargetMode="External"/><Relationship Id="rId219" Type="http://schemas.openxmlformats.org/officeDocument/2006/relationships/hyperlink" Target="mailto:limavebe@hotmail.com" TargetMode="External"/><Relationship Id="rId230" Type="http://schemas.openxmlformats.org/officeDocument/2006/relationships/hyperlink" Target="mailto:oabad@fundacionacic.org" TargetMode="External"/><Relationship Id="rId251" Type="http://schemas.openxmlformats.org/officeDocument/2006/relationships/hyperlink" Target="mailto:arestrepoe@conconcreto.com" TargetMode="External"/><Relationship Id="rId25" Type="http://schemas.openxmlformats.org/officeDocument/2006/relationships/hyperlink" Target="mailto:lmontoya@iconsultores.com.co" TargetMode="External"/><Relationship Id="rId46" Type="http://schemas.openxmlformats.org/officeDocument/2006/relationships/hyperlink" Target="mailto:lforondav@conconcreto.com" TargetMode="External"/><Relationship Id="rId67" Type="http://schemas.openxmlformats.org/officeDocument/2006/relationships/hyperlink" Target="mailto:jrodriguez@ingesed.com" TargetMode="External"/><Relationship Id="rId272" Type="http://schemas.openxmlformats.org/officeDocument/2006/relationships/hyperlink" Target="mailto:Directorcomercial@fireyequipos.com" TargetMode="External"/><Relationship Id="rId88" Type="http://schemas.openxmlformats.org/officeDocument/2006/relationships/hyperlink" Target="mailto:sebastian.cardona@perfek.com.co" TargetMode="External"/><Relationship Id="rId111" Type="http://schemas.openxmlformats.org/officeDocument/2006/relationships/hyperlink" Target="mailto:sandra@urbanica.co" TargetMode="External"/><Relationship Id="rId132" Type="http://schemas.openxmlformats.org/officeDocument/2006/relationships/hyperlink" Target="mailto:ypareja@conaltura.com" TargetMode="External"/><Relationship Id="rId153" Type="http://schemas.openxmlformats.org/officeDocument/2006/relationships/hyperlink" Target="mailto:operacionesingesed@gmail.com" TargetMode="External"/><Relationship Id="rId174" Type="http://schemas.openxmlformats.org/officeDocument/2006/relationships/hyperlink" Target="mailto:Johana.montoya@perfek.com.co" TargetMode="External"/><Relationship Id="rId195" Type="http://schemas.openxmlformats.org/officeDocument/2006/relationships/hyperlink" Target="mailto:tatiana@tipinterventoria.com" TargetMode="External"/><Relationship Id="rId209" Type="http://schemas.openxmlformats.org/officeDocument/2006/relationships/hyperlink" Target="mailto:sebastian.parra@aia.com.co" TargetMode="External"/><Relationship Id="rId220" Type="http://schemas.openxmlformats.org/officeDocument/2006/relationships/hyperlink" Target="mailto:joarq.ngarcia@gmail.com" TargetMode="External"/><Relationship Id="rId241" Type="http://schemas.openxmlformats.org/officeDocument/2006/relationships/hyperlink" Target="mailto:Giraldojuancarlos143@gmail.com" TargetMode="External"/><Relationship Id="rId15" Type="http://schemas.openxmlformats.org/officeDocument/2006/relationships/hyperlink" Target="mailto:jrodriguez@ingesed.com" TargetMode="External"/><Relationship Id="rId36" Type="http://schemas.openxmlformats.org/officeDocument/2006/relationships/hyperlink" Target="mailto:maribel.gutierrez@upb.edu.co" TargetMode="External"/><Relationship Id="rId57" Type="http://schemas.openxmlformats.org/officeDocument/2006/relationships/hyperlink" Target="mailto:vanessazapata.fcr@gmail.com" TargetMode="External"/><Relationship Id="rId262" Type="http://schemas.openxmlformats.org/officeDocument/2006/relationships/hyperlink" Target="mailto:andrea.alzate.rendon@gmail.com" TargetMode="External"/><Relationship Id="rId78" Type="http://schemas.openxmlformats.org/officeDocument/2006/relationships/hyperlink" Target="mailto:infraestructura@clinicapanamericana.co" TargetMode="External"/><Relationship Id="rId99" Type="http://schemas.openxmlformats.org/officeDocument/2006/relationships/hyperlink" Target="mailto:n.garcia@condiseno.co" TargetMode="External"/><Relationship Id="rId101" Type="http://schemas.openxmlformats.org/officeDocument/2006/relationships/hyperlink" Target="mailto:dir.tecnico@spci.com.co" TargetMode="External"/><Relationship Id="rId122" Type="http://schemas.openxmlformats.org/officeDocument/2006/relationships/hyperlink" Target="mailto:ypareja@conaltura.com" TargetMode="External"/><Relationship Id="rId143" Type="http://schemas.openxmlformats.org/officeDocument/2006/relationships/hyperlink" Target="mailto:sebastianochoa@arquitecturayconcreto.com" TargetMode="External"/><Relationship Id="rId164" Type="http://schemas.openxmlformats.org/officeDocument/2006/relationships/hyperlink" Target="mailto:coordinadorproyectos1@g4ingenieros.com" TargetMode="External"/><Relationship Id="rId185" Type="http://schemas.openxmlformats.org/officeDocument/2006/relationships/hyperlink" Target="mailto:daniel.henao@desur.gov.co" TargetMode="External"/><Relationship Id="rId9" Type="http://schemas.openxmlformats.org/officeDocument/2006/relationships/hyperlink" Target="mailto:jean.lopez@massygroup.com" TargetMode="External"/><Relationship Id="rId210" Type="http://schemas.openxmlformats.org/officeDocument/2006/relationships/hyperlink" Target="mailto:edgar.acuna@cagconstructores.com" TargetMode="External"/><Relationship Id="rId26" Type="http://schemas.openxmlformats.org/officeDocument/2006/relationships/hyperlink" Target="mailto:Directorcomercial@fireyequipos.com" TargetMode="External"/><Relationship Id="rId231" Type="http://schemas.openxmlformats.org/officeDocument/2006/relationships/hyperlink" Target="mailto:apoyoinframed@cendoj.ramajudicial.gov.co" TargetMode="External"/><Relationship Id="rId252" Type="http://schemas.openxmlformats.org/officeDocument/2006/relationships/hyperlink" Target="mailto:arestrepoe@conconcreto.com" TargetMode="External"/><Relationship Id="rId273" Type="http://schemas.openxmlformats.org/officeDocument/2006/relationships/printerSettings" Target="../printerSettings/printerSettings9.bin"/><Relationship Id="rId47" Type="http://schemas.openxmlformats.org/officeDocument/2006/relationships/hyperlink" Target="mailto:diseno@hyfiresas.com" TargetMode="External"/><Relationship Id="rId68" Type="http://schemas.openxmlformats.org/officeDocument/2006/relationships/hyperlink" Target="mailto:dirproyectos@securetec.com.co" TargetMode="External"/><Relationship Id="rId89" Type="http://schemas.openxmlformats.org/officeDocument/2006/relationships/hyperlink" Target="mailto:marcela.ricaurte@macca.com.co" TargetMode="External"/><Relationship Id="rId112" Type="http://schemas.openxmlformats.org/officeDocument/2006/relationships/hyperlink" Target="mailto:n.garcia@condiseno.co" TargetMode="External"/><Relationship Id="rId133" Type="http://schemas.openxmlformats.org/officeDocument/2006/relationships/hyperlink" Target="mailto:mjaramilloc@doublec.com" TargetMode="External"/><Relationship Id="rId154" Type="http://schemas.openxmlformats.org/officeDocument/2006/relationships/hyperlink" Target="mailto:jeduarte@coninsa.co" TargetMode="External"/><Relationship Id="rId175" Type="http://schemas.openxmlformats.org/officeDocument/2006/relationships/hyperlink" Target="mailto:carlos.tamayo@construgen.com" TargetMode="External"/><Relationship Id="rId196" Type="http://schemas.openxmlformats.org/officeDocument/2006/relationships/hyperlink" Target="mailto:juan.grajales@spci.com.co" TargetMode="External"/><Relationship Id="rId200" Type="http://schemas.openxmlformats.org/officeDocument/2006/relationships/hyperlink" Target="mailto:dir.tecnico@spci.com.co" TargetMode="External"/><Relationship Id="rId16" Type="http://schemas.openxmlformats.org/officeDocument/2006/relationships/hyperlink" Target="mailto:dir.tecnico@spci.com.co" TargetMode="External"/><Relationship Id="rId221" Type="http://schemas.openxmlformats.org/officeDocument/2006/relationships/hyperlink" Target="mailto:claudia.gomez@casa.com.co" TargetMode="External"/><Relationship Id="rId242" Type="http://schemas.openxmlformats.org/officeDocument/2006/relationships/hyperlink" Target="mailto:coordinadordisenos@estructurar.co" TargetMode="External"/><Relationship Id="rId263" Type="http://schemas.openxmlformats.org/officeDocument/2006/relationships/hyperlink" Target="mailto:ClaudiaRamirez@comfama.com.co" TargetMode="External"/><Relationship Id="rId37" Type="http://schemas.openxmlformats.org/officeDocument/2006/relationships/hyperlink" Target="mailto:sosorio@nivelum.com" TargetMode="External"/><Relationship Id="rId58" Type="http://schemas.openxmlformats.org/officeDocument/2006/relationships/hyperlink" Target="mailto:zmlopez@coninsa.co" TargetMode="External"/><Relationship Id="rId79" Type="http://schemas.openxmlformats.org/officeDocument/2006/relationships/hyperlink" Target="mailto:hola@ideabasearquitectos.com" TargetMode="External"/><Relationship Id="rId102" Type="http://schemas.openxmlformats.org/officeDocument/2006/relationships/hyperlink" Target="mailto:dir.tecnico@spci.com.co" TargetMode="External"/><Relationship Id="rId123" Type="http://schemas.openxmlformats.org/officeDocument/2006/relationships/hyperlink" Target="mailto:sebastianochoa@arquitecturayconcreto.com" TargetMode="External"/><Relationship Id="rId144" Type="http://schemas.openxmlformats.org/officeDocument/2006/relationships/hyperlink" Target="mailto:juannaranjo@convel.co" TargetMode="External"/><Relationship Id="rId90" Type="http://schemas.openxmlformats.org/officeDocument/2006/relationships/hyperlink" Target="mailto:yulieth.fonnegra@link-inmobiliario.com" TargetMode="External"/><Relationship Id="rId165" Type="http://schemas.openxmlformats.org/officeDocument/2006/relationships/hyperlink" Target="mailto:jecheverri@perspectivac.co" TargetMode="External"/><Relationship Id="rId186" Type="http://schemas.openxmlformats.org/officeDocument/2006/relationships/hyperlink" Target="mailto:nataliavalenciar25@gmail.com" TargetMode="External"/><Relationship Id="rId211" Type="http://schemas.openxmlformats.org/officeDocument/2006/relationships/hyperlink" Target="mailto:laura.arias@studiosur.net" TargetMode="External"/><Relationship Id="rId232" Type="http://schemas.openxmlformats.org/officeDocument/2006/relationships/hyperlink" Target="mailto:operacionesingesed@gmail.com" TargetMode="External"/><Relationship Id="rId253" Type="http://schemas.openxmlformats.org/officeDocument/2006/relationships/hyperlink" Target="mailto:dmosoriog@gmail.com" TargetMode="External"/><Relationship Id="rId274" Type="http://schemas.openxmlformats.org/officeDocument/2006/relationships/drawing" Target="../drawings/drawing9.xml"/><Relationship Id="rId27" Type="http://schemas.openxmlformats.org/officeDocument/2006/relationships/hyperlink" Target="mailto:infraestructura@sannicolas.co" TargetMode="External"/><Relationship Id="rId48" Type="http://schemas.openxmlformats.org/officeDocument/2006/relationships/hyperlink" Target="mailto:heder.cardozo@isciviles.com.co" TargetMode="External"/><Relationship Id="rId69" Type="http://schemas.openxmlformats.org/officeDocument/2006/relationships/hyperlink" Target="mailto:andres.cruz@afcprofire.com" TargetMode="External"/><Relationship Id="rId113" Type="http://schemas.openxmlformats.org/officeDocument/2006/relationships/hyperlink" Target="mailto:saos64cah@gmail.com" TargetMode="External"/><Relationship Id="rId134" Type="http://schemas.openxmlformats.org/officeDocument/2006/relationships/hyperlink" Target="mailto:dir.tecnico@spci.com.co" TargetMode="External"/><Relationship Id="rId80" Type="http://schemas.openxmlformats.org/officeDocument/2006/relationships/hyperlink" Target="mailto:alejandrogiraldo@mensulaingenieros.com" TargetMode="External"/><Relationship Id="rId155" Type="http://schemas.openxmlformats.org/officeDocument/2006/relationships/hyperlink" Target="mailto:dir.tecnico@spci.com.co" TargetMode="External"/><Relationship Id="rId176" Type="http://schemas.openxmlformats.org/officeDocument/2006/relationships/hyperlink" Target="mailto:vanessazapata.fcr@gmail.com" TargetMode="External"/><Relationship Id="rId197" Type="http://schemas.openxmlformats.org/officeDocument/2006/relationships/hyperlink" Target="mailto:dir.tecnico@spci.com.co" TargetMode="External"/><Relationship Id="rId201" Type="http://schemas.openxmlformats.org/officeDocument/2006/relationships/hyperlink" Target="mailto:ingemahidraulic@outlook.es" TargetMode="External"/><Relationship Id="rId222" Type="http://schemas.openxmlformats.org/officeDocument/2006/relationships/hyperlink" Target="mailto:sebastianochoa@arquitecturayconcreto.com" TargetMode="External"/><Relationship Id="rId243" Type="http://schemas.openxmlformats.org/officeDocument/2006/relationships/hyperlink" Target="mailto:gerencia@grupoingenium.co" TargetMode="External"/><Relationship Id="rId264" Type="http://schemas.openxmlformats.org/officeDocument/2006/relationships/hyperlink" Target="mailto:santiago.tamayo@seriinco.com" TargetMode="External"/><Relationship Id="rId17" Type="http://schemas.openxmlformats.org/officeDocument/2006/relationships/hyperlink" Target="mailto:comercial@ingesed.com" TargetMode="External"/><Relationship Id="rId38" Type="http://schemas.openxmlformats.org/officeDocument/2006/relationships/hyperlink" Target="mailto:juangurreat@iconsultores.com.co" TargetMode="External"/><Relationship Id="rId59" Type="http://schemas.openxmlformats.org/officeDocument/2006/relationships/hyperlink" Target="mailto:coordinadorinfraestructura@coprocenva.coop" TargetMode="External"/><Relationship Id="rId103" Type="http://schemas.openxmlformats.org/officeDocument/2006/relationships/hyperlink" Target="mailto:jorge@a3consulting.com.co" TargetMode="External"/><Relationship Id="rId124" Type="http://schemas.openxmlformats.org/officeDocument/2006/relationships/hyperlink" Target="mailto:sebastianochoa@arquitecturayconcreto.com" TargetMode="External"/><Relationship Id="rId70" Type="http://schemas.openxmlformats.org/officeDocument/2006/relationships/hyperlink" Target="mailto:andres.cruz@afcprofire.com" TargetMode="External"/><Relationship Id="rId91" Type="http://schemas.openxmlformats.org/officeDocument/2006/relationships/hyperlink" Target="mailto:dir.tecnico@spci.com.co" TargetMode="External"/><Relationship Id="rId145" Type="http://schemas.openxmlformats.org/officeDocument/2006/relationships/hyperlink" Target="mailto:juannaranjo@convel.co" TargetMode="External"/><Relationship Id="rId166" Type="http://schemas.openxmlformats.org/officeDocument/2006/relationships/hyperlink" Target="mailto:gerencia@projectsolutions.com.co" TargetMode="External"/><Relationship Id="rId187" Type="http://schemas.openxmlformats.org/officeDocument/2006/relationships/hyperlink" Target="mailto:cristinapalacio@mensulaingenieros.com" TargetMode="External"/><Relationship Id="rId1" Type="http://schemas.openxmlformats.org/officeDocument/2006/relationships/hyperlink" Target="mailto:stellaibarra@gmail.com" TargetMode="External"/><Relationship Id="rId212" Type="http://schemas.openxmlformats.org/officeDocument/2006/relationships/hyperlink" Target="mailto:francisco.unda@seriinco.com" TargetMode="External"/><Relationship Id="rId233" Type="http://schemas.openxmlformats.org/officeDocument/2006/relationships/hyperlink" Target="mailto:dlunad@eafit.edu.co" TargetMode="External"/><Relationship Id="rId254" Type="http://schemas.openxmlformats.org/officeDocument/2006/relationships/hyperlink" Target="mailto:a.hernandez@oamas.co" TargetMode="External"/><Relationship Id="rId28" Type="http://schemas.openxmlformats.org/officeDocument/2006/relationships/hyperlink" Target="mailto:yuranyorozcoconstructoramc@gmail.com" TargetMode="External"/><Relationship Id="rId49" Type="http://schemas.openxmlformats.org/officeDocument/2006/relationships/hyperlink" Target="mailto:coordinadorinfraestructura@coprocenva.coop" TargetMode="External"/><Relationship Id="rId114" Type="http://schemas.openxmlformats.org/officeDocument/2006/relationships/hyperlink" Target="mailto:federico@gomezpiedrahita.com" TargetMode="External"/><Relationship Id="rId275" Type="http://schemas.openxmlformats.org/officeDocument/2006/relationships/vmlDrawing" Target="../drawings/vmlDrawing9.vml"/><Relationship Id="rId60" Type="http://schemas.openxmlformats.org/officeDocument/2006/relationships/hyperlink" Target="mailto:zmlopez@coninsa.co" TargetMode="External"/><Relationship Id="rId81" Type="http://schemas.openxmlformats.org/officeDocument/2006/relationships/hyperlink" Target="mailto:camila.pavia@labinmobiliario.com" TargetMode="External"/><Relationship Id="rId135" Type="http://schemas.openxmlformats.org/officeDocument/2006/relationships/hyperlink" Target="mailto:coordinadorinfraestructura@coprocenva.coop" TargetMode="External"/><Relationship Id="rId156" Type="http://schemas.openxmlformats.org/officeDocument/2006/relationships/hyperlink" Target="mailto:sebastianochoa@arquitecturayconcreto.com" TargetMode="External"/><Relationship Id="rId177" Type="http://schemas.openxmlformats.org/officeDocument/2006/relationships/hyperlink" Target="mailto:operaciones.fireyequipos@gmail.com" TargetMode="External"/><Relationship Id="rId198" Type="http://schemas.openxmlformats.org/officeDocument/2006/relationships/hyperlink" Target="mailto:Rafael.Amaya@quironsalud.com" TargetMode="External"/><Relationship Id="rId202" Type="http://schemas.openxmlformats.org/officeDocument/2006/relationships/hyperlink" Target="mailto:danielavelez.fcr@gmail.com" TargetMode="External"/><Relationship Id="rId223" Type="http://schemas.openxmlformats.org/officeDocument/2006/relationships/hyperlink" Target="mailto:GESTIONHUMANA@VAIN.COM.CO" TargetMode="External"/><Relationship Id="rId244" Type="http://schemas.openxmlformats.org/officeDocument/2006/relationships/hyperlink" Target="mailto:i.zuluaga@nucleoconstructora.com" TargetMode="External"/><Relationship Id="rId18" Type="http://schemas.openxmlformats.org/officeDocument/2006/relationships/hyperlink" Target="mailto:ytamayo@coninsa.co" TargetMode="External"/><Relationship Id="rId39" Type="http://schemas.openxmlformats.org/officeDocument/2006/relationships/hyperlink" Target="mailto:n.garcia@condiseno.co" TargetMode="External"/><Relationship Id="rId265" Type="http://schemas.openxmlformats.org/officeDocument/2006/relationships/hyperlink" Target="mailto:v.nicholls@condiseno.co" TargetMode="External"/><Relationship Id="rId50" Type="http://schemas.openxmlformats.org/officeDocument/2006/relationships/hyperlink" Target="mailto:diseno@hyfiresas.com" TargetMode="External"/><Relationship Id="rId104" Type="http://schemas.openxmlformats.org/officeDocument/2006/relationships/hyperlink" Target="mailto:sebastianochoa@arquitecturayconcreto.com" TargetMode="External"/><Relationship Id="rId125" Type="http://schemas.openxmlformats.org/officeDocument/2006/relationships/hyperlink" Target="mailto:andres.cruz@afcprofire.com" TargetMode="External"/><Relationship Id="rId146" Type="http://schemas.openxmlformats.org/officeDocument/2006/relationships/hyperlink" Target="mailto:julialzate@une.net.co" TargetMode="External"/><Relationship Id="rId167" Type="http://schemas.openxmlformats.org/officeDocument/2006/relationships/hyperlink" Target="mailto:gerencia@projectsolutions.com.co" TargetMode="External"/><Relationship Id="rId188" Type="http://schemas.openxmlformats.org/officeDocument/2006/relationships/hyperlink" Target="mailto:operacionesingesed@gmail.com" TargetMode="External"/><Relationship Id="rId71" Type="http://schemas.openxmlformats.org/officeDocument/2006/relationships/hyperlink" Target="mailto:dtorres@cusezar.com" TargetMode="External"/><Relationship Id="rId92" Type="http://schemas.openxmlformats.org/officeDocument/2006/relationships/hyperlink" Target="mailto:dir.tecnico@spci.com.co" TargetMode="External"/><Relationship Id="rId213" Type="http://schemas.openxmlformats.org/officeDocument/2006/relationships/hyperlink" Target="mailto:francisco.unda@seriinco.com" TargetMode="External"/><Relationship Id="rId234" Type="http://schemas.openxmlformats.org/officeDocument/2006/relationships/hyperlink" Target="mailto:santiago.tamayo@seriinco.com" TargetMode="External"/><Relationship Id="rId2" Type="http://schemas.openxmlformats.org/officeDocument/2006/relationships/hyperlink" Target="mailto:j.chiguasuque@altosdelaabadia.com" TargetMode="External"/><Relationship Id="rId29" Type="http://schemas.openxmlformats.org/officeDocument/2006/relationships/hyperlink" Target="mailto:jrodriguez@ingesed.com" TargetMode="External"/><Relationship Id="rId255" Type="http://schemas.openxmlformats.org/officeDocument/2006/relationships/hyperlink" Target="mailto:lcastanog@doublec.com" TargetMode="External"/><Relationship Id="rId276" Type="http://schemas.openxmlformats.org/officeDocument/2006/relationships/comments" Target="../comments9.xml"/><Relationship Id="rId40" Type="http://schemas.openxmlformats.org/officeDocument/2006/relationships/hyperlink" Target="mailto:operaciones.fireyequipos@gmail.com" TargetMode="External"/><Relationship Id="rId115" Type="http://schemas.openxmlformats.org/officeDocument/2006/relationships/hyperlink" Target="mailto:g.jaramillo.arq@gmail.com" TargetMode="External"/><Relationship Id="rId136" Type="http://schemas.openxmlformats.org/officeDocument/2006/relationships/hyperlink" Target="mailto:carolina@hidrofsalinas.com" TargetMode="External"/><Relationship Id="rId157" Type="http://schemas.openxmlformats.org/officeDocument/2006/relationships/hyperlink" Target="mailto:proyectos@prosoma.com.co" TargetMode="External"/><Relationship Id="rId178" Type="http://schemas.openxmlformats.org/officeDocument/2006/relationships/hyperlink" Target="mailto:l.cuartas@altosdelaabadia.com" TargetMode="External"/><Relationship Id="rId61" Type="http://schemas.openxmlformats.org/officeDocument/2006/relationships/hyperlink" Target="mailto:dir.tecnico@spci.com.co" TargetMode="External"/><Relationship Id="rId82" Type="http://schemas.openxmlformats.org/officeDocument/2006/relationships/hyperlink" Target="mailto:dir.tecnico@spci.com.co" TargetMode="External"/><Relationship Id="rId199" Type="http://schemas.openxmlformats.org/officeDocument/2006/relationships/hyperlink" Target="mailto:eceballos@contex.com.co" TargetMode="External"/><Relationship Id="rId203" Type="http://schemas.openxmlformats.org/officeDocument/2006/relationships/hyperlink" Target="mailto:vanessazapata.fcr@gmail.com" TargetMode="External"/><Relationship Id="rId19" Type="http://schemas.openxmlformats.org/officeDocument/2006/relationships/hyperlink" Target="mailto:n.garcia@condiseno.co" TargetMode="External"/><Relationship Id="rId224" Type="http://schemas.openxmlformats.org/officeDocument/2006/relationships/hyperlink" Target="mailto:gerencia@c4logistica.com" TargetMode="External"/><Relationship Id="rId245" Type="http://schemas.openxmlformats.org/officeDocument/2006/relationships/hyperlink" Target="mailto:sraic.asistente@gmail.com" TargetMode="External"/><Relationship Id="rId266" Type="http://schemas.openxmlformats.org/officeDocument/2006/relationships/hyperlink" Target="mailto:santiago.franco@redigroup.co" TargetMode="External"/><Relationship Id="rId30" Type="http://schemas.openxmlformats.org/officeDocument/2006/relationships/hyperlink" Target="mailto:jrodriguez@ingesed.com" TargetMode="External"/><Relationship Id="rId105" Type="http://schemas.openxmlformats.org/officeDocument/2006/relationships/hyperlink" Target="mailto:zzarq1602@gmail.com" TargetMode="External"/><Relationship Id="rId126" Type="http://schemas.openxmlformats.org/officeDocument/2006/relationships/hyperlink" Target="mailto:francisco.unda@seriinco.com" TargetMode="External"/><Relationship Id="rId147" Type="http://schemas.openxmlformats.org/officeDocument/2006/relationships/hyperlink" Target="mailto:aylingenieriaestructural@gmail.com" TargetMode="External"/><Relationship Id="rId168" Type="http://schemas.openxmlformats.org/officeDocument/2006/relationships/hyperlink" Target="mailto:wv@cubic33group.com" TargetMode="External"/><Relationship Id="rId51" Type="http://schemas.openxmlformats.org/officeDocument/2006/relationships/hyperlink" Target="mailto:diseno@hyfiresas.com" TargetMode="External"/><Relationship Id="rId72" Type="http://schemas.openxmlformats.org/officeDocument/2006/relationships/hyperlink" Target="mailto:operaciones@goodgroup.com.co" TargetMode="External"/><Relationship Id="rId93" Type="http://schemas.openxmlformats.org/officeDocument/2006/relationships/hyperlink" Target="mailto:gerencia@jorgegonzalezingenieria.com" TargetMode="External"/><Relationship Id="rId189" Type="http://schemas.openxmlformats.org/officeDocument/2006/relationships/hyperlink" Target="mailto:comercial@ingesed.com" TargetMode="External"/><Relationship Id="rId3" Type="http://schemas.openxmlformats.org/officeDocument/2006/relationships/hyperlink" Target="mailto:amartineza@conconcreto.com" TargetMode="External"/><Relationship Id="rId214" Type="http://schemas.openxmlformats.org/officeDocument/2006/relationships/hyperlink" Target="mailto:francisco.unda@seriinco.com" TargetMode="External"/><Relationship Id="rId235" Type="http://schemas.openxmlformats.org/officeDocument/2006/relationships/hyperlink" Target="mailto:santiago.tamayo@seriinco.com" TargetMode="External"/><Relationship Id="rId256" Type="http://schemas.openxmlformats.org/officeDocument/2006/relationships/hyperlink" Target="mailto:sebastianochoa@arquitecturayconcreto.com" TargetMode="External"/><Relationship Id="rId116" Type="http://schemas.openxmlformats.org/officeDocument/2006/relationships/hyperlink" Target="mailto:lflorez@avenidacap.com" TargetMode="External"/><Relationship Id="rId137" Type="http://schemas.openxmlformats.org/officeDocument/2006/relationships/hyperlink" Target="mailto:dirproyectos@securetec.com.co" TargetMode="External"/><Relationship Id="rId158" Type="http://schemas.openxmlformats.org/officeDocument/2006/relationships/hyperlink" Target="mailto:dir.tecnico@spci.com.co" TargetMode="External"/><Relationship Id="rId20" Type="http://schemas.openxmlformats.org/officeDocument/2006/relationships/hyperlink" Target="mailto:proyectos@prosoma.com.co" TargetMode="External"/><Relationship Id="rId41" Type="http://schemas.openxmlformats.org/officeDocument/2006/relationships/hyperlink" Target="mailto:parangor@conconcreto.com" TargetMode="External"/><Relationship Id="rId62" Type="http://schemas.openxmlformats.org/officeDocument/2006/relationships/hyperlink" Target="mailto:dir.tecnico@spci.com.co" TargetMode="External"/><Relationship Id="rId83" Type="http://schemas.openxmlformats.org/officeDocument/2006/relationships/hyperlink" Target="mailto:ppatino@zonafrancarionegro.com" TargetMode="External"/><Relationship Id="rId179" Type="http://schemas.openxmlformats.org/officeDocument/2006/relationships/hyperlink" Target="mailto:comercial@fpservices.com.co" TargetMode="External"/><Relationship Id="rId190" Type="http://schemas.openxmlformats.org/officeDocument/2006/relationships/hyperlink" Target="mailto:laduque@colombina.com" TargetMode="External"/><Relationship Id="rId204" Type="http://schemas.openxmlformats.org/officeDocument/2006/relationships/hyperlink" Target="mailto:joarq.ngarcia@gmail.com" TargetMode="External"/><Relationship Id="rId225" Type="http://schemas.openxmlformats.org/officeDocument/2006/relationships/hyperlink" Target="mailto:pduque@columbus.edu.co" TargetMode="External"/><Relationship Id="rId246" Type="http://schemas.openxmlformats.org/officeDocument/2006/relationships/hyperlink" Target="mailto:vanessazapata.fcr@gmail.com" TargetMode="External"/><Relationship Id="rId267" Type="http://schemas.openxmlformats.org/officeDocument/2006/relationships/hyperlink" Target="mailto:gerencia@goodgroup.com.co" TargetMode="External"/><Relationship Id="rId106" Type="http://schemas.openxmlformats.org/officeDocument/2006/relationships/hyperlink" Target="mailto:sst@inmocente.com" TargetMode="External"/><Relationship Id="rId127" Type="http://schemas.openxmlformats.org/officeDocument/2006/relationships/hyperlink" Target="mailto:francisco.unda@seriinco.com" TargetMode="External"/><Relationship Id="rId10" Type="http://schemas.openxmlformats.org/officeDocument/2006/relationships/hyperlink" Target="mailto:Inspecciones@alcecol.com" TargetMode="External"/><Relationship Id="rId31" Type="http://schemas.openxmlformats.org/officeDocument/2006/relationships/hyperlink" Target="mailto:ypareja@conaltura.com" TargetMode="External"/><Relationship Id="rId52" Type="http://schemas.openxmlformats.org/officeDocument/2006/relationships/hyperlink" Target="mailto:diseno@hyfiresas.com" TargetMode="External"/><Relationship Id="rId73" Type="http://schemas.openxmlformats.org/officeDocument/2006/relationships/hyperlink" Target="mailto:operaciones@goodgroup.com.co" TargetMode="External"/><Relationship Id="rId94" Type="http://schemas.openxmlformats.org/officeDocument/2006/relationships/hyperlink" Target="mailto:gtrumon@gmail.com" TargetMode="External"/><Relationship Id="rId148" Type="http://schemas.openxmlformats.org/officeDocument/2006/relationships/hyperlink" Target="mailto:laura.arias@studiosur.net" TargetMode="External"/><Relationship Id="rId169" Type="http://schemas.openxmlformats.org/officeDocument/2006/relationships/hyperlink" Target="mailto:aguinand@qbo.co" TargetMode="External"/><Relationship Id="rId4" Type="http://schemas.openxmlformats.org/officeDocument/2006/relationships/hyperlink" Target="mailto:ClaudiaRamirez@comfama.com.co" TargetMode="External"/><Relationship Id="rId180" Type="http://schemas.openxmlformats.org/officeDocument/2006/relationships/hyperlink" Target="mailto:pedroquido39@gmail.com" TargetMode="External"/><Relationship Id="rId215" Type="http://schemas.openxmlformats.org/officeDocument/2006/relationships/hyperlink" Target="mailto:jrodriguez@ingesed.com" TargetMode="External"/><Relationship Id="rId236" Type="http://schemas.openxmlformats.org/officeDocument/2006/relationships/hyperlink" Target="mailto:andres.cruz@afcprofire.com" TargetMode="External"/><Relationship Id="rId257" Type="http://schemas.openxmlformats.org/officeDocument/2006/relationships/hyperlink" Target="mailto:operaciones.fireyequipos@gmail.com" TargetMode="External"/><Relationship Id="rId42" Type="http://schemas.openxmlformats.org/officeDocument/2006/relationships/hyperlink" Target="mailto:oborja@cusezar.com" TargetMode="External"/><Relationship Id="rId84" Type="http://schemas.openxmlformats.org/officeDocument/2006/relationships/hyperlink" Target="mailto:comercial@ingesed.com" TargetMode="External"/><Relationship Id="rId138" Type="http://schemas.openxmlformats.org/officeDocument/2006/relationships/hyperlink" Target="mailto:njsirc@coninsa.co" TargetMode="External"/><Relationship Id="rId191" Type="http://schemas.openxmlformats.org/officeDocument/2006/relationships/hyperlink" Target="mailto:santiagor@verdeselva.com.co" TargetMode="External"/><Relationship Id="rId205" Type="http://schemas.openxmlformats.org/officeDocument/2006/relationships/hyperlink" Target="mailto:camilo.quintero@spci.com.co" TargetMode="External"/><Relationship Id="rId247" Type="http://schemas.openxmlformats.org/officeDocument/2006/relationships/hyperlink" Target="mailto:danielavelez.fcr@gmail.com" TargetMode="External"/><Relationship Id="rId107" Type="http://schemas.openxmlformats.org/officeDocument/2006/relationships/hyperlink" Target="mailto:dir.tecnico@spci.com.co" TargetMode="External"/><Relationship Id="rId11" Type="http://schemas.openxmlformats.org/officeDocument/2006/relationships/hyperlink" Target="mailto:girarconstrucciones@gmail.com" TargetMode="External"/><Relationship Id="rId53" Type="http://schemas.openxmlformats.org/officeDocument/2006/relationships/hyperlink" Target="mailto:dir.tecnico@spci.com.co" TargetMode="External"/><Relationship Id="rId149" Type="http://schemas.openxmlformats.org/officeDocument/2006/relationships/hyperlink" Target="mailto:lcastanog@doublec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O1012"/>
  <sheetViews>
    <sheetView showGridLines="0" zoomScale="85" zoomScaleNormal="85" workbookViewId="0">
      <pane ySplit="11" topLeftCell="A147" activePane="bottomLeft" state="frozen"/>
      <selection pane="bottomLeft" activeCell="K190" sqref="K190"/>
    </sheetView>
  </sheetViews>
  <sheetFormatPr baseColWidth="10" defaultColWidth="11.42578125" defaultRowHeight="15" x14ac:dyDescent="0.25"/>
  <cols>
    <col min="1" max="1" width="2.85546875" customWidth="1"/>
    <col min="2" max="2" width="12.42578125" customWidth="1"/>
    <col min="5" max="5" width="14.42578125" customWidth="1"/>
    <col min="6" max="8" width="14.85546875" customWidth="1"/>
    <col min="9" max="9" width="15" customWidth="1"/>
    <col min="10" max="10" width="14.85546875" bestFit="1" customWidth="1"/>
    <col min="12" max="12" width="12.85546875" customWidth="1"/>
  </cols>
  <sheetData>
    <row r="1" spans="2:15" ht="15.75" thickBot="1" x14ac:dyDescent="0.3"/>
    <row r="2" spans="2:15" ht="15" customHeight="1" x14ac:dyDescent="0.25">
      <c r="B2" s="203"/>
      <c r="C2" s="204"/>
      <c r="D2" s="204"/>
      <c r="E2" s="191" t="s">
        <v>0</v>
      </c>
      <c r="F2" s="192"/>
      <c r="G2" s="192"/>
      <c r="H2" s="192"/>
      <c r="I2" s="192"/>
      <c r="J2" s="192"/>
      <c r="K2" s="192"/>
      <c r="L2" s="192"/>
      <c r="M2" s="192"/>
      <c r="N2" s="192"/>
      <c r="O2" s="193"/>
    </row>
    <row r="3" spans="2:15" ht="15" customHeight="1" x14ac:dyDescent="0.25">
      <c r="B3" s="205"/>
      <c r="C3" s="206"/>
      <c r="D3" s="206"/>
      <c r="E3" s="194"/>
      <c r="F3" s="195"/>
      <c r="G3" s="195"/>
      <c r="H3" s="195"/>
      <c r="I3" s="195"/>
      <c r="J3" s="195"/>
      <c r="K3" s="195"/>
      <c r="L3" s="195"/>
      <c r="M3" s="195"/>
      <c r="N3" s="195"/>
      <c r="O3" s="196"/>
    </row>
    <row r="4" spans="2:15" ht="15" customHeight="1" x14ac:dyDescent="0.25">
      <c r="B4" s="205"/>
      <c r="C4" s="206"/>
      <c r="D4" s="206"/>
      <c r="E4" s="194"/>
      <c r="F4" s="195"/>
      <c r="G4" s="195"/>
      <c r="H4" s="195"/>
      <c r="I4" s="195"/>
      <c r="J4" s="195"/>
      <c r="K4" s="195"/>
      <c r="L4" s="195"/>
      <c r="M4" s="195"/>
      <c r="N4" s="195"/>
      <c r="O4" s="196"/>
    </row>
    <row r="5" spans="2:15" ht="15" customHeight="1" x14ac:dyDescent="0.25">
      <c r="B5" s="205"/>
      <c r="C5" s="206"/>
      <c r="D5" s="206"/>
      <c r="E5" s="194"/>
      <c r="F5" s="195"/>
      <c r="G5" s="195"/>
      <c r="H5" s="195"/>
      <c r="I5" s="195"/>
      <c r="J5" s="195"/>
      <c r="K5" s="195"/>
      <c r="L5" s="195"/>
      <c r="M5" s="195"/>
      <c r="N5" s="195"/>
      <c r="O5" s="196"/>
    </row>
    <row r="6" spans="2:15" ht="15" customHeight="1" x14ac:dyDescent="0.25">
      <c r="B6" s="205"/>
      <c r="C6" s="206"/>
      <c r="D6" s="206"/>
      <c r="E6" s="194"/>
      <c r="F6" s="195"/>
      <c r="G6" s="195"/>
      <c r="H6" s="195"/>
      <c r="I6" s="195"/>
      <c r="J6" s="195"/>
      <c r="K6" s="195"/>
      <c r="L6" s="195"/>
      <c r="M6" s="195"/>
      <c r="N6" s="195"/>
      <c r="O6" s="196"/>
    </row>
    <row r="7" spans="2:15" ht="15" customHeight="1" x14ac:dyDescent="0.25">
      <c r="B7" s="205"/>
      <c r="C7" s="206"/>
      <c r="D7" s="206"/>
      <c r="E7" s="194"/>
      <c r="F7" s="195"/>
      <c r="G7" s="195"/>
      <c r="H7" s="195"/>
      <c r="I7" s="195"/>
      <c r="J7" s="195"/>
      <c r="K7" s="195"/>
      <c r="L7" s="195"/>
      <c r="M7" s="195"/>
      <c r="N7" s="195"/>
      <c r="O7" s="196"/>
    </row>
    <row r="8" spans="2:15" ht="15" customHeight="1" x14ac:dyDescent="0.25">
      <c r="B8" s="205"/>
      <c r="C8" s="206"/>
      <c r="D8" s="206"/>
      <c r="E8" s="194"/>
      <c r="F8" s="195"/>
      <c r="G8" s="195"/>
      <c r="H8" s="195"/>
      <c r="I8" s="195"/>
      <c r="J8" s="195"/>
      <c r="K8" s="195"/>
      <c r="L8" s="195"/>
      <c r="M8" s="195"/>
      <c r="N8" s="195"/>
      <c r="O8" s="196"/>
    </row>
    <row r="9" spans="2:15" ht="15.75" customHeight="1" thickBot="1" x14ac:dyDescent="0.3">
      <c r="B9" s="207"/>
      <c r="C9" s="208"/>
      <c r="D9" s="208"/>
      <c r="E9" s="197"/>
      <c r="F9" s="198"/>
      <c r="G9" s="198"/>
      <c r="H9" s="198"/>
      <c r="I9" s="198"/>
      <c r="J9" s="198"/>
      <c r="K9" s="198"/>
      <c r="L9" s="198"/>
      <c r="M9" s="198"/>
      <c r="N9" s="198"/>
      <c r="O9" s="199"/>
    </row>
    <row r="10" spans="2:15" ht="15" customHeight="1" x14ac:dyDescent="0.25">
      <c r="B10" s="209" t="s">
        <v>1</v>
      </c>
      <c r="C10" s="211" t="s">
        <v>2</v>
      </c>
      <c r="D10" s="212"/>
      <c r="E10" s="212"/>
      <c r="F10" s="212"/>
      <c r="G10" s="213"/>
      <c r="H10" s="214"/>
      <c r="I10" s="215"/>
      <c r="J10" s="221" t="s">
        <v>3</v>
      </c>
      <c r="K10" s="223" t="s">
        <v>4</v>
      </c>
      <c r="L10" s="223" t="s">
        <v>5</v>
      </c>
      <c r="M10" s="225" t="s">
        <v>6</v>
      </c>
      <c r="N10" s="189" t="s">
        <v>7</v>
      </c>
      <c r="O10" s="189" t="s">
        <v>8</v>
      </c>
    </row>
    <row r="11" spans="2:15" ht="15.75" thickBot="1" x14ac:dyDescent="0.3">
      <c r="B11" s="210"/>
      <c r="C11" s="216"/>
      <c r="D11" s="217"/>
      <c r="E11" s="217"/>
      <c r="F11" s="217"/>
      <c r="G11" s="218"/>
      <c r="H11" s="219"/>
      <c r="I11" s="220"/>
      <c r="J11" s="222"/>
      <c r="K11" s="224"/>
      <c r="L11" s="224"/>
      <c r="M11" s="226"/>
      <c r="N11" s="190"/>
      <c r="O11" s="190"/>
    </row>
    <row r="12" spans="2:15" ht="9" customHeight="1" x14ac:dyDescent="0.25">
      <c r="B12" s="227"/>
      <c r="C12" s="227"/>
      <c r="D12" s="227"/>
      <c r="E12" s="227"/>
      <c r="F12" s="227"/>
      <c r="G12" s="227"/>
      <c r="H12" s="227"/>
      <c r="I12" s="227"/>
      <c r="J12" s="227"/>
      <c r="K12" s="227"/>
      <c r="L12" s="227"/>
    </row>
    <row r="13" spans="2:15" x14ac:dyDescent="0.25">
      <c r="B13" s="32">
        <v>1</v>
      </c>
      <c r="C13" s="200" t="s">
        <v>9</v>
      </c>
      <c r="D13" s="200"/>
      <c r="E13" s="200"/>
      <c r="F13" s="200"/>
      <c r="G13" s="200"/>
      <c r="H13" s="200"/>
      <c r="I13" s="200"/>
      <c r="J13" s="1">
        <v>2783000</v>
      </c>
      <c r="K13" s="2">
        <v>43229</v>
      </c>
      <c r="L13" s="32"/>
      <c r="M13" s="6"/>
      <c r="N13" s="6"/>
      <c r="O13" s="6"/>
    </row>
    <row r="14" spans="2:15" x14ac:dyDescent="0.25">
      <c r="B14" s="32">
        <v>2</v>
      </c>
      <c r="C14" s="200" t="s">
        <v>10</v>
      </c>
      <c r="D14" s="200"/>
      <c r="E14" s="200"/>
      <c r="F14" s="200"/>
      <c r="G14" s="200"/>
      <c r="H14" s="200"/>
      <c r="I14" s="200"/>
      <c r="J14" s="1">
        <v>22176000</v>
      </c>
      <c r="K14" s="2">
        <v>43229</v>
      </c>
      <c r="L14" s="32"/>
      <c r="M14" s="6"/>
      <c r="N14" s="6"/>
      <c r="O14" s="6"/>
    </row>
    <row r="15" spans="2:15" x14ac:dyDescent="0.25">
      <c r="B15" s="32">
        <v>3</v>
      </c>
      <c r="C15" s="200" t="s">
        <v>11</v>
      </c>
      <c r="D15" s="200"/>
      <c r="E15" s="200"/>
      <c r="F15" s="200"/>
      <c r="G15" s="200"/>
      <c r="H15" s="200"/>
      <c r="I15" s="200"/>
      <c r="J15" s="1">
        <v>5845000</v>
      </c>
      <c r="K15" s="2">
        <v>43230</v>
      </c>
      <c r="L15" s="32"/>
      <c r="M15" s="6"/>
      <c r="N15" s="6"/>
      <c r="O15" s="6"/>
    </row>
    <row r="16" spans="2:15" x14ac:dyDescent="0.25">
      <c r="B16" s="32">
        <v>4</v>
      </c>
      <c r="C16" s="200" t="s">
        <v>12</v>
      </c>
      <c r="D16" s="200"/>
      <c r="E16" s="200"/>
      <c r="F16" s="200"/>
      <c r="G16" s="200"/>
      <c r="H16" s="200"/>
      <c r="I16" s="200"/>
      <c r="J16" s="1">
        <v>3500000</v>
      </c>
      <c r="K16" s="2">
        <v>43230</v>
      </c>
      <c r="L16" s="32"/>
      <c r="M16" s="6"/>
      <c r="N16" s="6"/>
      <c r="O16" s="6"/>
    </row>
    <row r="17" spans="2:15" x14ac:dyDescent="0.25">
      <c r="B17" s="32">
        <v>5</v>
      </c>
      <c r="C17" s="200" t="s">
        <v>13</v>
      </c>
      <c r="D17" s="200"/>
      <c r="E17" s="200"/>
      <c r="F17" s="200"/>
      <c r="G17" s="200"/>
      <c r="H17" s="200"/>
      <c r="I17" s="200"/>
      <c r="J17" s="1">
        <v>1990000</v>
      </c>
      <c r="K17" s="2">
        <v>43231</v>
      </c>
      <c r="L17" s="32"/>
      <c r="M17" s="6"/>
      <c r="N17" s="6"/>
      <c r="O17" s="6"/>
    </row>
    <row r="18" spans="2:15" x14ac:dyDescent="0.25">
      <c r="B18" s="32">
        <v>6</v>
      </c>
      <c r="C18" s="200" t="s">
        <v>14</v>
      </c>
      <c r="D18" s="200"/>
      <c r="E18" s="200"/>
      <c r="F18" s="200"/>
      <c r="G18" s="200"/>
      <c r="H18" s="200"/>
      <c r="I18" s="200"/>
      <c r="J18" s="1">
        <v>9980000</v>
      </c>
      <c r="K18" s="2">
        <v>43236</v>
      </c>
      <c r="L18" s="32"/>
      <c r="M18" s="6"/>
      <c r="N18" s="6"/>
      <c r="O18" s="6"/>
    </row>
    <row r="19" spans="2:15" x14ac:dyDescent="0.25">
      <c r="B19" s="32">
        <v>7</v>
      </c>
      <c r="C19" s="200" t="s">
        <v>15</v>
      </c>
      <c r="D19" s="200"/>
      <c r="E19" s="200"/>
      <c r="F19" s="200"/>
      <c r="G19" s="200"/>
      <c r="H19" s="200"/>
      <c r="I19" s="200"/>
      <c r="J19" s="1">
        <v>735000</v>
      </c>
      <c r="K19" s="2">
        <v>43236</v>
      </c>
      <c r="L19" s="32"/>
      <c r="M19" s="6"/>
      <c r="N19" s="6"/>
      <c r="O19" s="6"/>
    </row>
    <row r="20" spans="2:15" x14ac:dyDescent="0.25">
      <c r="B20" s="32">
        <v>8</v>
      </c>
      <c r="C20" s="200" t="s">
        <v>16</v>
      </c>
      <c r="D20" s="200"/>
      <c r="E20" s="200"/>
      <c r="F20" s="200"/>
      <c r="G20" s="200"/>
      <c r="H20" s="200"/>
      <c r="I20" s="200"/>
      <c r="J20" s="1">
        <v>10472000</v>
      </c>
      <c r="K20" s="2">
        <v>43238</v>
      </c>
      <c r="L20" s="32"/>
      <c r="M20" s="6"/>
      <c r="N20" s="6"/>
      <c r="O20" s="6"/>
    </row>
    <row r="21" spans="2:15" x14ac:dyDescent="0.25">
      <c r="B21" s="32">
        <v>9</v>
      </c>
      <c r="C21" s="200" t="s">
        <v>17</v>
      </c>
      <c r="D21" s="200"/>
      <c r="E21" s="200"/>
      <c r="F21" s="200"/>
      <c r="G21" s="200"/>
      <c r="H21" s="200"/>
      <c r="I21" s="200"/>
      <c r="J21" s="1">
        <v>15092000</v>
      </c>
      <c r="K21" s="2">
        <v>43242</v>
      </c>
      <c r="L21" s="32"/>
      <c r="M21" s="6"/>
      <c r="N21" s="6"/>
      <c r="O21" s="6"/>
    </row>
    <row r="22" spans="2:15" x14ac:dyDescent="0.25">
      <c r="B22" s="32">
        <v>10</v>
      </c>
      <c r="C22" s="200" t="s">
        <v>18</v>
      </c>
      <c r="D22" s="200"/>
      <c r="E22" s="200"/>
      <c r="F22" s="200"/>
      <c r="G22" s="200"/>
      <c r="H22" s="200"/>
      <c r="I22" s="200"/>
      <c r="J22" s="1">
        <v>1540000</v>
      </c>
      <c r="K22" s="2">
        <v>43242</v>
      </c>
      <c r="L22" s="32"/>
      <c r="M22" s="6"/>
      <c r="N22" s="6"/>
      <c r="O22" s="6"/>
    </row>
    <row r="23" spans="2:15" x14ac:dyDescent="0.25">
      <c r="B23" s="200">
        <v>11</v>
      </c>
      <c r="C23" s="200" t="s">
        <v>19</v>
      </c>
      <c r="D23" s="200"/>
      <c r="E23" s="200"/>
      <c r="F23" s="200"/>
      <c r="G23" s="200"/>
      <c r="H23" s="200"/>
      <c r="I23" s="200"/>
      <c r="J23" s="1">
        <v>19588800</v>
      </c>
      <c r="K23" s="2">
        <v>43243</v>
      </c>
      <c r="L23" s="32"/>
      <c r="M23" s="6"/>
      <c r="N23" s="6"/>
      <c r="O23" s="6"/>
    </row>
    <row r="24" spans="2:15" x14ac:dyDescent="0.25">
      <c r="B24" s="200"/>
      <c r="C24" s="200" t="s">
        <v>20</v>
      </c>
      <c r="D24" s="200"/>
      <c r="E24" s="200"/>
      <c r="F24" s="200"/>
      <c r="G24" s="200"/>
      <c r="H24" s="200"/>
      <c r="I24" s="200"/>
      <c r="J24" s="1">
        <v>27104000</v>
      </c>
      <c r="K24" s="2">
        <v>43243</v>
      </c>
      <c r="L24" s="2">
        <v>43257</v>
      </c>
      <c r="M24" s="6"/>
      <c r="N24" s="6"/>
      <c r="O24" s="6"/>
    </row>
    <row r="25" spans="2:15" x14ac:dyDescent="0.25">
      <c r="B25" s="32">
        <v>12</v>
      </c>
      <c r="C25" s="200" t="s">
        <v>21</v>
      </c>
      <c r="D25" s="200"/>
      <c r="E25" s="200"/>
      <c r="F25" s="200"/>
      <c r="G25" s="200"/>
      <c r="H25" s="200"/>
      <c r="I25" s="200"/>
      <c r="J25" s="1">
        <v>3670000</v>
      </c>
      <c r="K25" s="2">
        <v>43243</v>
      </c>
      <c r="L25" s="2">
        <v>43250</v>
      </c>
      <c r="M25" s="6"/>
      <c r="N25" s="6"/>
      <c r="O25" s="6"/>
    </row>
    <row r="26" spans="2:15" x14ac:dyDescent="0.25">
      <c r="B26" s="32">
        <v>13</v>
      </c>
      <c r="C26" s="200" t="s">
        <v>22</v>
      </c>
      <c r="D26" s="200"/>
      <c r="E26" s="200"/>
      <c r="F26" s="200"/>
      <c r="G26" s="200"/>
      <c r="H26" s="200"/>
      <c r="I26" s="200"/>
      <c r="J26" s="1">
        <v>3670000</v>
      </c>
      <c r="K26" s="2">
        <v>43243</v>
      </c>
      <c r="L26" s="2">
        <v>43250</v>
      </c>
      <c r="M26" s="6"/>
      <c r="N26" s="6"/>
      <c r="O26" s="6"/>
    </row>
    <row r="27" spans="2:15" x14ac:dyDescent="0.25">
      <c r="B27" s="32">
        <v>14</v>
      </c>
      <c r="C27" s="200" t="s">
        <v>23</v>
      </c>
      <c r="D27" s="200"/>
      <c r="E27" s="200"/>
      <c r="F27" s="200"/>
      <c r="G27" s="200"/>
      <c r="H27" s="200"/>
      <c r="I27" s="200"/>
      <c r="J27" s="1">
        <v>5544000</v>
      </c>
      <c r="K27" s="2">
        <v>43243</v>
      </c>
      <c r="L27" s="2">
        <v>43245</v>
      </c>
      <c r="M27" s="6"/>
      <c r="N27" s="6"/>
      <c r="O27" s="6"/>
    </row>
    <row r="28" spans="2:15" x14ac:dyDescent="0.25">
      <c r="B28" s="32">
        <v>15</v>
      </c>
      <c r="C28" s="200" t="s">
        <v>24</v>
      </c>
      <c r="D28" s="200"/>
      <c r="E28" s="200"/>
      <c r="F28" s="200"/>
      <c r="G28" s="200"/>
      <c r="H28" s="200"/>
      <c r="I28" s="200"/>
      <c r="J28" s="1">
        <v>1970000</v>
      </c>
      <c r="K28" s="2">
        <v>43248</v>
      </c>
      <c r="L28" s="2">
        <v>43250</v>
      </c>
      <c r="M28" s="6"/>
      <c r="N28" s="6"/>
      <c r="O28" s="6"/>
    </row>
    <row r="29" spans="2:15" x14ac:dyDescent="0.25">
      <c r="B29" s="32">
        <v>16</v>
      </c>
      <c r="C29" s="200" t="s">
        <v>25</v>
      </c>
      <c r="D29" s="200"/>
      <c r="E29" s="200"/>
      <c r="F29" s="200"/>
      <c r="G29" s="200"/>
      <c r="H29" s="200"/>
      <c r="I29" s="200"/>
      <c r="J29" s="1">
        <v>16262400</v>
      </c>
      <c r="K29" s="2">
        <v>43248</v>
      </c>
      <c r="L29" s="32"/>
      <c r="M29" s="6"/>
      <c r="N29" s="6"/>
      <c r="O29" s="6"/>
    </row>
    <row r="30" spans="2:15" x14ac:dyDescent="0.25">
      <c r="B30" s="32">
        <v>17</v>
      </c>
      <c r="C30" s="200" t="s">
        <v>26</v>
      </c>
      <c r="D30" s="200"/>
      <c r="E30" s="200"/>
      <c r="F30" s="200"/>
      <c r="G30" s="200"/>
      <c r="H30" s="200"/>
      <c r="I30" s="200"/>
      <c r="J30" s="1">
        <v>610000</v>
      </c>
      <c r="K30" s="2">
        <v>43249</v>
      </c>
      <c r="L30" s="2">
        <v>43297</v>
      </c>
      <c r="M30" s="6"/>
      <c r="N30" s="6"/>
      <c r="O30" s="6"/>
    </row>
    <row r="31" spans="2:15" x14ac:dyDescent="0.25">
      <c r="B31" s="32">
        <v>18</v>
      </c>
      <c r="C31" s="200" t="s">
        <v>27</v>
      </c>
      <c r="D31" s="200"/>
      <c r="E31" s="200"/>
      <c r="F31" s="200"/>
      <c r="G31" s="200"/>
      <c r="H31" s="200"/>
      <c r="I31" s="200"/>
      <c r="J31" s="1">
        <v>8000000</v>
      </c>
      <c r="K31" s="2">
        <v>43249</v>
      </c>
      <c r="L31" s="2">
        <v>43252</v>
      </c>
      <c r="M31" s="6"/>
      <c r="N31" s="6"/>
      <c r="O31" s="6"/>
    </row>
    <row r="32" spans="2:15" x14ac:dyDescent="0.25">
      <c r="B32" s="32">
        <v>19</v>
      </c>
      <c r="C32" s="200" t="s">
        <v>28</v>
      </c>
      <c r="D32" s="200"/>
      <c r="E32" s="200"/>
      <c r="F32" s="200"/>
      <c r="G32" s="200"/>
      <c r="H32" s="200"/>
      <c r="I32" s="200"/>
      <c r="J32" s="1">
        <v>20328000</v>
      </c>
      <c r="K32" s="2">
        <v>43227</v>
      </c>
      <c r="L32" s="32"/>
      <c r="M32" s="6"/>
      <c r="N32" s="6"/>
      <c r="O32" s="6"/>
    </row>
    <row r="33" spans="2:15" x14ac:dyDescent="0.25">
      <c r="B33" s="32">
        <v>20</v>
      </c>
      <c r="C33" s="200" t="s">
        <v>29</v>
      </c>
      <c r="D33" s="200"/>
      <c r="E33" s="200"/>
      <c r="F33" s="200"/>
      <c r="G33" s="200"/>
      <c r="H33" s="200"/>
      <c r="I33" s="200"/>
      <c r="J33" s="1">
        <v>4174500</v>
      </c>
      <c r="K33" s="2">
        <v>43250</v>
      </c>
      <c r="L33" s="32"/>
      <c r="M33" s="6"/>
      <c r="N33" s="6"/>
      <c r="O33" s="6"/>
    </row>
    <row r="34" spans="2:15" x14ac:dyDescent="0.25">
      <c r="B34" s="32">
        <v>21</v>
      </c>
      <c r="C34" s="200" t="s">
        <v>30</v>
      </c>
      <c r="D34" s="200"/>
      <c r="E34" s="200"/>
      <c r="F34" s="200"/>
      <c r="G34" s="200"/>
      <c r="H34" s="200"/>
      <c r="I34" s="200"/>
      <c r="J34" s="1">
        <v>1830000</v>
      </c>
      <c r="K34" s="2">
        <v>43256</v>
      </c>
      <c r="L34" s="32"/>
      <c r="M34" s="6"/>
      <c r="N34" s="6"/>
      <c r="O34" s="6"/>
    </row>
    <row r="35" spans="2:15" x14ac:dyDescent="0.25">
      <c r="B35" s="32">
        <v>22</v>
      </c>
      <c r="C35" s="200" t="s">
        <v>31</v>
      </c>
      <c r="D35" s="200"/>
      <c r="E35" s="200"/>
      <c r="F35" s="200"/>
      <c r="G35" s="200"/>
      <c r="H35" s="200"/>
      <c r="I35" s="200"/>
      <c r="J35" s="1">
        <v>2340000</v>
      </c>
      <c r="K35" s="2">
        <v>43256</v>
      </c>
      <c r="L35" s="32"/>
      <c r="M35" s="6"/>
      <c r="N35" s="6"/>
      <c r="O35" s="6"/>
    </row>
    <row r="36" spans="2:15" x14ac:dyDescent="0.25">
      <c r="B36" s="32">
        <v>23</v>
      </c>
      <c r="C36" s="200" t="s">
        <v>32</v>
      </c>
      <c r="D36" s="200"/>
      <c r="E36" s="200"/>
      <c r="F36" s="200"/>
      <c r="G36" s="200"/>
      <c r="H36" s="200"/>
      <c r="I36" s="200"/>
      <c r="J36" s="1">
        <v>6325000</v>
      </c>
      <c r="K36" s="2">
        <v>43258</v>
      </c>
      <c r="L36" s="32"/>
      <c r="M36" s="6"/>
      <c r="N36" s="6"/>
      <c r="O36" s="6"/>
    </row>
    <row r="37" spans="2:15" x14ac:dyDescent="0.25">
      <c r="B37" s="32">
        <v>24</v>
      </c>
      <c r="C37" s="200" t="s">
        <v>33</v>
      </c>
      <c r="D37" s="200"/>
      <c r="E37" s="200"/>
      <c r="F37" s="200"/>
      <c r="G37" s="200"/>
      <c r="H37" s="200"/>
      <c r="I37" s="200"/>
      <c r="J37" s="1">
        <v>2783000</v>
      </c>
      <c r="K37" s="2">
        <v>43259</v>
      </c>
      <c r="L37" s="32"/>
      <c r="M37" s="6"/>
      <c r="N37" s="6"/>
      <c r="O37" s="6"/>
    </row>
    <row r="38" spans="2:15" x14ac:dyDescent="0.25">
      <c r="B38" s="32">
        <v>25</v>
      </c>
      <c r="C38" s="200" t="s">
        <v>34</v>
      </c>
      <c r="D38" s="200"/>
      <c r="E38" s="200"/>
      <c r="F38" s="200"/>
      <c r="G38" s="200"/>
      <c r="H38" s="200"/>
      <c r="I38" s="200"/>
      <c r="J38" s="1">
        <v>2710000</v>
      </c>
      <c r="K38" s="2">
        <v>43260</v>
      </c>
      <c r="L38" s="32"/>
      <c r="M38" s="6"/>
      <c r="N38" s="6"/>
      <c r="O38" s="6"/>
    </row>
    <row r="39" spans="2:15" x14ac:dyDescent="0.25">
      <c r="B39" s="32">
        <v>26</v>
      </c>
      <c r="C39" s="200" t="s">
        <v>35</v>
      </c>
      <c r="D39" s="200"/>
      <c r="E39" s="200"/>
      <c r="F39" s="200"/>
      <c r="G39" s="200"/>
      <c r="H39" s="200"/>
      <c r="I39" s="200"/>
      <c r="J39" s="1">
        <v>5550000</v>
      </c>
      <c r="K39" s="2">
        <v>43260</v>
      </c>
      <c r="L39" s="32"/>
      <c r="M39" s="6"/>
      <c r="N39" s="6"/>
      <c r="O39" s="6"/>
    </row>
    <row r="40" spans="2:15" x14ac:dyDescent="0.25">
      <c r="B40" s="32">
        <v>27</v>
      </c>
      <c r="C40" s="200" t="s">
        <v>36</v>
      </c>
      <c r="D40" s="200"/>
      <c r="E40" s="200"/>
      <c r="F40" s="200"/>
      <c r="G40" s="200"/>
      <c r="H40" s="200"/>
      <c r="I40" s="200"/>
      <c r="J40" s="1">
        <v>20328000</v>
      </c>
      <c r="K40" s="2">
        <v>43263</v>
      </c>
      <c r="L40" s="32"/>
      <c r="M40" s="6"/>
      <c r="N40" s="6"/>
      <c r="O40" s="6"/>
    </row>
    <row r="41" spans="2:15" x14ac:dyDescent="0.25">
      <c r="B41" s="32">
        <v>28</v>
      </c>
      <c r="C41" s="200" t="s">
        <v>37</v>
      </c>
      <c r="D41" s="200"/>
      <c r="E41" s="200"/>
      <c r="F41" s="200"/>
      <c r="G41" s="200"/>
      <c r="H41" s="200"/>
      <c r="I41" s="200"/>
      <c r="J41" s="1">
        <v>36344000</v>
      </c>
      <c r="K41" s="2">
        <v>43264</v>
      </c>
      <c r="L41" s="32"/>
      <c r="M41" s="6"/>
      <c r="N41" s="6"/>
      <c r="O41" s="6"/>
    </row>
    <row r="42" spans="2:15" x14ac:dyDescent="0.25">
      <c r="B42" s="32">
        <v>29</v>
      </c>
      <c r="C42" s="200" t="s">
        <v>38</v>
      </c>
      <c r="D42" s="200"/>
      <c r="E42" s="200"/>
      <c r="F42" s="200"/>
      <c r="G42" s="200"/>
      <c r="H42" s="200"/>
      <c r="I42" s="200"/>
      <c r="J42" s="1">
        <v>4930000</v>
      </c>
      <c r="K42" s="2">
        <v>43265</v>
      </c>
      <c r="L42" s="2">
        <v>43266</v>
      </c>
      <c r="M42" s="6"/>
      <c r="N42" s="6"/>
      <c r="O42" s="6"/>
    </row>
    <row r="43" spans="2:15" x14ac:dyDescent="0.25">
      <c r="B43" s="32">
        <v>30</v>
      </c>
      <c r="C43" s="200" t="s">
        <v>39</v>
      </c>
      <c r="D43" s="200"/>
      <c r="E43" s="200"/>
      <c r="F43" s="200"/>
      <c r="G43" s="200"/>
      <c r="H43" s="200"/>
      <c r="I43" s="200"/>
      <c r="J43" s="1">
        <v>16016000</v>
      </c>
      <c r="K43" s="2">
        <v>43266</v>
      </c>
      <c r="L43" s="32"/>
      <c r="M43" s="6"/>
      <c r="N43" s="6"/>
      <c r="O43" s="6"/>
    </row>
    <row r="44" spans="2:15" x14ac:dyDescent="0.25">
      <c r="B44" s="32">
        <v>31</v>
      </c>
      <c r="C44" s="200" t="s">
        <v>40</v>
      </c>
      <c r="D44" s="200"/>
      <c r="E44" s="200"/>
      <c r="F44" s="200"/>
      <c r="G44" s="200"/>
      <c r="H44" s="200"/>
      <c r="I44" s="200"/>
      <c r="J44" s="1">
        <v>6590000</v>
      </c>
      <c r="K44" s="2">
        <v>43267</v>
      </c>
      <c r="L44" s="32"/>
      <c r="M44" s="6"/>
      <c r="N44" s="6"/>
      <c r="O44" s="6"/>
    </row>
    <row r="45" spans="2:15" x14ac:dyDescent="0.25">
      <c r="B45" s="32">
        <v>32</v>
      </c>
      <c r="C45" s="200" t="s">
        <v>41</v>
      </c>
      <c r="D45" s="200"/>
      <c r="E45" s="200"/>
      <c r="F45" s="200"/>
      <c r="G45" s="200"/>
      <c r="H45" s="200"/>
      <c r="I45" s="200"/>
      <c r="J45" s="1">
        <v>2170000</v>
      </c>
      <c r="K45" s="2">
        <v>43270</v>
      </c>
      <c r="L45" s="32"/>
      <c r="M45" s="6"/>
      <c r="N45" s="6"/>
      <c r="O45" s="6"/>
    </row>
    <row r="46" spans="2:15" x14ac:dyDescent="0.25">
      <c r="B46" s="32">
        <v>33</v>
      </c>
      <c r="C46" s="200" t="s">
        <v>42</v>
      </c>
      <c r="D46" s="200"/>
      <c r="E46" s="200"/>
      <c r="F46" s="200"/>
      <c r="G46" s="200"/>
      <c r="H46" s="200"/>
      <c r="I46" s="200"/>
      <c r="J46" s="1">
        <v>15400000</v>
      </c>
      <c r="K46" s="2">
        <v>43271</v>
      </c>
      <c r="L46" s="32"/>
      <c r="M46" s="6"/>
      <c r="N46" s="6"/>
      <c r="O46" s="6"/>
    </row>
    <row r="47" spans="2:15" x14ac:dyDescent="0.25">
      <c r="B47" s="32">
        <v>34</v>
      </c>
      <c r="C47" s="200" t="s">
        <v>43</v>
      </c>
      <c r="D47" s="200"/>
      <c r="E47" s="200"/>
      <c r="F47" s="200"/>
      <c r="G47" s="200"/>
      <c r="H47" s="200"/>
      <c r="I47" s="200"/>
      <c r="J47" s="1">
        <v>16400000</v>
      </c>
      <c r="K47" s="2">
        <v>43271</v>
      </c>
      <c r="L47" s="32"/>
      <c r="M47" s="6"/>
      <c r="N47" s="6"/>
      <c r="O47" s="6"/>
    </row>
    <row r="48" spans="2:15" x14ac:dyDescent="0.25">
      <c r="B48" s="32">
        <v>35</v>
      </c>
      <c r="C48" s="200" t="s">
        <v>44</v>
      </c>
      <c r="D48" s="200"/>
      <c r="E48" s="200"/>
      <c r="F48" s="200"/>
      <c r="G48" s="200"/>
      <c r="H48" s="200"/>
      <c r="I48" s="200"/>
      <c r="J48" s="1">
        <v>4250000</v>
      </c>
      <c r="K48" s="2">
        <v>43278</v>
      </c>
      <c r="L48" s="32"/>
      <c r="M48" s="6"/>
      <c r="N48" s="6"/>
      <c r="O48" s="6"/>
    </row>
    <row r="49" spans="2:15" x14ac:dyDescent="0.25">
      <c r="B49" s="32">
        <v>36</v>
      </c>
      <c r="C49" s="200" t="s">
        <v>45</v>
      </c>
      <c r="D49" s="200"/>
      <c r="E49" s="200"/>
      <c r="F49" s="200"/>
      <c r="G49" s="200"/>
      <c r="H49" s="200"/>
      <c r="I49" s="200"/>
      <c r="J49" s="1">
        <v>6160000</v>
      </c>
      <c r="K49" s="2">
        <v>43280</v>
      </c>
      <c r="L49" s="32"/>
      <c r="M49" s="6"/>
      <c r="N49" s="6"/>
      <c r="O49" s="6"/>
    </row>
    <row r="50" spans="2:15" x14ac:dyDescent="0.25">
      <c r="B50" s="32">
        <v>37</v>
      </c>
      <c r="C50" s="200" t="s">
        <v>46</v>
      </c>
      <c r="D50" s="200"/>
      <c r="E50" s="200"/>
      <c r="F50" s="200"/>
      <c r="G50" s="200"/>
      <c r="H50" s="200"/>
      <c r="I50" s="200"/>
      <c r="J50" s="1">
        <v>6960000</v>
      </c>
      <c r="K50" s="2">
        <v>43282</v>
      </c>
      <c r="L50" s="32"/>
      <c r="M50" s="6"/>
      <c r="N50" s="6"/>
      <c r="O50" s="6"/>
    </row>
    <row r="51" spans="2:15" x14ac:dyDescent="0.25">
      <c r="B51" s="32">
        <v>38</v>
      </c>
      <c r="C51" s="200" t="s">
        <v>47</v>
      </c>
      <c r="D51" s="200"/>
      <c r="E51" s="200"/>
      <c r="F51" s="200"/>
      <c r="G51" s="200"/>
      <c r="H51" s="200"/>
      <c r="I51" s="200"/>
      <c r="J51" s="1">
        <v>9000000</v>
      </c>
      <c r="K51" s="2">
        <v>43282</v>
      </c>
      <c r="L51" s="2">
        <v>43285</v>
      </c>
      <c r="M51" s="6"/>
      <c r="N51" s="6"/>
      <c r="O51" s="6"/>
    </row>
    <row r="52" spans="2:15" x14ac:dyDescent="0.25">
      <c r="B52" s="32">
        <v>39</v>
      </c>
      <c r="C52" s="200" t="s">
        <v>48</v>
      </c>
      <c r="D52" s="200"/>
      <c r="E52" s="200"/>
      <c r="F52" s="200"/>
      <c r="G52" s="200"/>
      <c r="H52" s="200"/>
      <c r="I52" s="200"/>
      <c r="J52" s="1">
        <v>2775000</v>
      </c>
      <c r="K52" s="2">
        <v>43286</v>
      </c>
      <c r="L52" s="32"/>
      <c r="M52" s="6"/>
      <c r="N52" s="6"/>
      <c r="O52" s="6"/>
    </row>
    <row r="53" spans="2:15" x14ac:dyDescent="0.25">
      <c r="B53" s="32">
        <v>40</v>
      </c>
      <c r="C53" s="200" t="s">
        <v>49</v>
      </c>
      <c r="D53" s="200"/>
      <c r="E53" s="200"/>
      <c r="F53" s="200"/>
      <c r="G53" s="200"/>
      <c r="H53" s="200"/>
      <c r="I53" s="200"/>
      <c r="J53" s="1">
        <v>9245000</v>
      </c>
      <c r="K53" s="3">
        <v>43287</v>
      </c>
      <c r="L53" s="32"/>
      <c r="M53" s="6"/>
      <c r="N53" s="6"/>
      <c r="O53" s="6"/>
    </row>
    <row r="54" spans="2:15" x14ac:dyDescent="0.25">
      <c r="B54" s="32">
        <v>41</v>
      </c>
      <c r="C54" s="200" t="s">
        <v>50</v>
      </c>
      <c r="D54" s="200"/>
      <c r="E54" s="200"/>
      <c r="F54" s="200"/>
      <c r="G54" s="200"/>
      <c r="H54" s="200"/>
      <c r="I54" s="200"/>
      <c r="J54" s="1">
        <v>26980000</v>
      </c>
      <c r="K54" s="2">
        <v>43290</v>
      </c>
      <c r="L54" s="32"/>
      <c r="M54" s="6"/>
      <c r="N54" s="6"/>
      <c r="O54" s="6"/>
    </row>
    <row r="55" spans="2:15" x14ac:dyDescent="0.25">
      <c r="B55" s="32">
        <v>42</v>
      </c>
      <c r="C55" s="200" t="s">
        <v>51</v>
      </c>
      <c r="D55" s="200"/>
      <c r="E55" s="200"/>
      <c r="F55" s="200"/>
      <c r="G55" s="200"/>
      <c r="H55" s="200"/>
      <c r="I55" s="200"/>
      <c r="J55" s="1">
        <v>7000</v>
      </c>
      <c r="K55" s="2">
        <v>43292</v>
      </c>
      <c r="L55" s="32"/>
      <c r="M55" s="6"/>
      <c r="N55" s="6"/>
      <c r="O55" s="6"/>
    </row>
    <row r="56" spans="2:15" x14ac:dyDescent="0.25">
      <c r="B56" s="32">
        <v>43</v>
      </c>
      <c r="C56" s="200" t="s">
        <v>52</v>
      </c>
      <c r="D56" s="200"/>
      <c r="E56" s="200"/>
      <c r="F56" s="200"/>
      <c r="G56" s="200"/>
      <c r="H56" s="200"/>
      <c r="I56" s="200"/>
      <c r="J56" s="1">
        <v>250000</v>
      </c>
      <c r="K56" s="2">
        <v>43292</v>
      </c>
      <c r="L56" s="2">
        <v>43293</v>
      </c>
      <c r="M56" s="6"/>
      <c r="N56" s="6"/>
      <c r="O56" s="6"/>
    </row>
    <row r="57" spans="2:15" x14ac:dyDescent="0.25">
      <c r="B57" s="32">
        <v>44</v>
      </c>
      <c r="C57" s="200" t="s">
        <v>53</v>
      </c>
      <c r="D57" s="200"/>
      <c r="E57" s="200"/>
      <c r="F57" s="200"/>
      <c r="G57" s="200"/>
      <c r="H57" s="200"/>
      <c r="I57" s="200"/>
      <c r="J57" s="1">
        <v>250000</v>
      </c>
      <c r="K57" s="2">
        <v>43292</v>
      </c>
      <c r="L57" s="2">
        <v>43293</v>
      </c>
      <c r="M57" s="6"/>
      <c r="N57" s="6"/>
      <c r="O57" s="6"/>
    </row>
    <row r="58" spans="2:15" x14ac:dyDescent="0.25">
      <c r="B58" s="32">
        <v>45</v>
      </c>
      <c r="C58" s="200" t="s">
        <v>54</v>
      </c>
      <c r="D58" s="200"/>
      <c r="E58" s="200"/>
      <c r="F58" s="200"/>
      <c r="G58" s="200"/>
      <c r="H58" s="200"/>
      <c r="I58" s="200"/>
      <c r="J58" s="1">
        <v>250000</v>
      </c>
      <c r="K58" s="2">
        <v>43292</v>
      </c>
      <c r="L58" s="2">
        <v>43293</v>
      </c>
      <c r="M58" s="6"/>
      <c r="N58" s="6"/>
      <c r="O58" s="6"/>
    </row>
    <row r="59" spans="2:15" x14ac:dyDescent="0.25">
      <c r="B59" s="32">
        <v>46</v>
      </c>
      <c r="C59" s="200" t="s">
        <v>55</v>
      </c>
      <c r="D59" s="200"/>
      <c r="E59" s="200"/>
      <c r="F59" s="200"/>
      <c r="G59" s="200"/>
      <c r="H59" s="200"/>
      <c r="I59" s="200"/>
      <c r="J59" s="1">
        <v>1725000</v>
      </c>
      <c r="K59" s="2">
        <v>43294</v>
      </c>
      <c r="L59" s="32"/>
      <c r="M59" s="6"/>
      <c r="N59" s="6"/>
      <c r="O59" s="6"/>
    </row>
    <row r="60" spans="2:15" x14ac:dyDescent="0.25">
      <c r="B60" s="32">
        <v>47</v>
      </c>
      <c r="C60" s="200" t="s">
        <v>56</v>
      </c>
      <c r="D60" s="200"/>
      <c r="E60" s="200"/>
      <c r="F60" s="200"/>
      <c r="G60" s="200"/>
      <c r="H60" s="200"/>
      <c r="I60" s="200"/>
      <c r="J60" s="1">
        <v>1295000</v>
      </c>
      <c r="K60" s="2">
        <v>42567</v>
      </c>
      <c r="L60" s="2">
        <v>43299</v>
      </c>
      <c r="M60" s="6"/>
      <c r="N60" s="6"/>
      <c r="O60" s="6"/>
    </row>
    <row r="61" spans="2:15" x14ac:dyDescent="0.25">
      <c r="B61" s="32">
        <v>48</v>
      </c>
      <c r="C61" s="200" t="s">
        <v>57</v>
      </c>
      <c r="D61" s="200"/>
      <c r="E61" s="200"/>
      <c r="F61" s="200"/>
      <c r="G61" s="200"/>
      <c r="H61" s="200"/>
      <c r="I61" s="200"/>
      <c r="J61" s="1">
        <v>450000</v>
      </c>
      <c r="K61" s="2">
        <v>43299</v>
      </c>
      <c r="L61" s="2"/>
      <c r="M61" s="6"/>
      <c r="N61" s="6"/>
      <c r="O61" s="6"/>
    </row>
    <row r="62" spans="2:15" x14ac:dyDescent="0.25">
      <c r="B62" s="32">
        <v>49</v>
      </c>
      <c r="C62" s="200" t="s">
        <v>58</v>
      </c>
      <c r="D62" s="200"/>
      <c r="E62" s="200"/>
      <c r="F62" s="200"/>
      <c r="G62" s="200"/>
      <c r="H62" s="200"/>
      <c r="I62" s="200"/>
      <c r="J62" s="1">
        <v>250000</v>
      </c>
      <c r="K62" s="2">
        <v>43299</v>
      </c>
      <c r="L62" s="2">
        <v>43299</v>
      </c>
      <c r="M62" s="6"/>
      <c r="N62" s="6"/>
      <c r="O62" s="6"/>
    </row>
    <row r="63" spans="2:15" x14ac:dyDescent="0.25">
      <c r="B63" s="32">
        <v>50</v>
      </c>
      <c r="C63" s="200" t="s">
        <v>59</v>
      </c>
      <c r="D63" s="200"/>
      <c r="E63" s="200"/>
      <c r="F63" s="200"/>
      <c r="G63" s="200"/>
      <c r="H63" s="200"/>
      <c r="I63" s="200"/>
      <c r="J63" s="1">
        <v>470000</v>
      </c>
      <c r="K63" s="2">
        <v>43300</v>
      </c>
      <c r="L63" s="32"/>
      <c r="M63" s="6"/>
      <c r="N63" s="6"/>
      <c r="O63" s="6"/>
    </row>
    <row r="64" spans="2:15" x14ac:dyDescent="0.25">
      <c r="B64" s="32">
        <v>51</v>
      </c>
      <c r="C64" s="200" t="s">
        <v>60</v>
      </c>
      <c r="D64" s="200"/>
      <c r="E64" s="200"/>
      <c r="F64" s="200"/>
      <c r="G64" s="200"/>
      <c r="H64" s="200"/>
      <c r="I64" s="200"/>
      <c r="J64" s="1">
        <v>4312000</v>
      </c>
      <c r="K64" s="2">
        <v>43302</v>
      </c>
      <c r="L64" s="32"/>
      <c r="M64" s="6"/>
      <c r="N64" s="6"/>
      <c r="O64" s="6"/>
    </row>
    <row r="65" spans="2:15" x14ac:dyDescent="0.25">
      <c r="B65" s="32">
        <v>52</v>
      </c>
      <c r="C65" s="200" t="s">
        <v>61</v>
      </c>
      <c r="D65" s="200"/>
      <c r="E65" s="200"/>
      <c r="F65" s="200"/>
      <c r="G65" s="200"/>
      <c r="H65" s="200"/>
      <c r="I65" s="200"/>
      <c r="J65" s="1">
        <v>15708000</v>
      </c>
      <c r="K65" s="2">
        <v>43302</v>
      </c>
      <c r="L65" s="32"/>
      <c r="M65" s="6"/>
      <c r="N65" s="6"/>
      <c r="O65" s="6"/>
    </row>
    <row r="66" spans="2:15" x14ac:dyDescent="0.25">
      <c r="B66" s="32">
        <v>53</v>
      </c>
      <c r="C66" s="200" t="s">
        <v>62</v>
      </c>
      <c r="D66" s="200"/>
      <c r="E66" s="200"/>
      <c r="F66" s="200"/>
      <c r="G66" s="200"/>
      <c r="H66" s="200"/>
      <c r="I66" s="200"/>
      <c r="J66" s="1">
        <v>6160000</v>
      </c>
      <c r="K66" s="2">
        <v>43304</v>
      </c>
      <c r="L66" s="32"/>
      <c r="M66" s="6"/>
      <c r="N66" s="6"/>
      <c r="O66" s="6"/>
    </row>
    <row r="67" spans="2:15" x14ac:dyDescent="0.25">
      <c r="B67" s="32">
        <v>54</v>
      </c>
      <c r="C67" s="200" t="s">
        <v>63</v>
      </c>
      <c r="D67" s="200"/>
      <c r="E67" s="200"/>
      <c r="F67" s="200"/>
      <c r="G67" s="200"/>
      <c r="H67" s="200"/>
      <c r="I67" s="200"/>
      <c r="J67" s="1">
        <v>4500000</v>
      </c>
      <c r="K67" s="2">
        <v>43304</v>
      </c>
      <c r="L67" s="32"/>
      <c r="M67" s="6"/>
      <c r="N67" s="6"/>
      <c r="O67" s="6"/>
    </row>
    <row r="68" spans="2:15" x14ac:dyDescent="0.25">
      <c r="B68" s="32">
        <v>55</v>
      </c>
      <c r="C68" s="200" t="s">
        <v>64</v>
      </c>
      <c r="D68" s="200"/>
      <c r="E68" s="200"/>
      <c r="F68" s="200"/>
      <c r="G68" s="200"/>
      <c r="H68" s="200"/>
      <c r="I68" s="200"/>
      <c r="J68" s="1">
        <v>250000</v>
      </c>
      <c r="K68" s="2">
        <v>43305</v>
      </c>
      <c r="L68" s="32"/>
      <c r="M68" s="6"/>
      <c r="N68" s="6"/>
      <c r="O68" s="6"/>
    </row>
    <row r="69" spans="2:15" x14ac:dyDescent="0.25">
      <c r="B69" s="32">
        <v>56</v>
      </c>
      <c r="C69" s="200" t="s">
        <v>65</v>
      </c>
      <c r="D69" s="200"/>
      <c r="E69" s="200"/>
      <c r="F69" s="200"/>
      <c r="G69" s="200"/>
      <c r="H69" s="200"/>
      <c r="I69" s="200"/>
      <c r="J69" s="1">
        <v>6410000</v>
      </c>
      <c r="K69" s="2">
        <v>43306</v>
      </c>
      <c r="L69" s="32"/>
      <c r="M69" s="6"/>
      <c r="N69" s="6"/>
      <c r="O69" s="6"/>
    </row>
    <row r="70" spans="2:15" x14ac:dyDescent="0.25">
      <c r="B70" s="32">
        <v>57</v>
      </c>
      <c r="C70" s="200" t="s">
        <v>66</v>
      </c>
      <c r="D70" s="200"/>
      <c r="E70" s="200"/>
      <c r="F70" s="200"/>
      <c r="G70" s="200"/>
      <c r="H70" s="200"/>
      <c r="I70" s="200"/>
      <c r="J70" s="1">
        <v>2980000</v>
      </c>
      <c r="K70" s="2">
        <v>43307</v>
      </c>
      <c r="L70" s="32"/>
      <c r="M70" s="6"/>
      <c r="N70" s="6"/>
      <c r="O70" s="6"/>
    </row>
    <row r="71" spans="2:15" x14ac:dyDescent="0.25">
      <c r="B71" s="32">
        <v>58</v>
      </c>
      <c r="C71" s="200" t="s">
        <v>67</v>
      </c>
      <c r="D71" s="200"/>
      <c r="E71" s="200"/>
      <c r="F71" s="200"/>
      <c r="G71" s="200"/>
      <c r="H71" s="200"/>
      <c r="I71" s="200"/>
      <c r="J71" s="1">
        <v>320000</v>
      </c>
      <c r="K71" s="2">
        <v>43307</v>
      </c>
      <c r="L71" s="32"/>
      <c r="M71" s="6"/>
      <c r="N71" s="6"/>
      <c r="O71" s="6"/>
    </row>
    <row r="72" spans="2:15" x14ac:dyDescent="0.25">
      <c r="B72" s="32">
        <v>59</v>
      </c>
      <c r="C72" s="200" t="s">
        <v>68</v>
      </c>
      <c r="D72" s="200"/>
      <c r="E72" s="200"/>
      <c r="F72" s="200"/>
      <c r="G72" s="200"/>
      <c r="H72" s="200"/>
      <c r="I72" s="200"/>
      <c r="J72" s="1">
        <v>1490000</v>
      </c>
      <c r="K72" s="2">
        <v>43311</v>
      </c>
      <c r="L72" s="2">
        <v>43328</v>
      </c>
      <c r="M72" s="6"/>
      <c r="N72" s="6"/>
      <c r="O72" s="6"/>
    </row>
    <row r="73" spans="2:15" x14ac:dyDescent="0.25">
      <c r="B73" s="32">
        <v>60</v>
      </c>
      <c r="C73" s="200" t="s">
        <v>69</v>
      </c>
      <c r="D73" s="200"/>
      <c r="E73" s="200"/>
      <c r="F73" s="200"/>
      <c r="G73" s="200"/>
      <c r="H73" s="200"/>
      <c r="I73" s="200"/>
      <c r="J73" s="1">
        <v>15917067</v>
      </c>
      <c r="K73" s="2">
        <v>43312</v>
      </c>
      <c r="L73" s="32"/>
      <c r="M73" s="6"/>
      <c r="N73" s="6"/>
      <c r="O73" s="6"/>
    </row>
    <row r="74" spans="2:15" x14ac:dyDescent="0.25">
      <c r="B74" s="32">
        <v>61</v>
      </c>
      <c r="C74" s="200" t="s">
        <v>70</v>
      </c>
      <c r="D74" s="200"/>
      <c r="E74" s="200"/>
      <c r="F74" s="200"/>
      <c r="G74" s="200"/>
      <c r="H74" s="200"/>
      <c r="I74" s="200"/>
      <c r="J74" s="1">
        <v>1625000</v>
      </c>
      <c r="K74" s="2">
        <v>43313</v>
      </c>
      <c r="L74" s="2">
        <v>43334</v>
      </c>
      <c r="M74" s="6"/>
      <c r="N74" s="6"/>
      <c r="O74" s="6"/>
    </row>
    <row r="75" spans="2:15" x14ac:dyDescent="0.25">
      <c r="B75" s="32">
        <v>62</v>
      </c>
      <c r="C75" s="200" t="s">
        <v>71</v>
      </c>
      <c r="D75" s="200"/>
      <c r="E75" s="200"/>
      <c r="F75" s="200"/>
      <c r="G75" s="200"/>
      <c r="H75" s="200"/>
      <c r="I75" s="200"/>
      <c r="J75" s="1">
        <v>8263328.4000000004</v>
      </c>
      <c r="K75" s="2">
        <v>43313</v>
      </c>
      <c r="L75" s="32"/>
      <c r="M75" s="6"/>
      <c r="N75" s="6"/>
      <c r="O75" s="6"/>
    </row>
    <row r="76" spans="2:15" x14ac:dyDescent="0.25">
      <c r="B76" s="32">
        <v>63</v>
      </c>
      <c r="C76" s="200" t="s">
        <v>72</v>
      </c>
      <c r="D76" s="200"/>
      <c r="E76" s="200"/>
      <c r="F76" s="200"/>
      <c r="G76" s="200"/>
      <c r="H76" s="200"/>
      <c r="I76" s="200"/>
      <c r="J76" s="1">
        <v>880000</v>
      </c>
      <c r="K76" s="2">
        <v>43314</v>
      </c>
      <c r="L76" s="2">
        <v>43314</v>
      </c>
      <c r="M76" s="6"/>
      <c r="N76" s="6"/>
      <c r="O76" s="6"/>
    </row>
    <row r="77" spans="2:15" x14ac:dyDescent="0.25">
      <c r="B77" s="32">
        <v>64</v>
      </c>
      <c r="C77" s="200" t="s">
        <v>73</v>
      </c>
      <c r="D77" s="200"/>
      <c r="E77" s="200"/>
      <c r="F77" s="200"/>
      <c r="G77" s="200"/>
      <c r="H77" s="200"/>
      <c r="I77" s="200"/>
      <c r="J77" s="1">
        <v>880000</v>
      </c>
      <c r="K77" s="3">
        <v>43314</v>
      </c>
      <c r="L77" s="2">
        <v>43314</v>
      </c>
      <c r="M77" s="6"/>
      <c r="N77" s="6"/>
      <c r="O77" s="6"/>
    </row>
    <row r="78" spans="2:15" x14ac:dyDescent="0.25">
      <c r="B78" s="32">
        <v>65</v>
      </c>
      <c r="C78" s="200" t="s">
        <v>74</v>
      </c>
      <c r="D78" s="200"/>
      <c r="E78" s="200"/>
      <c r="F78" s="200"/>
      <c r="G78" s="200"/>
      <c r="H78" s="200"/>
      <c r="I78" s="200"/>
      <c r="J78" s="1">
        <v>1050000</v>
      </c>
      <c r="K78" s="2">
        <v>43318</v>
      </c>
      <c r="L78" s="2">
        <v>43320</v>
      </c>
      <c r="M78" s="6"/>
      <c r="N78" s="6"/>
      <c r="O78" s="6"/>
    </row>
    <row r="79" spans="2:15" x14ac:dyDescent="0.25">
      <c r="B79" s="32">
        <v>66</v>
      </c>
      <c r="C79" s="200" t="s">
        <v>75</v>
      </c>
      <c r="D79" s="200"/>
      <c r="E79" s="200"/>
      <c r="F79" s="200"/>
      <c r="G79" s="200"/>
      <c r="H79" s="200"/>
      <c r="I79" s="200"/>
      <c r="J79" s="1">
        <v>18438</v>
      </c>
      <c r="K79" s="2">
        <v>43319</v>
      </c>
      <c r="L79" s="32"/>
      <c r="M79" s="6"/>
      <c r="N79" s="6"/>
      <c r="O79" s="6"/>
    </row>
    <row r="80" spans="2:15" x14ac:dyDescent="0.25">
      <c r="B80" s="32">
        <v>67</v>
      </c>
      <c r="C80" s="200" t="s">
        <v>76</v>
      </c>
      <c r="D80" s="200"/>
      <c r="E80" s="200"/>
      <c r="F80" s="200"/>
      <c r="G80" s="200"/>
      <c r="H80" s="200"/>
      <c r="I80" s="200"/>
      <c r="J80" s="1">
        <v>922500</v>
      </c>
      <c r="K80" s="2">
        <v>43320</v>
      </c>
      <c r="L80" s="2">
        <v>43326</v>
      </c>
      <c r="M80" s="6"/>
      <c r="N80" s="6"/>
      <c r="O80" s="6"/>
    </row>
    <row r="81" spans="2:15" x14ac:dyDescent="0.25">
      <c r="B81" s="32">
        <v>68</v>
      </c>
      <c r="C81" s="200" t="s">
        <v>77</v>
      </c>
      <c r="D81" s="200"/>
      <c r="E81" s="200"/>
      <c r="F81" s="200"/>
      <c r="G81" s="200"/>
      <c r="H81" s="200"/>
      <c r="I81" s="200"/>
      <c r="J81" s="1">
        <v>5418000</v>
      </c>
      <c r="K81" s="2">
        <v>43320</v>
      </c>
      <c r="L81" s="32"/>
      <c r="M81" s="6"/>
      <c r="N81" s="6"/>
      <c r="O81" s="6"/>
    </row>
    <row r="82" spans="2:15" x14ac:dyDescent="0.25">
      <c r="B82" s="32">
        <v>69</v>
      </c>
      <c r="C82" s="200" t="s">
        <v>78</v>
      </c>
      <c r="D82" s="200"/>
      <c r="E82" s="200"/>
      <c r="F82" s="200"/>
      <c r="G82" s="200"/>
      <c r="H82" s="200"/>
      <c r="I82" s="200"/>
      <c r="J82" s="1">
        <v>3520000</v>
      </c>
      <c r="K82" s="2">
        <v>43320</v>
      </c>
      <c r="L82" s="32"/>
      <c r="M82" s="6"/>
      <c r="N82" s="6"/>
      <c r="O82" s="6"/>
    </row>
    <row r="83" spans="2:15" x14ac:dyDescent="0.25">
      <c r="B83" s="32">
        <v>70</v>
      </c>
      <c r="C83" s="200" t="s">
        <v>79</v>
      </c>
      <c r="D83" s="200"/>
      <c r="E83" s="200"/>
      <c r="F83" s="200"/>
      <c r="G83" s="200"/>
      <c r="H83" s="200"/>
      <c r="I83" s="200"/>
      <c r="J83" s="1">
        <v>5500000</v>
      </c>
      <c r="K83" s="2">
        <v>43320</v>
      </c>
      <c r="L83" s="32"/>
      <c r="M83" s="6"/>
      <c r="N83" s="6"/>
      <c r="O83" s="6"/>
    </row>
    <row r="84" spans="2:15" x14ac:dyDescent="0.25">
      <c r="B84" s="32">
        <v>71</v>
      </c>
      <c r="C84" s="200" t="s">
        <v>80</v>
      </c>
      <c r="D84" s="200"/>
      <c r="E84" s="200"/>
      <c r="F84" s="200"/>
      <c r="G84" s="200"/>
      <c r="H84" s="200"/>
      <c r="I84" s="200"/>
      <c r="J84" s="1">
        <v>3000000</v>
      </c>
      <c r="K84" s="2">
        <v>43320</v>
      </c>
      <c r="L84" s="32"/>
      <c r="M84" s="6"/>
      <c r="N84" s="6"/>
      <c r="O84" s="6"/>
    </row>
    <row r="85" spans="2:15" x14ac:dyDescent="0.25">
      <c r="B85" s="32">
        <v>72</v>
      </c>
      <c r="C85" s="200" t="s">
        <v>81</v>
      </c>
      <c r="D85" s="200"/>
      <c r="E85" s="200"/>
      <c r="F85" s="200"/>
      <c r="G85" s="200"/>
      <c r="H85" s="200"/>
      <c r="I85" s="200"/>
      <c r="J85" s="1">
        <v>29698688.25</v>
      </c>
      <c r="K85" s="2">
        <v>43321</v>
      </c>
      <c r="L85" s="32"/>
      <c r="M85" s="6"/>
      <c r="N85" s="6"/>
      <c r="O85" s="6"/>
    </row>
    <row r="86" spans="2:15" x14ac:dyDescent="0.25">
      <c r="B86" s="32">
        <v>73</v>
      </c>
      <c r="C86" s="200" t="s">
        <v>82</v>
      </c>
      <c r="D86" s="200"/>
      <c r="E86" s="200"/>
      <c r="F86" s="200"/>
      <c r="G86" s="200"/>
      <c r="H86" s="200"/>
      <c r="I86" s="200"/>
      <c r="J86" s="1">
        <v>5420000</v>
      </c>
      <c r="K86" s="2">
        <v>43322</v>
      </c>
      <c r="L86" s="32"/>
      <c r="M86" s="6"/>
      <c r="N86" s="6"/>
      <c r="O86" s="6"/>
    </row>
    <row r="87" spans="2:15" x14ac:dyDescent="0.25">
      <c r="B87" s="32">
        <v>74</v>
      </c>
      <c r="C87" s="200" t="s">
        <v>83</v>
      </c>
      <c r="D87" s="200"/>
      <c r="E87" s="200"/>
      <c r="F87" s="200"/>
      <c r="G87" s="200"/>
      <c r="H87" s="200"/>
      <c r="I87" s="200"/>
      <c r="J87" s="1">
        <v>3975000</v>
      </c>
      <c r="K87" s="2">
        <v>43325</v>
      </c>
      <c r="L87" s="32"/>
      <c r="M87" s="6"/>
      <c r="N87" s="6"/>
      <c r="O87" s="6"/>
    </row>
    <row r="88" spans="2:15" x14ac:dyDescent="0.25">
      <c r="B88" s="32">
        <v>75</v>
      </c>
      <c r="C88" s="200" t="s">
        <v>84</v>
      </c>
      <c r="D88" s="200"/>
      <c r="E88" s="200"/>
      <c r="F88" s="200"/>
      <c r="G88" s="200"/>
      <c r="H88" s="200"/>
      <c r="I88" s="200"/>
      <c r="J88" s="1">
        <v>610000</v>
      </c>
      <c r="K88" s="2">
        <v>43325</v>
      </c>
      <c r="L88" s="32"/>
      <c r="M88" s="6"/>
      <c r="N88" s="6"/>
      <c r="O88" s="6"/>
    </row>
    <row r="89" spans="2:15" x14ac:dyDescent="0.25">
      <c r="B89" s="32">
        <v>76</v>
      </c>
      <c r="C89" s="200" t="s">
        <v>85</v>
      </c>
      <c r="D89" s="200"/>
      <c r="E89" s="200"/>
      <c r="F89" s="200"/>
      <c r="G89" s="200"/>
      <c r="H89" s="200"/>
      <c r="I89" s="200"/>
      <c r="J89" s="1">
        <v>9890000</v>
      </c>
      <c r="K89" s="2">
        <v>43326</v>
      </c>
      <c r="L89" s="32"/>
      <c r="M89" s="6"/>
      <c r="N89" s="6"/>
      <c r="O89" s="6"/>
    </row>
    <row r="90" spans="2:15" x14ac:dyDescent="0.25">
      <c r="B90" s="32">
        <v>77</v>
      </c>
      <c r="C90" s="200" t="s">
        <v>86</v>
      </c>
      <c r="D90" s="200"/>
      <c r="E90" s="200"/>
      <c r="F90" s="200"/>
      <c r="G90" s="200"/>
      <c r="H90" s="200"/>
      <c r="I90" s="200"/>
      <c r="J90" s="1">
        <v>18630000</v>
      </c>
      <c r="K90" s="2">
        <v>43328</v>
      </c>
      <c r="L90" s="32"/>
      <c r="M90" s="6"/>
      <c r="N90" s="6"/>
      <c r="O90" s="6"/>
    </row>
    <row r="91" spans="2:15" x14ac:dyDescent="0.25">
      <c r="B91" s="32">
        <v>78</v>
      </c>
      <c r="C91" s="200" t="s">
        <v>87</v>
      </c>
      <c r="D91" s="200"/>
      <c r="E91" s="200"/>
      <c r="F91" s="200"/>
      <c r="G91" s="200"/>
      <c r="H91" s="200"/>
      <c r="I91" s="200"/>
      <c r="J91" s="4">
        <v>2573824</v>
      </c>
      <c r="K91" s="2">
        <v>43328</v>
      </c>
      <c r="L91" s="32"/>
      <c r="M91" s="6"/>
      <c r="N91" s="6"/>
      <c r="O91" s="6"/>
    </row>
    <row r="92" spans="2:15" x14ac:dyDescent="0.25">
      <c r="B92" s="32">
        <v>79</v>
      </c>
      <c r="C92" s="200" t="s">
        <v>88</v>
      </c>
      <c r="D92" s="200"/>
      <c r="E92" s="200"/>
      <c r="F92" s="200"/>
      <c r="G92" s="200"/>
      <c r="H92" s="200"/>
      <c r="I92" s="200"/>
      <c r="J92" s="1">
        <v>4940000</v>
      </c>
      <c r="K92" s="2">
        <v>43328</v>
      </c>
      <c r="L92" s="32"/>
      <c r="M92" s="6"/>
      <c r="N92" s="6"/>
      <c r="O92" s="6"/>
    </row>
    <row r="93" spans="2:15" x14ac:dyDescent="0.25">
      <c r="B93" s="32">
        <v>80</v>
      </c>
      <c r="C93" s="200" t="s">
        <v>89</v>
      </c>
      <c r="D93" s="200"/>
      <c r="E93" s="200"/>
      <c r="F93" s="200"/>
      <c r="G93" s="200"/>
      <c r="H93" s="200"/>
      <c r="I93" s="200"/>
      <c r="J93" s="1">
        <v>6950000</v>
      </c>
      <c r="K93" s="2">
        <v>43329</v>
      </c>
      <c r="L93" s="32"/>
      <c r="M93" s="6"/>
      <c r="N93" s="6"/>
      <c r="O93" s="6"/>
    </row>
    <row r="94" spans="2:15" x14ac:dyDescent="0.25">
      <c r="B94" s="32">
        <v>81</v>
      </c>
      <c r="C94" s="200" t="s">
        <v>90</v>
      </c>
      <c r="D94" s="200"/>
      <c r="E94" s="200"/>
      <c r="F94" s="200"/>
      <c r="G94" s="200"/>
      <c r="H94" s="200"/>
      <c r="I94" s="200"/>
      <c r="J94" s="1">
        <v>21732000</v>
      </c>
      <c r="K94" s="2">
        <v>43329</v>
      </c>
      <c r="L94" s="32"/>
      <c r="M94" s="6"/>
      <c r="N94" s="6"/>
      <c r="O94" s="6"/>
    </row>
    <row r="95" spans="2:15" x14ac:dyDescent="0.25">
      <c r="B95" s="32">
        <v>82</v>
      </c>
      <c r="C95" s="200" t="s">
        <v>91</v>
      </c>
      <c r="D95" s="200"/>
      <c r="E95" s="200"/>
      <c r="F95" s="200"/>
      <c r="G95" s="200"/>
      <c r="H95" s="200"/>
      <c r="I95" s="200"/>
      <c r="J95" s="1">
        <v>1160000</v>
      </c>
      <c r="K95" s="2">
        <v>43330</v>
      </c>
      <c r="L95" s="32"/>
      <c r="M95" s="6"/>
      <c r="N95" s="6"/>
      <c r="O95" s="6"/>
    </row>
    <row r="96" spans="2:15" x14ac:dyDescent="0.25">
      <c r="B96" s="32">
        <v>83</v>
      </c>
      <c r="C96" s="200" t="s">
        <v>92</v>
      </c>
      <c r="D96" s="200"/>
      <c r="E96" s="200"/>
      <c r="F96" s="200"/>
      <c r="G96" s="200"/>
      <c r="H96" s="200"/>
      <c r="I96" s="200"/>
      <c r="J96" s="1">
        <v>400000</v>
      </c>
      <c r="K96" s="2">
        <v>43336</v>
      </c>
      <c r="L96" s="32"/>
      <c r="M96" s="6"/>
      <c r="N96" s="6"/>
      <c r="O96" s="6"/>
    </row>
    <row r="97" spans="2:15" x14ac:dyDescent="0.25">
      <c r="B97" s="32">
        <v>84</v>
      </c>
      <c r="C97" s="200" t="s">
        <v>93</v>
      </c>
      <c r="D97" s="200"/>
      <c r="E97" s="200"/>
      <c r="F97" s="200"/>
      <c r="G97" s="200"/>
      <c r="H97" s="200"/>
      <c r="I97" s="200"/>
      <c r="J97" s="1">
        <v>6120850</v>
      </c>
      <c r="K97" s="2">
        <v>43337</v>
      </c>
      <c r="L97" s="32"/>
      <c r="M97" s="6"/>
      <c r="N97" s="6"/>
      <c r="O97" s="6"/>
    </row>
    <row r="98" spans="2:15" x14ac:dyDescent="0.25">
      <c r="B98" s="32">
        <v>85</v>
      </c>
      <c r="C98" s="200" t="s">
        <v>94</v>
      </c>
      <c r="D98" s="200"/>
      <c r="E98" s="200"/>
      <c r="F98" s="200"/>
      <c r="G98" s="200"/>
      <c r="H98" s="200"/>
      <c r="I98" s="200"/>
      <c r="J98" s="1">
        <v>2375000</v>
      </c>
      <c r="K98" s="2">
        <v>43339</v>
      </c>
      <c r="L98" s="32"/>
      <c r="M98" s="6"/>
      <c r="N98" s="6"/>
      <c r="O98" s="6"/>
    </row>
    <row r="99" spans="2:15" x14ac:dyDescent="0.25">
      <c r="B99" s="32">
        <v>86</v>
      </c>
      <c r="C99" s="200" t="s">
        <v>95</v>
      </c>
      <c r="D99" s="200"/>
      <c r="E99" s="200"/>
      <c r="F99" s="200"/>
      <c r="G99" s="200"/>
      <c r="H99" s="200"/>
      <c r="I99" s="200"/>
      <c r="J99" s="1">
        <v>6900000</v>
      </c>
      <c r="K99" s="2">
        <v>43339</v>
      </c>
      <c r="L99" s="32"/>
      <c r="M99" s="6"/>
      <c r="N99" s="6"/>
      <c r="O99" s="6"/>
    </row>
    <row r="100" spans="2:15" x14ac:dyDescent="0.25">
      <c r="B100" s="32">
        <v>87</v>
      </c>
      <c r="C100" s="200" t="s">
        <v>96</v>
      </c>
      <c r="D100" s="200"/>
      <c r="E100" s="200"/>
      <c r="F100" s="200"/>
      <c r="G100" s="200"/>
      <c r="H100" s="200"/>
      <c r="I100" s="200"/>
      <c r="J100" s="1">
        <v>1825000</v>
      </c>
      <c r="K100" s="2">
        <v>43339</v>
      </c>
      <c r="L100" s="32"/>
      <c r="M100" s="6"/>
      <c r="N100" s="6"/>
      <c r="O100" s="6"/>
    </row>
    <row r="101" spans="2:15" x14ac:dyDescent="0.25">
      <c r="B101" s="32">
        <v>88</v>
      </c>
      <c r="C101" s="200" t="s">
        <v>97</v>
      </c>
      <c r="D101" s="200"/>
      <c r="E101" s="200"/>
      <c r="F101" s="200"/>
      <c r="G101" s="200"/>
      <c r="H101" s="200"/>
      <c r="I101" s="200"/>
      <c r="J101" s="1">
        <v>3795000</v>
      </c>
      <c r="K101" s="2">
        <v>43339</v>
      </c>
      <c r="L101" s="32"/>
      <c r="M101" s="6"/>
      <c r="N101" s="6"/>
      <c r="O101" s="6"/>
    </row>
    <row r="102" spans="2:15" x14ac:dyDescent="0.25">
      <c r="B102" s="32">
        <v>89</v>
      </c>
      <c r="C102" s="200" t="s">
        <v>98</v>
      </c>
      <c r="D102" s="200"/>
      <c r="E102" s="200"/>
      <c r="F102" s="200"/>
      <c r="G102" s="200"/>
      <c r="H102" s="200"/>
      <c r="I102" s="200"/>
      <c r="J102" s="1">
        <v>815000</v>
      </c>
      <c r="K102" s="2">
        <v>43340</v>
      </c>
      <c r="L102" s="32"/>
      <c r="M102" s="6"/>
      <c r="N102" s="6"/>
      <c r="O102" s="6"/>
    </row>
    <row r="103" spans="2:15" x14ac:dyDescent="0.25">
      <c r="B103" s="32">
        <v>90</v>
      </c>
      <c r="C103" s="200" t="s">
        <v>99</v>
      </c>
      <c r="D103" s="200"/>
      <c r="E103" s="200"/>
      <c r="F103" s="200"/>
      <c r="G103" s="200"/>
      <c r="H103" s="200"/>
      <c r="I103" s="200"/>
      <c r="J103" s="1">
        <v>3387000</v>
      </c>
      <c r="K103" s="2">
        <v>43341</v>
      </c>
      <c r="L103" s="32"/>
      <c r="M103" s="6"/>
      <c r="N103" s="6"/>
      <c r="O103" s="6"/>
    </row>
    <row r="104" spans="2:15" x14ac:dyDescent="0.25">
      <c r="B104" s="32">
        <v>91</v>
      </c>
      <c r="C104" s="200" t="s">
        <v>100</v>
      </c>
      <c r="D104" s="200"/>
      <c r="E104" s="200"/>
      <c r="F104" s="200"/>
      <c r="G104" s="200"/>
      <c r="H104" s="200"/>
      <c r="I104" s="200"/>
      <c r="J104" s="1">
        <v>13171000</v>
      </c>
      <c r="K104" s="2">
        <v>43341</v>
      </c>
      <c r="L104" s="32"/>
      <c r="M104" s="6"/>
      <c r="N104" s="6"/>
      <c r="O104" s="6"/>
    </row>
    <row r="105" spans="2:15" x14ac:dyDescent="0.25">
      <c r="B105" s="32">
        <v>92</v>
      </c>
      <c r="C105" s="200" t="s">
        <v>101</v>
      </c>
      <c r="D105" s="200"/>
      <c r="E105" s="200"/>
      <c r="F105" s="200"/>
      <c r="G105" s="200"/>
      <c r="H105" s="200"/>
      <c r="I105" s="200"/>
      <c r="J105" s="1">
        <v>2635000</v>
      </c>
      <c r="K105" s="2">
        <v>43346</v>
      </c>
      <c r="L105" s="32"/>
      <c r="M105" s="6"/>
      <c r="N105" s="6"/>
      <c r="O105" s="6"/>
    </row>
    <row r="106" spans="2:15" x14ac:dyDescent="0.25">
      <c r="B106" s="32">
        <v>93</v>
      </c>
      <c r="C106" s="200" t="s">
        <v>102</v>
      </c>
      <c r="D106" s="200"/>
      <c r="E106" s="200"/>
      <c r="F106" s="200"/>
      <c r="G106" s="200"/>
      <c r="H106" s="200"/>
      <c r="I106" s="200"/>
      <c r="J106" s="1">
        <v>4920</v>
      </c>
      <c r="K106" s="2">
        <v>43346</v>
      </c>
      <c r="L106" s="32"/>
      <c r="M106" s="6"/>
      <c r="N106" s="6"/>
      <c r="O106" s="6"/>
    </row>
    <row r="107" spans="2:15" x14ac:dyDescent="0.25">
      <c r="B107" s="32">
        <v>94</v>
      </c>
      <c r="C107" s="200" t="s">
        <v>103</v>
      </c>
      <c r="D107" s="200"/>
      <c r="E107" s="200"/>
      <c r="F107" s="200"/>
      <c r="G107" s="200"/>
      <c r="H107" s="200"/>
      <c r="I107" s="200"/>
      <c r="J107" s="1">
        <v>7930000</v>
      </c>
      <c r="K107" s="2">
        <v>43347</v>
      </c>
      <c r="L107" s="32"/>
      <c r="M107" s="6"/>
      <c r="N107" s="6"/>
      <c r="O107" s="6"/>
    </row>
    <row r="108" spans="2:15" x14ac:dyDescent="0.25">
      <c r="B108" s="32">
        <v>95</v>
      </c>
      <c r="C108" s="200" t="s">
        <v>104</v>
      </c>
      <c r="D108" s="200"/>
      <c r="E108" s="200"/>
      <c r="F108" s="200"/>
      <c r="G108" s="200"/>
      <c r="H108" s="200"/>
      <c r="I108" s="200"/>
      <c r="J108" s="1">
        <v>4084000</v>
      </c>
      <c r="K108" s="2">
        <v>43347</v>
      </c>
      <c r="L108" s="32"/>
      <c r="M108" s="6"/>
      <c r="N108" s="6"/>
      <c r="O108" s="6"/>
    </row>
    <row r="109" spans="2:15" x14ac:dyDescent="0.25">
      <c r="B109" s="32">
        <v>96</v>
      </c>
      <c r="C109" s="200" t="s">
        <v>105</v>
      </c>
      <c r="D109" s="200"/>
      <c r="E109" s="200"/>
      <c r="F109" s="200"/>
      <c r="G109" s="200"/>
      <c r="H109" s="200"/>
      <c r="I109" s="200"/>
      <c r="J109" s="1">
        <v>1780000</v>
      </c>
      <c r="K109" s="2">
        <v>43348</v>
      </c>
      <c r="L109" s="32"/>
      <c r="M109" s="6"/>
      <c r="N109" s="6"/>
      <c r="O109" s="6"/>
    </row>
    <row r="110" spans="2:15" x14ac:dyDescent="0.25">
      <c r="B110" s="32">
        <v>97</v>
      </c>
      <c r="C110" s="200" t="s">
        <v>106</v>
      </c>
      <c r="D110" s="200"/>
      <c r="E110" s="200"/>
      <c r="F110" s="200"/>
      <c r="G110" s="200"/>
      <c r="H110" s="200"/>
      <c r="I110" s="200"/>
      <c r="J110" s="1">
        <v>1829000</v>
      </c>
      <c r="K110" s="2">
        <v>43348</v>
      </c>
      <c r="L110" s="32"/>
      <c r="M110" s="6"/>
      <c r="N110" s="6"/>
      <c r="O110" s="6"/>
    </row>
    <row r="111" spans="2:15" x14ac:dyDescent="0.25">
      <c r="B111" s="32">
        <v>98</v>
      </c>
      <c r="C111" s="200" t="s">
        <v>107</v>
      </c>
      <c r="D111" s="200"/>
      <c r="E111" s="200"/>
      <c r="F111" s="200"/>
      <c r="G111" s="200"/>
      <c r="H111" s="200"/>
      <c r="I111" s="200"/>
      <c r="J111" s="1">
        <v>1423000</v>
      </c>
      <c r="K111" s="2">
        <v>43348</v>
      </c>
      <c r="L111" s="32"/>
      <c r="M111" s="6"/>
      <c r="N111" s="6"/>
      <c r="O111" s="6"/>
    </row>
    <row r="112" spans="2:15" x14ac:dyDescent="0.25">
      <c r="B112" s="32">
        <v>99</v>
      </c>
      <c r="C112" s="200" t="s">
        <v>108</v>
      </c>
      <c r="D112" s="200"/>
      <c r="E112" s="200"/>
      <c r="F112" s="200"/>
      <c r="G112" s="200"/>
      <c r="H112" s="200"/>
      <c r="I112" s="200"/>
      <c r="J112" s="1">
        <v>33870000</v>
      </c>
      <c r="K112" s="2">
        <v>43348</v>
      </c>
      <c r="L112" s="32"/>
      <c r="M112" s="6"/>
      <c r="N112" s="6"/>
      <c r="O112" s="6"/>
    </row>
    <row r="113" spans="2:15" x14ac:dyDescent="0.25">
      <c r="B113" s="32">
        <v>100</v>
      </c>
      <c r="C113" s="200" t="s">
        <v>109</v>
      </c>
      <c r="D113" s="200"/>
      <c r="E113" s="200"/>
      <c r="F113" s="200"/>
      <c r="G113" s="200"/>
      <c r="H113" s="200"/>
      <c r="I113" s="200"/>
      <c r="J113" s="1">
        <v>16500000</v>
      </c>
      <c r="K113" s="2">
        <v>43349</v>
      </c>
      <c r="L113" s="32"/>
      <c r="M113" s="6"/>
      <c r="N113" s="6"/>
      <c r="O113" s="6"/>
    </row>
    <row r="114" spans="2:15" x14ac:dyDescent="0.25">
      <c r="B114" s="32">
        <v>101</v>
      </c>
      <c r="C114" s="200" t="s">
        <v>110</v>
      </c>
      <c r="D114" s="200"/>
      <c r="E114" s="200"/>
      <c r="F114" s="200"/>
      <c r="G114" s="200"/>
      <c r="H114" s="200"/>
      <c r="I114" s="200"/>
      <c r="J114" s="1">
        <v>2195</v>
      </c>
      <c r="K114" s="2">
        <v>43350</v>
      </c>
      <c r="L114" s="32"/>
      <c r="M114" s="6"/>
      <c r="N114" s="6"/>
      <c r="O114" s="6"/>
    </row>
    <row r="115" spans="2:15" x14ac:dyDescent="0.25">
      <c r="B115" s="32">
        <v>102</v>
      </c>
      <c r="C115" s="200" t="s">
        <v>111</v>
      </c>
      <c r="D115" s="200"/>
      <c r="E115" s="200"/>
      <c r="F115" s="200"/>
      <c r="G115" s="200"/>
      <c r="H115" s="200"/>
      <c r="I115" s="200"/>
      <c r="J115" s="1">
        <v>4065000</v>
      </c>
      <c r="K115" s="2">
        <v>43350</v>
      </c>
      <c r="L115" s="32"/>
      <c r="M115" s="6"/>
      <c r="N115" s="6"/>
      <c r="O115" s="6"/>
    </row>
    <row r="116" spans="2:15" x14ac:dyDescent="0.25">
      <c r="B116" s="32">
        <v>103</v>
      </c>
      <c r="C116" s="200" t="s">
        <v>112</v>
      </c>
      <c r="D116" s="200"/>
      <c r="E116" s="200"/>
      <c r="F116" s="200"/>
      <c r="G116" s="200"/>
      <c r="H116" s="200"/>
      <c r="I116" s="200"/>
      <c r="J116" s="1">
        <v>1965000</v>
      </c>
      <c r="K116" s="2">
        <v>43350</v>
      </c>
      <c r="L116" s="32"/>
      <c r="M116" s="6"/>
      <c r="N116" s="6"/>
      <c r="O116" s="6"/>
    </row>
    <row r="117" spans="2:15" x14ac:dyDescent="0.25">
      <c r="B117" s="32">
        <v>104</v>
      </c>
      <c r="C117" s="200" t="s">
        <v>113</v>
      </c>
      <c r="D117" s="200"/>
      <c r="E117" s="200"/>
      <c r="F117" s="200"/>
      <c r="G117" s="200"/>
      <c r="H117" s="200"/>
      <c r="I117" s="200"/>
      <c r="J117" s="1">
        <v>1517</v>
      </c>
      <c r="K117" s="2">
        <v>43353</v>
      </c>
      <c r="L117" s="32"/>
      <c r="M117" s="6"/>
      <c r="N117" s="6"/>
      <c r="O117" s="6"/>
    </row>
    <row r="118" spans="2:15" x14ac:dyDescent="0.25">
      <c r="B118" s="32">
        <v>105</v>
      </c>
      <c r="C118" s="200" t="s">
        <v>114</v>
      </c>
      <c r="D118" s="200"/>
      <c r="E118" s="200"/>
      <c r="F118" s="200"/>
      <c r="G118" s="200"/>
      <c r="H118" s="200"/>
      <c r="I118" s="200"/>
      <c r="J118" s="1">
        <v>2500000</v>
      </c>
      <c r="K118" s="2">
        <v>43353</v>
      </c>
      <c r="L118" s="32"/>
      <c r="M118" s="6"/>
      <c r="N118" s="6"/>
      <c r="O118" s="6"/>
    </row>
    <row r="119" spans="2:15" x14ac:dyDescent="0.25">
      <c r="B119" s="32">
        <v>106</v>
      </c>
      <c r="C119" s="200" t="s">
        <v>115</v>
      </c>
      <c r="D119" s="200"/>
      <c r="E119" s="200"/>
      <c r="F119" s="200"/>
      <c r="G119" s="200"/>
      <c r="H119" s="200"/>
      <c r="I119" s="200"/>
      <c r="J119" s="1">
        <v>21870000</v>
      </c>
      <c r="K119" s="2">
        <v>43353</v>
      </c>
      <c r="L119" s="32"/>
      <c r="M119" s="6"/>
      <c r="N119" s="6"/>
      <c r="O119" s="6"/>
    </row>
    <row r="120" spans="2:15" x14ac:dyDescent="0.25">
      <c r="B120" s="32">
        <v>107</v>
      </c>
      <c r="C120" s="200" t="s">
        <v>116</v>
      </c>
      <c r="D120" s="200"/>
      <c r="E120" s="200"/>
      <c r="F120" s="200"/>
      <c r="G120" s="200"/>
      <c r="H120" s="200"/>
      <c r="I120" s="200"/>
      <c r="J120" s="1">
        <v>6775000</v>
      </c>
      <c r="K120" s="2">
        <v>43384</v>
      </c>
      <c r="L120" s="32"/>
      <c r="M120" s="6"/>
      <c r="N120" s="6"/>
      <c r="O120" s="6"/>
    </row>
    <row r="121" spans="2:15" x14ac:dyDescent="0.25">
      <c r="B121" s="32">
        <v>108</v>
      </c>
      <c r="C121" s="200" t="s">
        <v>117</v>
      </c>
      <c r="D121" s="200"/>
      <c r="E121" s="200"/>
      <c r="F121" s="200"/>
      <c r="G121" s="200"/>
      <c r="H121" s="200"/>
      <c r="I121" s="200"/>
      <c r="J121" s="1">
        <v>14100000</v>
      </c>
      <c r="K121" s="2">
        <v>43357</v>
      </c>
      <c r="L121" s="32"/>
      <c r="M121" s="6"/>
      <c r="N121" s="6"/>
      <c r="O121" s="6"/>
    </row>
    <row r="122" spans="2:15" x14ac:dyDescent="0.25">
      <c r="B122" s="32">
        <v>109</v>
      </c>
      <c r="C122" s="200" t="s">
        <v>118</v>
      </c>
      <c r="D122" s="200"/>
      <c r="E122" s="200"/>
      <c r="F122" s="200"/>
      <c r="G122" s="200"/>
      <c r="H122" s="200"/>
      <c r="I122" s="200"/>
      <c r="J122" s="1">
        <v>10395000</v>
      </c>
      <c r="K122" s="2">
        <v>43357</v>
      </c>
      <c r="L122" s="32"/>
      <c r="M122" s="6"/>
      <c r="N122" s="6"/>
      <c r="O122" s="6"/>
    </row>
    <row r="123" spans="2:15" x14ac:dyDescent="0.25">
      <c r="B123" s="32">
        <v>110</v>
      </c>
      <c r="C123" s="200" t="s">
        <v>119</v>
      </c>
      <c r="D123" s="200"/>
      <c r="E123" s="200"/>
      <c r="F123" s="200"/>
      <c r="G123" s="200"/>
      <c r="H123" s="200"/>
      <c r="I123" s="200"/>
      <c r="J123" s="1">
        <v>2108000</v>
      </c>
      <c r="K123" s="2">
        <v>43360</v>
      </c>
      <c r="L123" s="32"/>
      <c r="M123" s="6"/>
      <c r="N123" s="6"/>
      <c r="O123" s="6"/>
    </row>
    <row r="124" spans="2:15" x14ac:dyDescent="0.25">
      <c r="B124" s="32">
        <v>111</v>
      </c>
      <c r="C124" s="200" t="s">
        <v>120</v>
      </c>
      <c r="D124" s="200"/>
      <c r="E124" s="200"/>
      <c r="F124" s="200"/>
      <c r="G124" s="200"/>
      <c r="H124" s="200"/>
      <c r="I124" s="200"/>
      <c r="J124" s="1">
        <v>5300000</v>
      </c>
      <c r="K124" s="2">
        <v>43357</v>
      </c>
      <c r="L124" s="32"/>
      <c r="M124" s="6"/>
      <c r="N124" s="6"/>
      <c r="O124" s="6"/>
    </row>
    <row r="125" spans="2:15" x14ac:dyDescent="0.25">
      <c r="B125" s="32">
        <v>112</v>
      </c>
      <c r="C125" s="200" t="s">
        <v>121</v>
      </c>
      <c r="D125" s="200"/>
      <c r="E125" s="200"/>
      <c r="F125" s="200"/>
      <c r="G125" s="200"/>
      <c r="H125" s="200"/>
      <c r="I125" s="200"/>
      <c r="J125" s="1">
        <v>33255000</v>
      </c>
      <c r="K125" s="2">
        <v>43361</v>
      </c>
      <c r="L125" s="32"/>
      <c r="M125" s="6"/>
      <c r="N125" s="6"/>
      <c r="O125" s="6"/>
    </row>
    <row r="126" spans="2:15" x14ac:dyDescent="0.25">
      <c r="B126" s="32">
        <v>113</v>
      </c>
      <c r="C126" s="200" t="s">
        <v>122</v>
      </c>
      <c r="D126" s="200"/>
      <c r="E126" s="200"/>
      <c r="F126" s="200"/>
      <c r="G126" s="200"/>
      <c r="H126" s="200"/>
      <c r="I126" s="200"/>
      <c r="J126" s="1">
        <v>44170</v>
      </c>
      <c r="K126" s="2">
        <v>43361</v>
      </c>
      <c r="L126" s="32"/>
      <c r="M126" s="6"/>
      <c r="N126" s="6"/>
      <c r="O126" s="6"/>
    </row>
    <row r="127" spans="2:15" x14ac:dyDescent="0.25">
      <c r="B127" s="32">
        <v>114</v>
      </c>
      <c r="C127" s="200" t="s">
        <v>123</v>
      </c>
      <c r="D127" s="200"/>
      <c r="E127" s="200"/>
      <c r="F127" s="200"/>
      <c r="G127" s="200"/>
      <c r="H127" s="200"/>
      <c r="I127" s="200"/>
      <c r="J127" s="1">
        <v>500000</v>
      </c>
      <c r="K127" s="2">
        <v>43365</v>
      </c>
      <c r="L127" s="32"/>
      <c r="M127" s="6"/>
      <c r="N127" s="6"/>
      <c r="O127" s="6"/>
    </row>
    <row r="128" spans="2:15" x14ac:dyDescent="0.25">
      <c r="B128" s="32">
        <v>115</v>
      </c>
      <c r="C128" s="200" t="s">
        <v>124</v>
      </c>
      <c r="D128" s="200"/>
      <c r="E128" s="200"/>
      <c r="F128" s="200"/>
      <c r="G128" s="200"/>
      <c r="H128" s="200"/>
      <c r="I128" s="200"/>
      <c r="J128" s="1">
        <v>26300000</v>
      </c>
      <c r="K128" s="2">
        <v>43367</v>
      </c>
      <c r="L128" s="32"/>
      <c r="M128" s="6"/>
      <c r="N128" s="6"/>
      <c r="O128" s="6"/>
    </row>
    <row r="129" spans="2:15" x14ac:dyDescent="0.25">
      <c r="B129" s="32">
        <v>116</v>
      </c>
      <c r="C129" s="200" t="s">
        <v>125</v>
      </c>
      <c r="D129" s="200"/>
      <c r="E129" s="200"/>
      <c r="F129" s="200"/>
      <c r="G129" s="200"/>
      <c r="H129" s="200"/>
      <c r="I129" s="200"/>
      <c r="J129" s="5">
        <v>6640000</v>
      </c>
      <c r="K129" s="2">
        <v>43368</v>
      </c>
      <c r="L129" s="32"/>
      <c r="M129" s="6"/>
      <c r="N129" s="6"/>
      <c r="O129" s="6"/>
    </row>
    <row r="130" spans="2:15" x14ac:dyDescent="0.25">
      <c r="B130" s="32">
        <v>117</v>
      </c>
      <c r="C130" s="200" t="s">
        <v>126</v>
      </c>
      <c r="D130" s="200"/>
      <c r="E130" s="200"/>
      <c r="F130" s="200"/>
      <c r="G130" s="200"/>
      <c r="H130" s="200"/>
      <c r="I130" s="200"/>
      <c r="J130" s="5">
        <v>30730350</v>
      </c>
      <c r="K130" s="2">
        <v>43370</v>
      </c>
      <c r="L130" s="32"/>
      <c r="M130" s="6"/>
      <c r="N130" s="6"/>
      <c r="O130" s="6"/>
    </row>
    <row r="131" spans="2:15" x14ac:dyDescent="0.25">
      <c r="B131" s="32">
        <v>118</v>
      </c>
      <c r="C131" s="200" t="s">
        <v>127</v>
      </c>
      <c r="D131" s="200"/>
      <c r="E131" s="200"/>
      <c r="F131" s="200"/>
      <c r="G131" s="200"/>
      <c r="H131" s="200"/>
      <c r="I131" s="200"/>
      <c r="J131" s="1">
        <v>6000000</v>
      </c>
      <c r="K131" s="2">
        <v>43371</v>
      </c>
      <c r="L131" s="32"/>
      <c r="M131" s="6"/>
      <c r="N131" s="6"/>
      <c r="O131" s="6"/>
    </row>
    <row r="132" spans="2:15" x14ac:dyDescent="0.25">
      <c r="B132" s="32">
        <v>119</v>
      </c>
      <c r="C132" s="200" t="s">
        <v>128</v>
      </c>
      <c r="D132" s="200"/>
      <c r="E132" s="200"/>
      <c r="F132" s="200"/>
      <c r="G132" s="200"/>
      <c r="H132" s="200"/>
      <c r="I132" s="200"/>
      <c r="J132" s="1">
        <v>112000000</v>
      </c>
      <c r="K132" s="2">
        <v>43374</v>
      </c>
      <c r="L132" s="32"/>
      <c r="M132" s="6"/>
      <c r="N132" s="6"/>
      <c r="O132" s="6"/>
    </row>
    <row r="133" spans="2:15" x14ac:dyDescent="0.25">
      <c r="B133" s="32">
        <v>120</v>
      </c>
      <c r="C133" s="200" t="s">
        <v>129</v>
      </c>
      <c r="D133" s="200"/>
      <c r="E133" s="200"/>
      <c r="F133" s="200"/>
      <c r="G133" s="200"/>
      <c r="H133" s="200"/>
      <c r="I133" s="200"/>
      <c r="J133" s="1">
        <v>14100</v>
      </c>
      <c r="K133" s="2">
        <v>43375</v>
      </c>
      <c r="L133" s="32"/>
      <c r="M133" s="6"/>
      <c r="N133" s="6"/>
      <c r="O133" s="6"/>
    </row>
    <row r="134" spans="2:15" x14ac:dyDescent="0.25">
      <c r="B134" s="32">
        <v>121</v>
      </c>
      <c r="C134" s="200" t="s">
        <v>130</v>
      </c>
      <c r="D134" s="200"/>
      <c r="E134" s="200"/>
      <c r="F134" s="200"/>
      <c r="G134" s="200"/>
      <c r="H134" s="200"/>
      <c r="I134" s="200"/>
      <c r="J134" s="1">
        <v>35625000</v>
      </c>
      <c r="K134" s="2">
        <v>43376</v>
      </c>
      <c r="L134" s="32"/>
      <c r="M134" s="6"/>
      <c r="N134" s="6"/>
      <c r="O134" s="6"/>
    </row>
    <row r="135" spans="2:15" x14ac:dyDescent="0.25">
      <c r="B135" s="32">
        <v>122</v>
      </c>
      <c r="C135" s="200" t="s">
        <v>131</v>
      </c>
      <c r="D135" s="200"/>
      <c r="E135" s="200"/>
      <c r="F135" s="200"/>
      <c r="G135" s="200"/>
      <c r="H135" s="200"/>
      <c r="I135" s="200"/>
      <c r="J135" s="1">
        <v>9875000</v>
      </c>
      <c r="K135" s="2">
        <v>43376</v>
      </c>
      <c r="L135" s="32"/>
      <c r="M135" s="6"/>
      <c r="N135" s="6"/>
      <c r="O135" s="6"/>
    </row>
    <row r="136" spans="2:15" x14ac:dyDescent="0.25">
      <c r="B136" s="32">
        <v>123</v>
      </c>
      <c r="C136" s="200" t="s">
        <v>132</v>
      </c>
      <c r="D136" s="200"/>
      <c r="E136" s="200"/>
      <c r="F136" s="200"/>
      <c r="G136" s="200"/>
      <c r="H136" s="200"/>
      <c r="I136" s="200"/>
      <c r="J136" s="1">
        <v>595000</v>
      </c>
      <c r="K136" s="2">
        <v>43378</v>
      </c>
      <c r="L136" s="32"/>
      <c r="M136" s="6"/>
      <c r="N136" s="6"/>
      <c r="O136" s="6"/>
    </row>
    <row r="137" spans="2:15" x14ac:dyDescent="0.25">
      <c r="B137" s="32">
        <v>124</v>
      </c>
      <c r="C137" s="200" t="s">
        <v>133</v>
      </c>
      <c r="D137" s="200"/>
      <c r="E137" s="200"/>
      <c r="F137" s="200"/>
      <c r="G137" s="200"/>
      <c r="H137" s="200"/>
      <c r="I137" s="200"/>
      <c r="J137" s="1">
        <v>15605000</v>
      </c>
      <c r="K137" s="2">
        <v>43382</v>
      </c>
      <c r="L137" s="32"/>
      <c r="M137" s="6"/>
      <c r="N137" s="6"/>
      <c r="O137" s="6"/>
    </row>
    <row r="138" spans="2:15" x14ac:dyDescent="0.25">
      <c r="B138" s="32">
        <v>125</v>
      </c>
      <c r="C138" s="200" t="s">
        <v>134</v>
      </c>
      <c r="D138" s="200"/>
      <c r="E138" s="200"/>
      <c r="F138" s="200"/>
      <c r="G138" s="200"/>
      <c r="H138" s="200"/>
      <c r="I138" s="200"/>
      <c r="J138" s="1">
        <v>11112000</v>
      </c>
      <c r="K138" s="2">
        <v>43384</v>
      </c>
      <c r="L138" s="32"/>
      <c r="M138" s="6"/>
      <c r="N138" s="6"/>
      <c r="O138" s="6"/>
    </row>
    <row r="139" spans="2:15" x14ac:dyDescent="0.25">
      <c r="B139" s="32">
        <v>126</v>
      </c>
      <c r="C139" s="200" t="s">
        <v>135</v>
      </c>
      <c r="D139" s="200"/>
      <c r="E139" s="200"/>
      <c r="F139" s="200"/>
      <c r="G139" s="200"/>
      <c r="H139" s="200"/>
      <c r="I139" s="200"/>
      <c r="J139" s="1">
        <v>12000000</v>
      </c>
      <c r="K139" s="2">
        <v>43385</v>
      </c>
      <c r="L139" s="32"/>
      <c r="M139" s="6"/>
      <c r="N139" s="6"/>
      <c r="O139" s="6"/>
    </row>
    <row r="140" spans="2:15" x14ac:dyDescent="0.25">
      <c r="B140" s="32">
        <v>127</v>
      </c>
      <c r="C140" s="200" t="s">
        <v>136</v>
      </c>
      <c r="D140" s="200"/>
      <c r="E140" s="200"/>
      <c r="F140" s="200"/>
      <c r="G140" s="200"/>
      <c r="H140" s="200"/>
      <c r="I140" s="200"/>
      <c r="J140" s="1">
        <v>2700000</v>
      </c>
      <c r="K140" s="2">
        <v>43385</v>
      </c>
      <c r="L140" s="32"/>
      <c r="M140" s="6"/>
      <c r="N140" s="6"/>
      <c r="O140" s="6"/>
    </row>
    <row r="141" spans="2:15" x14ac:dyDescent="0.25">
      <c r="B141" s="32">
        <v>128</v>
      </c>
      <c r="C141" s="200" t="s">
        <v>137</v>
      </c>
      <c r="D141" s="200"/>
      <c r="E141" s="200"/>
      <c r="F141" s="200"/>
      <c r="G141" s="200"/>
      <c r="H141" s="200"/>
      <c r="I141" s="200"/>
      <c r="J141" s="1">
        <v>12845000</v>
      </c>
      <c r="K141" s="2">
        <v>43385</v>
      </c>
      <c r="L141" s="32"/>
      <c r="M141" s="6"/>
      <c r="N141" s="6"/>
      <c r="O141" s="6"/>
    </row>
    <row r="142" spans="2:15" x14ac:dyDescent="0.25">
      <c r="B142" s="32">
        <v>129</v>
      </c>
      <c r="C142" s="200" t="s">
        <v>138</v>
      </c>
      <c r="D142" s="200"/>
      <c r="E142" s="200"/>
      <c r="F142" s="200"/>
      <c r="G142" s="200"/>
      <c r="H142" s="200"/>
      <c r="I142" s="200"/>
      <c r="J142" s="1">
        <v>5928000</v>
      </c>
      <c r="K142" s="2">
        <v>43389</v>
      </c>
      <c r="L142" s="32"/>
      <c r="M142" s="6"/>
      <c r="N142" s="6"/>
      <c r="O142" s="6"/>
    </row>
    <row r="143" spans="2:15" x14ac:dyDescent="0.25">
      <c r="B143" s="32">
        <v>130</v>
      </c>
      <c r="C143" s="200" t="s">
        <v>139</v>
      </c>
      <c r="D143" s="200"/>
      <c r="E143" s="200"/>
      <c r="F143" s="200"/>
      <c r="G143" s="200"/>
      <c r="H143" s="200"/>
      <c r="I143" s="200"/>
      <c r="J143" s="1">
        <v>16270000</v>
      </c>
      <c r="K143" s="2">
        <v>43389</v>
      </c>
      <c r="L143" s="32"/>
      <c r="M143" s="6"/>
      <c r="N143" s="6"/>
      <c r="O143" s="6"/>
    </row>
    <row r="144" spans="2:15" x14ac:dyDescent="0.25">
      <c r="B144" s="32">
        <v>131</v>
      </c>
      <c r="C144" s="200" t="s">
        <v>140</v>
      </c>
      <c r="D144" s="200"/>
      <c r="E144" s="200"/>
      <c r="F144" s="200"/>
      <c r="G144" s="200"/>
      <c r="H144" s="200"/>
      <c r="I144" s="200"/>
      <c r="J144" s="1">
        <v>400000</v>
      </c>
      <c r="K144" s="2">
        <v>43389</v>
      </c>
      <c r="L144" s="32"/>
      <c r="M144" s="6"/>
      <c r="N144" s="6"/>
      <c r="O144" s="6"/>
    </row>
    <row r="145" spans="2:15" x14ac:dyDescent="0.25">
      <c r="B145" s="32">
        <v>132</v>
      </c>
      <c r="C145" s="200" t="s">
        <v>141</v>
      </c>
      <c r="D145" s="200"/>
      <c r="E145" s="200"/>
      <c r="F145" s="200"/>
      <c r="G145" s="200"/>
      <c r="H145" s="200"/>
      <c r="I145" s="200"/>
      <c r="J145" s="1">
        <v>16787000</v>
      </c>
      <c r="K145" s="2">
        <v>43389</v>
      </c>
      <c r="L145" s="32"/>
      <c r="M145" s="6"/>
      <c r="N145" s="6"/>
      <c r="O145" s="6"/>
    </row>
    <row r="146" spans="2:15" x14ac:dyDescent="0.25">
      <c r="B146" s="32">
        <v>133</v>
      </c>
      <c r="C146" s="200" t="s">
        <v>142</v>
      </c>
      <c r="D146" s="200"/>
      <c r="E146" s="200"/>
      <c r="F146" s="200"/>
      <c r="G146" s="200"/>
      <c r="H146" s="200"/>
      <c r="I146" s="200"/>
      <c r="J146" s="1">
        <v>13170000</v>
      </c>
      <c r="K146" s="2">
        <v>43392</v>
      </c>
      <c r="L146" s="32"/>
      <c r="M146" s="6"/>
      <c r="N146" s="6"/>
      <c r="O146" s="6"/>
    </row>
    <row r="147" spans="2:15" x14ac:dyDescent="0.25">
      <c r="B147" s="32">
        <v>134</v>
      </c>
      <c r="C147" s="200" t="s">
        <v>141</v>
      </c>
      <c r="D147" s="200"/>
      <c r="E147" s="200"/>
      <c r="F147" s="200"/>
      <c r="G147" s="200"/>
      <c r="H147" s="200"/>
      <c r="I147" s="200"/>
      <c r="J147" s="1">
        <v>6129000</v>
      </c>
      <c r="K147" s="2">
        <v>43392</v>
      </c>
      <c r="L147" s="32"/>
      <c r="M147" s="6"/>
      <c r="N147" s="6"/>
      <c r="O147" s="6"/>
    </row>
    <row r="148" spans="2:15" x14ac:dyDescent="0.25">
      <c r="B148" s="32">
        <v>135</v>
      </c>
      <c r="C148" s="200" t="s">
        <v>143</v>
      </c>
      <c r="D148" s="200"/>
      <c r="E148" s="200"/>
      <c r="F148" s="200"/>
      <c r="G148" s="200"/>
      <c r="H148" s="200"/>
      <c r="I148" s="200"/>
      <c r="J148" s="1">
        <v>4743000</v>
      </c>
      <c r="K148" s="2">
        <v>43396</v>
      </c>
      <c r="L148" s="32"/>
      <c r="M148" s="6"/>
      <c r="N148" s="6"/>
      <c r="O148" s="6"/>
    </row>
    <row r="149" spans="2:15" x14ac:dyDescent="0.25">
      <c r="B149" s="32">
        <v>136</v>
      </c>
      <c r="C149" s="200" t="s">
        <v>144</v>
      </c>
      <c r="D149" s="200"/>
      <c r="E149" s="200"/>
      <c r="F149" s="200"/>
      <c r="G149" s="200"/>
      <c r="H149" s="200"/>
      <c r="I149" s="200"/>
      <c r="J149" s="1">
        <v>38000000</v>
      </c>
      <c r="K149" s="2">
        <v>43397</v>
      </c>
      <c r="L149" s="32"/>
      <c r="M149" s="6"/>
      <c r="N149" s="6"/>
      <c r="O149" s="6"/>
    </row>
    <row r="150" spans="2:15" x14ac:dyDescent="0.25">
      <c r="B150" s="32">
        <v>137</v>
      </c>
      <c r="C150" s="200" t="s">
        <v>145</v>
      </c>
      <c r="D150" s="200"/>
      <c r="E150" s="200"/>
      <c r="F150" s="200"/>
      <c r="G150" s="200"/>
      <c r="H150" s="200"/>
      <c r="I150" s="200"/>
      <c r="J150" s="1">
        <v>12190000</v>
      </c>
      <c r="K150" s="2">
        <v>43397</v>
      </c>
      <c r="L150" s="32"/>
      <c r="M150" s="6"/>
      <c r="N150" s="6"/>
      <c r="O150" s="6"/>
    </row>
    <row r="151" spans="2:15" x14ac:dyDescent="0.25">
      <c r="B151" s="32">
        <v>138</v>
      </c>
      <c r="C151" s="200" t="s">
        <v>146</v>
      </c>
      <c r="D151" s="200"/>
      <c r="E151" s="200"/>
      <c r="F151" s="200"/>
      <c r="G151" s="200"/>
      <c r="H151" s="200"/>
      <c r="I151" s="200"/>
      <c r="J151" s="1">
        <v>3985000</v>
      </c>
      <c r="K151" s="2">
        <v>43410</v>
      </c>
      <c r="L151" s="32"/>
      <c r="M151" s="6"/>
      <c r="N151" s="6"/>
      <c r="O151" s="6"/>
    </row>
    <row r="152" spans="2:15" x14ac:dyDescent="0.25">
      <c r="B152" s="32">
        <v>139</v>
      </c>
      <c r="C152" s="200" t="s">
        <v>147</v>
      </c>
      <c r="D152" s="200"/>
      <c r="E152" s="200"/>
      <c r="F152" s="200"/>
      <c r="G152" s="200"/>
      <c r="H152" s="200"/>
      <c r="I152" s="200"/>
      <c r="J152" s="1">
        <v>18000000</v>
      </c>
      <c r="K152" s="2">
        <v>43403</v>
      </c>
      <c r="L152" s="32"/>
      <c r="M152" s="6"/>
      <c r="N152" s="6"/>
      <c r="O152" s="6"/>
    </row>
    <row r="153" spans="2:15" x14ac:dyDescent="0.25">
      <c r="B153" s="32">
        <v>140</v>
      </c>
      <c r="C153" s="200" t="s">
        <v>148</v>
      </c>
      <c r="D153" s="200"/>
      <c r="E153" s="200"/>
      <c r="F153" s="200"/>
      <c r="G153" s="200"/>
      <c r="H153" s="200"/>
      <c r="I153" s="200"/>
      <c r="J153" s="1">
        <v>800000</v>
      </c>
      <c r="K153" s="2">
        <v>43403</v>
      </c>
      <c r="L153" s="32"/>
      <c r="M153" s="6"/>
      <c r="N153" s="6"/>
      <c r="O153" s="6"/>
    </row>
    <row r="154" spans="2:15" x14ac:dyDescent="0.25">
      <c r="B154" s="32">
        <v>141</v>
      </c>
      <c r="C154" s="200" t="s">
        <v>149</v>
      </c>
      <c r="D154" s="200"/>
      <c r="E154" s="200"/>
      <c r="F154" s="200"/>
      <c r="G154" s="200"/>
      <c r="H154" s="200"/>
      <c r="I154" s="200"/>
      <c r="J154" s="1" t="s">
        <v>150</v>
      </c>
      <c r="K154" s="2">
        <v>43404</v>
      </c>
      <c r="L154" s="32"/>
      <c r="M154" s="6"/>
      <c r="N154" s="6"/>
      <c r="O154" s="6"/>
    </row>
    <row r="155" spans="2:15" x14ac:dyDescent="0.25">
      <c r="B155" s="32">
        <v>142</v>
      </c>
      <c r="C155" s="200" t="s">
        <v>151</v>
      </c>
      <c r="D155" s="200"/>
      <c r="E155" s="200"/>
      <c r="F155" s="200"/>
      <c r="G155" s="200"/>
      <c r="H155" s="200"/>
      <c r="I155" s="200"/>
      <c r="J155" s="1">
        <v>3557000</v>
      </c>
      <c r="K155" s="2">
        <v>43410</v>
      </c>
      <c r="L155" s="32"/>
      <c r="M155" s="6"/>
      <c r="N155" s="6"/>
      <c r="O155" s="6"/>
    </row>
    <row r="156" spans="2:15" x14ac:dyDescent="0.25">
      <c r="B156" s="32">
        <v>143</v>
      </c>
      <c r="C156" s="200" t="s">
        <v>152</v>
      </c>
      <c r="D156" s="200"/>
      <c r="E156" s="200"/>
      <c r="F156" s="200"/>
      <c r="G156" s="200"/>
      <c r="H156" s="200"/>
      <c r="I156" s="200"/>
      <c r="J156" s="1">
        <v>3293000</v>
      </c>
      <c r="K156" s="2">
        <v>43410</v>
      </c>
      <c r="L156" s="32"/>
      <c r="M156" s="6"/>
      <c r="N156" s="6"/>
      <c r="O156" s="6"/>
    </row>
    <row r="157" spans="2:15" x14ac:dyDescent="0.25">
      <c r="B157" s="32">
        <v>144</v>
      </c>
      <c r="C157" s="200" t="s">
        <v>153</v>
      </c>
      <c r="D157" s="200"/>
      <c r="E157" s="200"/>
      <c r="F157" s="200"/>
      <c r="G157" s="200"/>
      <c r="H157" s="200"/>
      <c r="I157" s="200"/>
      <c r="J157" s="1">
        <v>7900000</v>
      </c>
      <c r="K157" s="2">
        <v>43410</v>
      </c>
      <c r="L157" s="32"/>
      <c r="M157" s="6"/>
      <c r="N157" s="6"/>
      <c r="O157" s="6"/>
    </row>
    <row r="158" spans="2:15" x14ac:dyDescent="0.25">
      <c r="B158" s="32">
        <v>145</v>
      </c>
      <c r="C158" s="200" t="s">
        <v>154</v>
      </c>
      <c r="D158" s="200"/>
      <c r="E158" s="200"/>
      <c r="F158" s="200"/>
      <c r="G158" s="200"/>
      <c r="H158" s="200"/>
      <c r="I158" s="200"/>
      <c r="J158" s="1">
        <v>13435000</v>
      </c>
      <c r="K158" s="2">
        <v>43410</v>
      </c>
      <c r="L158" s="32"/>
      <c r="M158" s="6"/>
      <c r="N158" s="6"/>
      <c r="O158" s="6"/>
    </row>
    <row r="159" spans="2:15" x14ac:dyDescent="0.25">
      <c r="B159" s="32">
        <v>146</v>
      </c>
      <c r="C159" s="200" t="s">
        <v>155</v>
      </c>
      <c r="D159" s="200"/>
      <c r="E159" s="200"/>
      <c r="F159" s="200"/>
      <c r="G159" s="200"/>
      <c r="H159" s="200"/>
      <c r="I159" s="200"/>
      <c r="J159" s="1">
        <v>1580000</v>
      </c>
      <c r="K159" s="2">
        <v>43410</v>
      </c>
      <c r="L159" s="32"/>
      <c r="M159" s="6"/>
      <c r="N159" s="6"/>
      <c r="O159" s="6"/>
    </row>
    <row r="160" spans="2:15" x14ac:dyDescent="0.25">
      <c r="B160" s="32">
        <v>147</v>
      </c>
      <c r="C160" s="200" t="s">
        <v>156</v>
      </c>
      <c r="D160" s="200"/>
      <c r="E160" s="200"/>
      <c r="F160" s="200"/>
      <c r="G160" s="200"/>
      <c r="H160" s="200"/>
      <c r="I160" s="200"/>
      <c r="J160" s="1">
        <v>10985000</v>
      </c>
      <c r="K160" s="2">
        <v>43410</v>
      </c>
      <c r="L160" s="32"/>
      <c r="M160" s="6"/>
      <c r="N160" s="6"/>
      <c r="O160" s="6"/>
    </row>
    <row r="161" spans="2:15" x14ac:dyDescent="0.25">
      <c r="B161" s="32">
        <v>148</v>
      </c>
      <c r="C161" s="200" t="s">
        <v>157</v>
      </c>
      <c r="D161" s="200"/>
      <c r="E161" s="200"/>
      <c r="F161" s="200"/>
      <c r="G161" s="200"/>
      <c r="H161" s="200"/>
      <c r="I161" s="200"/>
      <c r="J161" s="1">
        <v>1055000</v>
      </c>
      <c r="K161" s="2">
        <v>43410</v>
      </c>
      <c r="L161" s="32"/>
      <c r="M161" s="6"/>
      <c r="N161" s="6"/>
      <c r="O161" s="6"/>
    </row>
    <row r="162" spans="2:15" x14ac:dyDescent="0.25">
      <c r="B162" s="32">
        <v>149</v>
      </c>
      <c r="C162" s="200" t="s">
        <v>158</v>
      </c>
      <c r="D162" s="200"/>
      <c r="E162" s="200"/>
      <c r="F162" s="200"/>
      <c r="G162" s="200"/>
      <c r="H162" s="200"/>
      <c r="I162" s="200"/>
      <c r="J162" s="1">
        <v>11850000</v>
      </c>
      <c r="K162" s="2">
        <v>43411</v>
      </c>
      <c r="L162" s="32"/>
      <c r="M162" s="6"/>
      <c r="N162" s="6"/>
      <c r="O162" s="6"/>
    </row>
    <row r="163" spans="2:15" x14ac:dyDescent="0.25">
      <c r="B163" s="32">
        <v>150</v>
      </c>
      <c r="C163" s="200" t="s">
        <v>159</v>
      </c>
      <c r="D163" s="200"/>
      <c r="E163" s="200"/>
      <c r="F163" s="200"/>
      <c r="G163" s="200"/>
      <c r="H163" s="200"/>
      <c r="I163" s="200"/>
      <c r="J163" s="1" t="s">
        <v>150</v>
      </c>
      <c r="K163" s="2">
        <v>43411</v>
      </c>
      <c r="L163" s="32"/>
      <c r="M163" s="6"/>
      <c r="N163" s="6"/>
      <c r="O163" s="6"/>
    </row>
    <row r="164" spans="2:15" x14ac:dyDescent="0.25">
      <c r="B164" s="32">
        <v>151</v>
      </c>
      <c r="C164" s="200" t="s">
        <v>160</v>
      </c>
      <c r="D164" s="200"/>
      <c r="E164" s="200"/>
      <c r="F164" s="200"/>
      <c r="G164" s="200"/>
      <c r="H164" s="200"/>
      <c r="I164" s="200"/>
      <c r="J164" s="1">
        <v>1450000</v>
      </c>
      <c r="K164" s="2">
        <v>43417</v>
      </c>
      <c r="L164" s="32"/>
      <c r="M164" s="6"/>
      <c r="N164" s="6"/>
      <c r="O164" s="6"/>
    </row>
    <row r="165" spans="2:15" x14ac:dyDescent="0.25">
      <c r="B165" s="32">
        <v>152</v>
      </c>
      <c r="C165" s="200" t="s">
        <v>161</v>
      </c>
      <c r="D165" s="200"/>
      <c r="E165" s="200"/>
      <c r="F165" s="200"/>
      <c r="G165" s="200"/>
      <c r="H165" s="200"/>
      <c r="I165" s="200"/>
      <c r="J165" s="1">
        <v>7112000</v>
      </c>
      <c r="K165" s="2">
        <v>43417</v>
      </c>
      <c r="L165" s="32"/>
      <c r="M165" s="6"/>
      <c r="N165" s="6"/>
      <c r="O165" s="6"/>
    </row>
    <row r="166" spans="2:15" x14ac:dyDescent="0.25">
      <c r="B166" s="32">
        <v>153</v>
      </c>
      <c r="C166" s="202" t="s">
        <v>162</v>
      </c>
      <c r="D166" s="202"/>
      <c r="E166" s="202"/>
      <c r="F166" s="202"/>
      <c r="G166" s="202"/>
      <c r="H166" s="202"/>
      <c r="I166" s="202"/>
      <c r="J166" s="1">
        <v>13833000</v>
      </c>
      <c r="K166" s="2">
        <v>43417</v>
      </c>
      <c r="L166" s="32"/>
      <c r="M166" s="6"/>
      <c r="N166" s="6"/>
      <c r="O166" s="6"/>
    </row>
    <row r="167" spans="2:15" x14ac:dyDescent="0.25">
      <c r="B167" s="32">
        <v>154</v>
      </c>
      <c r="C167" s="200" t="s">
        <v>163</v>
      </c>
      <c r="D167" s="200"/>
      <c r="E167" s="200"/>
      <c r="F167" s="200"/>
      <c r="G167" s="200"/>
      <c r="H167" s="200"/>
      <c r="I167" s="200"/>
      <c r="J167" s="1">
        <v>4890000</v>
      </c>
      <c r="K167" s="2">
        <v>43417</v>
      </c>
      <c r="L167" s="32"/>
      <c r="M167" s="6"/>
      <c r="N167" s="6"/>
      <c r="O167" s="6"/>
    </row>
    <row r="168" spans="2:15" x14ac:dyDescent="0.25">
      <c r="B168" s="32">
        <v>155</v>
      </c>
      <c r="C168" s="200" t="s">
        <v>164</v>
      </c>
      <c r="D168" s="200"/>
      <c r="E168" s="200"/>
      <c r="F168" s="200"/>
      <c r="G168" s="200"/>
      <c r="H168" s="200"/>
      <c r="I168" s="200"/>
      <c r="J168" s="1">
        <v>3215000</v>
      </c>
      <c r="K168" s="2">
        <v>43421</v>
      </c>
      <c r="L168" s="32"/>
      <c r="M168" s="6"/>
      <c r="N168" s="6"/>
      <c r="O168" s="6"/>
    </row>
    <row r="169" spans="2:15" x14ac:dyDescent="0.25">
      <c r="B169" s="32">
        <v>156</v>
      </c>
      <c r="C169" s="200" t="s">
        <v>165</v>
      </c>
      <c r="D169" s="200"/>
      <c r="E169" s="200"/>
      <c r="F169" s="200"/>
      <c r="G169" s="200"/>
      <c r="H169" s="200"/>
      <c r="I169" s="200"/>
      <c r="J169" s="1">
        <v>2170000</v>
      </c>
      <c r="K169" s="2">
        <v>43423</v>
      </c>
      <c r="L169" s="32"/>
      <c r="M169" s="6"/>
      <c r="N169" s="6"/>
      <c r="O169" s="6"/>
    </row>
    <row r="170" spans="2:15" x14ac:dyDescent="0.25">
      <c r="B170" s="32">
        <v>157</v>
      </c>
      <c r="C170" s="200" t="s">
        <v>166</v>
      </c>
      <c r="D170" s="200"/>
      <c r="E170" s="200"/>
      <c r="F170" s="200"/>
      <c r="G170" s="200"/>
      <c r="H170" s="200"/>
      <c r="I170" s="200"/>
      <c r="J170" s="1">
        <v>3000000</v>
      </c>
      <c r="K170" s="2">
        <v>43424</v>
      </c>
      <c r="L170" s="32"/>
      <c r="M170" s="6"/>
      <c r="N170" s="6"/>
      <c r="O170" s="6"/>
    </row>
    <row r="171" spans="2:15" x14ac:dyDescent="0.25">
      <c r="B171" s="32">
        <v>158</v>
      </c>
      <c r="C171" s="200" t="s">
        <v>154</v>
      </c>
      <c r="D171" s="200"/>
      <c r="E171" s="200"/>
      <c r="F171" s="200"/>
      <c r="G171" s="200"/>
      <c r="H171" s="200"/>
      <c r="I171" s="200"/>
      <c r="J171" s="1">
        <v>13435000</v>
      </c>
      <c r="K171" s="2">
        <v>43426</v>
      </c>
      <c r="L171" s="32"/>
      <c r="M171" s="6"/>
      <c r="N171" s="6"/>
      <c r="O171" s="6"/>
    </row>
    <row r="172" spans="2:15" x14ac:dyDescent="0.25">
      <c r="B172" s="32">
        <v>159</v>
      </c>
      <c r="C172" s="200" t="s">
        <v>167</v>
      </c>
      <c r="D172" s="200"/>
      <c r="E172" s="200"/>
      <c r="F172" s="200"/>
      <c r="G172" s="200"/>
      <c r="H172" s="200"/>
      <c r="I172" s="200"/>
      <c r="J172" s="1">
        <v>6700000</v>
      </c>
      <c r="K172" s="2">
        <v>43426</v>
      </c>
      <c r="L172" s="32"/>
      <c r="M172" s="6"/>
      <c r="N172" s="6"/>
      <c r="O172" s="6"/>
    </row>
    <row r="173" spans="2:15" x14ac:dyDescent="0.25">
      <c r="B173" s="32">
        <v>160</v>
      </c>
      <c r="C173" s="200" t="s">
        <v>168</v>
      </c>
      <c r="D173" s="200"/>
      <c r="E173" s="200"/>
      <c r="F173" s="200"/>
      <c r="G173" s="200"/>
      <c r="H173" s="200"/>
      <c r="I173" s="200"/>
      <c r="J173" s="1">
        <v>16500000</v>
      </c>
      <c r="K173" s="2">
        <v>43426</v>
      </c>
      <c r="L173" s="32"/>
      <c r="M173" s="6"/>
      <c r="N173" s="6"/>
      <c r="O173" s="6"/>
    </row>
    <row r="174" spans="2:15" x14ac:dyDescent="0.25">
      <c r="B174" s="32">
        <v>161</v>
      </c>
      <c r="C174" s="200" t="s">
        <v>169</v>
      </c>
      <c r="D174" s="200"/>
      <c r="E174" s="200"/>
      <c r="F174" s="200"/>
      <c r="G174" s="200"/>
      <c r="H174" s="200"/>
      <c r="I174" s="200"/>
      <c r="J174" s="1">
        <v>1500000</v>
      </c>
      <c r="K174" s="2">
        <v>43430</v>
      </c>
      <c r="L174" s="32"/>
      <c r="M174" s="6"/>
      <c r="N174" s="6"/>
      <c r="O174" s="6"/>
    </row>
    <row r="175" spans="2:15" x14ac:dyDescent="0.25">
      <c r="B175" s="32">
        <v>162</v>
      </c>
      <c r="C175" s="200" t="s">
        <v>170</v>
      </c>
      <c r="D175" s="200"/>
      <c r="E175" s="200"/>
      <c r="F175" s="200"/>
      <c r="G175" s="200"/>
      <c r="H175" s="200"/>
      <c r="I175" s="200"/>
      <c r="J175" s="1">
        <v>11527000</v>
      </c>
      <c r="K175" s="2">
        <v>43431</v>
      </c>
      <c r="L175" s="32"/>
      <c r="M175" s="6"/>
      <c r="N175" s="6"/>
      <c r="O175" s="6"/>
    </row>
    <row r="176" spans="2:15" x14ac:dyDescent="0.25">
      <c r="B176" s="32">
        <v>163</v>
      </c>
      <c r="C176" s="200" t="s">
        <v>171</v>
      </c>
      <c r="D176" s="200"/>
      <c r="E176" s="200"/>
      <c r="F176" s="200"/>
      <c r="G176" s="200"/>
      <c r="H176" s="200"/>
      <c r="I176" s="200"/>
      <c r="J176" s="1">
        <v>11910000</v>
      </c>
      <c r="K176" s="2">
        <v>43431</v>
      </c>
      <c r="L176" s="32"/>
      <c r="M176" s="6"/>
      <c r="N176" s="6"/>
      <c r="O176" s="6"/>
    </row>
    <row r="177" spans="2:15" x14ac:dyDescent="0.25">
      <c r="B177" s="32">
        <v>164</v>
      </c>
      <c r="C177" s="200" t="s">
        <v>172</v>
      </c>
      <c r="D177" s="200"/>
      <c r="E177" s="200"/>
      <c r="F177" s="200"/>
      <c r="G177" s="200"/>
      <c r="H177" s="200"/>
      <c r="I177" s="200"/>
      <c r="J177" s="1">
        <v>17960000</v>
      </c>
      <c r="K177" s="2">
        <v>43431</v>
      </c>
      <c r="L177" s="32"/>
      <c r="M177" s="6"/>
      <c r="N177" s="6"/>
      <c r="O177" s="6"/>
    </row>
    <row r="178" spans="2:15" x14ac:dyDescent="0.25">
      <c r="B178" s="32">
        <v>165</v>
      </c>
      <c r="C178" s="200" t="s">
        <v>173</v>
      </c>
      <c r="D178" s="200"/>
      <c r="E178" s="200"/>
      <c r="F178" s="200"/>
      <c r="G178" s="200"/>
      <c r="H178" s="200"/>
      <c r="I178" s="200"/>
      <c r="J178" s="1">
        <v>11910000</v>
      </c>
      <c r="K178" s="2">
        <v>43431</v>
      </c>
      <c r="L178" s="32"/>
      <c r="M178" s="6"/>
      <c r="N178" s="6"/>
      <c r="O178" s="6"/>
    </row>
    <row r="179" spans="2:15" x14ac:dyDescent="0.25">
      <c r="B179" s="32">
        <v>166</v>
      </c>
      <c r="C179" s="200" t="s">
        <v>174</v>
      </c>
      <c r="D179" s="200"/>
      <c r="E179" s="200"/>
      <c r="F179" s="200"/>
      <c r="G179" s="200"/>
      <c r="H179" s="200"/>
      <c r="I179" s="200"/>
      <c r="J179" s="1">
        <v>6585000</v>
      </c>
      <c r="K179" s="2">
        <v>43434</v>
      </c>
      <c r="L179" s="32"/>
      <c r="M179" s="6"/>
      <c r="N179" s="6"/>
      <c r="O179" s="6"/>
    </row>
    <row r="180" spans="2:15" x14ac:dyDescent="0.25">
      <c r="B180" s="32">
        <v>167</v>
      </c>
      <c r="C180" s="200" t="s">
        <v>175</v>
      </c>
      <c r="D180" s="200"/>
      <c r="E180" s="200"/>
      <c r="F180" s="200"/>
      <c r="G180" s="200"/>
      <c r="H180" s="200"/>
      <c r="I180" s="200"/>
      <c r="J180" s="1">
        <v>10820000</v>
      </c>
      <c r="K180" s="2">
        <v>43434</v>
      </c>
      <c r="L180" s="32"/>
      <c r="M180" s="6"/>
      <c r="N180" s="6"/>
      <c r="O180" s="6"/>
    </row>
    <row r="181" spans="2:15" x14ac:dyDescent="0.25">
      <c r="B181" s="32">
        <v>168</v>
      </c>
      <c r="C181" s="200" t="s">
        <v>176</v>
      </c>
      <c r="D181" s="200"/>
      <c r="E181" s="200"/>
      <c r="F181" s="200"/>
      <c r="G181" s="200"/>
      <c r="H181" s="200"/>
      <c r="I181" s="200"/>
      <c r="J181" s="1">
        <v>530000</v>
      </c>
      <c r="K181" s="2">
        <v>43440</v>
      </c>
      <c r="L181" s="32"/>
      <c r="M181" s="6"/>
      <c r="N181" s="6"/>
      <c r="O181" s="6"/>
    </row>
    <row r="182" spans="2:15" x14ac:dyDescent="0.25">
      <c r="B182" s="32">
        <v>169</v>
      </c>
      <c r="C182" s="200" t="s">
        <v>177</v>
      </c>
      <c r="D182" s="200"/>
      <c r="E182" s="200"/>
      <c r="F182" s="200"/>
      <c r="G182" s="200"/>
      <c r="H182" s="200"/>
      <c r="I182" s="200"/>
      <c r="J182" s="1">
        <v>12982000</v>
      </c>
      <c r="K182" s="2">
        <v>43445</v>
      </c>
      <c r="L182" s="32"/>
      <c r="M182" s="6"/>
      <c r="N182" s="6"/>
      <c r="O182" s="6"/>
    </row>
    <row r="183" spans="2:15" x14ac:dyDescent="0.25">
      <c r="B183" s="32">
        <v>170</v>
      </c>
      <c r="C183" s="200" t="s">
        <v>178</v>
      </c>
      <c r="D183" s="200"/>
      <c r="E183" s="200"/>
      <c r="F183" s="200"/>
      <c r="G183" s="200"/>
      <c r="H183" s="200"/>
      <c r="I183" s="200"/>
      <c r="J183" s="1">
        <v>4675000</v>
      </c>
      <c r="K183" s="2">
        <v>43447</v>
      </c>
      <c r="L183" s="32"/>
      <c r="M183" s="6"/>
      <c r="N183" s="6"/>
      <c r="O183" s="6"/>
    </row>
    <row r="184" spans="2:15" x14ac:dyDescent="0.25">
      <c r="B184" s="32">
        <v>171</v>
      </c>
      <c r="C184" s="200" t="s">
        <v>179</v>
      </c>
      <c r="D184" s="200"/>
      <c r="E184" s="200"/>
      <c r="F184" s="200"/>
      <c r="G184" s="200"/>
      <c r="H184" s="200"/>
      <c r="I184" s="200"/>
      <c r="J184" s="1">
        <v>4365000</v>
      </c>
      <c r="K184" s="2">
        <v>43447</v>
      </c>
      <c r="L184" s="32"/>
      <c r="M184" s="6"/>
      <c r="N184" s="6"/>
      <c r="O184" s="6"/>
    </row>
    <row r="185" spans="2:15" x14ac:dyDescent="0.25">
      <c r="B185" s="32">
        <v>172</v>
      </c>
      <c r="C185" s="200" t="s">
        <v>180</v>
      </c>
      <c r="D185" s="200"/>
      <c r="E185" s="200"/>
      <c r="F185" s="200"/>
      <c r="G185" s="200"/>
      <c r="H185" s="200"/>
      <c r="I185" s="200"/>
      <c r="J185" s="1">
        <v>22350000</v>
      </c>
      <c r="K185" s="2">
        <v>43453</v>
      </c>
      <c r="L185" s="32"/>
      <c r="M185" s="6"/>
      <c r="N185" s="6"/>
      <c r="O185" s="6"/>
    </row>
    <row r="186" spans="2:15" x14ac:dyDescent="0.25">
      <c r="B186" s="32">
        <v>173</v>
      </c>
      <c r="C186" s="200" t="s">
        <v>181</v>
      </c>
      <c r="D186" s="200"/>
      <c r="E186" s="200"/>
      <c r="F186" s="200"/>
      <c r="G186" s="200"/>
      <c r="H186" s="200"/>
      <c r="I186" s="200"/>
      <c r="J186" s="1">
        <v>2500</v>
      </c>
      <c r="K186" s="2">
        <v>43452</v>
      </c>
      <c r="L186" s="32"/>
      <c r="M186" s="6"/>
      <c r="N186" s="6"/>
      <c r="O186" s="6"/>
    </row>
    <row r="187" spans="2:15" x14ac:dyDescent="0.25">
      <c r="B187" s="32">
        <v>174</v>
      </c>
      <c r="C187" s="200" t="s">
        <v>182</v>
      </c>
      <c r="D187" s="200"/>
      <c r="E187" s="200"/>
      <c r="F187" s="200"/>
      <c r="G187" s="200"/>
      <c r="H187" s="200"/>
      <c r="I187" s="200"/>
      <c r="J187" s="1">
        <v>21740000</v>
      </c>
      <c r="K187" s="2">
        <v>43453</v>
      </c>
      <c r="L187" s="32"/>
      <c r="M187" s="6"/>
      <c r="N187" s="6"/>
      <c r="O187" s="6"/>
    </row>
    <row r="188" spans="2:15" x14ac:dyDescent="0.25">
      <c r="B188" s="32">
        <v>175</v>
      </c>
      <c r="C188" s="200"/>
      <c r="D188" s="200"/>
      <c r="E188" s="200"/>
      <c r="F188" s="200"/>
      <c r="G188" s="200"/>
      <c r="H188" s="200"/>
      <c r="I188" s="200"/>
      <c r="J188" s="1"/>
      <c r="K188" s="32"/>
      <c r="L188" s="32"/>
      <c r="M188" s="6"/>
      <c r="N188" s="6"/>
      <c r="O188" s="6"/>
    </row>
    <row r="189" spans="2:15" x14ac:dyDescent="0.25">
      <c r="B189" s="32">
        <v>176</v>
      </c>
      <c r="C189" s="200"/>
      <c r="D189" s="200"/>
      <c r="E189" s="200"/>
      <c r="F189" s="200"/>
      <c r="G189" s="200"/>
      <c r="H189" s="200"/>
      <c r="I189" s="200"/>
      <c r="J189" s="1"/>
      <c r="K189" s="32"/>
      <c r="L189" s="32"/>
      <c r="M189" s="6"/>
      <c r="N189" s="6"/>
      <c r="O189" s="6"/>
    </row>
    <row r="190" spans="2:15" x14ac:dyDescent="0.25">
      <c r="B190" s="32">
        <v>177</v>
      </c>
      <c r="C190" s="200"/>
      <c r="D190" s="200"/>
      <c r="E190" s="200"/>
      <c r="F190" s="200"/>
      <c r="G190" s="200"/>
      <c r="H190" s="200"/>
      <c r="I190" s="200"/>
      <c r="J190" s="1"/>
      <c r="K190" s="32"/>
      <c r="L190" s="32"/>
      <c r="M190" s="6"/>
      <c r="N190" s="6"/>
      <c r="O190" s="6"/>
    </row>
    <row r="191" spans="2:15" x14ac:dyDescent="0.25">
      <c r="B191" s="32">
        <v>178</v>
      </c>
      <c r="C191" s="200"/>
      <c r="D191" s="200"/>
      <c r="E191" s="200"/>
      <c r="F191" s="200"/>
      <c r="G191" s="200"/>
      <c r="H191" s="200"/>
      <c r="I191" s="200"/>
      <c r="J191" s="1"/>
      <c r="K191" s="32"/>
      <c r="L191" s="32"/>
      <c r="M191" s="6"/>
      <c r="N191" s="6"/>
      <c r="O191" s="6"/>
    </row>
    <row r="192" spans="2:15" x14ac:dyDescent="0.25">
      <c r="B192" s="32">
        <v>179</v>
      </c>
      <c r="C192" s="200"/>
      <c r="D192" s="200"/>
      <c r="E192" s="200"/>
      <c r="F192" s="200"/>
      <c r="G192" s="200"/>
      <c r="H192" s="200"/>
      <c r="I192" s="200"/>
      <c r="J192" s="1"/>
      <c r="K192" s="32"/>
      <c r="L192" s="32"/>
      <c r="M192" s="6"/>
      <c r="N192" s="6"/>
      <c r="O192" s="6"/>
    </row>
    <row r="193" spans="2:15" x14ac:dyDescent="0.25">
      <c r="B193" s="32">
        <v>180</v>
      </c>
      <c r="C193" s="200"/>
      <c r="D193" s="200"/>
      <c r="E193" s="200"/>
      <c r="F193" s="200"/>
      <c r="G193" s="200"/>
      <c r="H193" s="200"/>
      <c r="I193" s="200"/>
      <c r="J193" s="1"/>
      <c r="K193" s="32"/>
      <c r="L193" s="32"/>
      <c r="M193" s="6"/>
      <c r="N193" s="6"/>
      <c r="O193" s="6"/>
    </row>
    <row r="194" spans="2:15" x14ac:dyDescent="0.25">
      <c r="B194" s="32">
        <v>181</v>
      </c>
      <c r="C194" s="200"/>
      <c r="D194" s="200"/>
      <c r="E194" s="200"/>
      <c r="F194" s="200"/>
      <c r="G194" s="200"/>
      <c r="H194" s="200"/>
      <c r="I194" s="200"/>
      <c r="J194" s="1"/>
      <c r="K194" s="32"/>
      <c r="L194" s="32"/>
      <c r="M194" s="6"/>
      <c r="N194" s="6"/>
      <c r="O194" s="6"/>
    </row>
    <row r="195" spans="2:15" x14ac:dyDescent="0.25">
      <c r="B195" s="32">
        <v>182</v>
      </c>
      <c r="C195" s="200"/>
      <c r="D195" s="200"/>
      <c r="E195" s="200"/>
      <c r="F195" s="200"/>
      <c r="G195" s="200"/>
      <c r="H195" s="200"/>
      <c r="I195" s="200"/>
      <c r="J195" s="1"/>
      <c r="K195" s="32"/>
      <c r="L195" s="32"/>
      <c r="M195" s="6"/>
      <c r="N195" s="6"/>
      <c r="O195" s="6"/>
    </row>
    <row r="196" spans="2:15" x14ac:dyDescent="0.25">
      <c r="B196" s="32">
        <v>183</v>
      </c>
      <c r="C196" s="200"/>
      <c r="D196" s="200"/>
      <c r="E196" s="200"/>
      <c r="F196" s="200"/>
      <c r="G196" s="200"/>
      <c r="H196" s="200"/>
      <c r="I196" s="200"/>
      <c r="J196" s="1"/>
      <c r="K196" s="32"/>
      <c r="L196" s="32"/>
      <c r="M196" s="6"/>
      <c r="N196" s="6"/>
      <c r="O196" s="6"/>
    </row>
    <row r="197" spans="2:15" x14ac:dyDescent="0.25">
      <c r="B197" s="32">
        <v>184</v>
      </c>
      <c r="C197" s="200"/>
      <c r="D197" s="200"/>
      <c r="E197" s="200"/>
      <c r="F197" s="200"/>
      <c r="G197" s="200"/>
      <c r="H197" s="200"/>
      <c r="I197" s="200"/>
      <c r="J197" s="1"/>
      <c r="K197" s="32"/>
      <c r="L197" s="32"/>
      <c r="M197" s="6"/>
      <c r="N197" s="6"/>
      <c r="O197" s="6"/>
    </row>
    <row r="198" spans="2:15" x14ac:dyDescent="0.25">
      <c r="B198" s="32">
        <v>185</v>
      </c>
      <c r="C198" s="200"/>
      <c r="D198" s="200"/>
      <c r="E198" s="200"/>
      <c r="F198" s="200"/>
      <c r="G198" s="200"/>
      <c r="H198" s="200"/>
      <c r="I198" s="200"/>
      <c r="J198" s="1"/>
      <c r="K198" s="32"/>
      <c r="L198" s="32"/>
      <c r="M198" s="6"/>
      <c r="N198" s="6"/>
      <c r="O198" s="6"/>
    </row>
    <row r="199" spans="2:15" x14ac:dyDescent="0.25">
      <c r="B199" s="32">
        <v>186</v>
      </c>
      <c r="C199" s="200"/>
      <c r="D199" s="200"/>
      <c r="E199" s="200"/>
      <c r="F199" s="200"/>
      <c r="G199" s="200"/>
      <c r="H199" s="200"/>
      <c r="I199" s="200"/>
      <c r="J199" s="1"/>
      <c r="K199" s="32"/>
      <c r="L199" s="32"/>
      <c r="M199" s="6"/>
      <c r="N199" s="6"/>
      <c r="O199" s="6"/>
    </row>
    <row r="200" spans="2:15" x14ac:dyDescent="0.25">
      <c r="B200" s="32">
        <v>187</v>
      </c>
      <c r="C200" s="200"/>
      <c r="D200" s="200"/>
      <c r="E200" s="200"/>
      <c r="F200" s="200"/>
      <c r="G200" s="200"/>
      <c r="H200" s="200"/>
      <c r="I200" s="200"/>
      <c r="J200" s="1"/>
      <c r="K200" s="32"/>
      <c r="L200" s="32"/>
      <c r="M200" s="6"/>
      <c r="N200" s="6"/>
      <c r="O200" s="6"/>
    </row>
    <row r="201" spans="2:15" x14ac:dyDescent="0.25">
      <c r="B201" s="32">
        <v>188</v>
      </c>
      <c r="C201" s="200"/>
      <c r="D201" s="200"/>
      <c r="E201" s="200"/>
      <c r="F201" s="200"/>
      <c r="G201" s="200"/>
      <c r="H201" s="200"/>
      <c r="I201" s="200"/>
      <c r="J201" s="1"/>
      <c r="K201" s="32"/>
      <c r="L201" s="32"/>
      <c r="M201" s="6"/>
      <c r="N201" s="6"/>
      <c r="O201" s="6"/>
    </row>
    <row r="202" spans="2:15" x14ac:dyDescent="0.25">
      <c r="B202" s="32">
        <v>189</v>
      </c>
      <c r="C202" s="200"/>
      <c r="D202" s="200"/>
      <c r="E202" s="200"/>
      <c r="F202" s="200"/>
      <c r="G202" s="200"/>
      <c r="H202" s="200"/>
      <c r="I202" s="200"/>
      <c r="J202" s="1"/>
      <c r="K202" s="32"/>
      <c r="L202" s="32"/>
      <c r="M202" s="6"/>
      <c r="N202" s="6"/>
      <c r="O202" s="6"/>
    </row>
    <row r="203" spans="2:15" x14ac:dyDescent="0.25">
      <c r="B203" s="32">
        <v>190</v>
      </c>
      <c r="C203" s="200"/>
      <c r="D203" s="200"/>
      <c r="E203" s="200"/>
      <c r="F203" s="200"/>
      <c r="G203" s="200"/>
      <c r="H203" s="200"/>
      <c r="I203" s="200"/>
      <c r="J203" s="1"/>
      <c r="K203" s="32"/>
      <c r="L203" s="32"/>
      <c r="M203" s="6"/>
      <c r="N203" s="6"/>
      <c r="O203" s="6"/>
    </row>
    <row r="204" spans="2:15" x14ac:dyDescent="0.25">
      <c r="B204" s="32">
        <v>191</v>
      </c>
      <c r="C204" s="200"/>
      <c r="D204" s="200"/>
      <c r="E204" s="200"/>
      <c r="F204" s="200"/>
      <c r="G204" s="200"/>
      <c r="H204" s="200"/>
      <c r="I204" s="200"/>
      <c r="J204" s="1"/>
      <c r="K204" s="32"/>
      <c r="L204" s="32"/>
      <c r="M204" s="6"/>
      <c r="N204" s="6"/>
      <c r="O204" s="6"/>
    </row>
    <row r="205" spans="2:15" x14ac:dyDescent="0.25">
      <c r="B205" s="32">
        <v>192</v>
      </c>
      <c r="C205" s="200"/>
      <c r="D205" s="200"/>
      <c r="E205" s="200"/>
      <c r="F205" s="200"/>
      <c r="G205" s="200"/>
      <c r="H205" s="200"/>
      <c r="I205" s="200"/>
      <c r="J205" s="1"/>
      <c r="K205" s="32"/>
      <c r="L205" s="32"/>
      <c r="M205" s="6"/>
      <c r="N205" s="6"/>
      <c r="O205" s="6"/>
    </row>
    <row r="206" spans="2:15" x14ac:dyDescent="0.25">
      <c r="B206" s="32">
        <v>193</v>
      </c>
      <c r="C206" s="200"/>
      <c r="D206" s="200"/>
      <c r="E206" s="200"/>
      <c r="F206" s="200"/>
      <c r="G206" s="200"/>
      <c r="H206" s="200"/>
      <c r="I206" s="200"/>
      <c r="J206" s="1"/>
      <c r="K206" s="32"/>
      <c r="L206" s="32"/>
      <c r="M206" s="6"/>
      <c r="N206" s="6"/>
      <c r="O206" s="6"/>
    </row>
    <row r="207" spans="2:15" x14ac:dyDescent="0.25">
      <c r="B207" s="32">
        <v>194</v>
      </c>
      <c r="C207" s="200"/>
      <c r="D207" s="200"/>
      <c r="E207" s="200"/>
      <c r="F207" s="200"/>
      <c r="G207" s="200"/>
      <c r="H207" s="200"/>
      <c r="I207" s="200"/>
      <c r="J207" s="1"/>
      <c r="K207" s="32"/>
      <c r="L207" s="32"/>
      <c r="M207" s="6"/>
      <c r="N207" s="6"/>
      <c r="O207" s="6"/>
    </row>
    <row r="208" spans="2:15" x14ac:dyDescent="0.25">
      <c r="B208" s="32">
        <v>195</v>
      </c>
      <c r="C208" s="200"/>
      <c r="D208" s="200"/>
      <c r="E208" s="200"/>
      <c r="F208" s="200"/>
      <c r="G208" s="200"/>
      <c r="H208" s="200"/>
      <c r="I208" s="200"/>
      <c r="J208" s="1"/>
      <c r="K208" s="32"/>
      <c r="L208" s="32"/>
      <c r="M208" s="6"/>
      <c r="N208" s="6"/>
      <c r="O208" s="6"/>
    </row>
    <row r="209" spans="2:15" x14ac:dyDescent="0.25">
      <c r="B209" s="32">
        <v>196</v>
      </c>
      <c r="C209" s="200"/>
      <c r="D209" s="200"/>
      <c r="E209" s="200"/>
      <c r="F209" s="200"/>
      <c r="G209" s="200"/>
      <c r="H209" s="200"/>
      <c r="I209" s="200"/>
      <c r="J209" s="1"/>
      <c r="K209" s="32"/>
      <c r="L209" s="32"/>
      <c r="M209" s="6"/>
      <c r="N209" s="6"/>
      <c r="O209" s="6"/>
    </row>
    <row r="210" spans="2:15" x14ac:dyDescent="0.25">
      <c r="B210" s="32">
        <v>197</v>
      </c>
      <c r="C210" s="200"/>
      <c r="D210" s="200"/>
      <c r="E210" s="200"/>
      <c r="F210" s="200"/>
      <c r="G210" s="200"/>
      <c r="H210" s="200"/>
      <c r="I210" s="200"/>
      <c r="J210" s="1"/>
      <c r="K210" s="32"/>
      <c r="L210" s="32"/>
      <c r="M210" s="6"/>
      <c r="N210" s="6"/>
      <c r="O210" s="6"/>
    </row>
    <row r="211" spans="2:15" x14ac:dyDescent="0.25">
      <c r="B211" s="32">
        <v>198</v>
      </c>
      <c r="C211" s="200"/>
      <c r="D211" s="200"/>
      <c r="E211" s="200"/>
      <c r="F211" s="200"/>
      <c r="G211" s="200"/>
      <c r="H211" s="200"/>
      <c r="I211" s="200"/>
      <c r="J211" s="1"/>
      <c r="K211" s="32"/>
      <c r="L211" s="32"/>
      <c r="M211" s="6"/>
      <c r="N211" s="6"/>
      <c r="O211" s="6"/>
    </row>
    <row r="212" spans="2:15" x14ac:dyDescent="0.25">
      <c r="B212" s="32">
        <v>199</v>
      </c>
      <c r="C212" s="200"/>
      <c r="D212" s="200"/>
      <c r="E212" s="200"/>
      <c r="F212" s="200"/>
      <c r="G212" s="200"/>
      <c r="H212" s="200"/>
      <c r="I212" s="200"/>
      <c r="J212" s="1"/>
      <c r="K212" s="32"/>
      <c r="L212" s="32"/>
      <c r="M212" s="6"/>
      <c r="N212" s="6"/>
      <c r="O212" s="6"/>
    </row>
    <row r="213" spans="2:15" x14ac:dyDescent="0.25">
      <c r="B213" s="32">
        <v>200</v>
      </c>
      <c r="C213" s="200"/>
      <c r="D213" s="200"/>
      <c r="E213" s="200"/>
      <c r="F213" s="200"/>
      <c r="G213" s="200"/>
      <c r="H213" s="200"/>
      <c r="I213" s="200"/>
      <c r="J213" s="1"/>
      <c r="K213" s="32"/>
      <c r="L213" s="32"/>
      <c r="M213" s="6"/>
      <c r="N213" s="6"/>
      <c r="O213" s="6"/>
    </row>
    <row r="214" spans="2:15" x14ac:dyDescent="0.25">
      <c r="B214" s="32">
        <v>201</v>
      </c>
      <c r="C214" s="200"/>
      <c r="D214" s="200"/>
      <c r="E214" s="200"/>
      <c r="F214" s="200"/>
      <c r="G214" s="200"/>
      <c r="H214" s="200"/>
      <c r="I214" s="200"/>
      <c r="J214" s="1"/>
      <c r="K214" s="32"/>
      <c r="L214" s="32"/>
      <c r="M214" s="6"/>
      <c r="N214" s="6"/>
      <c r="O214" s="6"/>
    </row>
    <row r="215" spans="2:15" x14ac:dyDescent="0.25">
      <c r="B215" s="32">
        <v>202</v>
      </c>
      <c r="C215" s="200"/>
      <c r="D215" s="200"/>
      <c r="E215" s="200"/>
      <c r="F215" s="200"/>
      <c r="G215" s="200"/>
      <c r="H215" s="200"/>
      <c r="I215" s="200"/>
      <c r="J215" s="1"/>
      <c r="K215" s="32"/>
      <c r="L215" s="32"/>
      <c r="M215" s="6"/>
      <c r="N215" s="6"/>
      <c r="O215" s="6"/>
    </row>
    <row r="216" spans="2:15" x14ac:dyDescent="0.25">
      <c r="B216" s="32">
        <v>203</v>
      </c>
      <c r="C216" s="200"/>
      <c r="D216" s="200"/>
      <c r="E216" s="200"/>
      <c r="F216" s="200"/>
      <c r="G216" s="200"/>
      <c r="H216" s="200"/>
      <c r="I216" s="200"/>
      <c r="J216" s="1"/>
      <c r="K216" s="32"/>
      <c r="L216" s="32"/>
      <c r="M216" s="6"/>
      <c r="N216" s="6"/>
      <c r="O216" s="6"/>
    </row>
    <row r="217" spans="2:15" x14ac:dyDescent="0.25">
      <c r="B217" s="32">
        <v>204</v>
      </c>
      <c r="C217" s="200"/>
      <c r="D217" s="200"/>
      <c r="E217" s="200"/>
      <c r="F217" s="200"/>
      <c r="G217" s="200"/>
      <c r="H217" s="200"/>
      <c r="I217" s="200"/>
      <c r="J217" s="1"/>
      <c r="K217" s="32"/>
      <c r="L217" s="32"/>
      <c r="M217" s="6"/>
      <c r="N217" s="6"/>
      <c r="O217" s="6"/>
    </row>
    <row r="218" spans="2:15" x14ac:dyDescent="0.25">
      <c r="B218" s="32">
        <v>205</v>
      </c>
      <c r="C218" s="200"/>
      <c r="D218" s="200"/>
      <c r="E218" s="200"/>
      <c r="F218" s="200"/>
      <c r="G218" s="200"/>
      <c r="H218" s="200"/>
      <c r="I218" s="200"/>
      <c r="J218" s="1"/>
      <c r="K218" s="32"/>
      <c r="L218" s="32"/>
      <c r="M218" s="6"/>
      <c r="N218" s="6"/>
      <c r="O218" s="6"/>
    </row>
    <row r="219" spans="2:15" x14ac:dyDescent="0.25">
      <c r="B219" s="32">
        <v>206</v>
      </c>
      <c r="C219" s="200"/>
      <c r="D219" s="200"/>
      <c r="E219" s="200"/>
      <c r="F219" s="200"/>
      <c r="G219" s="200"/>
      <c r="H219" s="200"/>
      <c r="I219" s="200"/>
      <c r="J219" s="1"/>
      <c r="K219" s="32"/>
      <c r="L219" s="32"/>
      <c r="M219" s="6"/>
      <c r="N219" s="6"/>
      <c r="O219" s="6"/>
    </row>
    <row r="220" spans="2:15" x14ac:dyDescent="0.25">
      <c r="B220" s="32">
        <v>207</v>
      </c>
      <c r="C220" s="200"/>
      <c r="D220" s="200"/>
      <c r="E220" s="200"/>
      <c r="F220" s="200"/>
      <c r="G220" s="200"/>
      <c r="H220" s="200"/>
      <c r="I220" s="200"/>
      <c r="J220" s="1"/>
      <c r="K220" s="32"/>
      <c r="L220" s="32"/>
      <c r="M220" s="6"/>
      <c r="N220" s="6"/>
      <c r="O220" s="6"/>
    </row>
    <row r="221" spans="2:15" x14ac:dyDescent="0.25">
      <c r="B221" s="32">
        <v>208</v>
      </c>
      <c r="C221" s="200"/>
      <c r="D221" s="200"/>
      <c r="E221" s="200"/>
      <c r="F221" s="200"/>
      <c r="G221" s="200"/>
      <c r="H221" s="200"/>
      <c r="I221" s="200"/>
      <c r="J221" s="1"/>
      <c r="K221" s="32"/>
      <c r="L221" s="32"/>
      <c r="M221" s="6"/>
      <c r="N221" s="6"/>
      <c r="O221" s="6"/>
    </row>
    <row r="222" spans="2:15" x14ac:dyDescent="0.25">
      <c r="B222" s="32">
        <v>209</v>
      </c>
      <c r="C222" s="200"/>
      <c r="D222" s="200"/>
      <c r="E222" s="200"/>
      <c r="F222" s="200"/>
      <c r="G222" s="200"/>
      <c r="H222" s="200"/>
      <c r="I222" s="200"/>
      <c r="J222" s="1"/>
      <c r="K222" s="32"/>
      <c r="L222" s="32"/>
      <c r="M222" s="6"/>
      <c r="N222" s="6"/>
      <c r="O222" s="6"/>
    </row>
    <row r="223" spans="2:15" x14ac:dyDescent="0.25">
      <c r="B223" s="32">
        <v>210</v>
      </c>
      <c r="C223" s="200"/>
      <c r="D223" s="200"/>
      <c r="E223" s="200"/>
      <c r="F223" s="200"/>
      <c r="G223" s="200"/>
      <c r="H223" s="200"/>
      <c r="I223" s="200"/>
      <c r="J223" s="1"/>
      <c r="K223" s="32"/>
      <c r="L223" s="32"/>
      <c r="M223" s="6"/>
      <c r="N223" s="6"/>
      <c r="O223" s="6"/>
    </row>
    <row r="224" spans="2:15" x14ac:dyDescent="0.25">
      <c r="B224" s="32">
        <v>211</v>
      </c>
      <c r="C224" s="200"/>
      <c r="D224" s="200"/>
      <c r="E224" s="200"/>
      <c r="F224" s="200"/>
      <c r="G224" s="200"/>
      <c r="H224" s="200"/>
      <c r="I224" s="200"/>
      <c r="J224" s="1"/>
      <c r="K224" s="32"/>
      <c r="L224" s="32"/>
      <c r="M224" s="6"/>
      <c r="N224" s="6"/>
      <c r="O224" s="6"/>
    </row>
    <row r="225" spans="2:15" x14ac:dyDescent="0.25">
      <c r="B225" s="32">
        <v>212</v>
      </c>
      <c r="C225" s="200"/>
      <c r="D225" s="200"/>
      <c r="E225" s="200"/>
      <c r="F225" s="200"/>
      <c r="G225" s="200"/>
      <c r="H225" s="200"/>
      <c r="I225" s="200"/>
      <c r="J225" s="1"/>
      <c r="K225" s="32"/>
      <c r="L225" s="32"/>
      <c r="M225" s="6"/>
      <c r="N225" s="6"/>
      <c r="O225" s="6"/>
    </row>
    <row r="226" spans="2:15" x14ac:dyDescent="0.25">
      <c r="B226" s="32">
        <v>213</v>
      </c>
      <c r="C226" s="200"/>
      <c r="D226" s="200"/>
      <c r="E226" s="200"/>
      <c r="F226" s="200"/>
      <c r="G226" s="200"/>
      <c r="H226" s="200"/>
      <c r="I226" s="200"/>
      <c r="J226" s="1"/>
      <c r="K226" s="32"/>
      <c r="L226" s="32"/>
      <c r="M226" s="6"/>
      <c r="N226" s="6"/>
      <c r="O226" s="6"/>
    </row>
    <row r="227" spans="2:15" x14ac:dyDescent="0.25">
      <c r="B227" s="32">
        <v>214</v>
      </c>
      <c r="C227" s="200"/>
      <c r="D227" s="200"/>
      <c r="E227" s="200"/>
      <c r="F227" s="200"/>
      <c r="G227" s="200"/>
      <c r="H227" s="200"/>
      <c r="I227" s="200"/>
      <c r="J227" s="1"/>
      <c r="K227" s="32"/>
      <c r="L227" s="32"/>
      <c r="M227" s="6"/>
      <c r="N227" s="6"/>
      <c r="O227" s="6"/>
    </row>
    <row r="228" spans="2:15" x14ac:dyDescent="0.25">
      <c r="B228" s="32">
        <v>215</v>
      </c>
      <c r="C228" s="200"/>
      <c r="D228" s="200"/>
      <c r="E228" s="200"/>
      <c r="F228" s="200"/>
      <c r="G228" s="200"/>
      <c r="H228" s="200"/>
      <c r="I228" s="200"/>
      <c r="J228" s="1"/>
      <c r="K228" s="32"/>
      <c r="L228" s="32"/>
      <c r="M228" s="6"/>
      <c r="N228" s="6"/>
      <c r="O228" s="6"/>
    </row>
    <row r="229" spans="2:15" x14ac:dyDescent="0.25">
      <c r="B229" s="32">
        <v>216</v>
      </c>
      <c r="C229" s="200"/>
      <c r="D229" s="200"/>
      <c r="E229" s="200"/>
      <c r="F229" s="200"/>
      <c r="G229" s="200"/>
      <c r="H229" s="200"/>
      <c r="I229" s="200"/>
      <c r="J229" s="1"/>
      <c r="K229" s="32"/>
      <c r="L229" s="32"/>
      <c r="M229" s="6"/>
      <c r="N229" s="6"/>
      <c r="O229" s="6"/>
    </row>
    <row r="230" spans="2:15" x14ac:dyDescent="0.25">
      <c r="B230" s="32">
        <v>217</v>
      </c>
      <c r="C230" s="200"/>
      <c r="D230" s="200"/>
      <c r="E230" s="200"/>
      <c r="F230" s="200"/>
      <c r="G230" s="200"/>
      <c r="H230" s="200"/>
      <c r="I230" s="200"/>
      <c r="J230" s="1"/>
      <c r="K230" s="32"/>
      <c r="L230" s="32"/>
      <c r="M230" s="6"/>
      <c r="N230" s="6"/>
      <c r="O230" s="6"/>
    </row>
    <row r="231" spans="2:15" x14ac:dyDescent="0.25">
      <c r="B231" s="32">
        <v>218</v>
      </c>
      <c r="C231" s="200"/>
      <c r="D231" s="200"/>
      <c r="E231" s="200"/>
      <c r="F231" s="200"/>
      <c r="G231" s="200"/>
      <c r="H231" s="200"/>
      <c r="I231" s="200"/>
      <c r="J231" s="1"/>
      <c r="K231" s="32"/>
      <c r="L231" s="32"/>
      <c r="M231" s="6"/>
      <c r="N231" s="6"/>
      <c r="O231" s="6"/>
    </row>
    <row r="232" spans="2:15" x14ac:dyDescent="0.25">
      <c r="B232" s="32">
        <v>219</v>
      </c>
      <c r="C232" s="200"/>
      <c r="D232" s="200"/>
      <c r="E232" s="200"/>
      <c r="F232" s="200"/>
      <c r="G232" s="200"/>
      <c r="H232" s="200"/>
      <c r="I232" s="200"/>
      <c r="J232" s="1"/>
      <c r="K232" s="32"/>
      <c r="L232" s="32"/>
      <c r="M232" s="6"/>
      <c r="N232" s="6"/>
      <c r="O232" s="6"/>
    </row>
    <row r="233" spans="2:15" x14ac:dyDescent="0.25">
      <c r="B233" s="32">
        <v>220</v>
      </c>
      <c r="C233" s="200"/>
      <c r="D233" s="200"/>
      <c r="E233" s="200"/>
      <c r="F233" s="200"/>
      <c r="G233" s="200"/>
      <c r="H233" s="200"/>
      <c r="I233" s="200"/>
      <c r="J233" s="1"/>
      <c r="K233" s="32"/>
      <c r="L233" s="32"/>
      <c r="M233" s="6"/>
      <c r="N233" s="6"/>
      <c r="O233" s="6"/>
    </row>
    <row r="234" spans="2:15" x14ac:dyDescent="0.25">
      <c r="B234" s="32">
        <v>221</v>
      </c>
      <c r="C234" s="200"/>
      <c r="D234" s="200"/>
      <c r="E234" s="200"/>
      <c r="F234" s="200"/>
      <c r="G234" s="200"/>
      <c r="H234" s="200"/>
      <c r="I234" s="200"/>
      <c r="J234" s="1"/>
      <c r="K234" s="32"/>
      <c r="L234" s="32"/>
      <c r="M234" s="6"/>
      <c r="N234" s="6"/>
      <c r="O234" s="6"/>
    </row>
    <row r="235" spans="2:15" x14ac:dyDescent="0.25">
      <c r="B235" s="32">
        <v>222</v>
      </c>
      <c r="C235" s="200"/>
      <c r="D235" s="200"/>
      <c r="E235" s="200"/>
      <c r="F235" s="200"/>
      <c r="G235" s="200"/>
      <c r="H235" s="200"/>
      <c r="I235" s="200"/>
      <c r="J235" s="1"/>
      <c r="K235" s="32"/>
      <c r="L235" s="32"/>
      <c r="M235" s="6"/>
      <c r="N235" s="6"/>
      <c r="O235" s="6"/>
    </row>
    <row r="236" spans="2:15" x14ac:dyDescent="0.25">
      <c r="B236" s="32">
        <v>223</v>
      </c>
      <c r="C236" s="200"/>
      <c r="D236" s="200"/>
      <c r="E236" s="200"/>
      <c r="F236" s="200"/>
      <c r="G236" s="200"/>
      <c r="H236" s="200"/>
      <c r="I236" s="200"/>
      <c r="J236" s="1"/>
      <c r="K236" s="32"/>
      <c r="L236" s="32"/>
      <c r="M236" s="6"/>
      <c r="N236" s="6"/>
      <c r="O236" s="6"/>
    </row>
    <row r="237" spans="2:15" x14ac:dyDescent="0.25">
      <c r="B237" s="32">
        <v>224</v>
      </c>
      <c r="C237" s="200"/>
      <c r="D237" s="200"/>
      <c r="E237" s="200"/>
      <c r="F237" s="200"/>
      <c r="G237" s="200"/>
      <c r="H237" s="200"/>
      <c r="I237" s="200"/>
      <c r="J237" s="1"/>
      <c r="K237" s="32"/>
      <c r="L237" s="32"/>
      <c r="M237" s="6"/>
      <c r="N237" s="6"/>
      <c r="O237" s="6"/>
    </row>
    <row r="238" spans="2:15" x14ac:dyDescent="0.25">
      <c r="B238" s="32">
        <v>225</v>
      </c>
      <c r="C238" s="200"/>
      <c r="D238" s="200"/>
      <c r="E238" s="200"/>
      <c r="F238" s="200"/>
      <c r="G238" s="200"/>
      <c r="H238" s="200"/>
      <c r="I238" s="200"/>
      <c r="J238" s="1"/>
      <c r="K238" s="32"/>
      <c r="L238" s="32"/>
      <c r="M238" s="6"/>
      <c r="N238" s="6"/>
      <c r="O238" s="6"/>
    </row>
    <row r="239" spans="2:15" x14ac:dyDescent="0.25">
      <c r="B239" s="32">
        <v>226</v>
      </c>
      <c r="C239" s="200"/>
      <c r="D239" s="200"/>
      <c r="E239" s="200"/>
      <c r="F239" s="200"/>
      <c r="G239" s="200"/>
      <c r="H239" s="200"/>
      <c r="I239" s="200"/>
      <c r="J239" s="1"/>
      <c r="K239" s="32"/>
      <c r="L239" s="32"/>
      <c r="M239" s="6"/>
      <c r="N239" s="6"/>
      <c r="O239" s="6"/>
    </row>
    <row r="240" spans="2:15" x14ac:dyDescent="0.25">
      <c r="B240" s="32">
        <v>227</v>
      </c>
      <c r="C240" s="200"/>
      <c r="D240" s="200"/>
      <c r="E240" s="200"/>
      <c r="F240" s="200"/>
      <c r="G240" s="200"/>
      <c r="H240" s="200"/>
      <c r="I240" s="200"/>
      <c r="J240" s="1"/>
      <c r="K240" s="32"/>
      <c r="L240" s="32"/>
      <c r="M240" s="6"/>
      <c r="N240" s="6"/>
      <c r="O240" s="6"/>
    </row>
    <row r="241" spans="2:15" x14ac:dyDescent="0.25">
      <c r="B241" s="32">
        <v>228</v>
      </c>
      <c r="C241" s="200"/>
      <c r="D241" s="200"/>
      <c r="E241" s="200"/>
      <c r="F241" s="200"/>
      <c r="G241" s="200"/>
      <c r="H241" s="200"/>
      <c r="I241" s="200"/>
      <c r="J241" s="1"/>
      <c r="K241" s="32"/>
      <c r="L241" s="32"/>
      <c r="M241" s="6"/>
      <c r="N241" s="6"/>
      <c r="O241" s="6"/>
    </row>
    <row r="242" spans="2:15" x14ac:dyDescent="0.25">
      <c r="B242" s="32">
        <v>229</v>
      </c>
      <c r="C242" s="200"/>
      <c r="D242" s="200"/>
      <c r="E242" s="200"/>
      <c r="F242" s="200"/>
      <c r="G242" s="200"/>
      <c r="H242" s="200"/>
      <c r="I242" s="200"/>
      <c r="J242" s="1"/>
      <c r="K242" s="32"/>
      <c r="L242" s="32"/>
      <c r="M242" s="6"/>
      <c r="N242" s="6"/>
      <c r="O242" s="6"/>
    </row>
    <row r="243" spans="2:15" x14ac:dyDescent="0.25">
      <c r="B243" s="32">
        <v>230</v>
      </c>
      <c r="C243" s="200"/>
      <c r="D243" s="200"/>
      <c r="E243" s="200"/>
      <c r="F243" s="200"/>
      <c r="G243" s="200"/>
      <c r="H243" s="200"/>
      <c r="I243" s="200"/>
      <c r="J243" s="1"/>
      <c r="K243" s="32"/>
      <c r="L243" s="32"/>
      <c r="M243" s="6"/>
      <c r="N243" s="6"/>
      <c r="O243" s="6"/>
    </row>
    <row r="244" spans="2:15" x14ac:dyDescent="0.25">
      <c r="B244" s="32">
        <v>231</v>
      </c>
      <c r="C244" s="200"/>
      <c r="D244" s="200"/>
      <c r="E244" s="200"/>
      <c r="F244" s="200"/>
      <c r="G244" s="200"/>
      <c r="H244" s="200"/>
      <c r="I244" s="200"/>
      <c r="J244" s="1"/>
      <c r="K244" s="32"/>
      <c r="L244" s="32"/>
      <c r="M244" s="6"/>
      <c r="N244" s="6"/>
      <c r="O244" s="6"/>
    </row>
    <row r="245" spans="2:15" x14ac:dyDescent="0.25">
      <c r="B245" s="32">
        <v>232</v>
      </c>
      <c r="C245" s="200"/>
      <c r="D245" s="200"/>
      <c r="E245" s="200"/>
      <c r="F245" s="200"/>
      <c r="G245" s="200"/>
      <c r="H245" s="200"/>
      <c r="I245" s="200"/>
      <c r="J245" s="1"/>
      <c r="K245" s="32"/>
      <c r="L245" s="32"/>
      <c r="M245" s="6"/>
      <c r="N245" s="6"/>
      <c r="O245" s="6"/>
    </row>
    <row r="246" spans="2:15" x14ac:dyDescent="0.25">
      <c r="B246" s="32">
        <v>233</v>
      </c>
      <c r="C246" s="200"/>
      <c r="D246" s="200"/>
      <c r="E246" s="200"/>
      <c r="F246" s="200"/>
      <c r="G246" s="200"/>
      <c r="H246" s="200"/>
      <c r="I246" s="200"/>
      <c r="J246" s="1"/>
      <c r="K246" s="32"/>
      <c r="L246" s="32"/>
      <c r="M246" s="6"/>
      <c r="N246" s="6"/>
      <c r="O246" s="6"/>
    </row>
    <row r="247" spans="2:15" x14ac:dyDescent="0.25">
      <c r="B247" s="32">
        <v>234</v>
      </c>
      <c r="C247" s="200"/>
      <c r="D247" s="200"/>
      <c r="E247" s="200"/>
      <c r="F247" s="200"/>
      <c r="G247" s="200"/>
      <c r="H247" s="200"/>
      <c r="I247" s="200"/>
      <c r="J247" s="1"/>
      <c r="K247" s="32"/>
      <c r="L247" s="32"/>
      <c r="M247" s="6"/>
      <c r="N247" s="6"/>
      <c r="O247" s="6"/>
    </row>
    <row r="248" spans="2:15" x14ac:dyDescent="0.25">
      <c r="B248" s="32">
        <v>235</v>
      </c>
      <c r="C248" s="200"/>
      <c r="D248" s="200"/>
      <c r="E248" s="200"/>
      <c r="F248" s="200"/>
      <c r="G248" s="200"/>
      <c r="H248" s="200"/>
      <c r="I248" s="200"/>
      <c r="J248" s="1"/>
      <c r="K248" s="32"/>
      <c r="L248" s="32"/>
      <c r="M248" s="6"/>
      <c r="N248" s="6"/>
      <c r="O248" s="6"/>
    </row>
    <row r="249" spans="2:15" x14ac:dyDescent="0.25">
      <c r="B249" s="32">
        <v>236</v>
      </c>
      <c r="C249" s="200"/>
      <c r="D249" s="200"/>
      <c r="E249" s="200"/>
      <c r="F249" s="200"/>
      <c r="G249" s="200"/>
      <c r="H249" s="200"/>
      <c r="I249" s="200"/>
      <c r="J249" s="1"/>
      <c r="K249" s="32"/>
      <c r="L249" s="32"/>
      <c r="M249" s="6"/>
      <c r="N249" s="6"/>
      <c r="O249" s="6"/>
    </row>
    <row r="250" spans="2:15" x14ac:dyDescent="0.25">
      <c r="B250" s="32">
        <v>237</v>
      </c>
      <c r="C250" s="200"/>
      <c r="D250" s="200"/>
      <c r="E250" s="200"/>
      <c r="F250" s="200"/>
      <c r="G250" s="200"/>
      <c r="H250" s="200"/>
      <c r="I250" s="200"/>
      <c r="J250" s="1"/>
      <c r="K250" s="32"/>
      <c r="L250" s="32"/>
      <c r="M250" s="6"/>
      <c r="N250" s="6"/>
      <c r="O250" s="6"/>
    </row>
    <row r="251" spans="2:15" x14ac:dyDescent="0.25">
      <c r="B251" s="32">
        <v>238</v>
      </c>
      <c r="C251" s="200"/>
      <c r="D251" s="200"/>
      <c r="E251" s="200"/>
      <c r="F251" s="200"/>
      <c r="G251" s="200"/>
      <c r="H251" s="200"/>
      <c r="I251" s="200"/>
      <c r="J251" s="1"/>
      <c r="K251" s="32"/>
      <c r="L251" s="32"/>
      <c r="M251" s="6"/>
      <c r="N251" s="6"/>
      <c r="O251" s="6"/>
    </row>
    <row r="252" spans="2:15" x14ac:dyDescent="0.25">
      <c r="B252" s="32">
        <v>239</v>
      </c>
      <c r="C252" s="200"/>
      <c r="D252" s="200"/>
      <c r="E252" s="200"/>
      <c r="F252" s="200"/>
      <c r="G252" s="200"/>
      <c r="H252" s="200"/>
      <c r="I252" s="200"/>
      <c r="J252" s="1"/>
      <c r="K252" s="32"/>
      <c r="L252" s="32"/>
      <c r="M252" s="6"/>
      <c r="N252" s="6"/>
      <c r="O252" s="6"/>
    </row>
    <row r="253" spans="2:15" x14ac:dyDescent="0.25">
      <c r="B253" s="32">
        <v>240</v>
      </c>
      <c r="C253" s="200"/>
      <c r="D253" s="200"/>
      <c r="E253" s="200"/>
      <c r="F253" s="200"/>
      <c r="G253" s="200"/>
      <c r="H253" s="200"/>
      <c r="I253" s="200"/>
      <c r="J253" s="1"/>
      <c r="K253" s="32"/>
      <c r="L253" s="32"/>
      <c r="M253" s="6"/>
      <c r="N253" s="6"/>
      <c r="O253" s="6"/>
    </row>
    <row r="254" spans="2:15" x14ac:dyDescent="0.25">
      <c r="B254" s="32">
        <v>241</v>
      </c>
      <c r="C254" s="200"/>
      <c r="D254" s="200"/>
      <c r="E254" s="200"/>
      <c r="F254" s="200"/>
      <c r="G254" s="200"/>
      <c r="H254" s="200"/>
      <c r="I254" s="200"/>
      <c r="J254" s="1"/>
      <c r="K254" s="32"/>
      <c r="L254" s="32"/>
      <c r="M254" s="6"/>
      <c r="N254" s="6"/>
      <c r="O254" s="6"/>
    </row>
    <row r="255" spans="2:15" x14ac:dyDescent="0.25">
      <c r="B255" s="32">
        <v>242</v>
      </c>
      <c r="C255" s="200"/>
      <c r="D255" s="200"/>
      <c r="E255" s="200"/>
      <c r="F255" s="200"/>
      <c r="G255" s="200"/>
      <c r="H255" s="200"/>
      <c r="I255" s="200"/>
      <c r="J255" s="1"/>
      <c r="K255" s="32"/>
      <c r="L255" s="32"/>
      <c r="M255" s="6"/>
      <c r="N255" s="6"/>
      <c r="O255" s="6"/>
    </row>
    <row r="256" spans="2:15" x14ac:dyDescent="0.25">
      <c r="B256" s="32">
        <v>243</v>
      </c>
      <c r="C256" s="200"/>
      <c r="D256" s="200"/>
      <c r="E256" s="200"/>
      <c r="F256" s="200"/>
      <c r="G256" s="200"/>
      <c r="H256" s="200"/>
      <c r="I256" s="200"/>
      <c r="J256" s="1"/>
      <c r="K256" s="32"/>
      <c r="L256" s="32"/>
      <c r="M256" s="6"/>
      <c r="N256" s="6"/>
      <c r="O256" s="6"/>
    </row>
    <row r="257" spans="2:15" x14ac:dyDescent="0.25">
      <c r="B257" s="32">
        <v>244</v>
      </c>
      <c r="C257" s="200"/>
      <c r="D257" s="200"/>
      <c r="E257" s="200"/>
      <c r="F257" s="200"/>
      <c r="G257" s="200"/>
      <c r="H257" s="200"/>
      <c r="I257" s="200"/>
      <c r="J257" s="1"/>
      <c r="K257" s="32"/>
      <c r="L257" s="32"/>
      <c r="M257" s="6"/>
      <c r="N257" s="6"/>
      <c r="O257" s="6"/>
    </row>
    <row r="258" spans="2:15" x14ac:dyDescent="0.25">
      <c r="B258" s="32">
        <v>245</v>
      </c>
      <c r="C258" s="200"/>
      <c r="D258" s="200"/>
      <c r="E258" s="200"/>
      <c r="F258" s="200"/>
      <c r="G258" s="200"/>
      <c r="H258" s="200"/>
      <c r="I258" s="200"/>
      <c r="J258" s="1"/>
      <c r="K258" s="32"/>
      <c r="L258" s="32"/>
      <c r="M258" s="6"/>
      <c r="N258" s="6"/>
      <c r="O258" s="6"/>
    </row>
    <row r="259" spans="2:15" x14ac:dyDescent="0.25">
      <c r="B259" s="32">
        <v>246</v>
      </c>
      <c r="C259" s="200"/>
      <c r="D259" s="200"/>
      <c r="E259" s="200"/>
      <c r="F259" s="200"/>
      <c r="G259" s="200"/>
      <c r="H259" s="200"/>
      <c r="I259" s="200"/>
      <c r="J259" s="1"/>
      <c r="K259" s="32"/>
      <c r="L259" s="32"/>
      <c r="M259" s="6"/>
      <c r="N259" s="6"/>
      <c r="O259" s="6"/>
    </row>
    <row r="260" spans="2:15" x14ac:dyDescent="0.25">
      <c r="B260" s="32">
        <v>247</v>
      </c>
      <c r="C260" s="200"/>
      <c r="D260" s="200"/>
      <c r="E260" s="200"/>
      <c r="F260" s="200"/>
      <c r="G260" s="200"/>
      <c r="H260" s="200"/>
      <c r="I260" s="200"/>
      <c r="J260" s="1"/>
      <c r="K260" s="32"/>
      <c r="L260" s="32"/>
      <c r="M260" s="6"/>
      <c r="N260" s="6"/>
      <c r="O260" s="6"/>
    </row>
    <row r="261" spans="2:15" x14ac:dyDescent="0.25">
      <c r="B261" s="32">
        <v>248</v>
      </c>
      <c r="C261" s="200"/>
      <c r="D261" s="200"/>
      <c r="E261" s="200"/>
      <c r="F261" s="200"/>
      <c r="G261" s="200"/>
      <c r="H261" s="200"/>
      <c r="I261" s="200"/>
      <c r="J261" s="1"/>
      <c r="K261" s="32"/>
      <c r="L261" s="32"/>
      <c r="M261" s="6"/>
      <c r="N261" s="6"/>
      <c r="O261" s="6"/>
    </row>
    <row r="262" spans="2:15" x14ac:dyDescent="0.25">
      <c r="B262" s="32">
        <v>249</v>
      </c>
      <c r="C262" s="200"/>
      <c r="D262" s="200"/>
      <c r="E262" s="200"/>
      <c r="F262" s="200"/>
      <c r="G262" s="200"/>
      <c r="H262" s="200"/>
      <c r="I262" s="200"/>
      <c r="J262" s="1"/>
      <c r="K262" s="32"/>
      <c r="L262" s="32"/>
      <c r="M262" s="6"/>
      <c r="N262" s="6"/>
      <c r="O262" s="6"/>
    </row>
    <row r="263" spans="2:15" x14ac:dyDescent="0.25">
      <c r="B263" s="32">
        <v>250</v>
      </c>
      <c r="C263" s="200"/>
      <c r="D263" s="200"/>
      <c r="E263" s="200"/>
      <c r="F263" s="200"/>
      <c r="G263" s="200"/>
      <c r="H263" s="200"/>
      <c r="I263" s="200"/>
      <c r="J263" s="1"/>
      <c r="K263" s="32"/>
      <c r="L263" s="32"/>
      <c r="M263" s="6"/>
      <c r="N263" s="6"/>
      <c r="O263" s="6"/>
    </row>
    <row r="264" spans="2:15" x14ac:dyDescent="0.25">
      <c r="B264" s="32">
        <v>251</v>
      </c>
      <c r="C264" s="200"/>
      <c r="D264" s="200"/>
      <c r="E264" s="200"/>
      <c r="F264" s="200"/>
      <c r="G264" s="200"/>
      <c r="H264" s="200"/>
      <c r="I264" s="200"/>
      <c r="J264" s="1"/>
      <c r="K264" s="32"/>
      <c r="L264" s="32"/>
      <c r="M264" s="6"/>
      <c r="N264" s="6"/>
      <c r="O264" s="6"/>
    </row>
    <row r="265" spans="2:15" x14ac:dyDescent="0.25">
      <c r="B265" s="32">
        <v>252</v>
      </c>
      <c r="C265" s="200"/>
      <c r="D265" s="200"/>
      <c r="E265" s="200"/>
      <c r="F265" s="200"/>
      <c r="G265" s="200"/>
      <c r="H265" s="200"/>
      <c r="I265" s="200"/>
      <c r="J265" s="1"/>
      <c r="K265" s="32"/>
      <c r="L265" s="32"/>
      <c r="M265" s="6"/>
      <c r="N265" s="6"/>
      <c r="O265" s="6"/>
    </row>
    <row r="266" spans="2:15" x14ac:dyDescent="0.25">
      <c r="B266" s="32">
        <v>253</v>
      </c>
      <c r="C266" s="200"/>
      <c r="D266" s="200"/>
      <c r="E266" s="200"/>
      <c r="F266" s="200"/>
      <c r="G266" s="200"/>
      <c r="H266" s="200"/>
      <c r="I266" s="200"/>
      <c r="J266" s="1"/>
      <c r="K266" s="32"/>
      <c r="L266" s="32"/>
      <c r="M266" s="6"/>
      <c r="N266" s="6"/>
      <c r="O266" s="6"/>
    </row>
    <row r="267" spans="2:15" x14ac:dyDescent="0.25">
      <c r="B267" s="32">
        <v>254</v>
      </c>
      <c r="C267" s="200"/>
      <c r="D267" s="200"/>
      <c r="E267" s="200"/>
      <c r="F267" s="200"/>
      <c r="G267" s="200"/>
      <c r="H267" s="200"/>
      <c r="I267" s="200"/>
      <c r="J267" s="1"/>
      <c r="K267" s="32"/>
      <c r="L267" s="32"/>
      <c r="M267" s="6"/>
      <c r="N267" s="6"/>
      <c r="O267" s="6"/>
    </row>
    <row r="268" spans="2:15" x14ac:dyDescent="0.25">
      <c r="B268" s="32">
        <v>255</v>
      </c>
      <c r="C268" s="200"/>
      <c r="D268" s="200"/>
      <c r="E268" s="200"/>
      <c r="F268" s="200"/>
      <c r="G268" s="200"/>
      <c r="H268" s="200"/>
      <c r="I268" s="200"/>
      <c r="J268" s="1"/>
      <c r="K268" s="32"/>
      <c r="L268" s="32"/>
      <c r="M268" s="6"/>
      <c r="N268" s="6"/>
      <c r="O268" s="6"/>
    </row>
    <row r="269" spans="2:15" x14ac:dyDescent="0.25">
      <c r="B269" s="32">
        <v>256</v>
      </c>
      <c r="C269" s="200"/>
      <c r="D269" s="200"/>
      <c r="E269" s="200"/>
      <c r="F269" s="200"/>
      <c r="G269" s="200"/>
      <c r="H269" s="200"/>
      <c r="I269" s="200"/>
      <c r="J269" s="1"/>
      <c r="K269" s="32"/>
      <c r="L269" s="32"/>
      <c r="M269" s="6"/>
      <c r="N269" s="6"/>
      <c r="O269" s="6"/>
    </row>
    <row r="270" spans="2:15" x14ac:dyDescent="0.25">
      <c r="B270" s="32">
        <v>257</v>
      </c>
      <c r="C270" s="200"/>
      <c r="D270" s="200"/>
      <c r="E270" s="200"/>
      <c r="F270" s="200"/>
      <c r="G270" s="200"/>
      <c r="H270" s="200"/>
      <c r="I270" s="200"/>
      <c r="J270" s="1"/>
      <c r="K270" s="32"/>
      <c r="L270" s="32"/>
      <c r="M270" s="6"/>
      <c r="N270" s="6"/>
      <c r="O270" s="6"/>
    </row>
    <row r="271" spans="2:15" x14ac:dyDescent="0.25">
      <c r="B271" s="32">
        <v>258</v>
      </c>
      <c r="C271" s="200"/>
      <c r="D271" s="200"/>
      <c r="E271" s="200"/>
      <c r="F271" s="200"/>
      <c r="G271" s="200"/>
      <c r="H271" s="200"/>
      <c r="I271" s="200"/>
      <c r="J271" s="1"/>
      <c r="K271" s="32"/>
      <c r="L271" s="32"/>
      <c r="M271" s="6"/>
      <c r="N271" s="6"/>
      <c r="O271" s="6"/>
    </row>
    <row r="272" spans="2:15" x14ac:dyDescent="0.25">
      <c r="B272" s="32">
        <v>259</v>
      </c>
      <c r="C272" s="200"/>
      <c r="D272" s="200"/>
      <c r="E272" s="200"/>
      <c r="F272" s="200"/>
      <c r="G272" s="200"/>
      <c r="H272" s="200"/>
      <c r="I272" s="200"/>
      <c r="J272" s="1"/>
      <c r="K272" s="32"/>
      <c r="L272" s="32"/>
      <c r="M272" s="6"/>
      <c r="N272" s="6"/>
      <c r="O272" s="6"/>
    </row>
    <row r="273" spans="2:15" x14ac:dyDescent="0.25">
      <c r="B273" s="32">
        <v>260</v>
      </c>
      <c r="C273" s="200"/>
      <c r="D273" s="200"/>
      <c r="E273" s="200"/>
      <c r="F273" s="200"/>
      <c r="G273" s="200"/>
      <c r="H273" s="200"/>
      <c r="I273" s="200"/>
      <c r="J273" s="1"/>
      <c r="K273" s="32"/>
      <c r="L273" s="32"/>
      <c r="M273" s="6"/>
      <c r="N273" s="6"/>
      <c r="O273" s="6"/>
    </row>
    <row r="274" spans="2:15" x14ac:dyDescent="0.25">
      <c r="B274" s="32">
        <v>261</v>
      </c>
      <c r="C274" s="200"/>
      <c r="D274" s="200"/>
      <c r="E274" s="200"/>
      <c r="F274" s="200"/>
      <c r="G274" s="200"/>
      <c r="H274" s="200"/>
      <c r="I274" s="200"/>
      <c r="J274" s="1"/>
      <c r="K274" s="32"/>
      <c r="L274" s="32"/>
      <c r="M274" s="6"/>
      <c r="N274" s="6"/>
      <c r="O274" s="6"/>
    </row>
    <row r="275" spans="2:15" x14ac:dyDescent="0.25">
      <c r="B275" s="32">
        <v>262</v>
      </c>
      <c r="C275" s="200"/>
      <c r="D275" s="200"/>
      <c r="E275" s="200"/>
      <c r="F275" s="200"/>
      <c r="G275" s="200"/>
      <c r="H275" s="200"/>
      <c r="I275" s="200"/>
      <c r="J275" s="1"/>
      <c r="K275" s="32"/>
      <c r="L275" s="32"/>
      <c r="M275" s="6"/>
      <c r="N275" s="6"/>
      <c r="O275" s="6"/>
    </row>
    <row r="276" spans="2:15" x14ac:dyDescent="0.25">
      <c r="B276" s="32">
        <v>263</v>
      </c>
      <c r="C276" s="200"/>
      <c r="D276" s="200"/>
      <c r="E276" s="200"/>
      <c r="F276" s="200"/>
      <c r="G276" s="200"/>
      <c r="H276" s="200"/>
      <c r="I276" s="200"/>
      <c r="J276" s="1"/>
      <c r="K276" s="32"/>
      <c r="L276" s="32"/>
      <c r="M276" s="6"/>
      <c r="N276" s="6"/>
      <c r="O276" s="6"/>
    </row>
    <row r="277" spans="2:15" x14ac:dyDescent="0.25">
      <c r="B277" s="32">
        <v>264</v>
      </c>
      <c r="C277" s="200"/>
      <c r="D277" s="200"/>
      <c r="E277" s="200"/>
      <c r="F277" s="200"/>
      <c r="G277" s="200"/>
      <c r="H277" s="200"/>
      <c r="I277" s="200"/>
      <c r="J277" s="1"/>
      <c r="K277" s="32"/>
      <c r="L277" s="32"/>
      <c r="M277" s="6"/>
      <c r="N277" s="6"/>
      <c r="O277" s="6"/>
    </row>
    <row r="278" spans="2:15" x14ac:dyDescent="0.25">
      <c r="B278" s="32">
        <v>265</v>
      </c>
      <c r="C278" s="200"/>
      <c r="D278" s="200"/>
      <c r="E278" s="200"/>
      <c r="F278" s="200"/>
      <c r="G278" s="200"/>
      <c r="H278" s="200"/>
      <c r="I278" s="200"/>
      <c r="J278" s="1"/>
      <c r="K278" s="32"/>
      <c r="L278" s="32"/>
      <c r="M278" s="6"/>
      <c r="N278" s="6"/>
      <c r="O278" s="6"/>
    </row>
    <row r="279" spans="2:15" x14ac:dyDescent="0.25">
      <c r="B279" s="32">
        <v>266</v>
      </c>
      <c r="C279" s="200"/>
      <c r="D279" s="200"/>
      <c r="E279" s="200"/>
      <c r="F279" s="200"/>
      <c r="G279" s="200"/>
      <c r="H279" s="200"/>
      <c r="I279" s="200"/>
      <c r="J279" s="1"/>
      <c r="K279" s="32"/>
      <c r="L279" s="32"/>
      <c r="M279" s="6"/>
      <c r="N279" s="6"/>
      <c r="O279" s="6"/>
    </row>
    <row r="280" spans="2:15" x14ac:dyDescent="0.25">
      <c r="B280" s="32">
        <v>267</v>
      </c>
      <c r="C280" s="200"/>
      <c r="D280" s="200"/>
      <c r="E280" s="200"/>
      <c r="F280" s="200"/>
      <c r="G280" s="200"/>
      <c r="H280" s="200"/>
      <c r="I280" s="200"/>
      <c r="J280" s="1"/>
      <c r="K280" s="32"/>
      <c r="L280" s="32"/>
      <c r="M280" s="6"/>
      <c r="N280" s="6"/>
      <c r="O280" s="6"/>
    </row>
    <row r="281" spans="2:15" x14ac:dyDescent="0.25">
      <c r="B281" s="32">
        <v>268</v>
      </c>
      <c r="C281" s="200"/>
      <c r="D281" s="200"/>
      <c r="E281" s="200"/>
      <c r="F281" s="200"/>
      <c r="G281" s="200"/>
      <c r="H281" s="200"/>
      <c r="I281" s="200"/>
      <c r="J281" s="1"/>
      <c r="K281" s="32"/>
      <c r="L281" s="32"/>
      <c r="M281" s="6"/>
      <c r="N281" s="6"/>
      <c r="O281" s="6"/>
    </row>
    <row r="282" spans="2:15" x14ac:dyDescent="0.25">
      <c r="B282" s="32">
        <v>269</v>
      </c>
      <c r="C282" s="200"/>
      <c r="D282" s="200"/>
      <c r="E282" s="200"/>
      <c r="F282" s="200"/>
      <c r="G282" s="200"/>
      <c r="H282" s="200"/>
      <c r="I282" s="200"/>
      <c r="J282" s="1"/>
      <c r="K282" s="32"/>
      <c r="L282" s="32"/>
      <c r="M282" s="6"/>
      <c r="N282" s="6"/>
      <c r="O282" s="6"/>
    </row>
    <row r="283" spans="2:15" x14ac:dyDescent="0.25">
      <c r="B283" s="32">
        <v>270</v>
      </c>
      <c r="C283" s="200"/>
      <c r="D283" s="200"/>
      <c r="E283" s="200"/>
      <c r="F283" s="200"/>
      <c r="G283" s="200"/>
      <c r="H283" s="200"/>
      <c r="I283" s="200"/>
      <c r="J283" s="1"/>
      <c r="K283" s="32"/>
      <c r="L283" s="32"/>
      <c r="M283" s="6"/>
      <c r="N283" s="6"/>
      <c r="O283" s="6"/>
    </row>
    <row r="284" spans="2:15" x14ac:dyDescent="0.25">
      <c r="B284" s="32">
        <v>271</v>
      </c>
      <c r="C284" s="200"/>
      <c r="D284" s="200"/>
      <c r="E284" s="200"/>
      <c r="F284" s="200"/>
      <c r="G284" s="200"/>
      <c r="H284" s="200"/>
      <c r="I284" s="200"/>
      <c r="J284" s="1"/>
      <c r="K284" s="32"/>
      <c r="L284" s="32"/>
      <c r="M284" s="6"/>
      <c r="N284" s="6"/>
      <c r="O284" s="6"/>
    </row>
    <row r="285" spans="2:15" x14ac:dyDescent="0.25">
      <c r="B285" s="32">
        <v>272</v>
      </c>
      <c r="C285" s="200"/>
      <c r="D285" s="200"/>
      <c r="E285" s="200"/>
      <c r="F285" s="200"/>
      <c r="G285" s="200"/>
      <c r="H285" s="200"/>
      <c r="I285" s="200"/>
      <c r="J285" s="1"/>
      <c r="K285" s="32"/>
      <c r="L285" s="32"/>
      <c r="M285" s="6"/>
      <c r="N285" s="6"/>
      <c r="O285" s="6"/>
    </row>
    <row r="286" spans="2:15" x14ac:dyDescent="0.25">
      <c r="B286" s="32">
        <v>273</v>
      </c>
      <c r="C286" s="200"/>
      <c r="D286" s="200"/>
      <c r="E286" s="200"/>
      <c r="F286" s="200"/>
      <c r="G286" s="200"/>
      <c r="H286" s="200"/>
      <c r="I286" s="200"/>
      <c r="J286" s="1"/>
      <c r="K286" s="32"/>
      <c r="L286" s="32"/>
      <c r="M286" s="6"/>
      <c r="N286" s="6"/>
      <c r="O286" s="6"/>
    </row>
    <row r="287" spans="2:15" x14ac:dyDescent="0.25">
      <c r="B287" s="32">
        <v>274</v>
      </c>
      <c r="C287" s="200"/>
      <c r="D287" s="200"/>
      <c r="E287" s="200"/>
      <c r="F287" s="200"/>
      <c r="G287" s="200"/>
      <c r="H287" s="200"/>
      <c r="I287" s="200"/>
      <c r="J287" s="1"/>
      <c r="K287" s="32"/>
      <c r="L287" s="32"/>
      <c r="M287" s="6"/>
      <c r="N287" s="6"/>
      <c r="O287" s="6"/>
    </row>
    <row r="288" spans="2:15" x14ac:dyDescent="0.25">
      <c r="B288" s="32">
        <v>275</v>
      </c>
      <c r="C288" s="200"/>
      <c r="D288" s="200"/>
      <c r="E288" s="200"/>
      <c r="F288" s="200"/>
      <c r="G288" s="200"/>
      <c r="H288" s="200"/>
      <c r="I288" s="200"/>
      <c r="J288" s="1"/>
      <c r="K288" s="32"/>
      <c r="L288" s="32"/>
      <c r="M288" s="6"/>
      <c r="N288" s="6"/>
      <c r="O288" s="6"/>
    </row>
    <row r="289" spans="2:15" x14ac:dyDescent="0.25">
      <c r="B289" s="32">
        <v>276</v>
      </c>
      <c r="C289" s="200"/>
      <c r="D289" s="200"/>
      <c r="E289" s="200"/>
      <c r="F289" s="200"/>
      <c r="G289" s="200"/>
      <c r="H289" s="200"/>
      <c r="I289" s="200"/>
      <c r="J289" s="1"/>
      <c r="K289" s="32"/>
      <c r="L289" s="32"/>
      <c r="M289" s="6"/>
      <c r="N289" s="6"/>
      <c r="O289" s="6"/>
    </row>
    <row r="290" spans="2:15" x14ac:dyDescent="0.25">
      <c r="B290" s="32">
        <v>277</v>
      </c>
      <c r="C290" s="200"/>
      <c r="D290" s="200"/>
      <c r="E290" s="200"/>
      <c r="F290" s="200"/>
      <c r="G290" s="200"/>
      <c r="H290" s="200"/>
      <c r="I290" s="200"/>
      <c r="J290" s="1"/>
      <c r="K290" s="32"/>
      <c r="L290" s="32"/>
      <c r="M290" s="6"/>
      <c r="N290" s="6"/>
      <c r="O290" s="6"/>
    </row>
    <row r="291" spans="2:15" x14ac:dyDescent="0.25">
      <c r="B291" s="32">
        <v>278</v>
      </c>
      <c r="C291" s="200"/>
      <c r="D291" s="200"/>
      <c r="E291" s="200"/>
      <c r="F291" s="200"/>
      <c r="G291" s="200"/>
      <c r="H291" s="200"/>
      <c r="I291" s="200"/>
      <c r="J291" s="1"/>
      <c r="K291" s="32"/>
      <c r="L291" s="32"/>
      <c r="M291" s="6"/>
      <c r="N291" s="6"/>
      <c r="O291" s="6"/>
    </row>
    <row r="292" spans="2:15" x14ac:dyDescent="0.25">
      <c r="B292" s="32">
        <v>279</v>
      </c>
      <c r="C292" s="200"/>
      <c r="D292" s="200"/>
      <c r="E292" s="200"/>
      <c r="F292" s="200"/>
      <c r="G292" s="200"/>
      <c r="H292" s="200"/>
      <c r="I292" s="200"/>
      <c r="J292" s="1"/>
      <c r="K292" s="32"/>
      <c r="L292" s="32"/>
      <c r="M292" s="6"/>
      <c r="N292" s="6"/>
      <c r="O292" s="6"/>
    </row>
    <row r="293" spans="2:15" x14ac:dyDescent="0.25">
      <c r="B293" s="32">
        <v>280</v>
      </c>
      <c r="C293" s="200"/>
      <c r="D293" s="200"/>
      <c r="E293" s="200"/>
      <c r="F293" s="200"/>
      <c r="G293" s="200"/>
      <c r="H293" s="200"/>
      <c r="I293" s="200"/>
      <c r="J293" s="1"/>
      <c r="K293" s="32"/>
      <c r="L293" s="32"/>
      <c r="M293" s="6"/>
      <c r="N293" s="6"/>
      <c r="O293" s="6"/>
    </row>
    <row r="294" spans="2:15" x14ac:dyDescent="0.25">
      <c r="B294" s="32">
        <v>281</v>
      </c>
      <c r="C294" s="200"/>
      <c r="D294" s="200"/>
      <c r="E294" s="200"/>
      <c r="F294" s="200"/>
      <c r="G294" s="200"/>
      <c r="H294" s="200"/>
      <c r="I294" s="200"/>
      <c r="J294" s="1"/>
      <c r="K294" s="32"/>
      <c r="L294" s="32"/>
      <c r="M294" s="6"/>
      <c r="N294" s="6"/>
      <c r="O294" s="6"/>
    </row>
    <row r="295" spans="2:15" x14ac:dyDescent="0.25">
      <c r="B295" s="32">
        <v>282</v>
      </c>
      <c r="C295" s="200"/>
      <c r="D295" s="200"/>
      <c r="E295" s="200"/>
      <c r="F295" s="200"/>
      <c r="G295" s="200"/>
      <c r="H295" s="200"/>
      <c r="I295" s="200"/>
      <c r="J295" s="1"/>
      <c r="K295" s="32"/>
      <c r="L295" s="32"/>
      <c r="M295" s="6"/>
      <c r="N295" s="6"/>
      <c r="O295" s="6"/>
    </row>
    <row r="296" spans="2:15" x14ac:dyDescent="0.25">
      <c r="B296" s="32">
        <v>283</v>
      </c>
      <c r="C296" s="200"/>
      <c r="D296" s="200"/>
      <c r="E296" s="200"/>
      <c r="F296" s="200"/>
      <c r="G296" s="200"/>
      <c r="H296" s="200"/>
      <c r="I296" s="200"/>
      <c r="J296" s="1"/>
      <c r="K296" s="32"/>
      <c r="L296" s="32"/>
      <c r="M296" s="6"/>
      <c r="N296" s="6"/>
      <c r="O296" s="6"/>
    </row>
    <row r="297" spans="2:15" x14ac:dyDescent="0.25">
      <c r="B297" s="32">
        <v>284</v>
      </c>
      <c r="C297" s="200"/>
      <c r="D297" s="200"/>
      <c r="E297" s="200"/>
      <c r="F297" s="200"/>
      <c r="G297" s="200"/>
      <c r="H297" s="200"/>
      <c r="I297" s="200"/>
      <c r="J297" s="1"/>
      <c r="K297" s="32"/>
      <c r="L297" s="32"/>
      <c r="M297" s="6"/>
      <c r="N297" s="6"/>
      <c r="O297" s="6"/>
    </row>
    <row r="298" spans="2:15" x14ac:dyDescent="0.25">
      <c r="B298" s="32">
        <v>285</v>
      </c>
      <c r="C298" s="200"/>
      <c r="D298" s="200"/>
      <c r="E298" s="200"/>
      <c r="F298" s="200"/>
      <c r="G298" s="200"/>
      <c r="H298" s="200"/>
      <c r="I298" s="200"/>
      <c r="J298" s="1"/>
      <c r="K298" s="32"/>
      <c r="L298" s="32"/>
      <c r="M298" s="6"/>
      <c r="N298" s="6"/>
      <c r="O298" s="6"/>
    </row>
    <row r="299" spans="2:15" x14ac:dyDescent="0.25">
      <c r="B299" s="32">
        <v>286</v>
      </c>
      <c r="C299" s="200"/>
      <c r="D299" s="200"/>
      <c r="E299" s="200"/>
      <c r="F299" s="200"/>
      <c r="G299" s="200"/>
      <c r="H299" s="200"/>
      <c r="I299" s="200"/>
      <c r="J299" s="1"/>
      <c r="K299" s="32"/>
      <c r="L299" s="32"/>
      <c r="M299" s="6"/>
      <c r="N299" s="6"/>
      <c r="O299" s="6"/>
    </row>
    <row r="300" spans="2:15" x14ac:dyDescent="0.25">
      <c r="B300" s="32">
        <v>287</v>
      </c>
      <c r="C300" s="200"/>
      <c r="D300" s="200"/>
      <c r="E300" s="200"/>
      <c r="F300" s="200"/>
      <c r="G300" s="200"/>
      <c r="H300" s="200"/>
      <c r="I300" s="200"/>
      <c r="J300" s="1"/>
      <c r="K300" s="32"/>
      <c r="L300" s="32"/>
      <c r="M300" s="6"/>
      <c r="N300" s="6"/>
      <c r="O300" s="6"/>
    </row>
    <row r="301" spans="2:15" x14ac:dyDescent="0.25">
      <c r="B301" s="32">
        <v>288</v>
      </c>
      <c r="C301" s="200"/>
      <c r="D301" s="200"/>
      <c r="E301" s="200"/>
      <c r="F301" s="200"/>
      <c r="G301" s="200"/>
      <c r="H301" s="200"/>
      <c r="I301" s="200"/>
      <c r="J301" s="1"/>
      <c r="K301" s="32"/>
      <c r="L301" s="32"/>
      <c r="M301" s="6"/>
      <c r="N301" s="6"/>
      <c r="O301" s="6"/>
    </row>
    <row r="302" spans="2:15" x14ac:dyDescent="0.25">
      <c r="B302" s="32">
        <v>289</v>
      </c>
      <c r="C302" s="200"/>
      <c r="D302" s="200"/>
      <c r="E302" s="200"/>
      <c r="F302" s="200"/>
      <c r="G302" s="200"/>
      <c r="H302" s="200"/>
      <c r="I302" s="200"/>
      <c r="J302" s="1"/>
      <c r="K302" s="32"/>
      <c r="L302" s="32"/>
      <c r="M302" s="6"/>
      <c r="N302" s="6"/>
      <c r="O302" s="6"/>
    </row>
    <row r="303" spans="2:15" x14ac:dyDescent="0.25">
      <c r="B303" s="32">
        <v>290</v>
      </c>
      <c r="C303" s="200"/>
      <c r="D303" s="200"/>
      <c r="E303" s="200"/>
      <c r="F303" s="200"/>
      <c r="G303" s="200"/>
      <c r="H303" s="200"/>
      <c r="I303" s="200"/>
      <c r="J303" s="1"/>
      <c r="K303" s="32"/>
      <c r="L303" s="32"/>
      <c r="M303" s="6"/>
      <c r="N303" s="6"/>
      <c r="O303" s="6"/>
    </row>
    <row r="304" spans="2:15" x14ac:dyDescent="0.25">
      <c r="B304" s="32">
        <v>291</v>
      </c>
      <c r="C304" s="200"/>
      <c r="D304" s="200"/>
      <c r="E304" s="200"/>
      <c r="F304" s="200"/>
      <c r="G304" s="200"/>
      <c r="H304" s="200"/>
      <c r="I304" s="200"/>
      <c r="J304" s="1"/>
      <c r="K304" s="32"/>
      <c r="L304" s="32"/>
      <c r="M304" s="6"/>
      <c r="N304" s="6"/>
      <c r="O304" s="6"/>
    </row>
    <row r="305" spans="2:15" x14ac:dyDescent="0.25">
      <c r="B305" s="32">
        <v>292</v>
      </c>
      <c r="C305" s="200"/>
      <c r="D305" s="200"/>
      <c r="E305" s="200"/>
      <c r="F305" s="200"/>
      <c r="G305" s="200"/>
      <c r="H305" s="200"/>
      <c r="I305" s="200"/>
      <c r="J305" s="1"/>
      <c r="K305" s="32"/>
      <c r="L305" s="32"/>
      <c r="M305" s="6"/>
      <c r="N305" s="6"/>
      <c r="O305" s="6"/>
    </row>
    <row r="306" spans="2:15" x14ac:dyDescent="0.25">
      <c r="B306" s="32">
        <v>293</v>
      </c>
      <c r="C306" s="200"/>
      <c r="D306" s="200"/>
      <c r="E306" s="200"/>
      <c r="F306" s="200"/>
      <c r="G306" s="200"/>
      <c r="H306" s="200"/>
      <c r="I306" s="200"/>
      <c r="J306" s="1"/>
      <c r="K306" s="32"/>
      <c r="L306" s="32"/>
      <c r="M306" s="6"/>
      <c r="N306" s="6"/>
      <c r="O306" s="6"/>
    </row>
    <row r="307" spans="2:15" x14ac:dyDescent="0.25">
      <c r="B307" s="32">
        <v>294</v>
      </c>
      <c r="C307" s="200"/>
      <c r="D307" s="200"/>
      <c r="E307" s="200"/>
      <c r="F307" s="200"/>
      <c r="G307" s="200"/>
      <c r="H307" s="200"/>
      <c r="I307" s="200"/>
      <c r="J307" s="1"/>
      <c r="K307" s="32"/>
      <c r="L307" s="32"/>
      <c r="M307" s="6"/>
      <c r="N307" s="6"/>
      <c r="O307" s="6"/>
    </row>
    <row r="308" spans="2:15" x14ac:dyDescent="0.25">
      <c r="B308" s="32">
        <v>295</v>
      </c>
      <c r="C308" s="200"/>
      <c r="D308" s="200"/>
      <c r="E308" s="200"/>
      <c r="F308" s="200"/>
      <c r="G308" s="200"/>
      <c r="H308" s="200"/>
      <c r="I308" s="200"/>
      <c r="J308" s="1"/>
      <c r="K308" s="32"/>
      <c r="L308" s="32"/>
      <c r="M308" s="6"/>
      <c r="N308" s="6"/>
      <c r="O308" s="6"/>
    </row>
    <row r="309" spans="2:15" x14ac:dyDescent="0.25">
      <c r="B309" s="32">
        <v>296</v>
      </c>
      <c r="C309" s="200"/>
      <c r="D309" s="200"/>
      <c r="E309" s="200"/>
      <c r="F309" s="200"/>
      <c r="G309" s="200"/>
      <c r="H309" s="200"/>
      <c r="I309" s="200"/>
      <c r="J309" s="1"/>
      <c r="K309" s="32"/>
      <c r="L309" s="32"/>
      <c r="M309" s="6"/>
      <c r="N309" s="6"/>
      <c r="O309" s="6"/>
    </row>
    <row r="310" spans="2:15" x14ac:dyDescent="0.25">
      <c r="B310" s="32">
        <v>297</v>
      </c>
      <c r="C310" s="200"/>
      <c r="D310" s="200"/>
      <c r="E310" s="200"/>
      <c r="F310" s="200"/>
      <c r="G310" s="200"/>
      <c r="H310" s="200"/>
      <c r="I310" s="200"/>
      <c r="J310" s="1"/>
      <c r="K310" s="32"/>
      <c r="L310" s="32"/>
      <c r="M310" s="6"/>
      <c r="N310" s="6"/>
      <c r="O310" s="6"/>
    </row>
    <row r="311" spans="2:15" x14ac:dyDescent="0.25">
      <c r="B311" s="32">
        <v>298</v>
      </c>
      <c r="C311" s="200"/>
      <c r="D311" s="200"/>
      <c r="E311" s="200"/>
      <c r="F311" s="200"/>
      <c r="G311" s="200"/>
      <c r="H311" s="200"/>
      <c r="I311" s="200"/>
      <c r="J311" s="1"/>
      <c r="K311" s="32"/>
      <c r="L311" s="32"/>
      <c r="M311" s="6"/>
      <c r="N311" s="6"/>
      <c r="O311" s="6"/>
    </row>
    <row r="312" spans="2:15" x14ac:dyDescent="0.25">
      <c r="B312" s="32">
        <v>299</v>
      </c>
      <c r="C312" s="200"/>
      <c r="D312" s="200"/>
      <c r="E312" s="200"/>
      <c r="F312" s="200"/>
      <c r="G312" s="200"/>
      <c r="H312" s="200"/>
      <c r="I312" s="200"/>
      <c r="J312" s="1"/>
      <c r="K312" s="32"/>
      <c r="L312" s="32"/>
      <c r="M312" s="6"/>
      <c r="N312" s="6"/>
      <c r="O312" s="6"/>
    </row>
    <row r="313" spans="2:15" x14ac:dyDescent="0.25">
      <c r="B313" s="32">
        <v>300</v>
      </c>
      <c r="C313" s="200"/>
      <c r="D313" s="200"/>
      <c r="E313" s="200"/>
      <c r="F313" s="200"/>
      <c r="G313" s="200"/>
      <c r="H313" s="200"/>
      <c r="I313" s="200"/>
      <c r="J313" s="1"/>
      <c r="K313" s="32"/>
      <c r="L313" s="32"/>
      <c r="M313" s="6"/>
      <c r="N313" s="6"/>
      <c r="O313" s="6"/>
    </row>
    <row r="314" spans="2:15" x14ac:dyDescent="0.25">
      <c r="B314" s="32">
        <v>301</v>
      </c>
      <c r="C314" s="200"/>
      <c r="D314" s="200"/>
      <c r="E314" s="200"/>
      <c r="F314" s="200"/>
      <c r="G314" s="200"/>
      <c r="H314" s="200"/>
      <c r="I314" s="200"/>
      <c r="J314" s="1"/>
      <c r="K314" s="32"/>
      <c r="L314" s="32"/>
      <c r="M314" s="6"/>
      <c r="N314" s="6"/>
      <c r="O314" s="6"/>
    </row>
    <row r="315" spans="2:15" x14ac:dyDescent="0.25">
      <c r="B315" s="32">
        <v>302</v>
      </c>
      <c r="C315" s="200"/>
      <c r="D315" s="200"/>
      <c r="E315" s="200"/>
      <c r="F315" s="200"/>
      <c r="G315" s="200"/>
      <c r="H315" s="200"/>
      <c r="I315" s="200"/>
      <c r="J315" s="1"/>
      <c r="K315" s="32"/>
      <c r="L315" s="32"/>
      <c r="M315" s="6"/>
      <c r="N315" s="6"/>
      <c r="O315" s="6"/>
    </row>
    <row r="316" spans="2:15" x14ac:dyDescent="0.25">
      <c r="B316" s="32">
        <v>303</v>
      </c>
      <c r="C316" s="200"/>
      <c r="D316" s="200"/>
      <c r="E316" s="200"/>
      <c r="F316" s="200"/>
      <c r="G316" s="200"/>
      <c r="H316" s="200"/>
      <c r="I316" s="200"/>
      <c r="J316" s="1"/>
      <c r="K316" s="32"/>
      <c r="L316" s="32"/>
      <c r="M316" s="6"/>
      <c r="N316" s="6"/>
      <c r="O316" s="6"/>
    </row>
    <row r="317" spans="2:15" x14ac:dyDescent="0.25">
      <c r="B317" s="32">
        <v>304</v>
      </c>
      <c r="C317" s="200"/>
      <c r="D317" s="200"/>
      <c r="E317" s="200"/>
      <c r="F317" s="200"/>
      <c r="G317" s="200"/>
      <c r="H317" s="200"/>
      <c r="I317" s="200"/>
      <c r="J317" s="1"/>
      <c r="K317" s="32"/>
      <c r="L317" s="32"/>
      <c r="M317" s="6"/>
      <c r="N317" s="6"/>
      <c r="O317" s="6"/>
    </row>
    <row r="318" spans="2:15" x14ac:dyDescent="0.25">
      <c r="B318" s="32">
        <v>305</v>
      </c>
      <c r="C318" s="200"/>
      <c r="D318" s="200"/>
      <c r="E318" s="200"/>
      <c r="F318" s="200"/>
      <c r="G318" s="200"/>
      <c r="H318" s="200"/>
      <c r="I318" s="200"/>
      <c r="J318" s="1"/>
      <c r="K318" s="32"/>
      <c r="L318" s="32"/>
      <c r="M318" s="6"/>
      <c r="N318" s="6"/>
      <c r="O318" s="6"/>
    </row>
    <row r="319" spans="2:15" x14ac:dyDescent="0.25">
      <c r="B319" s="32">
        <v>306</v>
      </c>
      <c r="C319" s="200"/>
      <c r="D319" s="200"/>
      <c r="E319" s="200"/>
      <c r="F319" s="200"/>
      <c r="G319" s="200"/>
      <c r="H319" s="200"/>
      <c r="I319" s="200"/>
      <c r="J319" s="1"/>
      <c r="K319" s="32"/>
      <c r="L319" s="32"/>
      <c r="M319" s="6"/>
      <c r="N319" s="6"/>
      <c r="O319" s="6"/>
    </row>
    <row r="320" spans="2:15" x14ac:dyDescent="0.25">
      <c r="B320" s="32">
        <v>307</v>
      </c>
      <c r="C320" s="200"/>
      <c r="D320" s="200"/>
      <c r="E320" s="200"/>
      <c r="F320" s="200"/>
      <c r="G320" s="200"/>
      <c r="H320" s="200"/>
      <c r="I320" s="200"/>
      <c r="J320" s="1"/>
      <c r="K320" s="32"/>
      <c r="L320" s="32"/>
      <c r="M320" s="6"/>
      <c r="N320" s="6"/>
      <c r="O320" s="6"/>
    </row>
    <row r="321" spans="2:15" x14ac:dyDescent="0.25">
      <c r="B321" s="32">
        <v>308</v>
      </c>
      <c r="C321" s="200"/>
      <c r="D321" s="200"/>
      <c r="E321" s="200"/>
      <c r="F321" s="200"/>
      <c r="G321" s="200"/>
      <c r="H321" s="200"/>
      <c r="I321" s="200"/>
      <c r="J321" s="1"/>
      <c r="K321" s="32"/>
      <c r="L321" s="32"/>
      <c r="M321" s="6"/>
      <c r="N321" s="6"/>
      <c r="O321" s="6"/>
    </row>
    <row r="322" spans="2:15" x14ac:dyDescent="0.25">
      <c r="B322" s="32">
        <v>309</v>
      </c>
      <c r="C322" s="200"/>
      <c r="D322" s="200"/>
      <c r="E322" s="200"/>
      <c r="F322" s="200"/>
      <c r="G322" s="200"/>
      <c r="H322" s="200"/>
      <c r="I322" s="200"/>
      <c r="J322" s="1"/>
      <c r="K322" s="32"/>
      <c r="L322" s="32"/>
      <c r="M322" s="6"/>
      <c r="N322" s="6"/>
      <c r="O322" s="6"/>
    </row>
    <row r="323" spans="2:15" x14ac:dyDescent="0.25">
      <c r="B323" s="32">
        <v>310</v>
      </c>
      <c r="C323" s="200"/>
      <c r="D323" s="200"/>
      <c r="E323" s="200"/>
      <c r="F323" s="200"/>
      <c r="G323" s="200"/>
      <c r="H323" s="200"/>
      <c r="I323" s="200"/>
      <c r="J323" s="1"/>
      <c r="K323" s="32"/>
      <c r="L323" s="32"/>
      <c r="M323" s="6"/>
      <c r="N323" s="6"/>
      <c r="O323" s="6"/>
    </row>
    <row r="324" spans="2:15" x14ac:dyDescent="0.25">
      <c r="B324" s="32">
        <v>311</v>
      </c>
      <c r="C324" s="200"/>
      <c r="D324" s="200"/>
      <c r="E324" s="200"/>
      <c r="F324" s="200"/>
      <c r="G324" s="200"/>
      <c r="H324" s="200"/>
      <c r="I324" s="200"/>
      <c r="J324" s="1"/>
      <c r="K324" s="32"/>
      <c r="L324" s="32"/>
      <c r="M324" s="6"/>
      <c r="N324" s="6"/>
      <c r="O324" s="6"/>
    </row>
    <row r="325" spans="2:15" x14ac:dyDescent="0.25">
      <c r="B325" s="32">
        <v>312</v>
      </c>
      <c r="C325" s="200"/>
      <c r="D325" s="200"/>
      <c r="E325" s="200"/>
      <c r="F325" s="200"/>
      <c r="G325" s="200"/>
      <c r="H325" s="200"/>
      <c r="I325" s="200"/>
      <c r="J325" s="1"/>
      <c r="K325" s="32"/>
      <c r="L325" s="32"/>
      <c r="M325" s="6"/>
      <c r="N325" s="6"/>
      <c r="O325" s="6"/>
    </row>
    <row r="326" spans="2:15" x14ac:dyDescent="0.25">
      <c r="B326" s="32">
        <v>313</v>
      </c>
      <c r="C326" s="200"/>
      <c r="D326" s="200"/>
      <c r="E326" s="200"/>
      <c r="F326" s="200"/>
      <c r="G326" s="200"/>
      <c r="H326" s="200"/>
      <c r="I326" s="200"/>
      <c r="J326" s="1"/>
      <c r="K326" s="32"/>
      <c r="L326" s="32"/>
      <c r="M326" s="6"/>
      <c r="N326" s="6"/>
      <c r="O326" s="6"/>
    </row>
    <row r="327" spans="2:15" x14ac:dyDescent="0.25">
      <c r="B327" s="32">
        <v>314</v>
      </c>
      <c r="C327" s="200"/>
      <c r="D327" s="200"/>
      <c r="E327" s="200"/>
      <c r="F327" s="200"/>
      <c r="G327" s="200"/>
      <c r="H327" s="200"/>
      <c r="I327" s="200"/>
      <c r="J327" s="1"/>
      <c r="K327" s="32"/>
      <c r="L327" s="32"/>
      <c r="M327" s="6"/>
      <c r="N327" s="6"/>
      <c r="O327" s="6"/>
    </row>
    <row r="328" spans="2:15" x14ac:dyDescent="0.25">
      <c r="B328" s="32">
        <v>315</v>
      </c>
      <c r="C328" s="200"/>
      <c r="D328" s="200"/>
      <c r="E328" s="200"/>
      <c r="F328" s="200"/>
      <c r="G328" s="200"/>
      <c r="H328" s="200"/>
      <c r="I328" s="200"/>
      <c r="J328" s="1"/>
      <c r="K328" s="32"/>
      <c r="L328" s="32"/>
      <c r="M328" s="6"/>
      <c r="N328" s="6"/>
      <c r="O328" s="6"/>
    </row>
    <row r="329" spans="2:15" x14ac:dyDescent="0.25">
      <c r="B329" s="32">
        <v>316</v>
      </c>
      <c r="C329" s="200"/>
      <c r="D329" s="200"/>
      <c r="E329" s="200"/>
      <c r="F329" s="200"/>
      <c r="G329" s="200"/>
      <c r="H329" s="200"/>
      <c r="I329" s="200"/>
      <c r="J329" s="1"/>
      <c r="K329" s="32"/>
      <c r="L329" s="32"/>
      <c r="M329" s="6"/>
      <c r="N329" s="6"/>
      <c r="O329" s="6"/>
    </row>
    <row r="330" spans="2:15" x14ac:dyDescent="0.25">
      <c r="B330" s="32">
        <v>317</v>
      </c>
      <c r="C330" s="200"/>
      <c r="D330" s="200"/>
      <c r="E330" s="200"/>
      <c r="F330" s="200"/>
      <c r="G330" s="200"/>
      <c r="H330" s="200"/>
      <c r="I330" s="200"/>
      <c r="J330" s="1"/>
      <c r="K330" s="32"/>
      <c r="L330" s="32"/>
      <c r="M330" s="6"/>
      <c r="N330" s="6"/>
      <c r="O330" s="6"/>
    </row>
    <row r="331" spans="2:15" x14ac:dyDescent="0.25">
      <c r="B331" s="32">
        <v>318</v>
      </c>
      <c r="C331" s="200"/>
      <c r="D331" s="200"/>
      <c r="E331" s="200"/>
      <c r="F331" s="200"/>
      <c r="G331" s="200"/>
      <c r="H331" s="200"/>
      <c r="I331" s="200"/>
      <c r="J331" s="1"/>
      <c r="K331" s="32"/>
      <c r="L331" s="32"/>
      <c r="M331" s="6"/>
      <c r="N331" s="6"/>
      <c r="O331" s="6"/>
    </row>
    <row r="332" spans="2:15" x14ac:dyDescent="0.25">
      <c r="B332" s="32">
        <v>319</v>
      </c>
      <c r="C332" s="200"/>
      <c r="D332" s="200"/>
      <c r="E332" s="200"/>
      <c r="F332" s="200"/>
      <c r="G332" s="200"/>
      <c r="H332" s="200"/>
      <c r="I332" s="200"/>
      <c r="J332" s="1"/>
      <c r="K332" s="32"/>
      <c r="L332" s="32"/>
      <c r="M332" s="6"/>
      <c r="N332" s="6"/>
      <c r="O332" s="6"/>
    </row>
    <row r="333" spans="2:15" x14ac:dyDescent="0.25">
      <c r="B333" s="32">
        <v>320</v>
      </c>
      <c r="C333" s="200"/>
      <c r="D333" s="200"/>
      <c r="E333" s="200"/>
      <c r="F333" s="200"/>
      <c r="G333" s="200"/>
      <c r="H333" s="200"/>
      <c r="I333" s="200"/>
      <c r="J333" s="1"/>
      <c r="K333" s="32"/>
      <c r="L333" s="32"/>
      <c r="M333" s="6"/>
      <c r="N333" s="6"/>
      <c r="O333" s="6"/>
    </row>
    <row r="334" spans="2:15" x14ac:dyDescent="0.25">
      <c r="B334" s="32">
        <v>321</v>
      </c>
      <c r="C334" s="200"/>
      <c r="D334" s="200"/>
      <c r="E334" s="200"/>
      <c r="F334" s="200"/>
      <c r="G334" s="200"/>
      <c r="H334" s="200"/>
      <c r="I334" s="200"/>
      <c r="J334" s="1"/>
      <c r="K334" s="32"/>
      <c r="L334" s="32"/>
      <c r="M334" s="6"/>
      <c r="N334" s="6"/>
      <c r="O334" s="6"/>
    </row>
    <row r="335" spans="2:15" x14ac:dyDescent="0.25">
      <c r="B335" s="32">
        <v>322</v>
      </c>
      <c r="C335" s="200"/>
      <c r="D335" s="200"/>
      <c r="E335" s="200"/>
      <c r="F335" s="200"/>
      <c r="G335" s="200"/>
      <c r="H335" s="200"/>
      <c r="I335" s="200"/>
      <c r="J335" s="1"/>
      <c r="K335" s="32"/>
      <c r="L335" s="32"/>
      <c r="M335" s="6"/>
      <c r="N335" s="6"/>
      <c r="O335" s="6"/>
    </row>
    <row r="336" spans="2:15" x14ac:dyDescent="0.25">
      <c r="B336" s="32">
        <v>323</v>
      </c>
      <c r="C336" s="200"/>
      <c r="D336" s="200"/>
      <c r="E336" s="200"/>
      <c r="F336" s="200"/>
      <c r="G336" s="200"/>
      <c r="H336" s="200"/>
      <c r="I336" s="200"/>
      <c r="J336" s="1"/>
      <c r="K336" s="32"/>
      <c r="L336" s="32"/>
      <c r="M336" s="6"/>
      <c r="N336" s="6"/>
      <c r="O336" s="6"/>
    </row>
    <row r="337" spans="2:15" x14ac:dyDescent="0.25">
      <c r="B337" s="32">
        <v>324</v>
      </c>
      <c r="C337" s="200"/>
      <c r="D337" s="200"/>
      <c r="E337" s="200"/>
      <c r="F337" s="200"/>
      <c r="G337" s="200"/>
      <c r="H337" s="200"/>
      <c r="I337" s="200"/>
      <c r="J337" s="1"/>
      <c r="K337" s="32"/>
      <c r="L337" s="32"/>
      <c r="M337" s="6"/>
      <c r="N337" s="6"/>
      <c r="O337" s="6"/>
    </row>
    <row r="338" spans="2:15" x14ac:dyDescent="0.25">
      <c r="B338" s="32">
        <v>325</v>
      </c>
      <c r="C338" s="200"/>
      <c r="D338" s="200"/>
      <c r="E338" s="200"/>
      <c r="F338" s="200"/>
      <c r="G338" s="200"/>
      <c r="H338" s="200"/>
      <c r="I338" s="200"/>
      <c r="J338" s="1"/>
      <c r="K338" s="32"/>
      <c r="L338" s="32"/>
      <c r="M338" s="6"/>
      <c r="N338" s="6"/>
      <c r="O338" s="6"/>
    </row>
    <row r="339" spans="2:15" x14ac:dyDescent="0.25">
      <c r="B339" s="32">
        <v>326</v>
      </c>
      <c r="C339" s="200"/>
      <c r="D339" s="200"/>
      <c r="E339" s="200"/>
      <c r="F339" s="200"/>
      <c r="G339" s="200"/>
      <c r="H339" s="200"/>
      <c r="I339" s="200"/>
      <c r="J339" s="1"/>
      <c r="K339" s="32"/>
      <c r="L339" s="32"/>
      <c r="M339" s="6"/>
      <c r="N339" s="6"/>
      <c r="O339" s="6"/>
    </row>
    <row r="340" spans="2:15" x14ac:dyDescent="0.25">
      <c r="B340" s="32">
        <v>327</v>
      </c>
      <c r="C340" s="200"/>
      <c r="D340" s="200"/>
      <c r="E340" s="200"/>
      <c r="F340" s="200"/>
      <c r="G340" s="200"/>
      <c r="H340" s="200"/>
      <c r="I340" s="200"/>
      <c r="J340" s="1"/>
      <c r="K340" s="32"/>
      <c r="L340" s="32"/>
      <c r="M340" s="6"/>
      <c r="N340" s="6"/>
      <c r="O340" s="6"/>
    </row>
    <row r="341" spans="2:15" x14ac:dyDescent="0.25">
      <c r="B341" s="32">
        <v>328</v>
      </c>
      <c r="C341" s="200"/>
      <c r="D341" s="200"/>
      <c r="E341" s="200"/>
      <c r="F341" s="200"/>
      <c r="G341" s="200"/>
      <c r="H341" s="200"/>
      <c r="I341" s="200"/>
      <c r="J341" s="1"/>
      <c r="K341" s="32"/>
      <c r="L341" s="32"/>
      <c r="M341" s="6"/>
      <c r="N341" s="6"/>
      <c r="O341" s="6"/>
    </row>
    <row r="342" spans="2:15" x14ac:dyDescent="0.25">
      <c r="B342" s="32">
        <v>329</v>
      </c>
      <c r="C342" s="200"/>
      <c r="D342" s="200"/>
      <c r="E342" s="200"/>
      <c r="F342" s="200"/>
      <c r="G342" s="200"/>
      <c r="H342" s="200"/>
      <c r="I342" s="200"/>
      <c r="J342" s="1"/>
      <c r="K342" s="32"/>
      <c r="L342" s="32"/>
      <c r="M342" s="6"/>
      <c r="N342" s="6"/>
      <c r="O342" s="6"/>
    </row>
    <row r="343" spans="2:15" x14ac:dyDescent="0.25">
      <c r="B343" s="32">
        <v>330</v>
      </c>
      <c r="C343" s="200"/>
      <c r="D343" s="200"/>
      <c r="E343" s="200"/>
      <c r="F343" s="200"/>
      <c r="G343" s="200"/>
      <c r="H343" s="200"/>
      <c r="I343" s="200"/>
      <c r="J343" s="1"/>
      <c r="K343" s="32"/>
      <c r="L343" s="32"/>
      <c r="M343" s="6"/>
      <c r="N343" s="6"/>
      <c r="O343" s="6"/>
    </row>
    <row r="344" spans="2:15" x14ac:dyDescent="0.25">
      <c r="B344" s="32">
        <v>331</v>
      </c>
      <c r="C344" s="200"/>
      <c r="D344" s="200"/>
      <c r="E344" s="200"/>
      <c r="F344" s="200"/>
      <c r="G344" s="200"/>
      <c r="H344" s="200"/>
      <c r="I344" s="200"/>
      <c r="J344" s="1"/>
      <c r="K344" s="32"/>
      <c r="L344" s="32"/>
      <c r="M344" s="6"/>
      <c r="N344" s="6"/>
      <c r="O344" s="6"/>
    </row>
    <row r="345" spans="2:15" x14ac:dyDescent="0.25">
      <c r="B345" s="32">
        <v>332</v>
      </c>
      <c r="C345" s="200"/>
      <c r="D345" s="200"/>
      <c r="E345" s="200"/>
      <c r="F345" s="200"/>
      <c r="G345" s="200"/>
      <c r="H345" s="200"/>
      <c r="I345" s="200"/>
      <c r="J345" s="1"/>
      <c r="K345" s="32"/>
      <c r="L345" s="32"/>
      <c r="M345" s="6"/>
      <c r="N345" s="6"/>
      <c r="O345" s="6"/>
    </row>
    <row r="346" spans="2:15" x14ac:dyDescent="0.25">
      <c r="B346" s="32">
        <v>333</v>
      </c>
      <c r="C346" s="200"/>
      <c r="D346" s="200"/>
      <c r="E346" s="200"/>
      <c r="F346" s="200"/>
      <c r="G346" s="200"/>
      <c r="H346" s="200"/>
      <c r="I346" s="200"/>
      <c r="J346" s="1"/>
      <c r="K346" s="32"/>
      <c r="L346" s="32"/>
      <c r="M346" s="6"/>
      <c r="N346" s="6"/>
      <c r="O346" s="6"/>
    </row>
    <row r="347" spans="2:15" x14ac:dyDescent="0.25">
      <c r="B347" s="32">
        <v>334</v>
      </c>
      <c r="C347" s="200"/>
      <c r="D347" s="200"/>
      <c r="E347" s="200"/>
      <c r="F347" s="200"/>
      <c r="G347" s="200"/>
      <c r="H347" s="200"/>
      <c r="I347" s="200"/>
      <c r="J347" s="1"/>
      <c r="K347" s="32"/>
      <c r="L347" s="32"/>
      <c r="M347" s="6"/>
      <c r="N347" s="6"/>
      <c r="O347" s="6"/>
    </row>
    <row r="348" spans="2:15" x14ac:dyDescent="0.25">
      <c r="B348" s="32">
        <v>335</v>
      </c>
      <c r="C348" s="200"/>
      <c r="D348" s="200"/>
      <c r="E348" s="200"/>
      <c r="F348" s="200"/>
      <c r="G348" s="200"/>
      <c r="H348" s="200"/>
      <c r="I348" s="200"/>
      <c r="J348" s="1"/>
      <c r="K348" s="32"/>
      <c r="L348" s="32"/>
      <c r="M348" s="6"/>
      <c r="N348" s="6"/>
      <c r="O348" s="6"/>
    </row>
    <row r="349" spans="2:15" x14ac:dyDescent="0.25">
      <c r="B349" s="32">
        <v>336</v>
      </c>
      <c r="C349" s="200"/>
      <c r="D349" s="200"/>
      <c r="E349" s="200"/>
      <c r="F349" s="200"/>
      <c r="G349" s="200"/>
      <c r="H349" s="200"/>
      <c r="I349" s="200"/>
      <c r="J349" s="1"/>
      <c r="K349" s="32"/>
      <c r="L349" s="32"/>
      <c r="M349" s="6"/>
      <c r="N349" s="6"/>
      <c r="O349" s="6"/>
    </row>
    <row r="350" spans="2:15" x14ac:dyDescent="0.25">
      <c r="B350" s="32">
        <v>337</v>
      </c>
      <c r="C350" s="200"/>
      <c r="D350" s="200"/>
      <c r="E350" s="200"/>
      <c r="F350" s="200"/>
      <c r="G350" s="200"/>
      <c r="H350" s="200"/>
      <c r="I350" s="200"/>
      <c r="J350" s="1"/>
      <c r="K350" s="32"/>
      <c r="L350" s="32"/>
      <c r="M350" s="6"/>
      <c r="N350" s="6"/>
      <c r="O350" s="6"/>
    </row>
    <row r="351" spans="2:15" x14ac:dyDescent="0.25">
      <c r="B351" s="32">
        <v>338</v>
      </c>
      <c r="C351" s="200"/>
      <c r="D351" s="200"/>
      <c r="E351" s="200"/>
      <c r="F351" s="200"/>
      <c r="G351" s="200"/>
      <c r="H351" s="200"/>
      <c r="I351" s="200"/>
      <c r="J351" s="1"/>
      <c r="K351" s="32"/>
      <c r="L351" s="32"/>
      <c r="M351" s="6"/>
      <c r="N351" s="6"/>
      <c r="O351" s="6"/>
    </row>
    <row r="352" spans="2:15" x14ac:dyDescent="0.25">
      <c r="B352" s="32">
        <v>339</v>
      </c>
      <c r="C352" s="200"/>
      <c r="D352" s="200"/>
      <c r="E352" s="200"/>
      <c r="F352" s="200"/>
      <c r="G352" s="200"/>
      <c r="H352" s="200"/>
      <c r="I352" s="200"/>
      <c r="J352" s="1"/>
      <c r="K352" s="32"/>
      <c r="L352" s="32"/>
      <c r="M352" s="6"/>
      <c r="N352" s="6"/>
      <c r="O352" s="6"/>
    </row>
    <row r="353" spans="2:15" x14ac:dyDescent="0.25">
      <c r="B353" s="32">
        <v>340</v>
      </c>
      <c r="C353" s="200"/>
      <c r="D353" s="200"/>
      <c r="E353" s="200"/>
      <c r="F353" s="200"/>
      <c r="G353" s="200"/>
      <c r="H353" s="200"/>
      <c r="I353" s="200"/>
      <c r="J353" s="1"/>
      <c r="K353" s="32"/>
      <c r="L353" s="32"/>
      <c r="M353" s="6"/>
      <c r="N353" s="6"/>
      <c r="O353" s="6"/>
    </row>
    <row r="354" spans="2:15" x14ac:dyDescent="0.25">
      <c r="B354" s="32">
        <v>341</v>
      </c>
      <c r="C354" s="200"/>
      <c r="D354" s="200"/>
      <c r="E354" s="200"/>
      <c r="F354" s="200"/>
      <c r="G354" s="200"/>
      <c r="H354" s="200"/>
      <c r="I354" s="200"/>
      <c r="J354" s="1"/>
      <c r="K354" s="32"/>
      <c r="L354" s="32"/>
      <c r="M354" s="6"/>
      <c r="N354" s="6"/>
      <c r="O354" s="6"/>
    </row>
    <row r="355" spans="2:15" x14ac:dyDescent="0.25">
      <c r="B355" s="32">
        <v>342</v>
      </c>
      <c r="C355" s="200"/>
      <c r="D355" s="200"/>
      <c r="E355" s="200"/>
      <c r="F355" s="200"/>
      <c r="G355" s="200"/>
      <c r="H355" s="200"/>
      <c r="I355" s="200"/>
      <c r="J355" s="1"/>
      <c r="K355" s="32"/>
      <c r="L355" s="32"/>
      <c r="M355" s="6"/>
      <c r="N355" s="6"/>
      <c r="O355" s="6"/>
    </row>
    <row r="356" spans="2:15" x14ac:dyDescent="0.25">
      <c r="B356" s="32">
        <v>343</v>
      </c>
      <c r="C356" s="200"/>
      <c r="D356" s="200"/>
      <c r="E356" s="200"/>
      <c r="F356" s="200"/>
      <c r="G356" s="200"/>
      <c r="H356" s="200"/>
      <c r="I356" s="200"/>
      <c r="J356" s="1"/>
      <c r="K356" s="32"/>
      <c r="L356" s="32"/>
      <c r="M356" s="6"/>
      <c r="N356" s="6"/>
      <c r="O356" s="6"/>
    </row>
    <row r="357" spans="2:15" x14ac:dyDescent="0.25">
      <c r="B357" s="32">
        <v>344</v>
      </c>
      <c r="C357" s="200"/>
      <c r="D357" s="200"/>
      <c r="E357" s="200"/>
      <c r="F357" s="200"/>
      <c r="G357" s="200"/>
      <c r="H357" s="200"/>
      <c r="I357" s="200"/>
      <c r="J357" s="1"/>
      <c r="K357" s="32"/>
      <c r="L357" s="32"/>
      <c r="M357" s="6"/>
      <c r="N357" s="6"/>
      <c r="O357" s="6"/>
    </row>
    <row r="358" spans="2:15" x14ac:dyDescent="0.25">
      <c r="B358" s="32">
        <v>345</v>
      </c>
      <c r="C358" s="200"/>
      <c r="D358" s="200"/>
      <c r="E358" s="200"/>
      <c r="F358" s="200"/>
      <c r="G358" s="200"/>
      <c r="H358" s="200"/>
      <c r="I358" s="200"/>
      <c r="J358" s="1"/>
      <c r="K358" s="32"/>
      <c r="L358" s="32"/>
      <c r="M358" s="6"/>
      <c r="N358" s="6"/>
      <c r="O358" s="6"/>
    </row>
    <row r="359" spans="2:15" x14ac:dyDescent="0.25">
      <c r="B359" s="32">
        <v>346</v>
      </c>
      <c r="C359" s="200"/>
      <c r="D359" s="200"/>
      <c r="E359" s="200"/>
      <c r="F359" s="200"/>
      <c r="G359" s="200"/>
      <c r="H359" s="200"/>
      <c r="I359" s="200"/>
      <c r="J359" s="1"/>
      <c r="K359" s="32"/>
      <c r="L359" s="32"/>
      <c r="M359" s="6"/>
      <c r="N359" s="6"/>
      <c r="O359" s="6"/>
    </row>
    <row r="360" spans="2:15" x14ac:dyDescent="0.25">
      <c r="B360" s="32">
        <v>347</v>
      </c>
      <c r="C360" s="200"/>
      <c r="D360" s="200"/>
      <c r="E360" s="200"/>
      <c r="F360" s="200"/>
      <c r="G360" s="200"/>
      <c r="H360" s="200"/>
      <c r="I360" s="200"/>
      <c r="J360" s="1"/>
      <c r="K360" s="32"/>
      <c r="L360" s="32"/>
      <c r="M360" s="6"/>
      <c r="N360" s="6"/>
      <c r="O360" s="6"/>
    </row>
    <row r="361" spans="2:15" x14ac:dyDescent="0.25">
      <c r="B361" s="32">
        <v>348</v>
      </c>
      <c r="C361" s="200"/>
      <c r="D361" s="200"/>
      <c r="E361" s="200"/>
      <c r="F361" s="200"/>
      <c r="G361" s="200"/>
      <c r="H361" s="200"/>
      <c r="I361" s="200"/>
      <c r="J361" s="1"/>
      <c r="K361" s="32"/>
      <c r="L361" s="32"/>
      <c r="M361" s="6"/>
      <c r="N361" s="6"/>
      <c r="O361" s="6"/>
    </row>
    <row r="362" spans="2:15" x14ac:dyDescent="0.25">
      <c r="B362" s="32">
        <v>349</v>
      </c>
      <c r="C362" s="200"/>
      <c r="D362" s="200"/>
      <c r="E362" s="200"/>
      <c r="F362" s="200"/>
      <c r="G362" s="200"/>
      <c r="H362" s="200"/>
      <c r="I362" s="200"/>
      <c r="J362" s="1"/>
      <c r="K362" s="32"/>
      <c r="L362" s="32"/>
      <c r="M362" s="6"/>
      <c r="N362" s="6"/>
      <c r="O362" s="6"/>
    </row>
    <row r="363" spans="2:15" x14ac:dyDescent="0.25">
      <c r="B363" s="32">
        <v>350</v>
      </c>
      <c r="C363" s="200"/>
      <c r="D363" s="200"/>
      <c r="E363" s="200"/>
      <c r="F363" s="200"/>
      <c r="G363" s="200"/>
      <c r="H363" s="200"/>
      <c r="I363" s="200"/>
      <c r="J363" s="1"/>
      <c r="K363" s="32"/>
      <c r="L363" s="32"/>
      <c r="M363" s="6"/>
      <c r="N363" s="6"/>
      <c r="O363" s="6"/>
    </row>
    <row r="364" spans="2:15" x14ac:dyDescent="0.25">
      <c r="B364" s="32">
        <v>351</v>
      </c>
      <c r="C364" s="200"/>
      <c r="D364" s="200"/>
      <c r="E364" s="200"/>
      <c r="F364" s="200"/>
      <c r="G364" s="200"/>
      <c r="H364" s="200"/>
      <c r="I364" s="200"/>
      <c r="J364" s="1"/>
      <c r="K364" s="32"/>
      <c r="L364" s="32"/>
      <c r="M364" s="6"/>
      <c r="N364" s="6"/>
      <c r="O364" s="6"/>
    </row>
    <row r="365" spans="2:15" x14ac:dyDescent="0.25">
      <c r="B365" s="32">
        <v>352</v>
      </c>
      <c r="C365" s="200"/>
      <c r="D365" s="200"/>
      <c r="E365" s="200"/>
      <c r="F365" s="200"/>
      <c r="G365" s="200"/>
      <c r="H365" s="200"/>
      <c r="I365" s="200"/>
      <c r="J365" s="1"/>
      <c r="K365" s="32"/>
      <c r="L365" s="32"/>
      <c r="M365" s="6"/>
      <c r="N365" s="6"/>
      <c r="O365" s="6"/>
    </row>
    <row r="366" spans="2:15" x14ac:dyDescent="0.25">
      <c r="B366" s="32">
        <v>353</v>
      </c>
      <c r="C366" s="200"/>
      <c r="D366" s="200"/>
      <c r="E366" s="200"/>
      <c r="F366" s="200"/>
      <c r="G366" s="200"/>
      <c r="H366" s="200"/>
      <c r="I366" s="200"/>
      <c r="J366" s="1"/>
      <c r="K366" s="32"/>
      <c r="L366" s="32"/>
      <c r="M366" s="6"/>
      <c r="N366" s="6"/>
      <c r="O366" s="6"/>
    </row>
    <row r="367" spans="2:15" x14ac:dyDescent="0.25">
      <c r="B367" s="32">
        <v>354</v>
      </c>
      <c r="C367" s="200"/>
      <c r="D367" s="200"/>
      <c r="E367" s="200"/>
      <c r="F367" s="200"/>
      <c r="G367" s="200"/>
      <c r="H367" s="200"/>
      <c r="I367" s="200"/>
      <c r="J367" s="1"/>
      <c r="K367" s="32"/>
      <c r="L367" s="32"/>
      <c r="M367" s="6"/>
      <c r="N367" s="6"/>
      <c r="O367" s="6"/>
    </row>
    <row r="368" spans="2:15" x14ac:dyDescent="0.25">
      <c r="B368" s="32">
        <v>355</v>
      </c>
      <c r="C368" s="200"/>
      <c r="D368" s="200"/>
      <c r="E368" s="200"/>
      <c r="F368" s="200"/>
      <c r="G368" s="200"/>
      <c r="H368" s="200"/>
      <c r="I368" s="200"/>
      <c r="J368" s="1"/>
      <c r="K368" s="32"/>
      <c r="L368" s="32"/>
      <c r="M368" s="6"/>
      <c r="N368" s="6"/>
      <c r="O368" s="6"/>
    </row>
    <row r="369" spans="2:15" x14ac:dyDescent="0.25">
      <c r="B369" s="32">
        <v>356</v>
      </c>
      <c r="C369" s="200"/>
      <c r="D369" s="200"/>
      <c r="E369" s="200"/>
      <c r="F369" s="200"/>
      <c r="G369" s="200"/>
      <c r="H369" s="200"/>
      <c r="I369" s="200"/>
      <c r="J369" s="1"/>
      <c r="K369" s="32"/>
      <c r="L369" s="32"/>
      <c r="M369" s="6"/>
      <c r="N369" s="6"/>
      <c r="O369" s="6"/>
    </row>
    <row r="370" spans="2:15" x14ac:dyDescent="0.25">
      <c r="B370" s="32">
        <v>357</v>
      </c>
      <c r="C370" s="200"/>
      <c r="D370" s="200"/>
      <c r="E370" s="200"/>
      <c r="F370" s="200"/>
      <c r="G370" s="200"/>
      <c r="H370" s="200"/>
      <c r="I370" s="200"/>
      <c r="J370" s="1"/>
      <c r="K370" s="32"/>
      <c r="L370" s="32"/>
      <c r="M370" s="6"/>
      <c r="N370" s="6"/>
      <c r="O370" s="6"/>
    </row>
    <row r="371" spans="2:15" x14ac:dyDescent="0.25">
      <c r="B371" s="32">
        <v>358</v>
      </c>
      <c r="C371" s="200"/>
      <c r="D371" s="200"/>
      <c r="E371" s="200"/>
      <c r="F371" s="200"/>
      <c r="G371" s="200"/>
      <c r="H371" s="200"/>
      <c r="I371" s="200"/>
      <c r="J371" s="1"/>
      <c r="K371" s="32"/>
      <c r="L371" s="32"/>
      <c r="M371" s="6"/>
      <c r="N371" s="6"/>
      <c r="O371" s="6"/>
    </row>
    <row r="372" spans="2:15" x14ac:dyDescent="0.25">
      <c r="B372" s="32">
        <v>359</v>
      </c>
      <c r="C372" s="200"/>
      <c r="D372" s="200"/>
      <c r="E372" s="200"/>
      <c r="F372" s="200"/>
      <c r="G372" s="200"/>
      <c r="H372" s="200"/>
      <c r="I372" s="200"/>
      <c r="J372" s="1"/>
      <c r="K372" s="32"/>
      <c r="L372" s="32"/>
      <c r="M372" s="6"/>
      <c r="N372" s="6"/>
      <c r="O372" s="6"/>
    </row>
    <row r="373" spans="2:15" x14ac:dyDescent="0.25">
      <c r="B373" s="32">
        <v>360</v>
      </c>
      <c r="C373" s="200"/>
      <c r="D373" s="200"/>
      <c r="E373" s="200"/>
      <c r="F373" s="200"/>
      <c r="G373" s="200"/>
      <c r="H373" s="200"/>
      <c r="I373" s="200"/>
      <c r="J373" s="1"/>
      <c r="K373" s="32"/>
      <c r="L373" s="32"/>
      <c r="M373" s="6"/>
      <c r="N373" s="6"/>
      <c r="O373" s="6"/>
    </row>
    <row r="374" spans="2:15" x14ac:dyDescent="0.25">
      <c r="B374" s="32">
        <v>361</v>
      </c>
      <c r="C374" s="200"/>
      <c r="D374" s="200"/>
      <c r="E374" s="200"/>
      <c r="F374" s="200"/>
      <c r="G374" s="200"/>
      <c r="H374" s="200"/>
      <c r="I374" s="200"/>
      <c r="J374" s="1"/>
      <c r="K374" s="32"/>
      <c r="L374" s="32"/>
      <c r="M374" s="6"/>
      <c r="N374" s="6"/>
      <c r="O374" s="6"/>
    </row>
    <row r="375" spans="2:15" x14ac:dyDescent="0.25">
      <c r="B375" s="32">
        <v>362</v>
      </c>
      <c r="C375" s="200"/>
      <c r="D375" s="200"/>
      <c r="E375" s="200"/>
      <c r="F375" s="200"/>
      <c r="G375" s="200"/>
      <c r="H375" s="200"/>
      <c r="I375" s="200"/>
      <c r="J375" s="1"/>
      <c r="K375" s="32"/>
      <c r="L375" s="32"/>
      <c r="M375" s="6"/>
      <c r="N375" s="6"/>
      <c r="O375" s="6"/>
    </row>
    <row r="376" spans="2:15" x14ac:dyDescent="0.25">
      <c r="B376" s="32">
        <v>363</v>
      </c>
      <c r="C376" s="200"/>
      <c r="D376" s="200"/>
      <c r="E376" s="200"/>
      <c r="F376" s="200"/>
      <c r="G376" s="200"/>
      <c r="H376" s="200"/>
      <c r="I376" s="200"/>
      <c r="J376" s="1"/>
      <c r="K376" s="32"/>
      <c r="L376" s="32"/>
      <c r="M376" s="6"/>
      <c r="N376" s="6"/>
      <c r="O376" s="6"/>
    </row>
    <row r="377" spans="2:15" x14ac:dyDescent="0.25">
      <c r="B377" s="32">
        <v>364</v>
      </c>
      <c r="C377" s="200"/>
      <c r="D377" s="200"/>
      <c r="E377" s="200"/>
      <c r="F377" s="200"/>
      <c r="G377" s="200"/>
      <c r="H377" s="200"/>
      <c r="I377" s="200"/>
      <c r="J377" s="1"/>
      <c r="K377" s="32"/>
      <c r="L377" s="32"/>
      <c r="M377" s="6"/>
      <c r="N377" s="6"/>
      <c r="O377" s="6"/>
    </row>
    <row r="378" spans="2:15" x14ac:dyDescent="0.25">
      <c r="B378" s="32">
        <v>365</v>
      </c>
      <c r="C378" s="200"/>
      <c r="D378" s="200"/>
      <c r="E378" s="200"/>
      <c r="F378" s="200"/>
      <c r="G378" s="200"/>
      <c r="H378" s="200"/>
      <c r="I378" s="200"/>
      <c r="J378" s="1"/>
      <c r="K378" s="32"/>
      <c r="L378" s="32"/>
      <c r="M378" s="6"/>
      <c r="N378" s="6"/>
      <c r="O378" s="6"/>
    </row>
    <row r="379" spans="2:15" x14ac:dyDescent="0.25">
      <c r="B379" s="32">
        <v>366</v>
      </c>
      <c r="C379" s="200"/>
      <c r="D379" s="200"/>
      <c r="E379" s="200"/>
      <c r="F379" s="200"/>
      <c r="G379" s="200"/>
      <c r="H379" s="200"/>
      <c r="I379" s="200"/>
      <c r="J379" s="1"/>
      <c r="K379" s="32"/>
      <c r="L379" s="32"/>
      <c r="M379" s="6"/>
      <c r="N379" s="6"/>
      <c r="O379" s="6"/>
    </row>
    <row r="380" spans="2:15" x14ac:dyDescent="0.25">
      <c r="B380" s="32">
        <v>367</v>
      </c>
      <c r="C380" s="200"/>
      <c r="D380" s="200"/>
      <c r="E380" s="200"/>
      <c r="F380" s="200"/>
      <c r="G380" s="200"/>
      <c r="H380" s="200"/>
      <c r="I380" s="200"/>
      <c r="J380" s="1"/>
      <c r="K380" s="32"/>
      <c r="L380" s="32"/>
      <c r="M380" s="6"/>
      <c r="N380" s="6"/>
      <c r="O380" s="6"/>
    </row>
    <row r="381" spans="2:15" x14ac:dyDescent="0.25">
      <c r="B381" s="32">
        <v>368</v>
      </c>
      <c r="C381" s="200"/>
      <c r="D381" s="200"/>
      <c r="E381" s="200"/>
      <c r="F381" s="200"/>
      <c r="G381" s="200"/>
      <c r="H381" s="200"/>
      <c r="I381" s="200"/>
      <c r="J381" s="1"/>
      <c r="K381" s="32"/>
      <c r="L381" s="32"/>
      <c r="M381" s="6"/>
      <c r="N381" s="6"/>
      <c r="O381" s="6"/>
    </row>
    <row r="382" spans="2:15" x14ac:dyDescent="0.25">
      <c r="B382" s="32">
        <v>369</v>
      </c>
      <c r="C382" s="200"/>
      <c r="D382" s="200"/>
      <c r="E382" s="200"/>
      <c r="F382" s="200"/>
      <c r="G382" s="200"/>
      <c r="H382" s="200"/>
      <c r="I382" s="200"/>
      <c r="J382" s="1"/>
      <c r="K382" s="32"/>
      <c r="L382" s="32"/>
      <c r="M382" s="6"/>
      <c r="N382" s="6"/>
      <c r="O382" s="6"/>
    </row>
    <row r="383" spans="2:15" x14ac:dyDescent="0.25">
      <c r="B383" s="32">
        <v>370</v>
      </c>
      <c r="C383" s="200"/>
      <c r="D383" s="200"/>
      <c r="E383" s="200"/>
      <c r="F383" s="200"/>
      <c r="G383" s="200"/>
      <c r="H383" s="200"/>
      <c r="I383" s="200"/>
      <c r="J383" s="1"/>
      <c r="K383" s="32"/>
      <c r="L383" s="32"/>
      <c r="M383" s="6"/>
      <c r="N383" s="6"/>
      <c r="O383" s="6"/>
    </row>
    <row r="384" spans="2:15" x14ac:dyDescent="0.25">
      <c r="B384" s="32">
        <v>371</v>
      </c>
      <c r="C384" s="200"/>
      <c r="D384" s="200"/>
      <c r="E384" s="200"/>
      <c r="F384" s="200"/>
      <c r="G384" s="200"/>
      <c r="H384" s="200"/>
      <c r="I384" s="200"/>
      <c r="J384" s="1"/>
      <c r="K384" s="32"/>
      <c r="L384" s="32"/>
      <c r="M384" s="6"/>
      <c r="N384" s="6"/>
      <c r="O384" s="6"/>
    </row>
    <row r="385" spans="2:15" x14ac:dyDescent="0.25">
      <c r="B385" s="32">
        <v>372</v>
      </c>
      <c r="C385" s="200"/>
      <c r="D385" s="200"/>
      <c r="E385" s="200"/>
      <c r="F385" s="200"/>
      <c r="G385" s="200"/>
      <c r="H385" s="200"/>
      <c r="I385" s="200"/>
      <c r="J385" s="1"/>
      <c r="K385" s="32"/>
      <c r="L385" s="32"/>
      <c r="M385" s="6"/>
      <c r="N385" s="6"/>
      <c r="O385" s="6"/>
    </row>
    <row r="386" spans="2:15" x14ac:dyDescent="0.25">
      <c r="B386" s="32">
        <v>373</v>
      </c>
      <c r="C386" s="200"/>
      <c r="D386" s="200"/>
      <c r="E386" s="200"/>
      <c r="F386" s="200"/>
      <c r="G386" s="200"/>
      <c r="H386" s="200"/>
      <c r="I386" s="200"/>
      <c r="J386" s="1"/>
      <c r="K386" s="32"/>
      <c r="L386" s="32"/>
      <c r="M386" s="6"/>
      <c r="N386" s="6"/>
      <c r="O386" s="6"/>
    </row>
    <row r="387" spans="2:15" x14ac:dyDescent="0.25">
      <c r="B387" s="32">
        <v>374</v>
      </c>
      <c r="C387" s="200"/>
      <c r="D387" s="200"/>
      <c r="E387" s="200"/>
      <c r="F387" s="200"/>
      <c r="G387" s="200"/>
      <c r="H387" s="200"/>
      <c r="I387" s="200"/>
      <c r="J387" s="1"/>
      <c r="K387" s="32"/>
      <c r="L387" s="32"/>
      <c r="M387" s="6"/>
      <c r="N387" s="6"/>
      <c r="O387" s="6"/>
    </row>
    <row r="388" spans="2:15" x14ac:dyDescent="0.25">
      <c r="B388" s="32">
        <v>375</v>
      </c>
      <c r="C388" s="200"/>
      <c r="D388" s="200"/>
      <c r="E388" s="200"/>
      <c r="F388" s="200"/>
      <c r="G388" s="200"/>
      <c r="H388" s="200"/>
      <c r="I388" s="200"/>
      <c r="J388" s="1"/>
      <c r="K388" s="32"/>
      <c r="L388" s="32"/>
      <c r="M388" s="6"/>
      <c r="N388" s="6"/>
      <c r="O388" s="6"/>
    </row>
    <row r="389" spans="2:15" x14ac:dyDescent="0.25">
      <c r="B389" s="32">
        <v>376</v>
      </c>
      <c r="C389" s="200"/>
      <c r="D389" s="200"/>
      <c r="E389" s="200"/>
      <c r="F389" s="200"/>
      <c r="G389" s="200"/>
      <c r="H389" s="200"/>
      <c r="I389" s="200"/>
      <c r="J389" s="1"/>
      <c r="K389" s="32"/>
      <c r="L389" s="32"/>
      <c r="M389" s="6"/>
      <c r="N389" s="6"/>
      <c r="O389" s="6"/>
    </row>
    <row r="390" spans="2:15" x14ac:dyDescent="0.25">
      <c r="B390" s="32">
        <v>377</v>
      </c>
      <c r="C390" s="200"/>
      <c r="D390" s="200"/>
      <c r="E390" s="200"/>
      <c r="F390" s="200"/>
      <c r="G390" s="200"/>
      <c r="H390" s="200"/>
      <c r="I390" s="200"/>
      <c r="J390" s="1"/>
      <c r="K390" s="32"/>
      <c r="L390" s="32"/>
      <c r="M390" s="6"/>
      <c r="N390" s="6"/>
      <c r="O390" s="6"/>
    </row>
    <row r="391" spans="2:15" x14ac:dyDescent="0.25">
      <c r="B391" s="32">
        <v>378</v>
      </c>
      <c r="C391" s="200"/>
      <c r="D391" s="200"/>
      <c r="E391" s="200"/>
      <c r="F391" s="200"/>
      <c r="G391" s="200"/>
      <c r="H391" s="200"/>
      <c r="I391" s="200"/>
      <c r="J391" s="1"/>
      <c r="K391" s="32"/>
      <c r="L391" s="32"/>
      <c r="M391" s="6"/>
      <c r="N391" s="6"/>
      <c r="O391" s="6"/>
    </row>
    <row r="392" spans="2:15" x14ac:dyDescent="0.25">
      <c r="B392" s="32">
        <v>379</v>
      </c>
      <c r="C392" s="200"/>
      <c r="D392" s="200"/>
      <c r="E392" s="200"/>
      <c r="F392" s="200"/>
      <c r="G392" s="200"/>
      <c r="H392" s="200"/>
      <c r="I392" s="200"/>
      <c r="J392" s="1"/>
      <c r="K392" s="32"/>
      <c r="L392" s="32"/>
      <c r="M392" s="6"/>
      <c r="N392" s="6"/>
      <c r="O392" s="6"/>
    </row>
    <row r="393" spans="2:15" x14ac:dyDescent="0.25">
      <c r="B393" s="32">
        <v>380</v>
      </c>
      <c r="C393" s="200"/>
      <c r="D393" s="200"/>
      <c r="E393" s="200"/>
      <c r="F393" s="200"/>
      <c r="G393" s="200"/>
      <c r="H393" s="200"/>
      <c r="I393" s="200"/>
      <c r="J393" s="1"/>
      <c r="K393" s="32"/>
      <c r="L393" s="32"/>
      <c r="M393" s="6"/>
      <c r="N393" s="6"/>
      <c r="O393" s="6"/>
    </row>
    <row r="394" spans="2:15" x14ac:dyDescent="0.25">
      <c r="B394" s="32">
        <v>381</v>
      </c>
      <c r="C394" s="200"/>
      <c r="D394" s="200"/>
      <c r="E394" s="200"/>
      <c r="F394" s="200"/>
      <c r="G394" s="200"/>
      <c r="H394" s="200"/>
      <c r="I394" s="200"/>
      <c r="J394" s="1"/>
      <c r="K394" s="32"/>
      <c r="L394" s="32"/>
      <c r="M394" s="6"/>
      <c r="N394" s="6"/>
      <c r="O394" s="6"/>
    </row>
    <row r="395" spans="2:15" x14ac:dyDescent="0.25">
      <c r="B395" s="32">
        <v>382</v>
      </c>
      <c r="C395" s="200"/>
      <c r="D395" s="200"/>
      <c r="E395" s="200"/>
      <c r="F395" s="200"/>
      <c r="G395" s="200"/>
      <c r="H395" s="200"/>
      <c r="I395" s="200"/>
      <c r="J395" s="1"/>
      <c r="K395" s="32"/>
      <c r="L395" s="32"/>
      <c r="M395" s="6"/>
      <c r="N395" s="6"/>
      <c r="O395" s="6"/>
    </row>
    <row r="396" spans="2:15" x14ac:dyDescent="0.25">
      <c r="B396" s="32">
        <v>383</v>
      </c>
      <c r="C396" s="200"/>
      <c r="D396" s="200"/>
      <c r="E396" s="200"/>
      <c r="F396" s="200"/>
      <c r="G396" s="200"/>
      <c r="H396" s="200"/>
      <c r="I396" s="200"/>
      <c r="J396" s="1"/>
      <c r="K396" s="32"/>
      <c r="L396" s="32"/>
      <c r="M396" s="6"/>
      <c r="N396" s="6"/>
      <c r="O396" s="6"/>
    </row>
    <row r="397" spans="2:15" x14ac:dyDescent="0.25">
      <c r="B397" s="32">
        <v>384</v>
      </c>
      <c r="C397" s="200"/>
      <c r="D397" s="200"/>
      <c r="E397" s="200"/>
      <c r="F397" s="200"/>
      <c r="G397" s="200"/>
      <c r="H397" s="200"/>
      <c r="I397" s="200"/>
      <c r="J397" s="1"/>
      <c r="K397" s="32"/>
      <c r="L397" s="32"/>
      <c r="M397" s="6"/>
      <c r="N397" s="6"/>
      <c r="O397" s="6"/>
    </row>
    <row r="398" spans="2:15" x14ac:dyDescent="0.25">
      <c r="B398" s="32">
        <v>385</v>
      </c>
      <c r="C398" s="200"/>
      <c r="D398" s="200"/>
      <c r="E398" s="200"/>
      <c r="F398" s="200"/>
      <c r="G398" s="200"/>
      <c r="H398" s="200"/>
      <c r="I398" s="200"/>
      <c r="J398" s="1"/>
      <c r="K398" s="32"/>
      <c r="L398" s="32"/>
      <c r="M398" s="6"/>
      <c r="N398" s="6"/>
      <c r="O398" s="6"/>
    </row>
    <row r="399" spans="2:15" x14ac:dyDescent="0.25">
      <c r="B399" s="32">
        <v>386</v>
      </c>
      <c r="C399" s="200"/>
      <c r="D399" s="200"/>
      <c r="E399" s="200"/>
      <c r="F399" s="200"/>
      <c r="G399" s="200"/>
      <c r="H399" s="200"/>
      <c r="I399" s="200"/>
      <c r="J399" s="1"/>
      <c r="K399" s="32"/>
      <c r="L399" s="32"/>
      <c r="M399" s="6"/>
      <c r="N399" s="6"/>
      <c r="O399" s="6"/>
    </row>
    <row r="400" spans="2:15" x14ac:dyDescent="0.25">
      <c r="B400" s="32">
        <v>387</v>
      </c>
      <c r="C400" s="200"/>
      <c r="D400" s="200"/>
      <c r="E400" s="200"/>
      <c r="F400" s="200"/>
      <c r="G400" s="200"/>
      <c r="H400" s="200"/>
      <c r="I400" s="200"/>
      <c r="J400" s="1"/>
      <c r="K400" s="32"/>
      <c r="L400" s="32"/>
      <c r="M400" s="6"/>
      <c r="N400" s="6"/>
      <c r="O400" s="6"/>
    </row>
    <row r="401" spans="2:15" x14ac:dyDescent="0.25">
      <c r="B401" s="32">
        <v>388</v>
      </c>
      <c r="C401" s="200"/>
      <c r="D401" s="200"/>
      <c r="E401" s="200"/>
      <c r="F401" s="200"/>
      <c r="G401" s="200"/>
      <c r="H401" s="200"/>
      <c r="I401" s="200"/>
      <c r="J401" s="1"/>
      <c r="K401" s="32"/>
      <c r="L401" s="32"/>
      <c r="M401" s="6"/>
      <c r="N401" s="6"/>
      <c r="O401" s="6"/>
    </row>
    <row r="402" spans="2:15" x14ac:dyDescent="0.25">
      <c r="B402" s="32">
        <v>389</v>
      </c>
      <c r="C402" s="200"/>
      <c r="D402" s="200"/>
      <c r="E402" s="200"/>
      <c r="F402" s="200"/>
      <c r="G402" s="200"/>
      <c r="H402" s="200"/>
      <c r="I402" s="200"/>
      <c r="J402" s="1"/>
      <c r="K402" s="32"/>
      <c r="L402" s="32"/>
      <c r="M402" s="6"/>
      <c r="N402" s="6"/>
      <c r="O402" s="6"/>
    </row>
    <row r="403" spans="2:15" x14ac:dyDescent="0.25">
      <c r="B403" s="32">
        <v>390</v>
      </c>
      <c r="C403" s="200"/>
      <c r="D403" s="200"/>
      <c r="E403" s="200"/>
      <c r="F403" s="200"/>
      <c r="G403" s="200"/>
      <c r="H403" s="200"/>
      <c r="I403" s="200"/>
      <c r="J403" s="1"/>
      <c r="K403" s="32"/>
      <c r="L403" s="32"/>
      <c r="M403" s="6"/>
      <c r="N403" s="6"/>
      <c r="O403" s="6"/>
    </row>
    <row r="404" spans="2:15" x14ac:dyDescent="0.25">
      <c r="B404" s="32">
        <v>391</v>
      </c>
      <c r="C404" s="200"/>
      <c r="D404" s="200"/>
      <c r="E404" s="200"/>
      <c r="F404" s="200"/>
      <c r="G404" s="200"/>
      <c r="H404" s="200"/>
      <c r="I404" s="200"/>
      <c r="J404" s="1"/>
      <c r="K404" s="32"/>
      <c r="L404" s="32"/>
      <c r="M404" s="6"/>
      <c r="N404" s="6"/>
      <c r="O404" s="6"/>
    </row>
    <row r="405" spans="2:15" x14ac:dyDescent="0.25">
      <c r="B405" s="32">
        <v>392</v>
      </c>
      <c r="C405" s="200"/>
      <c r="D405" s="200"/>
      <c r="E405" s="200"/>
      <c r="F405" s="200"/>
      <c r="G405" s="200"/>
      <c r="H405" s="200"/>
      <c r="I405" s="200"/>
      <c r="J405" s="1"/>
      <c r="K405" s="32"/>
      <c r="L405" s="32"/>
      <c r="M405" s="6"/>
      <c r="N405" s="6"/>
      <c r="O405" s="6"/>
    </row>
    <row r="406" spans="2:15" x14ac:dyDescent="0.25">
      <c r="B406" s="32">
        <v>393</v>
      </c>
      <c r="C406" s="200"/>
      <c r="D406" s="200"/>
      <c r="E406" s="200"/>
      <c r="F406" s="200"/>
      <c r="G406" s="200"/>
      <c r="H406" s="200"/>
      <c r="I406" s="200"/>
      <c r="J406" s="1"/>
      <c r="K406" s="32"/>
      <c r="L406" s="32"/>
      <c r="M406" s="6"/>
      <c r="N406" s="6"/>
      <c r="O406" s="6"/>
    </row>
    <row r="407" spans="2:15" x14ac:dyDescent="0.25">
      <c r="B407" s="32">
        <v>394</v>
      </c>
      <c r="C407" s="200"/>
      <c r="D407" s="200"/>
      <c r="E407" s="200"/>
      <c r="F407" s="200"/>
      <c r="G407" s="200"/>
      <c r="H407" s="200"/>
      <c r="I407" s="200"/>
      <c r="J407" s="1"/>
      <c r="K407" s="32"/>
      <c r="L407" s="32"/>
      <c r="M407" s="6"/>
      <c r="N407" s="6"/>
      <c r="O407" s="6"/>
    </row>
    <row r="408" spans="2:15" x14ac:dyDescent="0.25">
      <c r="B408" s="32">
        <v>395</v>
      </c>
      <c r="C408" s="200"/>
      <c r="D408" s="200"/>
      <c r="E408" s="200"/>
      <c r="F408" s="200"/>
      <c r="G408" s="200"/>
      <c r="H408" s="200"/>
      <c r="I408" s="200"/>
      <c r="J408" s="1"/>
      <c r="K408" s="32"/>
      <c r="L408" s="32"/>
      <c r="M408" s="6"/>
      <c r="N408" s="6"/>
      <c r="O408" s="6"/>
    </row>
    <row r="409" spans="2:15" x14ac:dyDescent="0.25">
      <c r="B409" s="32">
        <v>396</v>
      </c>
      <c r="C409" s="200"/>
      <c r="D409" s="200"/>
      <c r="E409" s="200"/>
      <c r="F409" s="200"/>
      <c r="G409" s="200"/>
      <c r="H409" s="200"/>
      <c r="I409" s="200"/>
      <c r="J409" s="1"/>
      <c r="K409" s="32"/>
      <c r="L409" s="32"/>
      <c r="M409" s="6"/>
      <c r="N409" s="6"/>
      <c r="O409" s="6"/>
    </row>
    <row r="410" spans="2:15" x14ac:dyDescent="0.25">
      <c r="B410" s="32">
        <v>397</v>
      </c>
      <c r="C410" s="200"/>
      <c r="D410" s="200"/>
      <c r="E410" s="200"/>
      <c r="F410" s="200"/>
      <c r="G410" s="200"/>
      <c r="H410" s="200"/>
      <c r="I410" s="200"/>
      <c r="J410" s="1"/>
      <c r="K410" s="32"/>
      <c r="L410" s="32"/>
      <c r="M410" s="6"/>
      <c r="N410" s="6"/>
      <c r="O410" s="6"/>
    </row>
    <row r="411" spans="2:15" x14ac:dyDescent="0.25">
      <c r="B411" s="32">
        <v>398</v>
      </c>
      <c r="C411" s="200"/>
      <c r="D411" s="200"/>
      <c r="E411" s="200"/>
      <c r="F411" s="200"/>
      <c r="G411" s="200"/>
      <c r="H411" s="200"/>
      <c r="I411" s="200"/>
      <c r="J411" s="1"/>
      <c r="K411" s="32"/>
      <c r="L411" s="32"/>
      <c r="M411" s="6"/>
      <c r="N411" s="6"/>
      <c r="O411" s="6"/>
    </row>
    <row r="412" spans="2:15" x14ac:dyDescent="0.25">
      <c r="B412" s="32">
        <v>399</v>
      </c>
      <c r="C412" s="200"/>
      <c r="D412" s="200"/>
      <c r="E412" s="200"/>
      <c r="F412" s="200"/>
      <c r="G412" s="200"/>
      <c r="H412" s="200"/>
      <c r="I412" s="200"/>
      <c r="J412" s="1"/>
      <c r="K412" s="32"/>
      <c r="L412" s="32"/>
      <c r="M412" s="6"/>
      <c r="N412" s="6"/>
      <c r="O412" s="6"/>
    </row>
    <row r="413" spans="2:15" x14ac:dyDescent="0.25">
      <c r="B413" s="32">
        <v>400</v>
      </c>
      <c r="C413" s="200"/>
      <c r="D413" s="200"/>
      <c r="E413" s="200"/>
      <c r="F413" s="200"/>
      <c r="G413" s="200"/>
      <c r="H413" s="200"/>
      <c r="I413" s="200"/>
      <c r="J413" s="1"/>
      <c r="K413" s="32"/>
      <c r="L413" s="32"/>
      <c r="M413" s="6"/>
      <c r="N413" s="6"/>
      <c r="O413" s="6"/>
    </row>
    <row r="414" spans="2:15" x14ac:dyDescent="0.25">
      <c r="B414" s="32">
        <v>401</v>
      </c>
      <c r="C414" s="200"/>
      <c r="D414" s="200"/>
      <c r="E414" s="200"/>
      <c r="F414" s="200"/>
      <c r="G414" s="200"/>
      <c r="H414" s="200"/>
      <c r="I414" s="200"/>
      <c r="J414" s="1"/>
      <c r="K414" s="32"/>
      <c r="L414" s="32"/>
      <c r="M414" s="6"/>
      <c r="N414" s="6"/>
      <c r="O414" s="6"/>
    </row>
    <row r="415" spans="2:15" x14ac:dyDescent="0.25">
      <c r="B415" s="32">
        <v>402</v>
      </c>
      <c r="C415" s="200"/>
      <c r="D415" s="200"/>
      <c r="E415" s="200"/>
      <c r="F415" s="200"/>
      <c r="G415" s="200"/>
      <c r="H415" s="200"/>
      <c r="I415" s="200"/>
      <c r="J415" s="1"/>
      <c r="K415" s="32"/>
      <c r="L415" s="32"/>
      <c r="M415" s="6"/>
      <c r="N415" s="6"/>
      <c r="O415" s="6"/>
    </row>
    <row r="416" spans="2:15" x14ac:dyDescent="0.25">
      <c r="B416" s="32">
        <v>403</v>
      </c>
      <c r="C416" s="200"/>
      <c r="D416" s="200"/>
      <c r="E416" s="200"/>
      <c r="F416" s="200"/>
      <c r="G416" s="200"/>
      <c r="H416" s="200"/>
      <c r="I416" s="200"/>
      <c r="J416" s="1"/>
      <c r="K416" s="32"/>
      <c r="L416" s="32"/>
      <c r="M416" s="6"/>
      <c r="N416" s="6"/>
      <c r="O416" s="6"/>
    </row>
    <row r="417" spans="2:15" x14ac:dyDescent="0.25">
      <c r="B417" s="32">
        <v>404</v>
      </c>
      <c r="C417" s="200"/>
      <c r="D417" s="200"/>
      <c r="E417" s="200"/>
      <c r="F417" s="200"/>
      <c r="G417" s="200"/>
      <c r="H417" s="200"/>
      <c r="I417" s="200"/>
      <c r="J417" s="1"/>
      <c r="K417" s="32"/>
      <c r="L417" s="32"/>
      <c r="M417" s="6"/>
      <c r="N417" s="6"/>
      <c r="O417" s="6"/>
    </row>
    <row r="418" spans="2:15" x14ac:dyDescent="0.25">
      <c r="B418" s="32">
        <v>405</v>
      </c>
      <c r="C418" s="200"/>
      <c r="D418" s="200"/>
      <c r="E418" s="200"/>
      <c r="F418" s="200"/>
      <c r="G418" s="200"/>
      <c r="H418" s="200"/>
      <c r="I418" s="200"/>
      <c r="J418" s="1"/>
      <c r="K418" s="32"/>
      <c r="L418" s="32"/>
      <c r="M418" s="6"/>
      <c r="N418" s="6"/>
      <c r="O418" s="6"/>
    </row>
    <row r="419" spans="2:15" x14ac:dyDescent="0.25">
      <c r="B419" s="32">
        <v>406</v>
      </c>
      <c r="C419" s="200"/>
      <c r="D419" s="200"/>
      <c r="E419" s="200"/>
      <c r="F419" s="200"/>
      <c r="G419" s="200"/>
      <c r="H419" s="200"/>
      <c r="I419" s="200"/>
      <c r="J419" s="1"/>
      <c r="K419" s="32"/>
      <c r="L419" s="32"/>
      <c r="M419" s="6"/>
      <c r="N419" s="6"/>
      <c r="O419" s="6"/>
    </row>
    <row r="420" spans="2:15" x14ac:dyDescent="0.25">
      <c r="B420" s="32">
        <v>407</v>
      </c>
      <c r="C420" s="200"/>
      <c r="D420" s="200"/>
      <c r="E420" s="200"/>
      <c r="F420" s="200"/>
      <c r="G420" s="200"/>
      <c r="H420" s="200"/>
      <c r="I420" s="200"/>
      <c r="J420" s="1"/>
      <c r="K420" s="32"/>
      <c r="L420" s="32"/>
      <c r="M420" s="6"/>
      <c r="N420" s="6"/>
      <c r="O420" s="6"/>
    </row>
    <row r="421" spans="2:15" x14ac:dyDescent="0.25">
      <c r="B421" s="32">
        <v>408</v>
      </c>
      <c r="C421" s="200"/>
      <c r="D421" s="200"/>
      <c r="E421" s="200"/>
      <c r="F421" s="200"/>
      <c r="G421" s="200"/>
      <c r="H421" s="200"/>
      <c r="I421" s="200"/>
      <c r="J421" s="1"/>
      <c r="K421" s="32"/>
      <c r="L421" s="32"/>
      <c r="M421" s="6"/>
      <c r="N421" s="6"/>
      <c r="O421" s="6"/>
    </row>
    <row r="422" spans="2:15" x14ac:dyDescent="0.25">
      <c r="B422" s="32">
        <v>409</v>
      </c>
      <c r="C422" s="200"/>
      <c r="D422" s="200"/>
      <c r="E422" s="200"/>
      <c r="F422" s="200"/>
      <c r="G422" s="200"/>
      <c r="H422" s="200"/>
      <c r="I422" s="200"/>
      <c r="J422" s="1"/>
      <c r="K422" s="32"/>
      <c r="L422" s="32"/>
      <c r="M422" s="6"/>
      <c r="N422" s="6"/>
      <c r="O422" s="6"/>
    </row>
    <row r="423" spans="2:15" x14ac:dyDescent="0.25">
      <c r="B423" s="32">
        <v>410</v>
      </c>
      <c r="C423" s="200"/>
      <c r="D423" s="200"/>
      <c r="E423" s="200"/>
      <c r="F423" s="200"/>
      <c r="G423" s="200"/>
      <c r="H423" s="200"/>
      <c r="I423" s="200"/>
      <c r="J423" s="1"/>
      <c r="K423" s="32"/>
      <c r="L423" s="32"/>
      <c r="M423" s="6"/>
      <c r="N423" s="6"/>
      <c r="O423" s="6"/>
    </row>
    <row r="424" spans="2:15" x14ac:dyDescent="0.25">
      <c r="B424" s="32">
        <v>411</v>
      </c>
      <c r="C424" s="200"/>
      <c r="D424" s="200"/>
      <c r="E424" s="200"/>
      <c r="F424" s="200"/>
      <c r="G424" s="200"/>
      <c r="H424" s="200"/>
      <c r="I424" s="200"/>
      <c r="J424" s="1"/>
      <c r="K424" s="32"/>
      <c r="L424" s="32"/>
      <c r="M424" s="6"/>
      <c r="N424" s="6"/>
      <c r="O424" s="6"/>
    </row>
    <row r="425" spans="2:15" x14ac:dyDescent="0.25">
      <c r="B425" s="32">
        <v>412</v>
      </c>
      <c r="C425" s="200"/>
      <c r="D425" s="200"/>
      <c r="E425" s="200"/>
      <c r="F425" s="200"/>
      <c r="G425" s="200"/>
      <c r="H425" s="200"/>
      <c r="I425" s="200"/>
      <c r="J425" s="1"/>
      <c r="K425" s="32"/>
      <c r="L425" s="32"/>
      <c r="M425" s="6"/>
      <c r="N425" s="6"/>
      <c r="O425" s="6"/>
    </row>
    <row r="426" spans="2:15" x14ac:dyDescent="0.25">
      <c r="B426" s="32">
        <v>413</v>
      </c>
      <c r="C426" s="200"/>
      <c r="D426" s="200"/>
      <c r="E426" s="200"/>
      <c r="F426" s="200"/>
      <c r="G426" s="200"/>
      <c r="H426" s="200"/>
      <c r="I426" s="200"/>
      <c r="J426" s="1"/>
      <c r="K426" s="32"/>
      <c r="L426" s="32"/>
      <c r="M426" s="6"/>
      <c r="N426" s="6"/>
      <c r="O426" s="6"/>
    </row>
    <row r="427" spans="2:15" x14ac:dyDescent="0.25">
      <c r="B427" s="32">
        <v>414</v>
      </c>
      <c r="C427" s="200"/>
      <c r="D427" s="200"/>
      <c r="E427" s="200"/>
      <c r="F427" s="200"/>
      <c r="G427" s="200"/>
      <c r="H427" s="200"/>
      <c r="I427" s="200"/>
      <c r="J427" s="1"/>
      <c r="K427" s="32"/>
      <c r="L427" s="32"/>
      <c r="M427" s="6"/>
      <c r="N427" s="6"/>
      <c r="O427" s="6"/>
    </row>
    <row r="428" spans="2:15" x14ac:dyDescent="0.25">
      <c r="B428" s="32">
        <v>415</v>
      </c>
      <c r="C428" s="200"/>
      <c r="D428" s="200"/>
      <c r="E428" s="200"/>
      <c r="F428" s="200"/>
      <c r="G428" s="200"/>
      <c r="H428" s="200"/>
      <c r="I428" s="200"/>
      <c r="J428" s="1"/>
      <c r="K428" s="32"/>
      <c r="L428" s="32"/>
      <c r="M428" s="6"/>
      <c r="N428" s="6"/>
      <c r="O428" s="6"/>
    </row>
    <row r="429" spans="2:15" x14ac:dyDescent="0.25">
      <c r="B429" s="32">
        <v>416</v>
      </c>
      <c r="C429" s="200"/>
      <c r="D429" s="200"/>
      <c r="E429" s="200"/>
      <c r="F429" s="200"/>
      <c r="G429" s="200"/>
      <c r="H429" s="200"/>
      <c r="I429" s="200"/>
      <c r="J429" s="1"/>
      <c r="K429" s="32"/>
      <c r="L429" s="32"/>
      <c r="M429" s="6"/>
      <c r="N429" s="6"/>
      <c r="O429" s="6"/>
    </row>
    <row r="430" spans="2:15" x14ac:dyDescent="0.25">
      <c r="B430" s="32">
        <v>417</v>
      </c>
      <c r="C430" s="200"/>
      <c r="D430" s="200"/>
      <c r="E430" s="200"/>
      <c r="F430" s="200"/>
      <c r="G430" s="200"/>
      <c r="H430" s="200"/>
      <c r="I430" s="200"/>
      <c r="J430" s="1"/>
      <c r="K430" s="32"/>
      <c r="L430" s="32"/>
      <c r="M430" s="6"/>
      <c r="N430" s="6"/>
      <c r="O430" s="6"/>
    </row>
    <row r="431" spans="2:15" x14ac:dyDescent="0.25">
      <c r="B431" s="32">
        <v>418</v>
      </c>
      <c r="C431" s="200"/>
      <c r="D431" s="200"/>
      <c r="E431" s="200"/>
      <c r="F431" s="200"/>
      <c r="G431" s="200"/>
      <c r="H431" s="200"/>
      <c r="I431" s="200"/>
      <c r="J431" s="1"/>
      <c r="K431" s="32"/>
      <c r="L431" s="32"/>
      <c r="M431" s="6"/>
      <c r="N431" s="6"/>
      <c r="O431" s="6"/>
    </row>
    <row r="432" spans="2:15" x14ac:dyDescent="0.25">
      <c r="B432" s="32">
        <v>419</v>
      </c>
      <c r="C432" s="200"/>
      <c r="D432" s="200"/>
      <c r="E432" s="200"/>
      <c r="F432" s="200"/>
      <c r="G432" s="200"/>
      <c r="H432" s="200"/>
      <c r="I432" s="200"/>
      <c r="J432" s="1"/>
      <c r="K432" s="32"/>
      <c r="L432" s="32"/>
      <c r="M432" s="6"/>
      <c r="N432" s="6"/>
      <c r="O432" s="6"/>
    </row>
    <row r="433" spans="2:15" x14ac:dyDescent="0.25">
      <c r="B433" s="32">
        <v>420</v>
      </c>
      <c r="C433" s="200"/>
      <c r="D433" s="200"/>
      <c r="E433" s="200"/>
      <c r="F433" s="200"/>
      <c r="G433" s="200"/>
      <c r="H433" s="200"/>
      <c r="I433" s="200"/>
      <c r="J433" s="1"/>
      <c r="K433" s="32"/>
      <c r="L433" s="32"/>
      <c r="M433" s="6"/>
      <c r="N433" s="6"/>
      <c r="O433" s="6"/>
    </row>
    <row r="434" spans="2:15" x14ac:dyDescent="0.25">
      <c r="B434" s="32">
        <v>421</v>
      </c>
      <c r="C434" s="200"/>
      <c r="D434" s="200"/>
      <c r="E434" s="200"/>
      <c r="F434" s="200"/>
      <c r="G434" s="200"/>
      <c r="H434" s="200"/>
      <c r="I434" s="200"/>
      <c r="J434" s="1"/>
      <c r="K434" s="32"/>
      <c r="L434" s="32"/>
      <c r="M434" s="6"/>
      <c r="N434" s="6"/>
      <c r="O434" s="6"/>
    </row>
    <row r="435" spans="2:15" x14ac:dyDescent="0.25">
      <c r="B435" s="32">
        <v>422</v>
      </c>
      <c r="C435" s="200"/>
      <c r="D435" s="200"/>
      <c r="E435" s="200"/>
      <c r="F435" s="200"/>
      <c r="G435" s="200"/>
      <c r="H435" s="200"/>
      <c r="I435" s="200"/>
      <c r="J435" s="1"/>
      <c r="K435" s="32"/>
      <c r="L435" s="32"/>
      <c r="M435" s="6"/>
      <c r="N435" s="6"/>
      <c r="O435" s="6"/>
    </row>
    <row r="436" spans="2:15" x14ac:dyDescent="0.25">
      <c r="B436" s="32">
        <v>423</v>
      </c>
      <c r="C436" s="200"/>
      <c r="D436" s="200"/>
      <c r="E436" s="200"/>
      <c r="F436" s="200"/>
      <c r="G436" s="200"/>
      <c r="H436" s="200"/>
      <c r="I436" s="200"/>
      <c r="J436" s="1"/>
      <c r="K436" s="32"/>
      <c r="L436" s="32"/>
      <c r="M436" s="6"/>
      <c r="N436" s="6"/>
      <c r="O436" s="6"/>
    </row>
    <row r="437" spans="2:15" x14ac:dyDescent="0.25">
      <c r="B437" s="32">
        <v>424</v>
      </c>
      <c r="C437" s="200"/>
      <c r="D437" s="200"/>
      <c r="E437" s="200"/>
      <c r="F437" s="200"/>
      <c r="G437" s="200"/>
      <c r="H437" s="200"/>
      <c r="I437" s="200"/>
      <c r="J437" s="1"/>
      <c r="K437" s="32"/>
      <c r="L437" s="32"/>
      <c r="M437" s="6"/>
      <c r="N437" s="6"/>
      <c r="O437" s="6"/>
    </row>
    <row r="438" spans="2:15" x14ac:dyDescent="0.25">
      <c r="B438" s="32">
        <v>425</v>
      </c>
      <c r="C438" s="200"/>
      <c r="D438" s="200"/>
      <c r="E438" s="200"/>
      <c r="F438" s="200"/>
      <c r="G438" s="200"/>
      <c r="H438" s="200"/>
      <c r="I438" s="200"/>
      <c r="J438" s="1"/>
      <c r="K438" s="32"/>
      <c r="L438" s="32"/>
      <c r="M438" s="6"/>
      <c r="N438" s="6"/>
      <c r="O438" s="6"/>
    </row>
    <row r="439" spans="2:15" x14ac:dyDescent="0.25">
      <c r="B439" s="32">
        <v>426</v>
      </c>
      <c r="C439" s="200"/>
      <c r="D439" s="200"/>
      <c r="E439" s="200"/>
      <c r="F439" s="200"/>
      <c r="G439" s="200"/>
      <c r="H439" s="200"/>
      <c r="I439" s="200"/>
      <c r="J439" s="1"/>
      <c r="K439" s="32"/>
      <c r="L439" s="32"/>
      <c r="M439" s="6"/>
      <c r="N439" s="6"/>
      <c r="O439" s="6"/>
    </row>
    <row r="440" spans="2:15" x14ac:dyDescent="0.25">
      <c r="B440" s="32">
        <v>427</v>
      </c>
      <c r="C440" s="200"/>
      <c r="D440" s="200"/>
      <c r="E440" s="200"/>
      <c r="F440" s="200"/>
      <c r="G440" s="200"/>
      <c r="H440" s="200"/>
      <c r="I440" s="200"/>
      <c r="J440" s="1"/>
      <c r="K440" s="32"/>
      <c r="L440" s="32"/>
      <c r="M440" s="6"/>
      <c r="N440" s="6"/>
      <c r="O440" s="6"/>
    </row>
    <row r="441" spans="2:15" x14ac:dyDescent="0.25">
      <c r="B441" s="32">
        <v>428</v>
      </c>
      <c r="C441" s="200"/>
      <c r="D441" s="200"/>
      <c r="E441" s="200"/>
      <c r="F441" s="200"/>
      <c r="G441" s="200"/>
      <c r="H441" s="200"/>
      <c r="I441" s="200"/>
      <c r="J441" s="1"/>
      <c r="K441" s="32"/>
      <c r="L441" s="32"/>
      <c r="M441" s="6"/>
      <c r="N441" s="6"/>
      <c r="O441" s="6"/>
    </row>
    <row r="442" spans="2:15" x14ac:dyDescent="0.25">
      <c r="B442" s="32">
        <v>429</v>
      </c>
      <c r="C442" s="200"/>
      <c r="D442" s="200"/>
      <c r="E442" s="200"/>
      <c r="F442" s="200"/>
      <c r="G442" s="200"/>
      <c r="H442" s="200"/>
      <c r="I442" s="200"/>
      <c r="J442" s="1"/>
      <c r="K442" s="32"/>
      <c r="L442" s="32"/>
      <c r="M442" s="6"/>
      <c r="N442" s="6"/>
      <c r="O442" s="6"/>
    </row>
    <row r="443" spans="2:15" x14ac:dyDescent="0.25">
      <c r="B443" s="32">
        <v>430</v>
      </c>
      <c r="C443" s="200"/>
      <c r="D443" s="200"/>
      <c r="E443" s="200"/>
      <c r="F443" s="200"/>
      <c r="G443" s="200"/>
      <c r="H443" s="200"/>
      <c r="I443" s="200"/>
      <c r="J443" s="1"/>
      <c r="K443" s="32"/>
      <c r="L443" s="32"/>
      <c r="M443" s="6"/>
      <c r="N443" s="6"/>
      <c r="O443" s="6"/>
    </row>
    <row r="444" spans="2:15" x14ac:dyDescent="0.25">
      <c r="B444" s="32">
        <v>431</v>
      </c>
      <c r="C444" s="200"/>
      <c r="D444" s="200"/>
      <c r="E444" s="200"/>
      <c r="F444" s="200"/>
      <c r="G444" s="200"/>
      <c r="H444" s="200"/>
      <c r="I444" s="200"/>
      <c r="J444" s="1"/>
      <c r="K444" s="32"/>
      <c r="L444" s="32"/>
      <c r="M444" s="6"/>
      <c r="N444" s="6"/>
      <c r="O444" s="6"/>
    </row>
    <row r="445" spans="2:15" x14ac:dyDescent="0.25">
      <c r="B445" s="32">
        <v>432</v>
      </c>
      <c r="C445" s="200"/>
      <c r="D445" s="200"/>
      <c r="E445" s="200"/>
      <c r="F445" s="200"/>
      <c r="G445" s="200"/>
      <c r="H445" s="200"/>
      <c r="I445" s="200"/>
      <c r="J445" s="1"/>
      <c r="K445" s="32"/>
      <c r="L445" s="32"/>
      <c r="M445" s="6"/>
      <c r="N445" s="6"/>
      <c r="O445" s="6"/>
    </row>
    <row r="446" spans="2:15" x14ac:dyDescent="0.25">
      <c r="B446" s="32">
        <v>433</v>
      </c>
      <c r="C446" s="200"/>
      <c r="D446" s="200"/>
      <c r="E446" s="200"/>
      <c r="F446" s="200"/>
      <c r="G446" s="200"/>
      <c r="H446" s="200"/>
      <c r="I446" s="200"/>
      <c r="J446" s="1"/>
      <c r="K446" s="32"/>
      <c r="L446" s="32"/>
      <c r="M446" s="6"/>
      <c r="N446" s="6"/>
      <c r="O446" s="6"/>
    </row>
    <row r="447" spans="2:15" x14ac:dyDescent="0.25">
      <c r="B447" s="32">
        <v>434</v>
      </c>
      <c r="C447" s="200"/>
      <c r="D447" s="200"/>
      <c r="E447" s="200"/>
      <c r="F447" s="200"/>
      <c r="G447" s="200"/>
      <c r="H447" s="200"/>
      <c r="I447" s="200"/>
      <c r="J447" s="1"/>
      <c r="K447" s="32"/>
      <c r="L447" s="32"/>
      <c r="M447" s="6"/>
      <c r="N447" s="6"/>
      <c r="O447" s="6"/>
    </row>
    <row r="448" spans="2:15" x14ac:dyDescent="0.25">
      <c r="B448" s="32">
        <v>435</v>
      </c>
      <c r="C448" s="200"/>
      <c r="D448" s="200"/>
      <c r="E448" s="200"/>
      <c r="F448" s="200"/>
      <c r="G448" s="200"/>
      <c r="H448" s="200"/>
      <c r="I448" s="200"/>
      <c r="J448" s="1"/>
      <c r="K448" s="32"/>
      <c r="L448" s="32"/>
      <c r="M448" s="6"/>
      <c r="N448" s="6"/>
      <c r="O448" s="6"/>
    </row>
    <row r="449" spans="2:15" x14ac:dyDescent="0.25">
      <c r="B449" s="32">
        <v>436</v>
      </c>
      <c r="C449" s="200"/>
      <c r="D449" s="200"/>
      <c r="E449" s="200"/>
      <c r="F449" s="200"/>
      <c r="G449" s="200"/>
      <c r="H449" s="200"/>
      <c r="I449" s="200"/>
      <c r="J449" s="1"/>
      <c r="K449" s="32"/>
      <c r="L449" s="32"/>
      <c r="M449" s="6"/>
      <c r="N449" s="6"/>
      <c r="O449" s="6"/>
    </row>
    <row r="450" spans="2:15" x14ac:dyDescent="0.25">
      <c r="B450" s="32">
        <v>437</v>
      </c>
      <c r="C450" s="200"/>
      <c r="D450" s="200"/>
      <c r="E450" s="200"/>
      <c r="F450" s="200"/>
      <c r="G450" s="200"/>
      <c r="H450" s="200"/>
      <c r="I450" s="200"/>
      <c r="J450" s="1"/>
      <c r="K450" s="32"/>
      <c r="L450" s="32"/>
      <c r="M450" s="6"/>
      <c r="N450" s="6"/>
      <c r="O450" s="6"/>
    </row>
    <row r="451" spans="2:15" x14ac:dyDescent="0.25">
      <c r="B451" s="32">
        <v>438</v>
      </c>
      <c r="C451" s="200"/>
      <c r="D451" s="200"/>
      <c r="E451" s="200"/>
      <c r="F451" s="200"/>
      <c r="G451" s="200"/>
      <c r="H451" s="200"/>
      <c r="I451" s="200"/>
      <c r="J451" s="1"/>
      <c r="K451" s="32"/>
      <c r="L451" s="32"/>
      <c r="M451" s="6"/>
      <c r="N451" s="6"/>
      <c r="O451" s="6"/>
    </row>
    <row r="452" spans="2:15" x14ac:dyDescent="0.25">
      <c r="B452" s="32">
        <v>439</v>
      </c>
      <c r="C452" s="200"/>
      <c r="D452" s="200"/>
      <c r="E452" s="200"/>
      <c r="F452" s="200"/>
      <c r="G452" s="200"/>
      <c r="H452" s="200"/>
      <c r="I452" s="200"/>
      <c r="J452" s="1"/>
      <c r="K452" s="32"/>
      <c r="L452" s="32"/>
      <c r="M452" s="6"/>
      <c r="N452" s="6"/>
      <c r="O452" s="6"/>
    </row>
    <row r="453" spans="2:15" x14ac:dyDescent="0.25">
      <c r="B453" s="32">
        <v>440</v>
      </c>
      <c r="C453" s="200"/>
      <c r="D453" s="200"/>
      <c r="E453" s="200"/>
      <c r="F453" s="200"/>
      <c r="G453" s="200"/>
      <c r="H453" s="200"/>
      <c r="I453" s="200"/>
      <c r="J453" s="1"/>
      <c r="K453" s="32"/>
      <c r="L453" s="32"/>
      <c r="M453" s="6"/>
      <c r="N453" s="6"/>
      <c r="O453" s="6"/>
    </row>
    <row r="454" spans="2:15" x14ac:dyDescent="0.25">
      <c r="B454" s="32">
        <v>441</v>
      </c>
      <c r="C454" s="200"/>
      <c r="D454" s="200"/>
      <c r="E454" s="200"/>
      <c r="F454" s="200"/>
      <c r="G454" s="200"/>
      <c r="H454" s="200"/>
      <c r="I454" s="200"/>
      <c r="J454" s="1"/>
      <c r="K454" s="32"/>
      <c r="L454" s="32"/>
      <c r="M454" s="6"/>
      <c r="N454" s="6"/>
      <c r="O454" s="6"/>
    </row>
    <row r="455" spans="2:15" x14ac:dyDescent="0.25">
      <c r="B455" s="32">
        <v>442</v>
      </c>
      <c r="C455" s="200"/>
      <c r="D455" s="200"/>
      <c r="E455" s="200"/>
      <c r="F455" s="200"/>
      <c r="G455" s="200"/>
      <c r="H455" s="200"/>
      <c r="I455" s="200"/>
      <c r="J455" s="1"/>
      <c r="K455" s="32"/>
      <c r="L455" s="32"/>
      <c r="M455" s="6"/>
      <c r="N455" s="6"/>
      <c r="O455" s="6"/>
    </row>
    <row r="456" spans="2:15" x14ac:dyDescent="0.25">
      <c r="B456" s="32">
        <v>443</v>
      </c>
      <c r="C456" s="200"/>
      <c r="D456" s="200"/>
      <c r="E456" s="200"/>
      <c r="F456" s="200"/>
      <c r="G456" s="200"/>
      <c r="H456" s="200"/>
      <c r="I456" s="200"/>
      <c r="J456" s="1"/>
      <c r="K456" s="32"/>
      <c r="L456" s="32"/>
      <c r="M456" s="6"/>
      <c r="N456" s="6"/>
      <c r="O456" s="6"/>
    </row>
    <row r="457" spans="2:15" x14ac:dyDescent="0.25">
      <c r="B457" s="32">
        <v>444</v>
      </c>
      <c r="C457" s="200"/>
      <c r="D457" s="200"/>
      <c r="E457" s="200"/>
      <c r="F457" s="200"/>
      <c r="G457" s="200"/>
      <c r="H457" s="200"/>
      <c r="I457" s="200"/>
      <c r="J457" s="1"/>
      <c r="K457" s="32"/>
      <c r="L457" s="32"/>
      <c r="M457" s="6"/>
      <c r="N457" s="6"/>
      <c r="O457" s="6"/>
    </row>
    <row r="458" spans="2:15" x14ac:dyDescent="0.25">
      <c r="B458" s="32">
        <v>445</v>
      </c>
      <c r="C458" s="200"/>
      <c r="D458" s="200"/>
      <c r="E458" s="200"/>
      <c r="F458" s="200"/>
      <c r="G458" s="200"/>
      <c r="H458" s="200"/>
      <c r="I458" s="200"/>
      <c r="J458" s="1"/>
      <c r="K458" s="32"/>
      <c r="L458" s="32"/>
      <c r="M458" s="6"/>
      <c r="N458" s="6"/>
      <c r="O458" s="6"/>
    </row>
    <row r="459" spans="2:15" x14ac:dyDescent="0.25">
      <c r="B459" s="32">
        <v>446</v>
      </c>
      <c r="C459" s="200"/>
      <c r="D459" s="200"/>
      <c r="E459" s="200"/>
      <c r="F459" s="200"/>
      <c r="G459" s="200"/>
      <c r="H459" s="200"/>
      <c r="I459" s="200"/>
      <c r="J459" s="1"/>
      <c r="K459" s="32"/>
      <c r="L459" s="32"/>
      <c r="M459" s="6"/>
      <c r="N459" s="6"/>
      <c r="O459" s="6"/>
    </row>
    <row r="460" spans="2:15" x14ac:dyDescent="0.25">
      <c r="B460" s="32">
        <v>447</v>
      </c>
      <c r="C460" s="200"/>
      <c r="D460" s="200"/>
      <c r="E460" s="200"/>
      <c r="F460" s="200"/>
      <c r="G460" s="200"/>
      <c r="H460" s="200"/>
      <c r="I460" s="200"/>
      <c r="J460" s="1"/>
      <c r="K460" s="32"/>
      <c r="L460" s="32"/>
      <c r="M460" s="6"/>
      <c r="N460" s="6"/>
      <c r="O460" s="6"/>
    </row>
    <row r="461" spans="2:15" x14ac:dyDescent="0.25">
      <c r="B461" s="32">
        <v>448</v>
      </c>
      <c r="C461" s="200"/>
      <c r="D461" s="200"/>
      <c r="E461" s="200"/>
      <c r="F461" s="200"/>
      <c r="G461" s="200"/>
      <c r="H461" s="200"/>
      <c r="I461" s="200"/>
      <c r="J461" s="1"/>
      <c r="K461" s="32"/>
      <c r="L461" s="32"/>
      <c r="M461" s="6"/>
      <c r="N461" s="6"/>
      <c r="O461" s="6"/>
    </row>
    <row r="462" spans="2:15" x14ac:dyDescent="0.25">
      <c r="B462" s="32">
        <v>449</v>
      </c>
      <c r="C462" s="200"/>
      <c r="D462" s="200"/>
      <c r="E462" s="200"/>
      <c r="F462" s="200"/>
      <c r="G462" s="200"/>
      <c r="H462" s="200"/>
      <c r="I462" s="200"/>
      <c r="J462" s="1"/>
      <c r="K462" s="32"/>
      <c r="L462" s="32"/>
      <c r="M462" s="6"/>
      <c r="N462" s="6"/>
      <c r="O462" s="6"/>
    </row>
    <row r="463" spans="2:15" x14ac:dyDescent="0.25">
      <c r="B463" s="32">
        <v>450</v>
      </c>
      <c r="C463" s="200"/>
      <c r="D463" s="200"/>
      <c r="E463" s="200"/>
      <c r="F463" s="200"/>
      <c r="G463" s="200"/>
      <c r="H463" s="200"/>
      <c r="I463" s="200"/>
      <c r="J463" s="1"/>
      <c r="K463" s="32"/>
      <c r="L463" s="32"/>
      <c r="M463" s="6"/>
      <c r="N463" s="6"/>
      <c r="O463" s="6"/>
    </row>
    <row r="464" spans="2:15" x14ac:dyDescent="0.25">
      <c r="B464" s="32">
        <v>451</v>
      </c>
      <c r="C464" s="200"/>
      <c r="D464" s="200"/>
      <c r="E464" s="200"/>
      <c r="F464" s="200"/>
      <c r="G464" s="200"/>
      <c r="H464" s="200"/>
      <c r="I464" s="200"/>
      <c r="J464" s="1"/>
      <c r="K464" s="32"/>
      <c r="L464" s="32"/>
      <c r="M464" s="6"/>
      <c r="N464" s="6"/>
      <c r="O464" s="6"/>
    </row>
    <row r="465" spans="2:15" x14ac:dyDescent="0.25">
      <c r="B465" s="32">
        <v>452</v>
      </c>
      <c r="C465" s="200"/>
      <c r="D465" s="200"/>
      <c r="E465" s="200"/>
      <c r="F465" s="200"/>
      <c r="G465" s="200"/>
      <c r="H465" s="200"/>
      <c r="I465" s="200"/>
      <c r="J465" s="1"/>
      <c r="K465" s="32"/>
      <c r="L465" s="32"/>
      <c r="M465" s="6"/>
      <c r="N465" s="6"/>
      <c r="O465" s="6"/>
    </row>
    <row r="466" spans="2:15" x14ac:dyDescent="0.25">
      <c r="B466" s="32">
        <v>453</v>
      </c>
      <c r="C466" s="200"/>
      <c r="D466" s="200"/>
      <c r="E466" s="200"/>
      <c r="F466" s="200"/>
      <c r="G466" s="200"/>
      <c r="H466" s="200"/>
      <c r="I466" s="200"/>
      <c r="J466" s="1"/>
      <c r="K466" s="32"/>
      <c r="L466" s="32"/>
      <c r="M466" s="6"/>
      <c r="N466" s="6"/>
      <c r="O466" s="6"/>
    </row>
    <row r="467" spans="2:15" x14ac:dyDescent="0.25">
      <c r="B467" s="32">
        <v>454</v>
      </c>
      <c r="C467" s="200"/>
      <c r="D467" s="200"/>
      <c r="E467" s="200"/>
      <c r="F467" s="200"/>
      <c r="G467" s="200"/>
      <c r="H467" s="200"/>
      <c r="I467" s="200"/>
      <c r="J467" s="1"/>
      <c r="K467" s="32"/>
      <c r="L467" s="32"/>
      <c r="M467" s="6"/>
      <c r="N467" s="6"/>
      <c r="O467" s="6"/>
    </row>
    <row r="468" spans="2:15" x14ac:dyDescent="0.25">
      <c r="B468" s="32">
        <v>455</v>
      </c>
      <c r="C468" s="200"/>
      <c r="D468" s="200"/>
      <c r="E468" s="200"/>
      <c r="F468" s="200"/>
      <c r="G468" s="200"/>
      <c r="H468" s="200"/>
      <c r="I468" s="200"/>
      <c r="J468" s="1"/>
      <c r="K468" s="32"/>
      <c r="L468" s="32"/>
      <c r="M468" s="6"/>
      <c r="N468" s="6"/>
      <c r="O468" s="6"/>
    </row>
    <row r="469" spans="2:15" x14ac:dyDescent="0.25">
      <c r="B469" s="32">
        <v>456</v>
      </c>
      <c r="C469" s="200"/>
      <c r="D469" s="200"/>
      <c r="E469" s="200"/>
      <c r="F469" s="200"/>
      <c r="G469" s="200"/>
      <c r="H469" s="200"/>
      <c r="I469" s="200"/>
      <c r="J469" s="1"/>
      <c r="K469" s="32"/>
      <c r="L469" s="32"/>
      <c r="M469" s="6"/>
      <c r="N469" s="6"/>
      <c r="O469" s="6"/>
    </row>
    <row r="470" spans="2:15" x14ac:dyDescent="0.25">
      <c r="B470" s="32">
        <v>457</v>
      </c>
      <c r="C470" s="200"/>
      <c r="D470" s="200"/>
      <c r="E470" s="200"/>
      <c r="F470" s="200"/>
      <c r="G470" s="200"/>
      <c r="H470" s="200"/>
      <c r="I470" s="200"/>
      <c r="J470" s="1"/>
      <c r="K470" s="32"/>
      <c r="L470" s="32"/>
      <c r="M470" s="6"/>
      <c r="N470" s="6"/>
      <c r="O470" s="6"/>
    </row>
    <row r="471" spans="2:15" x14ac:dyDescent="0.25">
      <c r="B471" s="32">
        <v>458</v>
      </c>
      <c r="C471" s="200"/>
      <c r="D471" s="200"/>
      <c r="E471" s="200"/>
      <c r="F471" s="200"/>
      <c r="G471" s="200"/>
      <c r="H471" s="200"/>
      <c r="I471" s="200"/>
      <c r="J471" s="1"/>
      <c r="K471" s="32"/>
      <c r="L471" s="32"/>
      <c r="M471" s="6"/>
      <c r="N471" s="6"/>
      <c r="O471" s="6"/>
    </row>
    <row r="472" spans="2:15" x14ac:dyDescent="0.25">
      <c r="B472" s="32">
        <v>459</v>
      </c>
      <c r="C472" s="200"/>
      <c r="D472" s="200"/>
      <c r="E472" s="200"/>
      <c r="F472" s="200"/>
      <c r="G472" s="200"/>
      <c r="H472" s="200"/>
      <c r="I472" s="200"/>
      <c r="J472" s="1"/>
      <c r="K472" s="32"/>
      <c r="L472" s="32"/>
      <c r="M472" s="6"/>
      <c r="N472" s="6"/>
      <c r="O472" s="6"/>
    </row>
    <row r="473" spans="2:15" x14ac:dyDescent="0.25">
      <c r="B473" s="32">
        <v>460</v>
      </c>
      <c r="C473" s="200"/>
      <c r="D473" s="200"/>
      <c r="E473" s="200"/>
      <c r="F473" s="200"/>
      <c r="G473" s="200"/>
      <c r="H473" s="200"/>
      <c r="I473" s="200"/>
      <c r="J473" s="1"/>
      <c r="K473" s="32"/>
      <c r="L473" s="32"/>
      <c r="M473" s="6"/>
      <c r="N473" s="6"/>
      <c r="O473" s="6"/>
    </row>
    <row r="474" spans="2:15" x14ac:dyDescent="0.25">
      <c r="B474" s="32">
        <v>461</v>
      </c>
      <c r="C474" s="200"/>
      <c r="D474" s="200"/>
      <c r="E474" s="200"/>
      <c r="F474" s="200"/>
      <c r="G474" s="200"/>
      <c r="H474" s="200"/>
      <c r="I474" s="200"/>
      <c r="J474" s="1"/>
      <c r="K474" s="32"/>
      <c r="L474" s="32"/>
      <c r="M474" s="6"/>
      <c r="N474" s="6"/>
      <c r="O474" s="6"/>
    </row>
    <row r="475" spans="2:15" x14ac:dyDescent="0.25">
      <c r="B475" s="32">
        <v>462</v>
      </c>
      <c r="C475" s="200"/>
      <c r="D475" s="200"/>
      <c r="E475" s="200"/>
      <c r="F475" s="200"/>
      <c r="G475" s="200"/>
      <c r="H475" s="200"/>
      <c r="I475" s="200"/>
      <c r="J475" s="1"/>
      <c r="K475" s="32"/>
      <c r="L475" s="32"/>
      <c r="M475" s="6"/>
      <c r="N475" s="6"/>
      <c r="O475" s="6"/>
    </row>
    <row r="476" spans="2:15" x14ac:dyDescent="0.25">
      <c r="B476" s="32">
        <v>463</v>
      </c>
      <c r="C476" s="200"/>
      <c r="D476" s="200"/>
      <c r="E476" s="200"/>
      <c r="F476" s="200"/>
      <c r="G476" s="200"/>
      <c r="H476" s="200"/>
      <c r="I476" s="200"/>
      <c r="J476" s="1"/>
      <c r="K476" s="32"/>
      <c r="L476" s="32"/>
      <c r="M476" s="6"/>
      <c r="N476" s="6"/>
      <c r="O476" s="6"/>
    </row>
    <row r="477" spans="2:15" x14ac:dyDescent="0.25">
      <c r="B477" s="32">
        <v>464</v>
      </c>
      <c r="C477" s="200"/>
      <c r="D477" s="200"/>
      <c r="E477" s="200"/>
      <c r="F477" s="200"/>
      <c r="G477" s="200"/>
      <c r="H477" s="200"/>
      <c r="I477" s="200"/>
      <c r="J477" s="1"/>
      <c r="K477" s="32"/>
      <c r="L477" s="32"/>
      <c r="M477" s="6"/>
      <c r="N477" s="6"/>
      <c r="O477" s="6"/>
    </row>
    <row r="478" spans="2:15" x14ac:dyDescent="0.25">
      <c r="B478" s="32">
        <v>465</v>
      </c>
      <c r="C478" s="200"/>
      <c r="D478" s="200"/>
      <c r="E478" s="200"/>
      <c r="F478" s="200"/>
      <c r="G478" s="200"/>
      <c r="H478" s="200"/>
      <c r="I478" s="200"/>
      <c r="J478" s="1"/>
      <c r="K478" s="32"/>
      <c r="L478" s="32"/>
      <c r="M478" s="6"/>
      <c r="N478" s="6"/>
      <c r="O478" s="6"/>
    </row>
    <row r="479" spans="2:15" x14ac:dyDescent="0.25">
      <c r="B479" s="32">
        <v>466</v>
      </c>
      <c r="C479" s="200"/>
      <c r="D479" s="200"/>
      <c r="E479" s="200"/>
      <c r="F479" s="200"/>
      <c r="G479" s="200"/>
      <c r="H479" s="200"/>
      <c r="I479" s="200"/>
      <c r="J479" s="1"/>
      <c r="K479" s="32"/>
      <c r="L479" s="32"/>
      <c r="M479" s="6"/>
      <c r="N479" s="6"/>
      <c r="O479" s="6"/>
    </row>
    <row r="480" spans="2:15" x14ac:dyDescent="0.25">
      <c r="B480" s="32">
        <v>467</v>
      </c>
      <c r="C480" s="200"/>
      <c r="D480" s="200"/>
      <c r="E480" s="200"/>
      <c r="F480" s="200"/>
      <c r="G480" s="200"/>
      <c r="H480" s="200"/>
      <c r="I480" s="200"/>
      <c r="J480" s="1"/>
      <c r="K480" s="32"/>
      <c r="L480" s="32"/>
      <c r="M480" s="6"/>
      <c r="N480" s="6"/>
      <c r="O480" s="6"/>
    </row>
    <row r="481" spans="2:15" x14ac:dyDescent="0.25">
      <c r="B481" s="32">
        <v>468</v>
      </c>
      <c r="C481" s="200"/>
      <c r="D481" s="200"/>
      <c r="E481" s="200"/>
      <c r="F481" s="200"/>
      <c r="G481" s="200"/>
      <c r="H481" s="200"/>
      <c r="I481" s="200"/>
      <c r="J481" s="1"/>
      <c r="K481" s="32"/>
      <c r="L481" s="32"/>
      <c r="M481" s="6"/>
      <c r="N481" s="6"/>
      <c r="O481" s="6"/>
    </row>
    <row r="482" spans="2:15" x14ac:dyDescent="0.25">
      <c r="B482" s="32">
        <v>469</v>
      </c>
      <c r="C482" s="200"/>
      <c r="D482" s="200"/>
      <c r="E482" s="200"/>
      <c r="F482" s="200"/>
      <c r="G482" s="200"/>
      <c r="H482" s="200"/>
      <c r="I482" s="200"/>
      <c r="J482" s="1"/>
      <c r="K482" s="32"/>
      <c r="L482" s="32"/>
      <c r="M482" s="6"/>
      <c r="N482" s="6"/>
      <c r="O482" s="6"/>
    </row>
    <row r="483" spans="2:15" x14ac:dyDescent="0.25">
      <c r="B483" s="32">
        <v>470</v>
      </c>
      <c r="C483" s="200"/>
      <c r="D483" s="200"/>
      <c r="E483" s="200"/>
      <c r="F483" s="200"/>
      <c r="G483" s="200"/>
      <c r="H483" s="200"/>
      <c r="I483" s="200"/>
      <c r="J483" s="1"/>
      <c r="K483" s="32"/>
      <c r="L483" s="32"/>
      <c r="M483" s="6"/>
      <c r="N483" s="6"/>
      <c r="O483" s="6"/>
    </row>
    <row r="484" spans="2:15" x14ac:dyDescent="0.25">
      <c r="B484" s="32">
        <v>471</v>
      </c>
      <c r="C484" s="200"/>
      <c r="D484" s="200"/>
      <c r="E484" s="200"/>
      <c r="F484" s="200"/>
      <c r="G484" s="200"/>
      <c r="H484" s="200"/>
      <c r="I484" s="200"/>
      <c r="J484" s="1"/>
      <c r="K484" s="32"/>
      <c r="L484" s="32"/>
      <c r="M484" s="6"/>
      <c r="N484" s="6"/>
      <c r="O484" s="6"/>
    </row>
    <row r="485" spans="2:15" x14ac:dyDescent="0.25">
      <c r="B485" s="32">
        <v>472</v>
      </c>
      <c r="C485" s="200"/>
      <c r="D485" s="200"/>
      <c r="E485" s="200"/>
      <c r="F485" s="200"/>
      <c r="G485" s="200"/>
      <c r="H485" s="200"/>
      <c r="I485" s="200"/>
      <c r="J485" s="1"/>
      <c r="K485" s="32"/>
      <c r="L485" s="32"/>
      <c r="M485" s="6"/>
      <c r="N485" s="6"/>
      <c r="O485" s="6"/>
    </row>
    <row r="486" spans="2:15" x14ac:dyDescent="0.25">
      <c r="B486" s="32">
        <v>473</v>
      </c>
      <c r="C486" s="200"/>
      <c r="D486" s="200"/>
      <c r="E486" s="200"/>
      <c r="F486" s="200"/>
      <c r="G486" s="200"/>
      <c r="H486" s="200"/>
      <c r="I486" s="200"/>
      <c r="J486" s="1"/>
      <c r="K486" s="32"/>
      <c r="L486" s="32"/>
      <c r="M486" s="6"/>
      <c r="N486" s="6"/>
      <c r="O486" s="6"/>
    </row>
    <row r="487" spans="2:15" x14ac:dyDescent="0.25">
      <c r="B487" s="32">
        <v>474</v>
      </c>
      <c r="C487" s="200"/>
      <c r="D487" s="200"/>
      <c r="E487" s="200"/>
      <c r="F487" s="200"/>
      <c r="G487" s="200"/>
      <c r="H487" s="200"/>
      <c r="I487" s="200"/>
      <c r="J487" s="1"/>
      <c r="K487" s="32"/>
      <c r="L487" s="32"/>
      <c r="M487" s="6"/>
      <c r="N487" s="6"/>
      <c r="O487" s="6"/>
    </row>
    <row r="488" spans="2:15" x14ac:dyDescent="0.25">
      <c r="B488" s="32">
        <v>475</v>
      </c>
      <c r="C488" s="200"/>
      <c r="D488" s="200"/>
      <c r="E488" s="200"/>
      <c r="F488" s="200"/>
      <c r="G488" s="200"/>
      <c r="H488" s="200"/>
      <c r="I488" s="200"/>
      <c r="J488" s="1"/>
      <c r="K488" s="32"/>
      <c r="L488" s="32"/>
      <c r="M488" s="6"/>
      <c r="N488" s="6"/>
      <c r="O488" s="6"/>
    </row>
    <row r="489" spans="2:15" x14ac:dyDescent="0.25">
      <c r="B489" s="32">
        <v>476</v>
      </c>
      <c r="C489" s="200"/>
      <c r="D489" s="200"/>
      <c r="E489" s="200"/>
      <c r="F489" s="200"/>
      <c r="G489" s="200"/>
      <c r="H489" s="200"/>
      <c r="I489" s="200"/>
      <c r="J489" s="1"/>
      <c r="K489" s="32"/>
      <c r="L489" s="32"/>
      <c r="M489" s="6"/>
      <c r="N489" s="6"/>
      <c r="O489" s="6"/>
    </row>
    <row r="490" spans="2:15" x14ac:dyDescent="0.25">
      <c r="B490" s="32">
        <v>477</v>
      </c>
      <c r="C490" s="200"/>
      <c r="D490" s="200"/>
      <c r="E490" s="200"/>
      <c r="F490" s="200"/>
      <c r="G490" s="200"/>
      <c r="H490" s="200"/>
      <c r="I490" s="200"/>
      <c r="J490" s="1"/>
      <c r="K490" s="32"/>
      <c r="L490" s="32"/>
      <c r="M490" s="6"/>
      <c r="N490" s="6"/>
      <c r="O490" s="6"/>
    </row>
    <row r="491" spans="2:15" x14ac:dyDescent="0.25">
      <c r="B491" s="32">
        <v>478</v>
      </c>
      <c r="C491" s="200"/>
      <c r="D491" s="200"/>
      <c r="E491" s="200"/>
      <c r="F491" s="200"/>
      <c r="G491" s="200"/>
      <c r="H491" s="200"/>
      <c r="I491" s="200"/>
      <c r="J491" s="1"/>
      <c r="K491" s="32"/>
      <c r="L491" s="32"/>
      <c r="M491" s="6"/>
      <c r="N491" s="6"/>
      <c r="O491" s="6"/>
    </row>
    <row r="492" spans="2:15" x14ac:dyDescent="0.25">
      <c r="B492" s="32">
        <v>479</v>
      </c>
      <c r="C492" s="200"/>
      <c r="D492" s="200"/>
      <c r="E492" s="200"/>
      <c r="F492" s="200"/>
      <c r="G492" s="200"/>
      <c r="H492" s="200"/>
      <c r="I492" s="200"/>
      <c r="J492" s="1"/>
      <c r="K492" s="32"/>
      <c r="L492" s="32"/>
      <c r="M492" s="6"/>
      <c r="N492" s="6"/>
      <c r="O492" s="6"/>
    </row>
    <row r="493" spans="2:15" x14ac:dyDescent="0.25">
      <c r="B493" s="32">
        <v>480</v>
      </c>
      <c r="C493" s="200"/>
      <c r="D493" s="200"/>
      <c r="E493" s="200"/>
      <c r="F493" s="200"/>
      <c r="G493" s="200"/>
      <c r="H493" s="200"/>
      <c r="I493" s="200"/>
      <c r="J493" s="1"/>
      <c r="K493" s="32"/>
      <c r="L493" s="32"/>
      <c r="M493" s="6"/>
      <c r="N493" s="6"/>
      <c r="O493" s="6"/>
    </row>
    <row r="494" spans="2:15" x14ac:dyDescent="0.25">
      <c r="B494" s="32">
        <v>481</v>
      </c>
      <c r="C494" s="200"/>
      <c r="D494" s="200"/>
      <c r="E494" s="200"/>
      <c r="F494" s="200"/>
      <c r="G494" s="200"/>
      <c r="H494" s="200"/>
      <c r="I494" s="200"/>
      <c r="J494" s="1"/>
      <c r="K494" s="32"/>
      <c r="L494" s="32"/>
      <c r="M494" s="6"/>
      <c r="N494" s="6"/>
      <c r="O494" s="6"/>
    </row>
    <row r="495" spans="2:15" x14ac:dyDescent="0.25">
      <c r="B495" s="32">
        <v>482</v>
      </c>
      <c r="C495" s="200"/>
      <c r="D495" s="200"/>
      <c r="E495" s="200"/>
      <c r="F495" s="200"/>
      <c r="G495" s="200"/>
      <c r="H495" s="200"/>
      <c r="I495" s="200"/>
      <c r="J495" s="1"/>
      <c r="K495" s="32"/>
      <c r="L495" s="32"/>
      <c r="M495" s="6"/>
      <c r="N495" s="6"/>
      <c r="O495" s="6"/>
    </row>
    <row r="496" spans="2:15" x14ac:dyDescent="0.25">
      <c r="B496" s="32">
        <v>483</v>
      </c>
      <c r="C496" s="200"/>
      <c r="D496" s="200"/>
      <c r="E496" s="200"/>
      <c r="F496" s="200"/>
      <c r="G496" s="200"/>
      <c r="H496" s="200"/>
      <c r="I496" s="200"/>
      <c r="J496" s="1"/>
      <c r="K496" s="32"/>
      <c r="L496" s="32"/>
      <c r="M496" s="6"/>
      <c r="N496" s="6"/>
      <c r="O496" s="6"/>
    </row>
    <row r="497" spans="2:15" x14ac:dyDescent="0.25">
      <c r="B497" s="32">
        <v>484</v>
      </c>
      <c r="C497" s="200"/>
      <c r="D497" s="200"/>
      <c r="E497" s="200"/>
      <c r="F497" s="200"/>
      <c r="G497" s="200"/>
      <c r="H497" s="200"/>
      <c r="I497" s="200"/>
      <c r="J497" s="1"/>
      <c r="K497" s="32"/>
      <c r="L497" s="32"/>
      <c r="M497" s="6"/>
      <c r="N497" s="6"/>
      <c r="O497" s="6"/>
    </row>
    <row r="498" spans="2:15" x14ac:dyDescent="0.25">
      <c r="B498" s="32">
        <v>485</v>
      </c>
      <c r="C498" s="200"/>
      <c r="D498" s="200"/>
      <c r="E498" s="200"/>
      <c r="F498" s="200"/>
      <c r="G498" s="200"/>
      <c r="H498" s="200"/>
      <c r="I498" s="200"/>
      <c r="J498" s="1"/>
      <c r="K498" s="32"/>
      <c r="L498" s="32"/>
      <c r="M498" s="6"/>
      <c r="N498" s="6"/>
      <c r="O498" s="6"/>
    </row>
    <row r="499" spans="2:15" x14ac:dyDescent="0.25">
      <c r="B499" s="32">
        <v>486</v>
      </c>
      <c r="C499" s="200"/>
      <c r="D499" s="200"/>
      <c r="E499" s="200"/>
      <c r="F499" s="200"/>
      <c r="G499" s="200"/>
      <c r="H499" s="200"/>
      <c r="I499" s="200"/>
      <c r="J499" s="1"/>
      <c r="K499" s="32"/>
      <c r="L499" s="32"/>
      <c r="M499" s="6"/>
      <c r="N499" s="6"/>
      <c r="O499" s="6"/>
    </row>
    <row r="500" spans="2:15" x14ac:dyDescent="0.25">
      <c r="B500" s="32">
        <v>487</v>
      </c>
      <c r="C500" s="200"/>
      <c r="D500" s="200"/>
      <c r="E500" s="200"/>
      <c r="F500" s="200"/>
      <c r="G500" s="200"/>
      <c r="H500" s="200"/>
      <c r="I500" s="200"/>
      <c r="J500" s="1"/>
      <c r="K500" s="32"/>
      <c r="L500" s="32"/>
      <c r="M500" s="6"/>
      <c r="N500" s="6"/>
      <c r="O500" s="6"/>
    </row>
    <row r="501" spans="2:15" x14ac:dyDescent="0.25">
      <c r="B501" s="32">
        <v>488</v>
      </c>
      <c r="C501" s="200"/>
      <c r="D501" s="200"/>
      <c r="E501" s="200"/>
      <c r="F501" s="200"/>
      <c r="G501" s="200"/>
      <c r="H501" s="200"/>
      <c r="I501" s="200"/>
      <c r="J501" s="1"/>
      <c r="K501" s="32"/>
      <c r="L501" s="32"/>
      <c r="M501" s="6"/>
      <c r="N501" s="6"/>
      <c r="O501" s="6"/>
    </row>
    <row r="502" spans="2:15" x14ac:dyDescent="0.25">
      <c r="B502" s="32">
        <v>489</v>
      </c>
      <c r="C502" s="200"/>
      <c r="D502" s="200"/>
      <c r="E502" s="200"/>
      <c r="F502" s="200"/>
      <c r="G502" s="200"/>
      <c r="H502" s="200"/>
      <c r="I502" s="200"/>
      <c r="J502" s="1"/>
      <c r="K502" s="32"/>
      <c r="L502" s="32"/>
      <c r="M502" s="6"/>
      <c r="N502" s="6"/>
      <c r="O502" s="6"/>
    </row>
    <row r="503" spans="2:15" x14ac:dyDescent="0.25">
      <c r="B503" s="32">
        <v>490</v>
      </c>
      <c r="C503" s="200"/>
      <c r="D503" s="200"/>
      <c r="E503" s="200"/>
      <c r="F503" s="200"/>
      <c r="G503" s="200"/>
      <c r="H503" s="200"/>
      <c r="I503" s="200"/>
      <c r="J503" s="1"/>
      <c r="K503" s="32"/>
      <c r="L503" s="32"/>
      <c r="M503" s="6"/>
      <c r="N503" s="6"/>
      <c r="O503" s="6"/>
    </row>
    <row r="504" spans="2:15" x14ac:dyDescent="0.25">
      <c r="B504" s="32">
        <v>491</v>
      </c>
      <c r="C504" s="200"/>
      <c r="D504" s="200"/>
      <c r="E504" s="200"/>
      <c r="F504" s="200"/>
      <c r="G504" s="200"/>
      <c r="H504" s="200"/>
      <c r="I504" s="200"/>
      <c r="J504" s="1"/>
      <c r="K504" s="32"/>
      <c r="L504" s="32"/>
      <c r="M504" s="6"/>
      <c r="N504" s="6"/>
      <c r="O504" s="6"/>
    </row>
    <row r="505" spans="2:15" x14ac:dyDescent="0.25">
      <c r="B505" s="32">
        <v>492</v>
      </c>
      <c r="C505" s="200"/>
      <c r="D505" s="200"/>
      <c r="E505" s="200"/>
      <c r="F505" s="200"/>
      <c r="G505" s="200"/>
      <c r="H505" s="200"/>
      <c r="I505" s="200"/>
      <c r="J505" s="1"/>
      <c r="K505" s="32"/>
      <c r="L505" s="32"/>
      <c r="M505" s="6"/>
      <c r="N505" s="6"/>
      <c r="O505" s="6"/>
    </row>
    <row r="506" spans="2:15" x14ac:dyDescent="0.25">
      <c r="B506" s="32">
        <v>493</v>
      </c>
      <c r="C506" s="200"/>
      <c r="D506" s="200"/>
      <c r="E506" s="200"/>
      <c r="F506" s="200"/>
      <c r="G506" s="200"/>
      <c r="H506" s="200"/>
      <c r="I506" s="200"/>
      <c r="J506" s="1"/>
      <c r="K506" s="32"/>
      <c r="L506" s="32"/>
      <c r="M506" s="6"/>
      <c r="N506" s="6"/>
      <c r="O506" s="6"/>
    </row>
    <row r="507" spans="2:15" x14ac:dyDescent="0.25">
      <c r="B507" s="32">
        <v>494</v>
      </c>
      <c r="C507" s="200"/>
      <c r="D507" s="200"/>
      <c r="E507" s="200"/>
      <c r="F507" s="200"/>
      <c r="G507" s="200"/>
      <c r="H507" s="200"/>
      <c r="I507" s="200"/>
      <c r="J507" s="1"/>
      <c r="K507" s="32"/>
      <c r="L507" s="32"/>
      <c r="M507" s="6"/>
      <c r="N507" s="6"/>
      <c r="O507" s="6"/>
    </row>
    <row r="508" spans="2:15" x14ac:dyDescent="0.25">
      <c r="B508" s="32">
        <v>495</v>
      </c>
      <c r="C508" s="200"/>
      <c r="D508" s="200"/>
      <c r="E508" s="200"/>
      <c r="F508" s="200"/>
      <c r="G508" s="200"/>
      <c r="H508" s="200"/>
      <c r="I508" s="200"/>
      <c r="J508" s="1"/>
      <c r="K508" s="32"/>
      <c r="L508" s="32"/>
      <c r="M508" s="6"/>
      <c r="N508" s="6"/>
      <c r="O508" s="6"/>
    </row>
    <row r="509" spans="2:15" x14ac:dyDescent="0.25">
      <c r="B509" s="32">
        <v>496</v>
      </c>
      <c r="C509" s="200"/>
      <c r="D509" s="200"/>
      <c r="E509" s="200"/>
      <c r="F509" s="200"/>
      <c r="G509" s="200"/>
      <c r="H509" s="200"/>
      <c r="I509" s="200"/>
      <c r="J509" s="1"/>
      <c r="K509" s="32"/>
      <c r="L509" s="32"/>
      <c r="M509" s="6"/>
      <c r="N509" s="6"/>
      <c r="O509" s="6"/>
    </row>
    <row r="510" spans="2:15" x14ac:dyDescent="0.25">
      <c r="B510" s="32">
        <v>497</v>
      </c>
      <c r="C510" s="200"/>
      <c r="D510" s="200"/>
      <c r="E510" s="200"/>
      <c r="F510" s="200"/>
      <c r="G510" s="200"/>
      <c r="H510" s="200"/>
      <c r="I510" s="200"/>
      <c r="J510" s="1"/>
      <c r="K510" s="32"/>
      <c r="L510" s="32"/>
      <c r="M510" s="6"/>
      <c r="N510" s="6"/>
      <c r="O510" s="6"/>
    </row>
    <row r="511" spans="2:15" x14ac:dyDescent="0.25">
      <c r="B511" s="32">
        <v>498</v>
      </c>
      <c r="C511" s="200"/>
      <c r="D511" s="200"/>
      <c r="E511" s="200"/>
      <c r="F511" s="200"/>
      <c r="G511" s="200"/>
      <c r="H511" s="200"/>
      <c r="I511" s="200"/>
      <c r="J511" s="1"/>
      <c r="K511" s="32"/>
      <c r="L511" s="32"/>
      <c r="M511" s="6"/>
      <c r="N511" s="6"/>
      <c r="O511" s="6"/>
    </row>
    <row r="512" spans="2:15" x14ac:dyDescent="0.25">
      <c r="B512" s="32">
        <v>499</v>
      </c>
      <c r="C512" s="200"/>
      <c r="D512" s="200"/>
      <c r="E512" s="200"/>
      <c r="F512" s="200"/>
      <c r="G512" s="200"/>
      <c r="H512" s="200"/>
      <c r="I512" s="200"/>
      <c r="J512" s="1"/>
      <c r="K512" s="32"/>
      <c r="L512" s="32"/>
      <c r="M512" s="6"/>
      <c r="N512" s="6"/>
      <c r="O512" s="6"/>
    </row>
    <row r="513" spans="2:15" x14ac:dyDescent="0.25">
      <c r="B513" s="32">
        <v>500</v>
      </c>
      <c r="C513" s="200"/>
      <c r="D513" s="200"/>
      <c r="E513" s="200"/>
      <c r="F513" s="200"/>
      <c r="G513" s="200"/>
      <c r="H513" s="200"/>
      <c r="I513" s="200"/>
      <c r="J513" s="1"/>
      <c r="K513" s="32"/>
      <c r="L513" s="32"/>
      <c r="M513" s="6"/>
      <c r="N513" s="6"/>
      <c r="O513" s="6"/>
    </row>
    <row r="514" spans="2:15" x14ac:dyDescent="0.25">
      <c r="B514" s="32">
        <v>501</v>
      </c>
      <c r="C514" s="200"/>
      <c r="D514" s="200"/>
      <c r="E514" s="200"/>
      <c r="F514" s="200"/>
      <c r="G514" s="200"/>
      <c r="H514" s="200"/>
      <c r="I514" s="200"/>
      <c r="J514" s="1"/>
      <c r="K514" s="32"/>
      <c r="L514" s="32"/>
      <c r="M514" s="6"/>
      <c r="N514" s="6"/>
      <c r="O514" s="6"/>
    </row>
    <row r="515" spans="2:15" x14ac:dyDescent="0.25">
      <c r="B515" s="32">
        <v>502</v>
      </c>
      <c r="C515" s="200"/>
      <c r="D515" s="200"/>
      <c r="E515" s="200"/>
      <c r="F515" s="200"/>
      <c r="G515" s="200"/>
      <c r="H515" s="200"/>
      <c r="I515" s="200"/>
      <c r="J515" s="1"/>
      <c r="K515" s="32"/>
      <c r="L515" s="32"/>
      <c r="M515" s="6"/>
      <c r="N515" s="6"/>
      <c r="O515" s="6"/>
    </row>
    <row r="516" spans="2:15" x14ac:dyDescent="0.25">
      <c r="B516" s="32">
        <v>503</v>
      </c>
      <c r="C516" s="200"/>
      <c r="D516" s="200"/>
      <c r="E516" s="200"/>
      <c r="F516" s="200"/>
      <c r="G516" s="200"/>
      <c r="H516" s="200"/>
      <c r="I516" s="200"/>
      <c r="J516" s="1"/>
      <c r="K516" s="32"/>
      <c r="L516" s="32"/>
      <c r="M516" s="6"/>
      <c r="N516" s="6"/>
      <c r="O516" s="6"/>
    </row>
    <row r="517" spans="2:15" x14ac:dyDescent="0.25">
      <c r="B517" s="32">
        <v>504</v>
      </c>
      <c r="C517" s="200"/>
      <c r="D517" s="200"/>
      <c r="E517" s="200"/>
      <c r="F517" s="200"/>
      <c r="G517" s="200"/>
      <c r="H517" s="200"/>
      <c r="I517" s="200"/>
      <c r="J517" s="1"/>
      <c r="K517" s="32"/>
      <c r="L517" s="32"/>
      <c r="M517" s="6"/>
      <c r="N517" s="6"/>
      <c r="O517" s="6"/>
    </row>
    <row r="518" spans="2:15" x14ac:dyDescent="0.25">
      <c r="B518" s="32">
        <v>505</v>
      </c>
      <c r="C518" s="200"/>
      <c r="D518" s="200"/>
      <c r="E518" s="200"/>
      <c r="F518" s="200"/>
      <c r="G518" s="200"/>
      <c r="H518" s="200"/>
      <c r="I518" s="200"/>
      <c r="J518" s="1"/>
      <c r="K518" s="32"/>
      <c r="L518" s="32"/>
      <c r="M518" s="6"/>
      <c r="N518" s="6"/>
      <c r="O518" s="6"/>
    </row>
    <row r="519" spans="2:15" x14ac:dyDescent="0.25">
      <c r="B519" s="32">
        <v>506</v>
      </c>
      <c r="C519" s="200"/>
      <c r="D519" s="200"/>
      <c r="E519" s="200"/>
      <c r="F519" s="200"/>
      <c r="G519" s="200"/>
      <c r="H519" s="200"/>
      <c r="I519" s="200"/>
      <c r="J519" s="1"/>
      <c r="K519" s="32"/>
      <c r="L519" s="32"/>
      <c r="M519" s="6"/>
      <c r="N519" s="6"/>
      <c r="O519" s="6"/>
    </row>
    <row r="520" spans="2:15" x14ac:dyDescent="0.25">
      <c r="B520" s="32">
        <v>507</v>
      </c>
      <c r="C520" s="200"/>
      <c r="D520" s="200"/>
      <c r="E520" s="200"/>
      <c r="F520" s="200"/>
      <c r="G520" s="200"/>
      <c r="H520" s="200"/>
      <c r="I520" s="200"/>
      <c r="J520" s="1"/>
      <c r="K520" s="32"/>
      <c r="L520" s="32"/>
      <c r="M520" s="6"/>
      <c r="N520" s="6"/>
      <c r="O520" s="6"/>
    </row>
    <row r="521" spans="2:15" x14ac:dyDescent="0.25">
      <c r="B521" s="32">
        <v>508</v>
      </c>
      <c r="C521" s="200"/>
      <c r="D521" s="200"/>
      <c r="E521" s="200"/>
      <c r="F521" s="200"/>
      <c r="G521" s="200"/>
      <c r="H521" s="200"/>
      <c r="I521" s="200"/>
      <c r="J521" s="1"/>
      <c r="K521" s="32"/>
      <c r="L521" s="32"/>
      <c r="M521" s="6"/>
      <c r="N521" s="6"/>
      <c r="O521" s="6"/>
    </row>
    <row r="522" spans="2:15" x14ac:dyDescent="0.25">
      <c r="B522" s="32">
        <v>509</v>
      </c>
      <c r="C522" s="200"/>
      <c r="D522" s="200"/>
      <c r="E522" s="200"/>
      <c r="F522" s="200"/>
      <c r="G522" s="200"/>
      <c r="H522" s="200"/>
      <c r="I522" s="200"/>
      <c r="J522" s="1"/>
      <c r="K522" s="32"/>
      <c r="L522" s="32"/>
      <c r="M522" s="6"/>
      <c r="N522" s="6"/>
      <c r="O522" s="6"/>
    </row>
    <row r="523" spans="2:15" x14ac:dyDescent="0.25">
      <c r="B523" s="32">
        <v>510</v>
      </c>
      <c r="C523" s="200"/>
      <c r="D523" s="200"/>
      <c r="E523" s="200"/>
      <c r="F523" s="200"/>
      <c r="G523" s="200"/>
      <c r="H523" s="200"/>
      <c r="I523" s="200"/>
      <c r="J523" s="1"/>
      <c r="K523" s="32"/>
      <c r="L523" s="32"/>
      <c r="M523" s="6"/>
      <c r="N523" s="6"/>
      <c r="O523" s="6"/>
    </row>
    <row r="524" spans="2:15" x14ac:dyDescent="0.25">
      <c r="B524" s="32">
        <v>511</v>
      </c>
      <c r="C524" s="200"/>
      <c r="D524" s="200"/>
      <c r="E524" s="200"/>
      <c r="F524" s="200"/>
      <c r="G524" s="200"/>
      <c r="H524" s="200"/>
      <c r="I524" s="200"/>
      <c r="J524" s="1"/>
      <c r="K524" s="32"/>
      <c r="L524" s="32"/>
      <c r="M524" s="6"/>
      <c r="N524" s="6"/>
      <c r="O524" s="6"/>
    </row>
    <row r="525" spans="2:15" x14ac:dyDescent="0.25">
      <c r="B525" s="32">
        <v>512</v>
      </c>
      <c r="C525" s="200"/>
      <c r="D525" s="200"/>
      <c r="E525" s="200"/>
      <c r="F525" s="200"/>
      <c r="G525" s="200"/>
      <c r="H525" s="200"/>
      <c r="I525" s="200"/>
      <c r="J525" s="1"/>
      <c r="K525" s="32"/>
      <c r="L525" s="32"/>
      <c r="M525" s="6"/>
      <c r="N525" s="6"/>
      <c r="O525" s="6"/>
    </row>
    <row r="526" spans="2:15" x14ac:dyDescent="0.25">
      <c r="B526" s="32">
        <v>513</v>
      </c>
      <c r="C526" s="200"/>
      <c r="D526" s="200"/>
      <c r="E526" s="200"/>
      <c r="F526" s="200"/>
      <c r="G526" s="200"/>
      <c r="H526" s="200"/>
      <c r="I526" s="200"/>
      <c r="J526" s="1"/>
      <c r="K526" s="32"/>
      <c r="L526" s="32"/>
      <c r="M526" s="6"/>
      <c r="N526" s="6"/>
      <c r="O526" s="6"/>
    </row>
    <row r="527" spans="2:15" x14ac:dyDescent="0.25">
      <c r="B527" s="32">
        <v>514</v>
      </c>
      <c r="C527" s="200"/>
      <c r="D527" s="200"/>
      <c r="E527" s="200"/>
      <c r="F527" s="200"/>
      <c r="G527" s="200"/>
      <c r="H527" s="200"/>
      <c r="I527" s="200"/>
      <c r="J527" s="1"/>
      <c r="K527" s="32"/>
      <c r="L527" s="32"/>
      <c r="M527" s="6"/>
      <c r="N527" s="6"/>
      <c r="O527" s="6"/>
    </row>
    <row r="528" spans="2:15" x14ac:dyDescent="0.25">
      <c r="B528" s="32">
        <v>515</v>
      </c>
      <c r="C528" s="200"/>
      <c r="D528" s="200"/>
      <c r="E528" s="200"/>
      <c r="F528" s="200"/>
      <c r="G528" s="200"/>
      <c r="H528" s="200"/>
      <c r="I528" s="200"/>
      <c r="J528" s="1"/>
      <c r="K528" s="32"/>
      <c r="L528" s="32"/>
      <c r="M528" s="6"/>
      <c r="N528" s="6"/>
      <c r="O528" s="6"/>
    </row>
    <row r="529" spans="2:15" x14ac:dyDescent="0.25">
      <c r="B529" s="32">
        <v>516</v>
      </c>
      <c r="C529" s="200"/>
      <c r="D529" s="200"/>
      <c r="E529" s="200"/>
      <c r="F529" s="200"/>
      <c r="G529" s="200"/>
      <c r="H529" s="200"/>
      <c r="I529" s="200"/>
      <c r="J529" s="1"/>
      <c r="K529" s="32"/>
      <c r="L529" s="32"/>
      <c r="M529" s="6"/>
      <c r="N529" s="6"/>
      <c r="O529" s="6"/>
    </row>
    <row r="530" spans="2:15" x14ac:dyDescent="0.25">
      <c r="B530" s="32">
        <v>517</v>
      </c>
      <c r="C530" s="200"/>
      <c r="D530" s="200"/>
      <c r="E530" s="200"/>
      <c r="F530" s="200"/>
      <c r="G530" s="200"/>
      <c r="H530" s="200"/>
      <c r="I530" s="200"/>
      <c r="J530" s="1"/>
      <c r="K530" s="32"/>
      <c r="L530" s="32"/>
      <c r="M530" s="6"/>
      <c r="N530" s="6"/>
      <c r="O530" s="6"/>
    </row>
    <row r="531" spans="2:15" x14ac:dyDescent="0.25">
      <c r="B531" s="32">
        <v>518</v>
      </c>
      <c r="C531" s="200"/>
      <c r="D531" s="200"/>
      <c r="E531" s="200"/>
      <c r="F531" s="200"/>
      <c r="G531" s="200"/>
      <c r="H531" s="200"/>
      <c r="I531" s="200"/>
      <c r="J531" s="1"/>
      <c r="K531" s="32"/>
      <c r="L531" s="32"/>
      <c r="M531" s="6"/>
      <c r="N531" s="6"/>
      <c r="O531" s="6"/>
    </row>
    <row r="532" spans="2:15" x14ac:dyDescent="0.25">
      <c r="B532" s="32">
        <v>519</v>
      </c>
      <c r="C532" s="200"/>
      <c r="D532" s="200"/>
      <c r="E532" s="200"/>
      <c r="F532" s="200"/>
      <c r="G532" s="200"/>
      <c r="H532" s="200"/>
      <c r="I532" s="200"/>
      <c r="J532" s="1"/>
      <c r="K532" s="32"/>
      <c r="L532" s="32"/>
      <c r="M532" s="6"/>
      <c r="N532" s="6"/>
      <c r="O532" s="6"/>
    </row>
    <row r="533" spans="2:15" x14ac:dyDescent="0.25">
      <c r="B533" s="32">
        <v>520</v>
      </c>
      <c r="C533" s="200"/>
      <c r="D533" s="200"/>
      <c r="E533" s="200"/>
      <c r="F533" s="200"/>
      <c r="G533" s="200"/>
      <c r="H533" s="200"/>
      <c r="I533" s="200"/>
      <c r="J533" s="1"/>
      <c r="K533" s="32"/>
      <c r="L533" s="32"/>
      <c r="M533" s="6"/>
      <c r="N533" s="6"/>
      <c r="O533" s="6"/>
    </row>
    <row r="534" spans="2:15" x14ac:dyDescent="0.25">
      <c r="B534" s="32">
        <v>521</v>
      </c>
      <c r="C534" s="200"/>
      <c r="D534" s="200"/>
      <c r="E534" s="200"/>
      <c r="F534" s="200"/>
      <c r="G534" s="200"/>
      <c r="H534" s="200"/>
      <c r="I534" s="200"/>
      <c r="J534" s="1"/>
      <c r="K534" s="32"/>
      <c r="L534" s="32"/>
      <c r="M534" s="6"/>
      <c r="N534" s="6"/>
      <c r="O534" s="6"/>
    </row>
    <row r="535" spans="2:15" x14ac:dyDescent="0.25">
      <c r="B535" s="32">
        <v>522</v>
      </c>
      <c r="C535" s="200"/>
      <c r="D535" s="200"/>
      <c r="E535" s="200"/>
      <c r="F535" s="200"/>
      <c r="G535" s="200"/>
      <c r="H535" s="200"/>
      <c r="I535" s="200"/>
      <c r="J535" s="1"/>
      <c r="K535" s="32"/>
      <c r="L535" s="32"/>
      <c r="M535" s="6"/>
      <c r="N535" s="6"/>
      <c r="O535" s="6"/>
    </row>
    <row r="536" spans="2:15" x14ac:dyDescent="0.25">
      <c r="B536" s="32">
        <v>523</v>
      </c>
      <c r="C536" s="200"/>
      <c r="D536" s="200"/>
      <c r="E536" s="200"/>
      <c r="F536" s="200"/>
      <c r="G536" s="200"/>
      <c r="H536" s="200"/>
      <c r="I536" s="200"/>
      <c r="J536" s="1"/>
      <c r="K536" s="32"/>
      <c r="L536" s="32"/>
      <c r="M536" s="6"/>
      <c r="N536" s="6"/>
      <c r="O536" s="6"/>
    </row>
    <row r="537" spans="2:15" x14ac:dyDescent="0.25">
      <c r="B537" s="32">
        <v>524</v>
      </c>
      <c r="C537" s="200"/>
      <c r="D537" s="200"/>
      <c r="E537" s="200"/>
      <c r="F537" s="200"/>
      <c r="G537" s="200"/>
      <c r="H537" s="200"/>
      <c r="I537" s="200"/>
      <c r="J537" s="1"/>
      <c r="K537" s="32"/>
      <c r="L537" s="32"/>
      <c r="M537" s="6"/>
      <c r="N537" s="6"/>
      <c r="O537" s="6"/>
    </row>
    <row r="538" spans="2:15" x14ac:dyDescent="0.25">
      <c r="B538" s="32">
        <v>525</v>
      </c>
      <c r="C538" s="200"/>
      <c r="D538" s="200"/>
      <c r="E538" s="200"/>
      <c r="F538" s="200"/>
      <c r="G538" s="200"/>
      <c r="H538" s="200"/>
      <c r="I538" s="200"/>
      <c r="J538" s="1"/>
      <c r="K538" s="32"/>
      <c r="L538" s="32"/>
      <c r="M538" s="6"/>
      <c r="N538" s="6"/>
      <c r="O538" s="6"/>
    </row>
    <row r="539" spans="2:15" x14ac:dyDescent="0.25">
      <c r="B539" s="32">
        <v>526</v>
      </c>
      <c r="C539" s="200"/>
      <c r="D539" s="200"/>
      <c r="E539" s="200"/>
      <c r="F539" s="200"/>
      <c r="G539" s="200"/>
      <c r="H539" s="200"/>
      <c r="I539" s="200"/>
      <c r="J539" s="1"/>
      <c r="K539" s="32"/>
      <c r="L539" s="32"/>
      <c r="M539" s="6"/>
      <c r="N539" s="6"/>
      <c r="O539" s="6"/>
    </row>
    <row r="540" spans="2:15" x14ac:dyDescent="0.25">
      <c r="B540" s="32">
        <v>527</v>
      </c>
      <c r="C540" s="200"/>
      <c r="D540" s="200"/>
      <c r="E540" s="200"/>
      <c r="F540" s="200"/>
      <c r="G540" s="200"/>
      <c r="H540" s="200"/>
      <c r="I540" s="200"/>
      <c r="J540" s="1"/>
      <c r="K540" s="32"/>
      <c r="L540" s="32"/>
      <c r="M540" s="6"/>
      <c r="N540" s="6"/>
      <c r="O540" s="6"/>
    </row>
    <row r="541" spans="2:15" x14ac:dyDescent="0.25">
      <c r="B541" s="32">
        <v>528</v>
      </c>
      <c r="C541" s="200"/>
      <c r="D541" s="200"/>
      <c r="E541" s="200"/>
      <c r="F541" s="200"/>
      <c r="G541" s="200"/>
      <c r="H541" s="200"/>
      <c r="I541" s="200"/>
      <c r="J541" s="1"/>
      <c r="K541" s="32"/>
      <c r="L541" s="32"/>
      <c r="M541" s="6"/>
      <c r="N541" s="6"/>
      <c r="O541" s="6"/>
    </row>
    <row r="542" spans="2:15" x14ac:dyDescent="0.25">
      <c r="B542" s="32">
        <v>529</v>
      </c>
      <c r="C542" s="200"/>
      <c r="D542" s="200"/>
      <c r="E542" s="200"/>
      <c r="F542" s="200"/>
      <c r="G542" s="200"/>
      <c r="H542" s="200"/>
      <c r="I542" s="200"/>
      <c r="J542" s="1"/>
      <c r="K542" s="32"/>
      <c r="L542" s="32"/>
      <c r="M542" s="6"/>
      <c r="N542" s="6"/>
      <c r="O542" s="6"/>
    </row>
    <row r="543" spans="2:15" x14ac:dyDescent="0.25">
      <c r="B543" s="32">
        <v>530</v>
      </c>
      <c r="C543" s="200"/>
      <c r="D543" s="200"/>
      <c r="E543" s="200"/>
      <c r="F543" s="200"/>
      <c r="G543" s="200"/>
      <c r="H543" s="200"/>
      <c r="I543" s="200"/>
      <c r="J543" s="1"/>
      <c r="K543" s="32"/>
      <c r="L543" s="32"/>
      <c r="M543" s="6"/>
      <c r="N543" s="6"/>
      <c r="O543" s="6"/>
    </row>
    <row r="544" spans="2:15" x14ac:dyDescent="0.25">
      <c r="B544" s="32">
        <v>531</v>
      </c>
      <c r="C544" s="200"/>
      <c r="D544" s="200"/>
      <c r="E544" s="200"/>
      <c r="F544" s="200"/>
      <c r="G544" s="200"/>
      <c r="H544" s="200"/>
      <c r="I544" s="200"/>
      <c r="J544" s="1"/>
      <c r="K544" s="32"/>
      <c r="L544" s="32"/>
      <c r="M544" s="6"/>
      <c r="N544" s="6"/>
      <c r="O544" s="6"/>
    </row>
    <row r="545" spans="2:15" x14ac:dyDescent="0.25">
      <c r="B545" s="32">
        <v>532</v>
      </c>
      <c r="C545" s="200"/>
      <c r="D545" s="200"/>
      <c r="E545" s="200"/>
      <c r="F545" s="200"/>
      <c r="G545" s="200"/>
      <c r="H545" s="200"/>
      <c r="I545" s="200"/>
      <c r="J545" s="1"/>
      <c r="K545" s="32"/>
      <c r="L545" s="32"/>
      <c r="M545" s="6"/>
      <c r="N545" s="6"/>
      <c r="O545" s="6"/>
    </row>
    <row r="546" spans="2:15" x14ac:dyDescent="0.25">
      <c r="B546" s="32">
        <v>533</v>
      </c>
      <c r="C546" s="200"/>
      <c r="D546" s="200"/>
      <c r="E546" s="200"/>
      <c r="F546" s="200"/>
      <c r="G546" s="200"/>
      <c r="H546" s="200"/>
      <c r="I546" s="200"/>
      <c r="J546" s="1"/>
      <c r="K546" s="32"/>
      <c r="L546" s="32"/>
      <c r="M546" s="6"/>
      <c r="N546" s="6"/>
      <c r="O546" s="6"/>
    </row>
    <row r="547" spans="2:15" x14ac:dyDescent="0.25">
      <c r="B547" s="32">
        <v>534</v>
      </c>
      <c r="C547" s="200"/>
      <c r="D547" s="200"/>
      <c r="E547" s="200"/>
      <c r="F547" s="200"/>
      <c r="G547" s="200"/>
      <c r="H547" s="200"/>
      <c r="I547" s="200"/>
      <c r="J547" s="1"/>
      <c r="K547" s="32"/>
      <c r="L547" s="32"/>
      <c r="M547" s="6"/>
      <c r="N547" s="6"/>
      <c r="O547" s="6"/>
    </row>
    <row r="548" spans="2:15" x14ac:dyDescent="0.25">
      <c r="B548" s="32">
        <v>535</v>
      </c>
      <c r="C548" s="200"/>
      <c r="D548" s="200"/>
      <c r="E548" s="200"/>
      <c r="F548" s="200"/>
      <c r="G548" s="200"/>
      <c r="H548" s="200"/>
      <c r="I548" s="200"/>
      <c r="J548" s="1"/>
      <c r="K548" s="32"/>
      <c r="L548" s="32"/>
      <c r="M548" s="6"/>
      <c r="N548" s="6"/>
      <c r="O548" s="6"/>
    </row>
    <row r="549" spans="2:15" x14ac:dyDescent="0.25">
      <c r="B549" s="32">
        <v>536</v>
      </c>
      <c r="C549" s="200"/>
      <c r="D549" s="200"/>
      <c r="E549" s="200"/>
      <c r="F549" s="200"/>
      <c r="G549" s="200"/>
      <c r="H549" s="200"/>
      <c r="I549" s="200"/>
      <c r="J549" s="1"/>
      <c r="K549" s="32"/>
      <c r="L549" s="32"/>
      <c r="M549" s="6"/>
      <c r="N549" s="6"/>
      <c r="O549" s="6"/>
    </row>
    <row r="550" spans="2:15" x14ac:dyDescent="0.25">
      <c r="B550" s="32">
        <v>537</v>
      </c>
      <c r="C550" s="200"/>
      <c r="D550" s="200"/>
      <c r="E550" s="200"/>
      <c r="F550" s="200"/>
      <c r="G550" s="200"/>
      <c r="H550" s="200"/>
      <c r="I550" s="200"/>
      <c r="J550" s="1"/>
      <c r="K550" s="32"/>
      <c r="L550" s="32"/>
      <c r="M550" s="6"/>
      <c r="N550" s="6"/>
      <c r="O550" s="6"/>
    </row>
    <row r="551" spans="2:15" x14ac:dyDescent="0.25">
      <c r="B551" s="32">
        <v>538</v>
      </c>
      <c r="C551" s="200"/>
      <c r="D551" s="200"/>
      <c r="E551" s="200"/>
      <c r="F551" s="200"/>
      <c r="G551" s="200"/>
      <c r="H551" s="200"/>
      <c r="I551" s="200"/>
      <c r="J551" s="1"/>
      <c r="K551" s="32"/>
      <c r="L551" s="32"/>
      <c r="M551" s="6"/>
      <c r="N551" s="6"/>
      <c r="O551" s="6"/>
    </row>
    <row r="552" spans="2:15" x14ac:dyDescent="0.25">
      <c r="B552" s="32">
        <v>539</v>
      </c>
      <c r="C552" s="200"/>
      <c r="D552" s="200"/>
      <c r="E552" s="200"/>
      <c r="F552" s="200"/>
      <c r="G552" s="200"/>
      <c r="H552" s="200"/>
      <c r="I552" s="200"/>
      <c r="J552" s="1"/>
      <c r="K552" s="32"/>
      <c r="L552" s="32"/>
      <c r="M552" s="6"/>
      <c r="N552" s="6"/>
      <c r="O552" s="6"/>
    </row>
    <row r="553" spans="2:15" x14ac:dyDescent="0.25">
      <c r="B553" s="32">
        <v>540</v>
      </c>
      <c r="C553" s="200"/>
      <c r="D553" s="200"/>
      <c r="E553" s="200"/>
      <c r="F553" s="200"/>
      <c r="G553" s="200"/>
      <c r="H553" s="200"/>
      <c r="I553" s="200"/>
      <c r="J553" s="1"/>
      <c r="K553" s="32"/>
      <c r="L553" s="32"/>
      <c r="M553" s="6"/>
      <c r="N553" s="6"/>
      <c r="O553" s="6"/>
    </row>
    <row r="554" spans="2:15" x14ac:dyDescent="0.25">
      <c r="B554" s="32">
        <v>541</v>
      </c>
      <c r="C554" s="200"/>
      <c r="D554" s="200"/>
      <c r="E554" s="200"/>
      <c r="F554" s="200"/>
      <c r="G554" s="200"/>
      <c r="H554" s="200"/>
      <c r="I554" s="200"/>
      <c r="J554" s="1"/>
      <c r="K554" s="32"/>
      <c r="L554" s="32"/>
      <c r="M554" s="6"/>
      <c r="N554" s="6"/>
      <c r="O554" s="6"/>
    </row>
    <row r="555" spans="2:15" x14ac:dyDescent="0.25">
      <c r="B555" s="32">
        <v>542</v>
      </c>
      <c r="C555" s="200"/>
      <c r="D555" s="200"/>
      <c r="E555" s="200"/>
      <c r="F555" s="200"/>
      <c r="G555" s="200"/>
      <c r="H555" s="200"/>
      <c r="I555" s="200"/>
      <c r="J555" s="1"/>
      <c r="K555" s="32"/>
      <c r="L555" s="32"/>
      <c r="M555" s="6"/>
      <c r="N555" s="6"/>
      <c r="O555" s="6"/>
    </row>
    <row r="556" spans="2:15" x14ac:dyDescent="0.25">
      <c r="B556" s="32">
        <v>543</v>
      </c>
      <c r="C556" s="200"/>
      <c r="D556" s="200"/>
      <c r="E556" s="200"/>
      <c r="F556" s="200"/>
      <c r="G556" s="200"/>
      <c r="H556" s="200"/>
      <c r="I556" s="200"/>
      <c r="J556" s="1"/>
      <c r="K556" s="32"/>
      <c r="L556" s="32"/>
      <c r="M556" s="6"/>
      <c r="N556" s="6"/>
      <c r="O556" s="6"/>
    </row>
    <row r="557" spans="2:15" x14ac:dyDescent="0.25">
      <c r="B557" s="32">
        <v>544</v>
      </c>
      <c r="C557" s="200"/>
      <c r="D557" s="200"/>
      <c r="E557" s="200"/>
      <c r="F557" s="200"/>
      <c r="G557" s="200"/>
      <c r="H557" s="200"/>
      <c r="I557" s="200"/>
      <c r="J557" s="1"/>
      <c r="K557" s="32"/>
      <c r="L557" s="32"/>
      <c r="M557" s="6"/>
      <c r="N557" s="6"/>
      <c r="O557" s="6"/>
    </row>
    <row r="558" spans="2:15" x14ac:dyDescent="0.25">
      <c r="B558" s="32">
        <v>545</v>
      </c>
      <c r="C558" s="200"/>
      <c r="D558" s="200"/>
      <c r="E558" s="200"/>
      <c r="F558" s="200"/>
      <c r="G558" s="200"/>
      <c r="H558" s="200"/>
      <c r="I558" s="200"/>
      <c r="J558" s="1"/>
      <c r="K558" s="32"/>
      <c r="L558" s="32"/>
      <c r="M558" s="6"/>
      <c r="N558" s="6"/>
      <c r="O558" s="6"/>
    </row>
    <row r="559" spans="2:15" x14ac:dyDescent="0.25">
      <c r="B559" s="32">
        <v>546</v>
      </c>
      <c r="C559" s="200"/>
      <c r="D559" s="200"/>
      <c r="E559" s="200"/>
      <c r="F559" s="200"/>
      <c r="G559" s="200"/>
      <c r="H559" s="200"/>
      <c r="I559" s="200"/>
      <c r="J559" s="1"/>
      <c r="K559" s="32"/>
      <c r="L559" s="32"/>
      <c r="M559" s="6"/>
      <c r="N559" s="6"/>
      <c r="O559" s="6"/>
    </row>
    <row r="560" spans="2:15" x14ac:dyDescent="0.25">
      <c r="B560" s="32">
        <v>547</v>
      </c>
      <c r="C560" s="200"/>
      <c r="D560" s="200"/>
      <c r="E560" s="200"/>
      <c r="F560" s="200"/>
      <c r="G560" s="200"/>
      <c r="H560" s="200"/>
      <c r="I560" s="200"/>
      <c r="J560" s="1"/>
      <c r="K560" s="32"/>
      <c r="L560" s="32"/>
      <c r="M560" s="6"/>
      <c r="N560" s="6"/>
      <c r="O560" s="6"/>
    </row>
    <row r="561" spans="2:15" x14ac:dyDescent="0.25">
      <c r="B561" s="32">
        <v>548</v>
      </c>
      <c r="C561" s="200"/>
      <c r="D561" s="200"/>
      <c r="E561" s="200"/>
      <c r="F561" s="200"/>
      <c r="G561" s="200"/>
      <c r="H561" s="200"/>
      <c r="I561" s="200"/>
      <c r="J561" s="1"/>
      <c r="K561" s="32"/>
      <c r="L561" s="32"/>
      <c r="M561" s="6"/>
      <c r="N561" s="6"/>
      <c r="O561" s="6"/>
    </row>
    <row r="562" spans="2:15" x14ac:dyDescent="0.25">
      <c r="B562" s="32">
        <v>549</v>
      </c>
      <c r="C562" s="200"/>
      <c r="D562" s="200"/>
      <c r="E562" s="200"/>
      <c r="F562" s="200"/>
      <c r="G562" s="200"/>
      <c r="H562" s="200"/>
      <c r="I562" s="200"/>
      <c r="J562" s="1"/>
      <c r="K562" s="32"/>
      <c r="L562" s="32"/>
      <c r="M562" s="6"/>
      <c r="N562" s="6"/>
      <c r="O562" s="6"/>
    </row>
    <row r="563" spans="2:15" x14ac:dyDescent="0.25">
      <c r="B563" s="32">
        <v>550</v>
      </c>
      <c r="C563" s="200"/>
      <c r="D563" s="200"/>
      <c r="E563" s="200"/>
      <c r="F563" s="200"/>
      <c r="G563" s="200"/>
      <c r="H563" s="200"/>
      <c r="I563" s="200"/>
      <c r="J563" s="1"/>
      <c r="K563" s="32"/>
      <c r="L563" s="32"/>
      <c r="M563" s="6"/>
      <c r="N563" s="6"/>
      <c r="O563" s="6"/>
    </row>
    <row r="564" spans="2:15" x14ac:dyDescent="0.25">
      <c r="B564" s="32">
        <v>551</v>
      </c>
      <c r="C564" s="200"/>
      <c r="D564" s="200"/>
      <c r="E564" s="200"/>
      <c r="F564" s="200"/>
      <c r="G564" s="200"/>
      <c r="H564" s="200"/>
      <c r="I564" s="200"/>
      <c r="J564" s="1"/>
      <c r="K564" s="32"/>
      <c r="L564" s="32"/>
      <c r="M564" s="6"/>
      <c r="N564" s="6"/>
      <c r="O564" s="6"/>
    </row>
    <row r="565" spans="2:15" x14ac:dyDescent="0.25">
      <c r="B565" s="32">
        <v>552</v>
      </c>
      <c r="C565" s="200"/>
      <c r="D565" s="200"/>
      <c r="E565" s="200"/>
      <c r="F565" s="200"/>
      <c r="G565" s="200"/>
      <c r="H565" s="200"/>
      <c r="I565" s="200"/>
      <c r="J565" s="1"/>
      <c r="K565" s="32"/>
      <c r="L565" s="32"/>
      <c r="M565" s="6"/>
      <c r="N565" s="6"/>
      <c r="O565" s="6"/>
    </row>
    <row r="566" spans="2:15" x14ac:dyDescent="0.25">
      <c r="B566" s="32">
        <v>553</v>
      </c>
      <c r="C566" s="200"/>
      <c r="D566" s="200"/>
      <c r="E566" s="200"/>
      <c r="F566" s="200"/>
      <c r="G566" s="200"/>
      <c r="H566" s="200"/>
      <c r="I566" s="200"/>
      <c r="J566" s="1"/>
      <c r="K566" s="32"/>
      <c r="L566" s="32"/>
      <c r="M566" s="6"/>
      <c r="N566" s="6"/>
      <c r="O566" s="6"/>
    </row>
    <row r="567" spans="2:15" x14ac:dyDescent="0.25">
      <c r="B567" s="32">
        <v>554</v>
      </c>
      <c r="C567" s="200"/>
      <c r="D567" s="200"/>
      <c r="E567" s="200"/>
      <c r="F567" s="200"/>
      <c r="G567" s="200"/>
      <c r="H567" s="200"/>
      <c r="I567" s="200"/>
      <c r="J567" s="1"/>
      <c r="K567" s="32"/>
      <c r="L567" s="32"/>
      <c r="M567" s="6"/>
      <c r="N567" s="6"/>
      <c r="O567" s="6"/>
    </row>
    <row r="568" spans="2:15" x14ac:dyDescent="0.25">
      <c r="B568" s="32">
        <v>555</v>
      </c>
      <c r="C568" s="200"/>
      <c r="D568" s="200"/>
      <c r="E568" s="200"/>
      <c r="F568" s="200"/>
      <c r="G568" s="200"/>
      <c r="H568" s="200"/>
      <c r="I568" s="200"/>
      <c r="J568" s="1"/>
      <c r="K568" s="32"/>
      <c r="L568" s="32"/>
      <c r="M568" s="6"/>
      <c r="N568" s="6"/>
      <c r="O568" s="6"/>
    </row>
    <row r="569" spans="2:15" x14ac:dyDescent="0.25">
      <c r="B569" s="32">
        <v>556</v>
      </c>
      <c r="C569" s="200"/>
      <c r="D569" s="200"/>
      <c r="E569" s="200"/>
      <c r="F569" s="200"/>
      <c r="G569" s="200"/>
      <c r="H569" s="200"/>
      <c r="I569" s="200"/>
      <c r="J569" s="1"/>
      <c r="K569" s="32"/>
      <c r="L569" s="32"/>
      <c r="M569" s="6"/>
      <c r="N569" s="6"/>
      <c r="O569" s="6"/>
    </row>
    <row r="570" spans="2:15" x14ac:dyDescent="0.25">
      <c r="B570" s="32">
        <v>557</v>
      </c>
      <c r="C570" s="200"/>
      <c r="D570" s="200"/>
      <c r="E570" s="200"/>
      <c r="F570" s="200"/>
      <c r="G570" s="200"/>
      <c r="H570" s="200"/>
      <c r="I570" s="200"/>
      <c r="J570" s="1"/>
      <c r="K570" s="32"/>
      <c r="L570" s="32"/>
      <c r="M570" s="6"/>
      <c r="N570" s="6"/>
      <c r="O570" s="6"/>
    </row>
    <row r="571" spans="2:15" x14ac:dyDescent="0.25">
      <c r="B571" s="32">
        <v>558</v>
      </c>
      <c r="C571" s="200"/>
      <c r="D571" s="200"/>
      <c r="E571" s="200"/>
      <c r="F571" s="200"/>
      <c r="G571" s="200"/>
      <c r="H571" s="200"/>
      <c r="I571" s="200"/>
      <c r="J571" s="1"/>
      <c r="K571" s="32"/>
      <c r="L571" s="32"/>
      <c r="M571" s="6"/>
      <c r="N571" s="6"/>
      <c r="O571" s="6"/>
    </row>
    <row r="572" spans="2:15" x14ac:dyDescent="0.25">
      <c r="B572" s="32">
        <v>559</v>
      </c>
      <c r="C572" s="200"/>
      <c r="D572" s="200"/>
      <c r="E572" s="200"/>
      <c r="F572" s="200"/>
      <c r="G572" s="200"/>
      <c r="H572" s="200"/>
      <c r="I572" s="200"/>
      <c r="J572" s="1"/>
      <c r="K572" s="32"/>
      <c r="L572" s="32"/>
      <c r="M572" s="6"/>
      <c r="N572" s="6"/>
      <c r="O572" s="6"/>
    </row>
    <row r="573" spans="2:15" x14ac:dyDescent="0.25">
      <c r="B573" s="32">
        <v>560</v>
      </c>
      <c r="C573" s="200"/>
      <c r="D573" s="200"/>
      <c r="E573" s="200"/>
      <c r="F573" s="200"/>
      <c r="G573" s="200"/>
      <c r="H573" s="200"/>
      <c r="I573" s="200"/>
      <c r="J573" s="1"/>
      <c r="K573" s="32"/>
      <c r="L573" s="32"/>
      <c r="M573" s="6"/>
      <c r="N573" s="6"/>
      <c r="O573" s="6"/>
    </row>
    <row r="574" spans="2:15" x14ac:dyDescent="0.25">
      <c r="B574" s="32">
        <v>561</v>
      </c>
      <c r="C574" s="200"/>
      <c r="D574" s="200"/>
      <c r="E574" s="200"/>
      <c r="F574" s="200"/>
      <c r="G574" s="200"/>
      <c r="H574" s="200"/>
      <c r="I574" s="200"/>
      <c r="J574" s="1"/>
      <c r="K574" s="32"/>
      <c r="L574" s="32"/>
      <c r="M574" s="6"/>
      <c r="N574" s="6"/>
      <c r="O574" s="6"/>
    </row>
    <row r="575" spans="2:15" x14ac:dyDescent="0.25">
      <c r="B575" s="32">
        <v>562</v>
      </c>
      <c r="C575" s="200"/>
      <c r="D575" s="200"/>
      <c r="E575" s="200"/>
      <c r="F575" s="200"/>
      <c r="G575" s="200"/>
      <c r="H575" s="200"/>
      <c r="I575" s="200"/>
      <c r="J575" s="1"/>
      <c r="K575" s="32"/>
      <c r="L575" s="32"/>
      <c r="M575" s="6"/>
      <c r="N575" s="6"/>
      <c r="O575" s="6"/>
    </row>
    <row r="576" spans="2:15" x14ac:dyDescent="0.25">
      <c r="B576" s="32">
        <v>563</v>
      </c>
      <c r="C576" s="200"/>
      <c r="D576" s="200"/>
      <c r="E576" s="200"/>
      <c r="F576" s="200"/>
      <c r="G576" s="200"/>
      <c r="H576" s="200"/>
      <c r="I576" s="200"/>
      <c r="J576" s="1"/>
      <c r="K576" s="32"/>
      <c r="L576" s="32"/>
      <c r="M576" s="6"/>
      <c r="N576" s="6"/>
      <c r="O576" s="6"/>
    </row>
    <row r="577" spans="2:15" x14ac:dyDescent="0.25">
      <c r="B577" s="32">
        <v>564</v>
      </c>
      <c r="C577" s="200"/>
      <c r="D577" s="200"/>
      <c r="E577" s="200"/>
      <c r="F577" s="200"/>
      <c r="G577" s="200"/>
      <c r="H577" s="200"/>
      <c r="I577" s="200"/>
      <c r="J577" s="1"/>
      <c r="K577" s="32"/>
      <c r="L577" s="32"/>
      <c r="M577" s="6"/>
      <c r="N577" s="6"/>
      <c r="O577" s="6"/>
    </row>
    <row r="578" spans="2:15" x14ac:dyDescent="0.25">
      <c r="B578" s="32">
        <v>565</v>
      </c>
      <c r="C578" s="200"/>
      <c r="D578" s="200"/>
      <c r="E578" s="200"/>
      <c r="F578" s="200"/>
      <c r="G578" s="200"/>
      <c r="H578" s="200"/>
      <c r="I578" s="200"/>
      <c r="J578" s="1"/>
      <c r="K578" s="32"/>
      <c r="L578" s="32"/>
      <c r="M578" s="6"/>
      <c r="N578" s="6"/>
      <c r="O578" s="6"/>
    </row>
    <row r="579" spans="2:15" x14ac:dyDescent="0.25">
      <c r="B579" s="32">
        <v>566</v>
      </c>
      <c r="C579" s="200"/>
      <c r="D579" s="200"/>
      <c r="E579" s="200"/>
      <c r="F579" s="200"/>
      <c r="G579" s="200"/>
      <c r="H579" s="200"/>
      <c r="I579" s="200"/>
      <c r="J579" s="1"/>
      <c r="K579" s="32"/>
      <c r="L579" s="32"/>
      <c r="M579" s="6"/>
      <c r="N579" s="6"/>
      <c r="O579" s="6"/>
    </row>
    <row r="580" spans="2:15" x14ac:dyDescent="0.25">
      <c r="B580" s="32">
        <v>567</v>
      </c>
      <c r="C580" s="200"/>
      <c r="D580" s="200"/>
      <c r="E580" s="200"/>
      <c r="F580" s="200"/>
      <c r="G580" s="200"/>
      <c r="H580" s="200"/>
      <c r="I580" s="200"/>
      <c r="J580" s="1"/>
      <c r="K580" s="32"/>
      <c r="L580" s="32"/>
      <c r="M580" s="6"/>
      <c r="N580" s="6"/>
      <c r="O580" s="6"/>
    </row>
    <row r="581" spans="2:15" x14ac:dyDescent="0.25">
      <c r="B581" s="32">
        <v>568</v>
      </c>
      <c r="C581" s="200"/>
      <c r="D581" s="200"/>
      <c r="E581" s="200"/>
      <c r="F581" s="200"/>
      <c r="G581" s="200"/>
      <c r="H581" s="200"/>
      <c r="I581" s="200"/>
      <c r="J581" s="1"/>
      <c r="K581" s="32"/>
      <c r="L581" s="32"/>
      <c r="M581" s="6"/>
      <c r="N581" s="6"/>
      <c r="O581" s="6"/>
    </row>
    <row r="582" spans="2:15" x14ac:dyDescent="0.25">
      <c r="B582" s="32">
        <v>569</v>
      </c>
      <c r="C582" s="200"/>
      <c r="D582" s="200"/>
      <c r="E582" s="200"/>
      <c r="F582" s="200"/>
      <c r="G582" s="200"/>
      <c r="H582" s="200"/>
      <c r="I582" s="200"/>
      <c r="J582" s="1"/>
      <c r="K582" s="32"/>
      <c r="L582" s="32"/>
      <c r="M582" s="6"/>
      <c r="N582" s="6"/>
      <c r="O582" s="6"/>
    </row>
    <row r="583" spans="2:15" x14ac:dyDescent="0.25">
      <c r="B583" s="32">
        <v>570</v>
      </c>
      <c r="C583" s="200"/>
      <c r="D583" s="200"/>
      <c r="E583" s="200"/>
      <c r="F583" s="200"/>
      <c r="G583" s="200"/>
      <c r="H583" s="200"/>
      <c r="I583" s="200"/>
      <c r="J583" s="1"/>
      <c r="K583" s="32"/>
      <c r="L583" s="32"/>
      <c r="M583" s="6"/>
      <c r="N583" s="6"/>
      <c r="O583" s="6"/>
    </row>
    <row r="584" spans="2:15" x14ac:dyDescent="0.25">
      <c r="B584" s="32">
        <v>571</v>
      </c>
      <c r="C584" s="200"/>
      <c r="D584" s="200"/>
      <c r="E584" s="200"/>
      <c r="F584" s="200"/>
      <c r="G584" s="200"/>
      <c r="H584" s="200"/>
      <c r="I584" s="200"/>
      <c r="J584" s="1"/>
      <c r="K584" s="32"/>
      <c r="L584" s="32"/>
      <c r="M584" s="6"/>
      <c r="N584" s="6"/>
      <c r="O584" s="6"/>
    </row>
    <row r="585" spans="2:15" x14ac:dyDescent="0.25">
      <c r="B585" s="32">
        <v>572</v>
      </c>
      <c r="C585" s="200"/>
      <c r="D585" s="200"/>
      <c r="E585" s="200"/>
      <c r="F585" s="200"/>
      <c r="G585" s="200"/>
      <c r="H585" s="200"/>
      <c r="I585" s="200"/>
      <c r="J585" s="1"/>
      <c r="K585" s="32"/>
      <c r="L585" s="32"/>
      <c r="M585" s="6"/>
      <c r="N585" s="6"/>
      <c r="O585" s="6"/>
    </row>
    <row r="586" spans="2:15" x14ac:dyDescent="0.25">
      <c r="B586" s="32">
        <v>573</v>
      </c>
      <c r="C586" s="200"/>
      <c r="D586" s="200"/>
      <c r="E586" s="200"/>
      <c r="F586" s="200"/>
      <c r="G586" s="200"/>
      <c r="H586" s="200"/>
      <c r="I586" s="200"/>
      <c r="J586" s="1"/>
      <c r="K586" s="32"/>
      <c r="L586" s="32"/>
      <c r="M586" s="6"/>
      <c r="N586" s="6"/>
      <c r="O586" s="6"/>
    </row>
    <row r="587" spans="2:15" x14ac:dyDescent="0.25">
      <c r="B587" s="32">
        <v>574</v>
      </c>
      <c r="C587" s="200"/>
      <c r="D587" s="200"/>
      <c r="E587" s="200"/>
      <c r="F587" s="200"/>
      <c r="G587" s="200"/>
      <c r="H587" s="200"/>
      <c r="I587" s="200"/>
      <c r="J587" s="1"/>
      <c r="K587" s="32"/>
      <c r="L587" s="32"/>
      <c r="M587" s="6"/>
      <c r="N587" s="6"/>
      <c r="O587" s="6"/>
    </row>
    <row r="588" spans="2:15" x14ac:dyDescent="0.25">
      <c r="B588" s="32">
        <v>575</v>
      </c>
      <c r="C588" s="200"/>
      <c r="D588" s="200"/>
      <c r="E588" s="200"/>
      <c r="F588" s="200"/>
      <c r="G588" s="200"/>
      <c r="H588" s="200"/>
      <c r="I588" s="200"/>
      <c r="J588" s="1"/>
      <c r="K588" s="32"/>
      <c r="L588" s="32"/>
      <c r="M588" s="6"/>
      <c r="N588" s="6"/>
      <c r="O588" s="6"/>
    </row>
    <row r="589" spans="2:15" x14ac:dyDescent="0.25">
      <c r="B589" s="32">
        <v>576</v>
      </c>
      <c r="C589" s="200"/>
      <c r="D589" s="200"/>
      <c r="E589" s="200"/>
      <c r="F589" s="200"/>
      <c r="G589" s="200"/>
      <c r="H589" s="200"/>
      <c r="I589" s="200"/>
      <c r="J589" s="1"/>
      <c r="K589" s="32"/>
      <c r="L589" s="32"/>
      <c r="M589" s="6"/>
      <c r="N589" s="6"/>
      <c r="O589" s="6"/>
    </row>
    <row r="590" spans="2:15" x14ac:dyDescent="0.25">
      <c r="B590" s="32">
        <v>577</v>
      </c>
      <c r="C590" s="200"/>
      <c r="D590" s="200"/>
      <c r="E590" s="200"/>
      <c r="F590" s="200"/>
      <c r="G590" s="200"/>
      <c r="H590" s="200"/>
      <c r="I590" s="200"/>
      <c r="J590" s="1"/>
      <c r="K590" s="32"/>
      <c r="L590" s="32"/>
      <c r="M590" s="6"/>
      <c r="N590" s="6"/>
      <c r="O590" s="6"/>
    </row>
    <row r="591" spans="2:15" x14ac:dyDescent="0.25">
      <c r="B591" s="32">
        <v>578</v>
      </c>
      <c r="C591" s="200"/>
      <c r="D591" s="200"/>
      <c r="E591" s="200"/>
      <c r="F591" s="200"/>
      <c r="G591" s="200"/>
      <c r="H591" s="200"/>
      <c r="I591" s="200"/>
      <c r="J591" s="1"/>
      <c r="K591" s="32"/>
      <c r="L591" s="32"/>
      <c r="M591" s="6"/>
      <c r="N591" s="6"/>
      <c r="O591" s="6"/>
    </row>
    <row r="592" spans="2:15" x14ac:dyDescent="0.25">
      <c r="B592" s="32">
        <v>579</v>
      </c>
      <c r="C592" s="200"/>
      <c r="D592" s="200"/>
      <c r="E592" s="200"/>
      <c r="F592" s="200"/>
      <c r="G592" s="200"/>
      <c r="H592" s="200"/>
      <c r="I592" s="200"/>
      <c r="J592" s="1"/>
      <c r="K592" s="32"/>
      <c r="L592" s="32"/>
      <c r="M592" s="6"/>
      <c r="N592" s="6"/>
      <c r="O592" s="6"/>
    </row>
    <row r="593" spans="2:15" x14ac:dyDescent="0.25">
      <c r="B593" s="32">
        <v>580</v>
      </c>
      <c r="C593" s="200"/>
      <c r="D593" s="200"/>
      <c r="E593" s="200"/>
      <c r="F593" s="200"/>
      <c r="G593" s="200"/>
      <c r="H593" s="200"/>
      <c r="I593" s="200"/>
      <c r="J593" s="1"/>
      <c r="K593" s="32"/>
      <c r="L593" s="32"/>
      <c r="M593" s="6"/>
      <c r="N593" s="6"/>
      <c r="O593" s="6"/>
    </row>
    <row r="594" spans="2:15" x14ac:dyDescent="0.25">
      <c r="B594" s="32">
        <v>581</v>
      </c>
      <c r="C594" s="200"/>
      <c r="D594" s="200"/>
      <c r="E594" s="200"/>
      <c r="F594" s="200"/>
      <c r="G594" s="200"/>
      <c r="H594" s="200"/>
      <c r="I594" s="200"/>
      <c r="J594" s="1"/>
      <c r="K594" s="32"/>
      <c r="L594" s="32"/>
      <c r="M594" s="6"/>
      <c r="N594" s="6"/>
      <c r="O594" s="6"/>
    </row>
    <row r="595" spans="2:15" x14ac:dyDescent="0.25">
      <c r="B595" s="32">
        <v>582</v>
      </c>
      <c r="C595" s="200"/>
      <c r="D595" s="200"/>
      <c r="E595" s="200"/>
      <c r="F595" s="200"/>
      <c r="G595" s="200"/>
      <c r="H595" s="200"/>
      <c r="I595" s="200"/>
      <c r="J595" s="1"/>
      <c r="K595" s="32"/>
      <c r="L595" s="32"/>
      <c r="M595" s="6"/>
      <c r="N595" s="6"/>
      <c r="O595" s="6"/>
    </row>
    <row r="596" spans="2:15" x14ac:dyDescent="0.25">
      <c r="B596" s="32">
        <v>583</v>
      </c>
      <c r="C596" s="200"/>
      <c r="D596" s="200"/>
      <c r="E596" s="200"/>
      <c r="F596" s="200"/>
      <c r="G596" s="200"/>
      <c r="H596" s="200"/>
      <c r="I596" s="200"/>
      <c r="J596" s="1"/>
      <c r="K596" s="32"/>
      <c r="L596" s="32"/>
      <c r="M596" s="6"/>
      <c r="N596" s="6"/>
      <c r="O596" s="6"/>
    </row>
    <row r="597" spans="2:15" x14ac:dyDescent="0.25">
      <c r="B597" s="32">
        <v>584</v>
      </c>
      <c r="C597" s="200"/>
      <c r="D597" s="200"/>
      <c r="E597" s="200"/>
      <c r="F597" s="200"/>
      <c r="G597" s="200"/>
      <c r="H597" s="200"/>
      <c r="I597" s="200"/>
      <c r="J597" s="1"/>
      <c r="K597" s="32"/>
      <c r="L597" s="32"/>
      <c r="M597" s="6"/>
      <c r="N597" s="6"/>
      <c r="O597" s="6"/>
    </row>
    <row r="598" spans="2:15" x14ac:dyDescent="0.25">
      <c r="B598" s="32">
        <v>585</v>
      </c>
      <c r="C598" s="200"/>
      <c r="D598" s="200"/>
      <c r="E598" s="200"/>
      <c r="F598" s="200"/>
      <c r="G598" s="200"/>
      <c r="H598" s="200"/>
      <c r="I598" s="200"/>
      <c r="J598" s="1"/>
      <c r="K598" s="32"/>
      <c r="L598" s="32"/>
      <c r="M598" s="6"/>
      <c r="N598" s="6"/>
      <c r="O598" s="6"/>
    </row>
    <row r="599" spans="2:15" x14ac:dyDescent="0.25">
      <c r="B599" s="32">
        <v>586</v>
      </c>
      <c r="C599" s="200"/>
      <c r="D599" s="200"/>
      <c r="E599" s="200"/>
      <c r="F599" s="200"/>
      <c r="G599" s="200"/>
      <c r="H599" s="200"/>
      <c r="I599" s="200"/>
      <c r="J599" s="1"/>
      <c r="K599" s="32"/>
      <c r="L599" s="32"/>
      <c r="M599" s="6"/>
      <c r="N599" s="6"/>
      <c r="O599" s="6"/>
    </row>
    <row r="600" spans="2:15" x14ac:dyDescent="0.25">
      <c r="B600" s="32">
        <v>587</v>
      </c>
      <c r="C600" s="200"/>
      <c r="D600" s="200"/>
      <c r="E600" s="200"/>
      <c r="F600" s="200"/>
      <c r="G600" s="200"/>
      <c r="H600" s="200"/>
      <c r="I600" s="200"/>
      <c r="J600" s="1"/>
      <c r="K600" s="32"/>
      <c r="L600" s="32"/>
      <c r="M600" s="6"/>
      <c r="N600" s="6"/>
      <c r="O600" s="6"/>
    </row>
    <row r="601" spans="2:15" x14ac:dyDescent="0.25">
      <c r="B601" s="32">
        <v>588</v>
      </c>
      <c r="C601" s="200"/>
      <c r="D601" s="200"/>
      <c r="E601" s="200"/>
      <c r="F601" s="200"/>
      <c r="G601" s="200"/>
      <c r="H601" s="200"/>
      <c r="I601" s="200"/>
      <c r="J601" s="1"/>
      <c r="K601" s="32"/>
      <c r="L601" s="32"/>
      <c r="M601" s="6"/>
      <c r="N601" s="6"/>
      <c r="O601" s="6"/>
    </row>
    <row r="602" spans="2:15" x14ac:dyDescent="0.25">
      <c r="B602" s="32">
        <v>589</v>
      </c>
      <c r="C602" s="200"/>
      <c r="D602" s="200"/>
      <c r="E602" s="200"/>
      <c r="F602" s="200"/>
      <c r="G602" s="200"/>
      <c r="H602" s="200"/>
      <c r="I602" s="200"/>
      <c r="J602" s="1"/>
      <c r="K602" s="32"/>
      <c r="L602" s="32"/>
      <c r="M602" s="6"/>
      <c r="N602" s="6"/>
      <c r="O602" s="6"/>
    </row>
    <row r="603" spans="2:15" x14ac:dyDescent="0.25">
      <c r="B603" s="32">
        <v>590</v>
      </c>
      <c r="C603" s="200"/>
      <c r="D603" s="200"/>
      <c r="E603" s="200"/>
      <c r="F603" s="200"/>
      <c r="G603" s="200"/>
      <c r="H603" s="200"/>
      <c r="I603" s="200"/>
      <c r="J603" s="1"/>
      <c r="K603" s="32"/>
      <c r="L603" s="32"/>
      <c r="M603" s="6"/>
      <c r="N603" s="6"/>
      <c r="O603" s="6"/>
    </row>
    <row r="604" spans="2:15" x14ac:dyDescent="0.25">
      <c r="B604" s="32">
        <v>591</v>
      </c>
      <c r="C604" s="200"/>
      <c r="D604" s="200"/>
      <c r="E604" s="200"/>
      <c r="F604" s="200"/>
      <c r="G604" s="200"/>
      <c r="H604" s="200"/>
      <c r="I604" s="200"/>
      <c r="J604" s="1"/>
      <c r="K604" s="32"/>
      <c r="L604" s="32"/>
      <c r="M604" s="6"/>
      <c r="N604" s="6"/>
      <c r="O604" s="6"/>
    </row>
    <row r="605" spans="2:15" x14ac:dyDescent="0.25">
      <c r="B605" s="32">
        <v>592</v>
      </c>
      <c r="C605" s="200"/>
      <c r="D605" s="200"/>
      <c r="E605" s="200"/>
      <c r="F605" s="200"/>
      <c r="G605" s="200"/>
      <c r="H605" s="200"/>
      <c r="I605" s="200"/>
      <c r="J605" s="1"/>
      <c r="K605" s="32"/>
      <c r="L605" s="32"/>
      <c r="M605" s="6"/>
      <c r="N605" s="6"/>
      <c r="O605" s="6"/>
    </row>
    <row r="606" spans="2:15" x14ac:dyDescent="0.25">
      <c r="B606" s="32">
        <v>593</v>
      </c>
      <c r="C606" s="200"/>
      <c r="D606" s="200"/>
      <c r="E606" s="200"/>
      <c r="F606" s="200"/>
      <c r="G606" s="200"/>
      <c r="H606" s="200"/>
      <c r="I606" s="200"/>
      <c r="J606" s="1"/>
      <c r="K606" s="32"/>
      <c r="L606" s="32"/>
      <c r="M606" s="6"/>
      <c r="N606" s="6"/>
      <c r="O606" s="6"/>
    </row>
    <row r="607" spans="2:15" x14ac:dyDescent="0.25">
      <c r="B607" s="32">
        <v>594</v>
      </c>
      <c r="C607" s="200"/>
      <c r="D607" s="200"/>
      <c r="E607" s="200"/>
      <c r="F607" s="200"/>
      <c r="G607" s="200"/>
      <c r="H607" s="200"/>
      <c r="I607" s="200"/>
      <c r="J607" s="1"/>
      <c r="K607" s="32"/>
      <c r="L607" s="32"/>
      <c r="M607" s="6"/>
      <c r="N607" s="6"/>
      <c r="O607" s="6"/>
    </row>
    <row r="608" spans="2:15" x14ac:dyDescent="0.25">
      <c r="B608" s="32">
        <v>595</v>
      </c>
      <c r="C608" s="200"/>
      <c r="D608" s="200"/>
      <c r="E608" s="200"/>
      <c r="F608" s="200"/>
      <c r="G608" s="200"/>
      <c r="H608" s="200"/>
      <c r="I608" s="200"/>
      <c r="J608" s="1"/>
      <c r="K608" s="32"/>
      <c r="L608" s="32"/>
      <c r="M608" s="6"/>
      <c r="N608" s="6"/>
      <c r="O608" s="6"/>
    </row>
    <row r="609" spans="2:15" x14ac:dyDescent="0.25">
      <c r="B609" s="32">
        <v>596</v>
      </c>
      <c r="C609" s="200"/>
      <c r="D609" s="200"/>
      <c r="E609" s="200"/>
      <c r="F609" s="200"/>
      <c r="G609" s="200"/>
      <c r="H609" s="200"/>
      <c r="I609" s="200"/>
      <c r="J609" s="1"/>
      <c r="K609" s="32"/>
      <c r="L609" s="32"/>
      <c r="M609" s="6"/>
      <c r="N609" s="6"/>
      <c r="O609" s="6"/>
    </row>
    <row r="610" spans="2:15" x14ac:dyDescent="0.25">
      <c r="B610" s="32">
        <v>597</v>
      </c>
      <c r="C610" s="200"/>
      <c r="D610" s="200"/>
      <c r="E610" s="200"/>
      <c r="F610" s="200"/>
      <c r="G610" s="200"/>
      <c r="H610" s="200"/>
      <c r="I610" s="200"/>
      <c r="J610" s="1"/>
      <c r="K610" s="32"/>
      <c r="L610" s="32"/>
      <c r="M610" s="6"/>
      <c r="N610" s="6"/>
      <c r="O610" s="6"/>
    </row>
    <row r="611" spans="2:15" x14ac:dyDescent="0.25">
      <c r="B611" s="32">
        <v>598</v>
      </c>
      <c r="C611" s="200"/>
      <c r="D611" s="200"/>
      <c r="E611" s="200"/>
      <c r="F611" s="200"/>
      <c r="G611" s="200"/>
      <c r="H611" s="200"/>
      <c r="I611" s="200"/>
      <c r="J611" s="1"/>
      <c r="K611" s="32"/>
      <c r="L611" s="32"/>
      <c r="M611" s="6"/>
      <c r="N611" s="6"/>
      <c r="O611" s="6"/>
    </row>
    <row r="612" spans="2:15" x14ac:dyDescent="0.25">
      <c r="B612" s="32">
        <v>599</v>
      </c>
      <c r="C612" s="200"/>
      <c r="D612" s="200"/>
      <c r="E612" s="200"/>
      <c r="F612" s="200"/>
      <c r="G612" s="200"/>
      <c r="H612" s="200"/>
      <c r="I612" s="200"/>
      <c r="J612" s="1"/>
      <c r="K612" s="32"/>
      <c r="L612" s="32"/>
      <c r="M612" s="6"/>
      <c r="N612" s="6"/>
      <c r="O612" s="6"/>
    </row>
    <row r="613" spans="2:15" x14ac:dyDescent="0.25">
      <c r="B613" s="32">
        <v>600</v>
      </c>
      <c r="C613" s="200"/>
      <c r="D613" s="200"/>
      <c r="E613" s="200"/>
      <c r="F613" s="200"/>
      <c r="G613" s="200"/>
      <c r="H613" s="200"/>
      <c r="I613" s="200"/>
      <c r="J613" s="1"/>
      <c r="K613" s="32"/>
      <c r="L613" s="32"/>
      <c r="M613" s="6"/>
      <c r="N613" s="6"/>
      <c r="O613" s="6"/>
    </row>
    <row r="614" spans="2:15" x14ac:dyDescent="0.25">
      <c r="B614" s="32">
        <v>601</v>
      </c>
      <c r="C614" s="200"/>
      <c r="D614" s="200"/>
      <c r="E614" s="200"/>
      <c r="F614" s="200"/>
      <c r="G614" s="200"/>
      <c r="H614" s="200"/>
      <c r="I614" s="200"/>
      <c r="J614" s="1"/>
      <c r="K614" s="32"/>
      <c r="L614" s="32"/>
      <c r="M614" s="6"/>
      <c r="N614" s="6"/>
      <c r="O614" s="6"/>
    </row>
    <row r="615" spans="2:15" x14ac:dyDescent="0.25">
      <c r="B615" s="32">
        <v>602</v>
      </c>
      <c r="C615" s="200"/>
      <c r="D615" s="200"/>
      <c r="E615" s="200"/>
      <c r="F615" s="200"/>
      <c r="G615" s="200"/>
      <c r="H615" s="200"/>
      <c r="I615" s="200"/>
      <c r="J615" s="1"/>
      <c r="K615" s="32"/>
      <c r="L615" s="32"/>
      <c r="M615" s="6"/>
      <c r="N615" s="6"/>
      <c r="O615" s="6"/>
    </row>
    <row r="616" spans="2:15" x14ac:dyDescent="0.25">
      <c r="B616" s="32">
        <v>603</v>
      </c>
      <c r="C616" s="200"/>
      <c r="D616" s="200"/>
      <c r="E616" s="200"/>
      <c r="F616" s="200"/>
      <c r="G616" s="200"/>
      <c r="H616" s="200"/>
      <c r="I616" s="200"/>
      <c r="J616" s="1"/>
      <c r="K616" s="32"/>
      <c r="L616" s="32"/>
      <c r="M616" s="6"/>
      <c r="N616" s="6"/>
      <c r="O616" s="6"/>
    </row>
    <row r="617" spans="2:15" x14ac:dyDescent="0.25">
      <c r="B617" s="32">
        <v>604</v>
      </c>
      <c r="C617" s="200"/>
      <c r="D617" s="200"/>
      <c r="E617" s="200"/>
      <c r="F617" s="200"/>
      <c r="G617" s="200"/>
      <c r="H617" s="200"/>
      <c r="I617" s="200"/>
      <c r="J617" s="1"/>
      <c r="K617" s="32"/>
      <c r="L617" s="32"/>
      <c r="M617" s="6"/>
      <c r="N617" s="6"/>
      <c r="O617" s="6"/>
    </row>
    <row r="618" spans="2:15" x14ac:dyDescent="0.25">
      <c r="B618" s="32">
        <v>605</v>
      </c>
      <c r="C618" s="200"/>
      <c r="D618" s="200"/>
      <c r="E618" s="200"/>
      <c r="F618" s="200"/>
      <c r="G618" s="200"/>
      <c r="H618" s="200"/>
      <c r="I618" s="200"/>
      <c r="J618" s="1"/>
      <c r="K618" s="32"/>
      <c r="L618" s="32"/>
      <c r="M618" s="6"/>
      <c r="N618" s="6"/>
      <c r="O618" s="6"/>
    </row>
    <row r="619" spans="2:15" x14ac:dyDescent="0.25">
      <c r="B619" s="32">
        <v>606</v>
      </c>
      <c r="C619" s="200"/>
      <c r="D619" s="200"/>
      <c r="E619" s="200"/>
      <c r="F619" s="200"/>
      <c r="G619" s="200"/>
      <c r="H619" s="200"/>
      <c r="I619" s="200"/>
      <c r="J619" s="1"/>
      <c r="K619" s="32"/>
      <c r="L619" s="32"/>
      <c r="M619" s="6"/>
      <c r="N619" s="6"/>
      <c r="O619" s="6"/>
    </row>
    <row r="620" spans="2:15" x14ac:dyDescent="0.25">
      <c r="B620" s="32">
        <v>607</v>
      </c>
      <c r="C620" s="200"/>
      <c r="D620" s="200"/>
      <c r="E620" s="200"/>
      <c r="F620" s="200"/>
      <c r="G620" s="200"/>
      <c r="H620" s="200"/>
      <c r="I620" s="200"/>
      <c r="J620" s="1"/>
      <c r="K620" s="32"/>
      <c r="L620" s="32"/>
      <c r="M620" s="6"/>
      <c r="N620" s="6"/>
      <c r="O620" s="6"/>
    </row>
    <row r="621" spans="2:15" x14ac:dyDescent="0.25">
      <c r="B621" s="32">
        <v>608</v>
      </c>
      <c r="C621" s="200"/>
      <c r="D621" s="200"/>
      <c r="E621" s="200"/>
      <c r="F621" s="200"/>
      <c r="G621" s="200"/>
      <c r="H621" s="200"/>
      <c r="I621" s="200"/>
      <c r="J621" s="1"/>
      <c r="K621" s="32"/>
      <c r="L621" s="32"/>
      <c r="M621" s="6"/>
      <c r="N621" s="6"/>
      <c r="O621" s="6"/>
    </row>
    <row r="622" spans="2:15" x14ac:dyDescent="0.25">
      <c r="B622" s="32">
        <v>609</v>
      </c>
      <c r="C622" s="200"/>
      <c r="D622" s="200"/>
      <c r="E622" s="200"/>
      <c r="F622" s="200"/>
      <c r="G622" s="200"/>
      <c r="H622" s="200"/>
      <c r="I622" s="200"/>
      <c r="J622" s="1"/>
      <c r="K622" s="32"/>
      <c r="L622" s="32"/>
      <c r="M622" s="6"/>
      <c r="N622" s="6"/>
      <c r="O622" s="6"/>
    </row>
    <row r="623" spans="2:15" x14ac:dyDescent="0.25">
      <c r="B623" s="32">
        <v>610</v>
      </c>
      <c r="C623" s="200"/>
      <c r="D623" s="200"/>
      <c r="E623" s="200"/>
      <c r="F623" s="200"/>
      <c r="G623" s="200"/>
      <c r="H623" s="200"/>
      <c r="I623" s="200"/>
      <c r="J623" s="1"/>
      <c r="K623" s="32"/>
      <c r="L623" s="32"/>
      <c r="M623" s="6"/>
      <c r="N623" s="6"/>
      <c r="O623" s="6"/>
    </row>
    <row r="624" spans="2:15" x14ac:dyDescent="0.25">
      <c r="B624" s="32">
        <v>611</v>
      </c>
      <c r="C624" s="200"/>
      <c r="D624" s="200"/>
      <c r="E624" s="200"/>
      <c r="F624" s="200"/>
      <c r="G624" s="200"/>
      <c r="H624" s="200"/>
      <c r="I624" s="200"/>
      <c r="J624" s="1"/>
      <c r="K624" s="32"/>
      <c r="L624" s="32"/>
      <c r="M624" s="6"/>
      <c r="N624" s="6"/>
      <c r="O624" s="6"/>
    </row>
    <row r="625" spans="2:15" x14ac:dyDescent="0.25">
      <c r="B625" s="32">
        <v>612</v>
      </c>
      <c r="C625" s="200"/>
      <c r="D625" s="200"/>
      <c r="E625" s="200"/>
      <c r="F625" s="200"/>
      <c r="G625" s="200"/>
      <c r="H625" s="200"/>
      <c r="I625" s="200"/>
      <c r="J625" s="1"/>
      <c r="K625" s="32"/>
      <c r="L625" s="32"/>
      <c r="M625" s="6"/>
      <c r="N625" s="6"/>
      <c r="O625" s="6"/>
    </row>
    <row r="626" spans="2:15" x14ac:dyDescent="0.25">
      <c r="B626" s="32">
        <v>613</v>
      </c>
      <c r="C626" s="200"/>
      <c r="D626" s="200"/>
      <c r="E626" s="200"/>
      <c r="F626" s="200"/>
      <c r="G626" s="200"/>
      <c r="H626" s="200"/>
      <c r="I626" s="200"/>
      <c r="J626" s="1"/>
      <c r="K626" s="32"/>
      <c r="L626" s="32"/>
      <c r="M626" s="6"/>
      <c r="N626" s="6"/>
      <c r="O626" s="6"/>
    </row>
    <row r="627" spans="2:15" x14ac:dyDescent="0.25">
      <c r="B627" s="32">
        <v>614</v>
      </c>
      <c r="C627" s="200"/>
      <c r="D627" s="200"/>
      <c r="E627" s="200"/>
      <c r="F627" s="200"/>
      <c r="G627" s="200"/>
      <c r="H627" s="200"/>
      <c r="I627" s="200"/>
      <c r="J627" s="1"/>
      <c r="K627" s="32"/>
      <c r="L627" s="32"/>
      <c r="M627" s="6"/>
      <c r="N627" s="6"/>
      <c r="O627" s="6"/>
    </row>
    <row r="628" spans="2:15" x14ac:dyDescent="0.25">
      <c r="B628" s="32">
        <v>615</v>
      </c>
      <c r="C628" s="200"/>
      <c r="D628" s="200"/>
      <c r="E628" s="200"/>
      <c r="F628" s="200"/>
      <c r="G628" s="200"/>
      <c r="H628" s="200"/>
      <c r="I628" s="200"/>
      <c r="J628" s="1"/>
      <c r="K628" s="32"/>
      <c r="L628" s="32"/>
      <c r="M628" s="6"/>
      <c r="N628" s="6"/>
      <c r="O628" s="6"/>
    </row>
    <row r="629" spans="2:15" x14ac:dyDescent="0.25">
      <c r="B629" s="32">
        <v>616</v>
      </c>
      <c r="C629" s="200"/>
      <c r="D629" s="200"/>
      <c r="E629" s="200"/>
      <c r="F629" s="200"/>
      <c r="G629" s="200"/>
      <c r="H629" s="200"/>
      <c r="I629" s="200"/>
      <c r="J629" s="1"/>
      <c r="K629" s="32"/>
      <c r="L629" s="32"/>
      <c r="M629" s="6"/>
      <c r="N629" s="6"/>
      <c r="O629" s="6"/>
    </row>
    <row r="630" spans="2:15" x14ac:dyDescent="0.25">
      <c r="B630" s="32">
        <v>617</v>
      </c>
      <c r="C630" s="200"/>
      <c r="D630" s="200"/>
      <c r="E630" s="200"/>
      <c r="F630" s="200"/>
      <c r="G630" s="200"/>
      <c r="H630" s="200"/>
      <c r="I630" s="200"/>
      <c r="J630" s="1"/>
      <c r="K630" s="32"/>
      <c r="L630" s="32"/>
      <c r="M630" s="6"/>
      <c r="N630" s="6"/>
      <c r="O630" s="6"/>
    </row>
    <row r="631" spans="2:15" x14ac:dyDescent="0.25">
      <c r="B631" s="32">
        <v>618</v>
      </c>
      <c r="C631" s="200"/>
      <c r="D631" s="200"/>
      <c r="E631" s="200"/>
      <c r="F631" s="200"/>
      <c r="G631" s="200"/>
      <c r="H631" s="200"/>
      <c r="I631" s="200"/>
      <c r="J631" s="1"/>
      <c r="K631" s="32"/>
      <c r="L631" s="32"/>
      <c r="M631" s="6"/>
      <c r="N631" s="6"/>
      <c r="O631" s="6"/>
    </row>
    <row r="632" spans="2:15" x14ac:dyDescent="0.25">
      <c r="B632" s="32">
        <v>619</v>
      </c>
      <c r="C632" s="200"/>
      <c r="D632" s="200"/>
      <c r="E632" s="200"/>
      <c r="F632" s="200"/>
      <c r="G632" s="200"/>
      <c r="H632" s="200"/>
      <c r="I632" s="200"/>
      <c r="J632" s="1"/>
      <c r="K632" s="32"/>
      <c r="L632" s="32"/>
      <c r="M632" s="6"/>
      <c r="N632" s="6"/>
      <c r="O632" s="6"/>
    </row>
    <row r="633" spans="2:15" x14ac:dyDescent="0.25">
      <c r="B633" s="32">
        <v>620</v>
      </c>
      <c r="C633" s="200"/>
      <c r="D633" s="200"/>
      <c r="E633" s="200"/>
      <c r="F633" s="200"/>
      <c r="G633" s="200"/>
      <c r="H633" s="200"/>
      <c r="I633" s="200"/>
      <c r="J633" s="1"/>
      <c r="K633" s="32"/>
      <c r="L633" s="32"/>
      <c r="M633" s="6"/>
      <c r="N633" s="6"/>
      <c r="O633" s="6"/>
    </row>
    <row r="634" spans="2:15" x14ac:dyDescent="0.25">
      <c r="B634" s="32">
        <v>621</v>
      </c>
      <c r="C634" s="200"/>
      <c r="D634" s="200"/>
      <c r="E634" s="200"/>
      <c r="F634" s="200"/>
      <c r="G634" s="200"/>
      <c r="H634" s="200"/>
      <c r="I634" s="200"/>
      <c r="J634" s="1"/>
      <c r="K634" s="32"/>
      <c r="L634" s="32"/>
      <c r="M634" s="6"/>
      <c r="N634" s="6"/>
      <c r="O634" s="6"/>
    </row>
    <row r="635" spans="2:15" x14ac:dyDescent="0.25">
      <c r="B635" s="32">
        <v>622</v>
      </c>
      <c r="C635" s="200"/>
      <c r="D635" s="200"/>
      <c r="E635" s="200"/>
      <c r="F635" s="200"/>
      <c r="G635" s="200"/>
      <c r="H635" s="200"/>
      <c r="I635" s="200"/>
      <c r="J635" s="1"/>
      <c r="K635" s="32"/>
      <c r="L635" s="32"/>
      <c r="M635" s="6"/>
      <c r="N635" s="6"/>
      <c r="O635" s="6"/>
    </row>
    <row r="636" spans="2:15" x14ac:dyDescent="0.25">
      <c r="B636" s="32">
        <v>623</v>
      </c>
      <c r="C636" s="200"/>
      <c r="D636" s="200"/>
      <c r="E636" s="200"/>
      <c r="F636" s="200"/>
      <c r="G636" s="200"/>
      <c r="H636" s="200"/>
      <c r="I636" s="200"/>
      <c r="J636" s="1"/>
      <c r="K636" s="32"/>
      <c r="L636" s="32"/>
      <c r="M636" s="6"/>
      <c r="N636" s="6"/>
      <c r="O636" s="6"/>
    </row>
    <row r="637" spans="2:15" x14ac:dyDescent="0.25">
      <c r="B637" s="32">
        <v>624</v>
      </c>
      <c r="C637" s="200"/>
      <c r="D637" s="200"/>
      <c r="E637" s="200"/>
      <c r="F637" s="200"/>
      <c r="G637" s="200"/>
      <c r="H637" s="200"/>
      <c r="I637" s="200"/>
      <c r="J637" s="1"/>
      <c r="K637" s="32"/>
      <c r="L637" s="32"/>
      <c r="M637" s="6"/>
      <c r="N637" s="6"/>
      <c r="O637" s="6"/>
    </row>
    <row r="638" spans="2:15" x14ac:dyDescent="0.25">
      <c r="B638" s="32">
        <v>625</v>
      </c>
      <c r="C638" s="200"/>
      <c r="D638" s="200"/>
      <c r="E638" s="200"/>
      <c r="F638" s="200"/>
      <c r="G638" s="200"/>
      <c r="H638" s="200"/>
      <c r="I638" s="200"/>
      <c r="J638" s="1"/>
      <c r="K638" s="32"/>
      <c r="L638" s="32"/>
      <c r="M638" s="6"/>
      <c r="N638" s="6"/>
      <c r="O638" s="6"/>
    </row>
    <row r="639" spans="2:15" x14ac:dyDescent="0.25">
      <c r="B639" s="32">
        <v>626</v>
      </c>
      <c r="C639" s="200"/>
      <c r="D639" s="200"/>
      <c r="E639" s="200"/>
      <c r="F639" s="200"/>
      <c r="G639" s="200"/>
      <c r="H639" s="200"/>
      <c r="I639" s="200"/>
      <c r="J639" s="1"/>
      <c r="K639" s="32"/>
      <c r="L639" s="32"/>
      <c r="M639" s="6"/>
      <c r="N639" s="6"/>
      <c r="O639" s="6"/>
    </row>
    <row r="640" spans="2:15" x14ac:dyDescent="0.25">
      <c r="B640" s="32">
        <v>627</v>
      </c>
      <c r="C640" s="200"/>
      <c r="D640" s="200"/>
      <c r="E640" s="200"/>
      <c r="F640" s="200"/>
      <c r="G640" s="200"/>
      <c r="H640" s="200"/>
      <c r="I640" s="200"/>
      <c r="J640" s="1"/>
      <c r="K640" s="32"/>
      <c r="L640" s="32"/>
      <c r="M640" s="6"/>
      <c r="N640" s="6"/>
      <c r="O640" s="6"/>
    </row>
    <row r="641" spans="2:15" x14ac:dyDescent="0.25">
      <c r="B641" s="32">
        <v>628</v>
      </c>
      <c r="C641" s="200"/>
      <c r="D641" s="200"/>
      <c r="E641" s="200"/>
      <c r="F641" s="200"/>
      <c r="G641" s="200"/>
      <c r="H641" s="200"/>
      <c r="I641" s="200"/>
      <c r="J641" s="1"/>
      <c r="K641" s="32"/>
      <c r="L641" s="32"/>
      <c r="M641" s="6"/>
      <c r="N641" s="6"/>
      <c r="O641" s="6"/>
    </row>
    <row r="642" spans="2:15" x14ac:dyDescent="0.25">
      <c r="B642" s="32">
        <v>629</v>
      </c>
      <c r="C642" s="200"/>
      <c r="D642" s="200"/>
      <c r="E642" s="200"/>
      <c r="F642" s="200"/>
      <c r="G642" s="200"/>
      <c r="H642" s="200"/>
      <c r="I642" s="200"/>
      <c r="J642" s="1"/>
      <c r="K642" s="32"/>
      <c r="L642" s="32"/>
      <c r="M642" s="6"/>
      <c r="N642" s="6"/>
      <c r="O642" s="6"/>
    </row>
    <row r="643" spans="2:15" x14ac:dyDescent="0.25">
      <c r="B643" s="32">
        <v>630</v>
      </c>
      <c r="C643" s="200"/>
      <c r="D643" s="200"/>
      <c r="E643" s="200"/>
      <c r="F643" s="200"/>
      <c r="G643" s="200"/>
      <c r="H643" s="200"/>
      <c r="I643" s="200"/>
      <c r="J643" s="1"/>
      <c r="K643" s="32"/>
      <c r="L643" s="32"/>
      <c r="M643" s="6"/>
      <c r="N643" s="6"/>
      <c r="O643" s="6"/>
    </row>
    <row r="644" spans="2:15" x14ac:dyDescent="0.25">
      <c r="B644" s="32">
        <v>631</v>
      </c>
      <c r="C644" s="200"/>
      <c r="D644" s="200"/>
      <c r="E644" s="200"/>
      <c r="F644" s="200"/>
      <c r="G644" s="200"/>
      <c r="H644" s="200"/>
      <c r="I644" s="200"/>
      <c r="J644" s="1"/>
      <c r="K644" s="32"/>
      <c r="L644" s="32"/>
      <c r="M644" s="6"/>
      <c r="N644" s="6"/>
      <c r="O644" s="6"/>
    </row>
    <row r="645" spans="2:15" x14ac:dyDescent="0.25">
      <c r="B645" s="32">
        <v>632</v>
      </c>
      <c r="C645" s="200"/>
      <c r="D645" s="200"/>
      <c r="E645" s="200"/>
      <c r="F645" s="200"/>
      <c r="G645" s="200"/>
      <c r="H645" s="200"/>
      <c r="I645" s="200"/>
      <c r="J645" s="1"/>
      <c r="K645" s="32"/>
      <c r="L645" s="32"/>
      <c r="M645" s="6"/>
      <c r="N645" s="6"/>
      <c r="O645" s="6"/>
    </row>
    <row r="646" spans="2:15" x14ac:dyDescent="0.25">
      <c r="B646" s="32">
        <v>633</v>
      </c>
      <c r="C646" s="200"/>
      <c r="D646" s="200"/>
      <c r="E646" s="200"/>
      <c r="F646" s="200"/>
      <c r="G646" s="200"/>
      <c r="H646" s="200"/>
      <c r="I646" s="200"/>
      <c r="J646" s="1"/>
      <c r="K646" s="32"/>
      <c r="L646" s="32"/>
      <c r="M646" s="6"/>
      <c r="N646" s="6"/>
      <c r="O646" s="6"/>
    </row>
    <row r="647" spans="2:15" x14ac:dyDescent="0.25">
      <c r="B647" s="32">
        <v>634</v>
      </c>
      <c r="C647" s="200"/>
      <c r="D647" s="200"/>
      <c r="E647" s="200"/>
      <c r="F647" s="200"/>
      <c r="G647" s="200"/>
      <c r="H647" s="200"/>
      <c r="I647" s="200"/>
      <c r="J647" s="1"/>
      <c r="K647" s="32"/>
      <c r="L647" s="32"/>
      <c r="M647" s="6"/>
      <c r="N647" s="6"/>
      <c r="O647" s="6"/>
    </row>
    <row r="648" spans="2:15" x14ac:dyDescent="0.25">
      <c r="B648" s="32">
        <v>635</v>
      </c>
      <c r="C648" s="200"/>
      <c r="D648" s="200"/>
      <c r="E648" s="200"/>
      <c r="F648" s="200"/>
      <c r="G648" s="200"/>
      <c r="H648" s="200"/>
      <c r="I648" s="200"/>
      <c r="J648" s="1"/>
      <c r="K648" s="32"/>
      <c r="L648" s="32"/>
      <c r="M648" s="6"/>
      <c r="N648" s="6"/>
      <c r="O648" s="6"/>
    </row>
    <row r="649" spans="2:15" x14ac:dyDescent="0.25">
      <c r="B649" s="32">
        <v>636</v>
      </c>
      <c r="C649" s="200"/>
      <c r="D649" s="200"/>
      <c r="E649" s="200"/>
      <c r="F649" s="200"/>
      <c r="G649" s="200"/>
      <c r="H649" s="200"/>
      <c r="I649" s="200"/>
      <c r="J649" s="1"/>
      <c r="K649" s="32"/>
      <c r="L649" s="32"/>
      <c r="M649" s="6"/>
      <c r="N649" s="6"/>
      <c r="O649" s="6"/>
    </row>
    <row r="650" spans="2:15" x14ac:dyDescent="0.25">
      <c r="B650" s="32">
        <v>637</v>
      </c>
      <c r="C650" s="200"/>
      <c r="D650" s="200"/>
      <c r="E650" s="200"/>
      <c r="F650" s="200"/>
      <c r="G650" s="200"/>
      <c r="H650" s="200"/>
      <c r="I650" s="200"/>
      <c r="J650" s="1"/>
      <c r="K650" s="32"/>
      <c r="L650" s="32"/>
      <c r="M650" s="6"/>
      <c r="N650" s="6"/>
      <c r="O650" s="6"/>
    </row>
    <row r="651" spans="2:15" x14ac:dyDescent="0.25">
      <c r="B651" s="32">
        <v>638</v>
      </c>
      <c r="C651" s="200"/>
      <c r="D651" s="200"/>
      <c r="E651" s="200"/>
      <c r="F651" s="200"/>
      <c r="G651" s="200"/>
      <c r="H651" s="200"/>
      <c r="I651" s="200"/>
      <c r="J651" s="1"/>
      <c r="K651" s="32"/>
      <c r="L651" s="32"/>
      <c r="M651" s="6"/>
      <c r="N651" s="6"/>
      <c r="O651" s="6"/>
    </row>
    <row r="652" spans="2:15" x14ac:dyDescent="0.25">
      <c r="B652" s="32">
        <v>639</v>
      </c>
      <c r="C652" s="200"/>
      <c r="D652" s="200"/>
      <c r="E652" s="200"/>
      <c r="F652" s="200"/>
      <c r="G652" s="200"/>
      <c r="H652" s="200"/>
      <c r="I652" s="200"/>
      <c r="J652" s="1"/>
      <c r="K652" s="32"/>
      <c r="L652" s="32"/>
      <c r="M652" s="6"/>
      <c r="N652" s="6"/>
      <c r="O652" s="6"/>
    </row>
    <row r="653" spans="2:15" x14ac:dyDescent="0.25">
      <c r="B653" s="32">
        <v>640</v>
      </c>
      <c r="C653" s="200"/>
      <c r="D653" s="200"/>
      <c r="E653" s="200"/>
      <c r="F653" s="200"/>
      <c r="G653" s="200"/>
      <c r="H653" s="200"/>
      <c r="I653" s="200"/>
      <c r="J653" s="1"/>
      <c r="K653" s="32"/>
      <c r="L653" s="32"/>
      <c r="M653" s="6"/>
      <c r="N653" s="6"/>
      <c r="O653" s="6"/>
    </row>
    <row r="654" spans="2:15" x14ac:dyDescent="0.25">
      <c r="B654" s="32">
        <v>641</v>
      </c>
      <c r="C654" s="200"/>
      <c r="D654" s="200"/>
      <c r="E654" s="200"/>
      <c r="F654" s="200"/>
      <c r="G654" s="200"/>
      <c r="H654" s="200"/>
      <c r="I654" s="200"/>
      <c r="J654" s="1"/>
      <c r="K654" s="32"/>
      <c r="L654" s="32"/>
      <c r="M654" s="6"/>
      <c r="N654" s="6"/>
      <c r="O654" s="6"/>
    </row>
    <row r="655" spans="2:15" x14ac:dyDescent="0.25">
      <c r="B655" s="32">
        <v>642</v>
      </c>
      <c r="C655" s="200"/>
      <c r="D655" s="200"/>
      <c r="E655" s="200"/>
      <c r="F655" s="200"/>
      <c r="G655" s="200"/>
      <c r="H655" s="200"/>
      <c r="I655" s="200"/>
      <c r="J655" s="1"/>
      <c r="K655" s="32"/>
      <c r="L655" s="32"/>
      <c r="M655" s="6"/>
      <c r="N655" s="6"/>
      <c r="O655" s="6"/>
    </row>
    <row r="656" spans="2:15" x14ac:dyDescent="0.25">
      <c r="B656" s="32">
        <v>643</v>
      </c>
      <c r="C656" s="200"/>
      <c r="D656" s="200"/>
      <c r="E656" s="200"/>
      <c r="F656" s="200"/>
      <c r="G656" s="200"/>
      <c r="H656" s="200"/>
      <c r="I656" s="200"/>
      <c r="J656" s="1"/>
      <c r="K656" s="32"/>
      <c r="L656" s="32"/>
      <c r="M656" s="6"/>
      <c r="N656" s="6"/>
      <c r="O656" s="6"/>
    </row>
    <row r="657" spans="2:15" x14ac:dyDescent="0.25">
      <c r="B657" s="32">
        <v>644</v>
      </c>
      <c r="C657" s="200"/>
      <c r="D657" s="200"/>
      <c r="E657" s="200"/>
      <c r="F657" s="200"/>
      <c r="G657" s="200"/>
      <c r="H657" s="200"/>
      <c r="I657" s="200"/>
      <c r="J657" s="1"/>
      <c r="K657" s="32"/>
      <c r="L657" s="32"/>
      <c r="M657" s="6"/>
      <c r="N657" s="6"/>
      <c r="O657" s="6"/>
    </row>
    <row r="658" spans="2:15" x14ac:dyDescent="0.25">
      <c r="B658" s="32">
        <v>645</v>
      </c>
      <c r="C658" s="200"/>
      <c r="D658" s="200"/>
      <c r="E658" s="200"/>
      <c r="F658" s="200"/>
      <c r="G658" s="200"/>
      <c r="H658" s="200"/>
      <c r="I658" s="200"/>
      <c r="J658" s="1"/>
      <c r="K658" s="32"/>
      <c r="L658" s="32"/>
      <c r="M658" s="6"/>
      <c r="N658" s="6"/>
      <c r="O658" s="6"/>
    </row>
    <row r="659" spans="2:15" x14ac:dyDescent="0.25">
      <c r="B659" s="32">
        <v>646</v>
      </c>
      <c r="C659" s="200"/>
      <c r="D659" s="200"/>
      <c r="E659" s="200"/>
      <c r="F659" s="200"/>
      <c r="G659" s="200"/>
      <c r="H659" s="200"/>
      <c r="I659" s="200"/>
      <c r="J659" s="1"/>
      <c r="K659" s="32"/>
      <c r="L659" s="32"/>
      <c r="M659" s="6"/>
      <c r="N659" s="6"/>
      <c r="O659" s="6"/>
    </row>
    <row r="660" spans="2:15" x14ac:dyDescent="0.25">
      <c r="B660" s="32">
        <v>647</v>
      </c>
      <c r="C660" s="200"/>
      <c r="D660" s="200"/>
      <c r="E660" s="200"/>
      <c r="F660" s="200"/>
      <c r="G660" s="200"/>
      <c r="H660" s="200"/>
      <c r="I660" s="200"/>
      <c r="J660" s="1"/>
      <c r="K660" s="32"/>
      <c r="L660" s="32"/>
      <c r="M660" s="6"/>
      <c r="N660" s="6"/>
      <c r="O660" s="6"/>
    </row>
    <row r="661" spans="2:15" x14ac:dyDescent="0.25">
      <c r="B661" s="32">
        <v>648</v>
      </c>
      <c r="C661" s="200"/>
      <c r="D661" s="200"/>
      <c r="E661" s="200"/>
      <c r="F661" s="200"/>
      <c r="G661" s="200"/>
      <c r="H661" s="200"/>
      <c r="I661" s="200"/>
      <c r="J661" s="1"/>
      <c r="K661" s="32"/>
      <c r="L661" s="32"/>
      <c r="M661" s="6"/>
      <c r="N661" s="6"/>
      <c r="O661" s="6"/>
    </row>
    <row r="662" spans="2:15" x14ac:dyDescent="0.25">
      <c r="B662" s="32">
        <v>649</v>
      </c>
      <c r="C662" s="200"/>
      <c r="D662" s="200"/>
      <c r="E662" s="200"/>
      <c r="F662" s="200"/>
      <c r="G662" s="200"/>
      <c r="H662" s="200"/>
      <c r="I662" s="200"/>
      <c r="J662" s="1"/>
      <c r="K662" s="32"/>
      <c r="L662" s="32"/>
      <c r="M662" s="6"/>
      <c r="N662" s="6"/>
      <c r="O662" s="6"/>
    </row>
    <row r="663" spans="2:15" x14ac:dyDescent="0.25">
      <c r="B663" s="32">
        <v>650</v>
      </c>
      <c r="C663" s="200"/>
      <c r="D663" s="200"/>
      <c r="E663" s="200"/>
      <c r="F663" s="200"/>
      <c r="G663" s="200"/>
      <c r="H663" s="200"/>
      <c r="I663" s="200"/>
      <c r="J663" s="1"/>
      <c r="K663" s="32"/>
      <c r="L663" s="32"/>
      <c r="M663" s="6"/>
      <c r="N663" s="6"/>
      <c r="O663" s="6"/>
    </row>
    <row r="664" spans="2:15" x14ac:dyDescent="0.25">
      <c r="B664" s="32">
        <v>651</v>
      </c>
      <c r="C664" s="200"/>
      <c r="D664" s="200"/>
      <c r="E664" s="200"/>
      <c r="F664" s="200"/>
      <c r="G664" s="200"/>
      <c r="H664" s="200"/>
      <c r="I664" s="200"/>
      <c r="J664" s="1"/>
      <c r="K664" s="32"/>
      <c r="L664" s="32"/>
      <c r="M664" s="6"/>
      <c r="N664" s="6"/>
      <c r="O664" s="6"/>
    </row>
    <row r="665" spans="2:15" x14ac:dyDescent="0.25">
      <c r="B665" s="32">
        <v>652</v>
      </c>
      <c r="C665" s="200"/>
      <c r="D665" s="200"/>
      <c r="E665" s="200"/>
      <c r="F665" s="200"/>
      <c r="G665" s="200"/>
      <c r="H665" s="200"/>
      <c r="I665" s="200"/>
      <c r="J665" s="1"/>
      <c r="K665" s="32"/>
      <c r="L665" s="32"/>
      <c r="M665" s="6"/>
      <c r="N665" s="6"/>
      <c r="O665" s="6"/>
    </row>
    <row r="666" spans="2:15" x14ac:dyDescent="0.25">
      <c r="B666" s="32">
        <v>653</v>
      </c>
      <c r="C666" s="200"/>
      <c r="D666" s="200"/>
      <c r="E666" s="200"/>
      <c r="F666" s="200"/>
      <c r="G666" s="200"/>
      <c r="H666" s="200"/>
      <c r="I666" s="200"/>
      <c r="J666" s="1"/>
      <c r="K666" s="32"/>
      <c r="L666" s="32"/>
      <c r="M666" s="6"/>
      <c r="N666" s="6"/>
      <c r="O666" s="6"/>
    </row>
    <row r="667" spans="2:15" x14ac:dyDescent="0.25">
      <c r="B667" s="32">
        <v>654</v>
      </c>
      <c r="C667" s="200"/>
      <c r="D667" s="200"/>
      <c r="E667" s="200"/>
      <c r="F667" s="200"/>
      <c r="G667" s="200"/>
      <c r="H667" s="200"/>
      <c r="I667" s="200"/>
      <c r="J667" s="1"/>
      <c r="K667" s="32"/>
      <c r="L667" s="32"/>
      <c r="M667" s="6"/>
      <c r="N667" s="6"/>
      <c r="O667" s="6"/>
    </row>
    <row r="668" spans="2:15" x14ac:dyDescent="0.25">
      <c r="B668" s="32">
        <v>655</v>
      </c>
      <c r="C668" s="200"/>
      <c r="D668" s="200"/>
      <c r="E668" s="200"/>
      <c r="F668" s="200"/>
      <c r="G668" s="200"/>
      <c r="H668" s="200"/>
      <c r="I668" s="200"/>
      <c r="J668" s="1"/>
      <c r="K668" s="32"/>
      <c r="L668" s="32"/>
      <c r="M668" s="6"/>
      <c r="N668" s="6"/>
      <c r="O668" s="6"/>
    </row>
    <row r="669" spans="2:15" x14ac:dyDescent="0.25">
      <c r="B669" s="32">
        <v>656</v>
      </c>
      <c r="C669" s="200"/>
      <c r="D669" s="200"/>
      <c r="E669" s="200"/>
      <c r="F669" s="200"/>
      <c r="G669" s="200"/>
      <c r="H669" s="200"/>
      <c r="I669" s="200"/>
      <c r="J669" s="1"/>
      <c r="K669" s="32"/>
      <c r="L669" s="32"/>
      <c r="M669" s="6"/>
      <c r="N669" s="6"/>
      <c r="O669" s="6"/>
    </row>
    <row r="670" spans="2:15" x14ac:dyDescent="0.25">
      <c r="B670" s="32">
        <v>657</v>
      </c>
      <c r="C670" s="200"/>
      <c r="D670" s="200"/>
      <c r="E670" s="200"/>
      <c r="F670" s="200"/>
      <c r="G670" s="200"/>
      <c r="H670" s="200"/>
      <c r="I670" s="200"/>
      <c r="J670" s="1"/>
      <c r="K670" s="32"/>
      <c r="L670" s="32"/>
      <c r="M670" s="6"/>
      <c r="N670" s="6"/>
      <c r="O670" s="6"/>
    </row>
    <row r="671" spans="2:15" x14ac:dyDescent="0.25">
      <c r="B671" s="32">
        <v>658</v>
      </c>
      <c r="C671" s="200"/>
      <c r="D671" s="200"/>
      <c r="E671" s="200"/>
      <c r="F671" s="200"/>
      <c r="G671" s="200"/>
      <c r="H671" s="200"/>
      <c r="I671" s="200"/>
      <c r="J671" s="1"/>
      <c r="K671" s="32"/>
      <c r="L671" s="32"/>
      <c r="M671" s="6"/>
      <c r="N671" s="6"/>
      <c r="O671" s="6"/>
    </row>
    <row r="672" spans="2:15" x14ac:dyDescent="0.25">
      <c r="B672" s="32">
        <v>659</v>
      </c>
      <c r="C672" s="200"/>
      <c r="D672" s="200"/>
      <c r="E672" s="200"/>
      <c r="F672" s="200"/>
      <c r="G672" s="200"/>
      <c r="H672" s="200"/>
      <c r="I672" s="200"/>
      <c r="J672" s="1"/>
      <c r="K672" s="32"/>
      <c r="L672" s="32"/>
      <c r="M672" s="6"/>
      <c r="N672" s="6"/>
      <c r="O672" s="6"/>
    </row>
    <row r="673" spans="2:15" x14ac:dyDescent="0.25">
      <c r="B673" s="32">
        <v>660</v>
      </c>
      <c r="C673" s="200"/>
      <c r="D673" s="200"/>
      <c r="E673" s="200"/>
      <c r="F673" s="200"/>
      <c r="G673" s="200"/>
      <c r="H673" s="200"/>
      <c r="I673" s="200"/>
      <c r="J673" s="1"/>
      <c r="K673" s="32"/>
      <c r="L673" s="32"/>
      <c r="M673" s="6"/>
      <c r="N673" s="6"/>
      <c r="O673" s="6"/>
    </row>
    <row r="674" spans="2:15" x14ac:dyDescent="0.25">
      <c r="B674" s="32">
        <v>661</v>
      </c>
      <c r="C674" s="200"/>
      <c r="D674" s="200"/>
      <c r="E674" s="200"/>
      <c r="F674" s="200"/>
      <c r="G674" s="200"/>
      <c r="H674" s="200"/>
      <c r="I674" s="200"/>
      <c r="J674" s="1"/>
      <c r="K674" s="32"/>
      <c r="L674" s="32"/>
      <c r="M674" s="6"/>
      <c r="N674" s="6"/>
      <c r="O674" s="6"/>
    </row>
    <row r="675" spans="2:15" x14ac:dyDescent="0.25">
      <c r="B675" s="32">
        <v>662</v>
      </c>
      <c r="C675" s="200"/>
      <c r="D675" s="200"/>
      <c r="E675" s="200"/>
      <c r="F675" s="200"/>
      <c r="G675" s="200"/>
      <c r="H675" s="200"/>
      <c r="I675" s="200"/>
      <c r="J675" s="1"/>
      <c r="K675" s="32"/>
      <c r="L675" s="32"/>
      <c r="M675" s="6"/>
      <c r="N675" s="6"/>
      <c r="O675" s="6"/>
    </row>
    <row r="676" spans="2:15" x14ac:dyDescent="0.25">
      <c r="B676" s="32">
        <v>663</v>
      </c>
      <c r="C676" s="200"/>
      <c r="D676" s="200"/>
      <c r="E676" s="200"/>
      <c r="F676" s="200"/>
      <c r="G676" s="200"/>
      <c r="H676" s="200"/>
      <c r="I676" s="200"/>
      <c r="J676" s="1"/>
      <c r="K676" s="32"/>
      <c r="L676" s="32"/>
      <c r="M676" s="6"/>
      <c r="N676" s="6"/>
      <c r="O676" s="6"/>
    </row>
    <row r="677" spans="2:15" x14ac:dyDescent="0.25">
      <c r="B677" s="32">
        <v>664</v>
      </c>
      <c r="C677" s="200"/>
      <c r="D677" s="200"/>
      <c r="E677" s="200"/>
      <c r="F677" s="200"/>
      <c r="G677" s="200"/>
      <c r="H677" s="200"/>
      <c r="I677" s="200"/>
      <c r="J677" s="1"/>
      <c r="K677" s="32"/>
      <c r="L677" s="32"/>
      <c r="M677" s="6"/>
      <c r="N677" s="6"/>
      <c r="O677" s="6"/>
    </row>
    <row r="678" spans="2:15" x14ac:dyDescent="0.25">
      <c r="B678" s="32">
        <v>665</v>
      </c>
      <c r="C678" s="200"/>
      <c r="D678" s="200"/>
      <c r="E678" s="200"/>
      <c r="F678" s="200"/>
      <c r="G678" s="200"/>
      <c r="H678" s="200"/>
      <c r="I678" s="200"/>
      <c r="J678" s="1"/>
      <c r="K678" s="32"/>
      <c r="L678" s="32"/>
      <c r="M678" s="6"/>
      <c r="N678" s="6"/>
      <c r="O678" s="6"/>
    </row>
    <row r="679" spans="2:15" x14ac:dyDescent="0.25">
      <c r="B679" s="32">
        <v>666</v>
      </c>
      <c r="C679" s="200"/>
      <c r="D679" s="200"/>
      <c r="E679" s="200"/>
      <c r="F679" s="200"/>
      <c r="G679" s="200"/>
      <c r="H679" s="200"/>
      <c r="I679" s="200"/>
      <c r="J679" s="1"/>
      <c r="K679" s="32"/>
      <c r="L679" s="32"/>
      <c r="M679" s="6"/>
      <c r="N679" s="6"/>
      <c r="O679" s="6"/>
    </row>
    <row r="680" spans="2:15" x14ac:dyDescent="0.25">
      <c r="B680" s="32">
        <v>667</v>
      </c>
      <c r="C680" s="200"/>
      <c r="D680" s="200"/>
      <c r="E680" s="200"/>
      <c r="F680" s="200"/>
      <c r="G680" s="200"/>
      <c r="H680" s="200"/>
      <c r="I680" s="200"/>
      <c r="J680" s="1"/>
      <c r="K680" s="32"/>
      <c r="L680" s="32"/>
      <c r="M680" s="6"/>
      <c r="N680" s="6"/>
      <c r="O680" s="6"/>
    </row>
    <row r="681" spans="2:15" x14ac:dyDescent="0.25">
      <c r="B681" s="32">
        <v>668</v>
      </c>
      <c r="C681" s="200"/>
      <c r="D681" s="200"/>
      <c r="E681" s="200"/>
      <c r="F681" s="200"/>
      <c r="G681" s="200"/>
      <c r="H681" s="200"/>
      <c r="I681" s="200"/>
      <c r="J681" s="1"/>
      <c r="K681" s="32"/>
      <c r="L681" s="32"/>
      <c r="M681" s="6"/>
      <c r="N681" s="6"/>
      <c r="O681" s="6"/>
    </row>
    <row r="682" spans="2:15" x14ac:dyDescent="0.25">
      <c r="B682" s="32">
        <v>669</v>
      </c>
      <c r="C682" s="200"/>
      <c r="D682" s="200"/>
      <c r="E682" s="200"/>
      <c r="F682" s="200"/>
      <c r="G682" s="200"/>
      <c r="H682" s="200"/>
      <c r="I682" s="200"/>
      <c r="J682" s="1"/>
      <c r="K682" s="32"/>
      <c r="L682" s="32"/>
      <c r="M682" s="6"/>
      <c r="N682" s="6"/>
      <c r="O682" s="6"/>
    </row>
    <row r="683" spans="2:15" x14ac:dyDescent="0.25">
      <c r="B683" s="32">
        <v>670</v>
      </c>
      <c r="C683" s="200"/>
      <c r="D683" s="200"/>
      <c r="E683" s="200"/>
      <c r="F683" s="200"/>
      <c r="G683" s="200"/>
      <c r="H683" s="200"/>
      <c r="I683" s="200"/>
      <c r="J683" s="1"/>
      <c r="K683" s="32"/>
      <c r="L683" s="32"/>
      <c r="M683" s="6"/>
      <c r="N683" s="6"/>
      <c r="O683" s="6"/>
    </row>
    <row r="684" spans="2:15" x14ac:dyDescent="0.25">
      <c r="B684" s="32">
        <v>671</v>
      </c>
      <c r="C684" s="200"/>
      <c r="D684" s="200"/>
      <c r="E684" s="200"/>
      <c r="F684" s="200"/>
      <c r="G684" s="200"/>
      <c r="H684" s="200"/>
      <c r="I684" s="200"/>
      <c r="J684" s="1"/>
      <c r="K684" s="32"/>
      <c r="L684" s="32"/>
      <c r="M684" s="6"/>
      <c r="N684" s="6"/>
      <c r="O684" s="6"/>
    </row>
    <row r="685" spans="2:15" x14ac:dyDescent="0.25">
      <c r="B685" s="32">
        <v>672</v>
      </c>
      <c r="C685" s="200"/>
      <c r="D685" s="200"/>
      <c r="E685" s="200"/>
      <c r="F685" s="200"/>
      <c r="G685" s="200"/>
      <c r="H685" s="200"/>
      <c r="I685" s="200"/>
      <c r="J685" s="1"/>
      <c r="K685" s="32"/>
      <c r="L685" s="32"/>
      <c r="M685" s="6"/>
      <c r="N685" s="6"/>
      <c r="O685" s="6"/>
    </row>
    <row r="686" spans="2:15" x14ac:dyDescent="0.25">
      <c r="B686" s="32">
        <v>673</v>
      </c>
      <c r="C686" s="200"/>
      <c r="D686" s="200"/>
      <c r="E686" s="200"/>
      <c r="F686" s="200"/>
      <c r="G686" s="200"/>
      <c r="H686" s="200"/>
      <c r="I686" s="200"/>
      <c r="J686" s="1"/>
      <c r="K686" s="32"/>
      <c r="L686" s="32"/>
      <c r="M686" s="6"/>
      <c r="N686" s="6"/>
      <c r="O686" s="6"/>
    </row>
    <row r="687" spans="2:15" x14ac:dyDescent="0.25">
      <c r="B687" s="32">
        <v>674</v>
      </c>
      <c r="C687" s="200"/>
      <c r="D687" s="200"/>
      <c r="E687" s="200"/>
      <c r="F687" s="200"/>
      <c r="G687" s="200"/>
      <c r="H687" s="200"/>
      <c r="I687" s="200"/>
      <c r="J687" s="1"/>
      <c r="K687" s="32"/>
      <c r="L687" s="32"/>
      <c r="M687" s="6"/>
      <c r="N687" s="6"/>
      <c r="O687" s="6"/>
    </row>
    <row r="688" spans="2:15" x14ac:dyDescent="0.25">
      <c r="B688" s="32">
        <v>675</v>
      </c>
      <c r="C688" s="200"/>
      <c r="D688" s="200"/>
      <c r="E688" s="200"/>
      <c r="F688" s="200"/>
      <c r="G688" s="200"/>
      <c r="H688" s="200"/>
      <c r="I688" s="200"/>
      <c r="J688" s="1"/>
      <c r="K688" s="32"/>
      <c r="L688" s="32"/>
      <c r="M688" s="6"/>
      <c r="N688" s="6"/>
      <c r="O688" s="6"/>
    </row>
    <row r="689" spans="2:15" x14ac:dyDescent="0.25">
      <c r="B689" s="32">
        <v>676</v>
      </c>
      <c r="C689" s="200"/>
      <c r="D689" s="200"/>
      <c r="E689" s="200"/>
      <c r="F689" s="200"/>
      <c r="G689" s="200"/>
      <c r="H689" s="200"/>
      <c r="I689" s="200"/>
      <c r="J689" s="1"/>
      <c r="K689" s="32"/>
      <c r="L689" s="32"/>
      <c r="M689" s="6"/>
      <c r="N689" s="6"/>
      <c r="O689" s="6"/>
    </row>
    <row r="690" spans="2:15" x14ac:dyDescent="0.25">
      <c r="B690" s="32">
        <v>677</v>
      </c>
      <c r="C690" s="200"/>
      <c r="D690" s="200"/>
      <c r="E690" s="200"/>
      <c r="F690" s="200"/>
      <c r="G690" s="200"/>
      <c r="H690" s="200"/>
      <c r="I690" s="200"/>
      <c r="J690" s="1"/>
      <c r="K690" s="32"/>
      <c r="L690" s="32"/>
      <c r="M690" s="6"/>
      <c r="N690" s="6"/>
      <c r="O690" s="6"/>
    </row>
    <row r="691" spans="2:15" x14ac:dyDescent="0.25">
      <c r="B691" s="32">
        <v>678</v>
      </c>
      <c r="C691" s="200"/>
      <c r="D691" s="200"/>
      <c r="E691" s="200"/>
      <c r="F691" s="200"/>
      <c r="G691" s="200"/>
      <c r="H691" s="200"/>
      <c r="I691" s="200"/>
      <c r="J691" s="1"/>
      <c r="K691" s="32"/>
      <c r="L691" s="32"/>
      <c r="M691" s="6"/>
      <c r="N691" s="6"/>
      <c r="O691" s="6"/>
    </row>
    <row r="692" spans="2:15" x14ac:dyDescent="0.25">
      <c r="B692" s="32">
        <v>679</v>
      </c>
      <c r="C692" s="200"/>
      <c r="D692" s="200"/>
      <c r="E692" s="200"/>
      <c r="F692" s="200"/>
      <c r="G692" s="200"/>
      <c r="H692" s="200"/>
      <c r="I692" s="200"/>
      <c r="J692" s="1"/>
      <c r="K692" s="32"/>
      <c r="L692" s="32"/>
      <c r="M692" s="6"/>
      <c r="N692" s="6"/>
      <c r="O692" s="6"/>
    </row>
    <row r="693" spans="2:15" x14ac:dyDescent="0.25">
      <c r="B693" s="32">
        <v>680</v>
      </c>
      <c r="C693" s="200"/>
      <c r="D693" s="200"/>
      <c r="E693" s="200"/>
      <c r="F693" s="200"/>
      <c r="G693" s="200"/>
      <c r="H693" s="200"/>
      <c r="I693" s="200"/>
      <c r="J693" s="1"/>
      <c r="K693" s="32"/>
      <c r="L693" s="32"/>
      <c r="M693" s="6"/>
      <c r="N693" s="6"/>
      <c r="O693" s="6"/>
    </row>
    <row r="694" spans="2:15" x14ac:dyDescent="0.25">
      <c r="B694" s="32">
        <v>681</v>
      </c>
      <c r="C694" s="200"/>
      <c r="D694" s="200"/>
      <c r="E694" s="200"/>
      <c r="F694" s="200"/>
      <c r="G694" s="200"/>
      <c r="H694" s="200"/>
      <c r="I694" s="200"/>
      <c r="J694" s="1"/>
      <c r="K694" s="32"/>
      <c r="L694" s="32"/>
      <c r="M694" s="6"/>
      <c r="N694" s="6"/>
      <c r="O694" s="6"/>
    </row>
    <row r="695" spans="2:15" x14ac:dyDescent="0.25">
      <c r="B695" s="32">
        <v>682</v>
      </c>
      <c r="C695" s="200"/>
      <c r="D695" s="200"/>
      <c r="E695" s="200"/>
      <c r="F695" s="200"/>
      <c r="G695" s="200"/>
      <c r="H695" s="200"/>
      <c r="I695" s="200"/>
      <c r="J695" s="1"/>
      <c r="K695" s="32"/>
      <c r="L695" s="32"/>
      <c r="M695" s="6"/>
      <c r="N695" s="6"/>
      <c r="O695" s="6"/>
    </row>
    <row r="696" spans="2:15" x14ac:dyDescent="0.25">
      <c r="B696" s="32">
        <v>683</v>
      </c>
      <c r="C696" s="200"/>
      <c r="D696" s="200"/>
      <c r="E696" s="200"/>
      <c r="F696" s="200"/>
      <c r="G696" s="200"/>
      <c r="H696" s="200"/>
      <c r="I696" s="200"/>
      <c r="J696" s="1"/>
      <c r="K696" s="32"/>
      <c r="L696" s="32"/>
      <c r="M696" s="6"/>
      <c r="N696" s="6"/>
      <c r="O696" s="6"/>
    </row>
    <row r="697" spans="2:15" x14ac:dyDescent="0.25">
      <c r="B697" s="32">
        <v>684</v>
      </c>
      <c r="C697" s="200"/>
      <c r="D697" s="200"/>
      <c r="E697" s="200"/>
      <c r="F697" s="200"/>
      <c r="G697" s="200"/>
      <c r="H697" s="200"/>
      <c r="I697" s="200"/>
      <c r="J697" s="1"/>
      <c r="K697" s="32"/>
      <c r="L697" s="32"/>
      <c r="M697" s="6"/>
      <c r="N697" s="6"/>
      <c r="O697" s="6"/>
    </row>
    <row r="698" spans="2:15" x14ac:dyDescent="0.25">
      <c r="B698" s="32">
        <v>685</v>
      </c>
      <c r="C698" s="200"/>
      <c r="D698" s="200"/>
      <c r="E698" s="200"/>
      <c r="F698" s="200"/>
      <c r="G698" s="200"/>
      <c r="H698" s="200"/>
      <c r="I698" s="200"/>
      <c r="J698" s="1"/>
      <c r="K698" s="32"/>
      <c r="L698" s="32"/>
      <c r="M698" s="6"/>
      <c r="N698" s="6"/>
      <c r="O698" s="6"/>
    </row>
    <row r="699" spans="2:15" x14ac:dyDescent="0.25">
      <c r="B699" s="32">
        <v>686</v>
      </c>
      <c r="C699" s="200"/>
      <c r="D699" s="200"/>
      <c r="E699" s="200"/>
      <c r="F699" s="200"/>
      <c r="G699" s="200"/>
      <c r="H699" s="200"/>
      <c r="I699" s="200"/>
      <c r="J699" s="1"/>
      <c r="K699" s="32"/>
      <c r="L699" s="32"/>
      <c r="M699" s="6"/>
      <c r="N699" s="6"/>
      <c r="O699" s="6"/>
    </row>
    <row r="700" spans="2:15" x14ac:dyDescent="0.25">
      <c r="B700" s="32">
        <v>687</v>
      </c>
      <c r="C700" s="200"/>
      <c r="D700" s="200"/>
      <c r="E700" s="200"/>
      <c r="F700" s="200"/>
      <c r="G700" s="200"/>
      <c r="H700" s="200"/>
      <c r="I700" s="200"/>
      <c r="J700" s="1"/>
      <c r="K700" s="32"/>
      <c r="L700" s="32"/>
      <c r="M700" s="6"/>
      <c r="N700" s="6"/>
      <c r="O700" s="6"/>
    </row>
    <row r="701" spans="2:15" x14ac:dyDescent="0.25">
      <c r="B701" s="32">
        <v>688</v>
      </c>
      <c r="C701" s="200"/>
      <c r="D701" s="200"/>
      <c r="E701" s="200"/>
      <c r="F701" s="200"/>
      <c r="G701" s="200"/>
      <c r="H701" s="200"/>
      <c r="I701" s="200"/>
      <c r="J701" s="1"/>
      <c r="K701" s="32"/>
      <c r="L701" s="32"/>
      <c r="M701" s="6"/>
      <c r="N701" s="6"/>
      <c r="O701" s="6"/>
    </row>
    <row r="702" spans="2:15" x14ac:dyDescent="0.25">
      <c r="B702" s="32">
        <v>689</v>
      </c>
      <c r="C702" s="200"/>
      <c r="D702" s="200"/>
      <c r="E702" s="200"/>
      <c r="F702" s="200"/>
      <c r="G702" s="200"/>
      <c r="H702" s="200"/>
      <c r="I702" s="200"/>
      <c r="J702" s="1"/>
      <c r="K702" s="32"/>
      <c r="L702" s="32"/>
      <c r="M702" s="6"/>
      <c r="N702" s="6"/>
      <c r="O702" s="6"/>
    </row>
    <row r="703" spans="2:15" x14ac:dyDescent="0.25">
      <c r="B703" s="32">
        <v>690</v>
      </c>
      <c r="C703" s="200"/>
      <c r="D703" s="200"/>
      <c r="E703" s="200"/>
      <c r="F703" s="200"/>
      <c r="G703" s="200"/>
      <c r="H703" s="200"/>
      <c r="I703" s="200"/>
      <c r="J703" s="1"/>
      <c r="K703" s="32"/>
      <c r="L703" s="32"/>
      <c r="M703" s="6"/>
      <c r="N703" s="6"/>
      <c r="O703" s="6"/>
    </row>
    <row r="704" spans="2:15" x14ac:dyDescent="0.25">
      <c r="B704" s="32">
        <v>691</v>
      </c>
      <c r="C704" s="200"/>
      <c r="D704" s="200"/>
      <c r="E704" s="200"/>
      <c r="F704" s="200"/>
      <c r="G704" s="200"/>
      <c r="H704" s="200"/>
      <c r="I704" s="200"/>
      <c r="J704" s="1"/>
      <c r="K704" s="32"/>
      <c r="L704" s="32"/>
      <c r="M704" s="6"/>
      <c r="N704" s="6"/>
      <c r="O704" s="6"/>
    </row>
    <row r="705" spans="2:15" x14ac:dyDescent="0.25">
      <c r="B705" s="32">
        <v>692</v>
      </c>
      <c r="C705" s="200"/>
      <c r="D705" s="200"/>
      <c r="E705" s="200"/>
      <c r="F705" s="200"/>
      <c r="G705" s="200"/>
      <c r="H705" s="200"/>
      <c r="I705" s="200"/>
      <c r="J705" s="1"/>
      <c r="K705" s="32"/>
      <c r="L705" s="32"/>
      <c r="M705" s="6"/>
      <c r="N705" s="6"/>
      <c r="O705" s="6"/>
    </row>
    <row r="706" spans="2:15" x14ac:dyDescent="0.25">
      <c r="B706" s="32">
        <v>693</v>
      </c>
      <c r="C706" s="200"/>
      <c r="D706" s="200"/>
      <c r="E706" s="200"/>
      <c r="F706" s="200"/>
      <c r="G706" s="200"/>
      <c r="H706" s="200"/>
      <c r="I706" s="200"/>
      <c r="J706" s="1"/>
      <c r="K706" s="32"/>
      <c r="L706" s="32"/>
      <c r="M706" s="6"/>
      <c r="N706" s="6"/>
      <c r="O706" s="6"/>
    </row>
    <row r="707" spans="2:15" x14ac:dyDescent="0.25">
      <c r="B707" s="32">
        <v>694</v>
      </c>
      <c r="C707" s="200"/>
      <c r="D707" s="200"/>
      <c r="E707" s="200"/>
      <c r="F707" s="200"/>
      <c r="G707" s="200"/>
      <c r="H707" s="200"/>
      <c r="I707" s="200"/>
      <c r="J707" s="1"/>
      <c r="K707" s="32"/>
      <c r="L707" s="32"/>
      <c r="M707" s="6"/>
      <c r="N707" s="6"/>
      <c r="O707" s="6"/>
    </row>
    <row r="708" spans="2:15" x14ac:dyDescent="0.25">
      <c r="B708" s="32">
        <v>695</v>
      </c>
      <c r="C708" s="200"/>
      <c r="D708" s="200"/>
      <c r="E708" s="200"/>
      <c r="F708" s="200"/>
      <c r="G708" s="200"/>
      <c r="H708" s="200"/>
      <c r="I708" s="200"/>
      <c r="J708" s="1"/>
      <c r="K708" s="32"/>
      <c r="L708" s="32"/>
      <c r="M708" s="6"/>
      <c r="N708" s="6"/>
      <c r="O708" s="6"/>
    </row>
    <row r="709" spans="2:15" x14ac:dyDescent="0.25">
      <c r="B709" s="32">
        <v>696</v>
      </c>
      <c r="C709" s="200"/>
      <c r="D709" s="200"/>
      <c r="E709" s="200"/>
      <c r="F709" s="200"/>
      <c r="G709" s="200"/>
      <c r="H709" s="200"/>
      <c r="I709" s="200"/>
      <c r="J709" s="1"/>
      <c r="K709" s="32"/>
      <c r="L709" s="32"/>
      <c r="M709" s="6"/>
      <c r="N709" s="6"/>
      <c r="O709" s="6"/>
    </row>
    <row r="710" spans="2:15" x14ac:dyDescent="0.25">
      <c r="B710" s="32">
        <v>697</v>
      </c>
      <c r="C710" s="200"/>
      <c r="D710" s="200"/>
      <c r="E710" s="200"/>
      <c r="F710" s="200"/>
      <c r="G710" s="200"/>
      <c r="H710" s="200"/>
      <c r="I710" s="200"/>
      <c r="J710" s="1"/>
      <c r="K710" s="32"/>
      <c r="L710" s="32"/>
      <c r="M710" s="6"/>
      <c r="N710" s="6"/>
      <c r="O710" s="6"/>
    </row>
    <row r="711" spans="2:15" x14ac:dyDescent="0.25">
      <c r="B711" s="32">
        <v>698</v>
      </c>
      <c r="C711" s="200"/>
      <c r="D711" s="200"/>
      <c r="E711" s="200"/>
      <c r="F711" s="200"/>
      <c r="G711" s="200"/>
      <c r="H711" s="200"/>
      <c r="I711" s="200"/>
      <c r="J711" s="1"/>
      <c r="K711" s="32"/>
      <c r="L711" s="32"/>
      <c r="M711" s="6"/>
      <c r="N711" s="6"/>
      <c r="O711" s="6"/>
    </row>
    <row r="712" spans="2:15" x14ac:dyDescent="0.25">
      <c r="B712" s="32">
        <v>699</v>
      </c>
      <c r="C712" s="200"/>
      <c r="D712" s="200"/>
      <c r="E712" s="200"/>
      <c r="F712" s="200"/>
      <c r="G712" s="200"/>
      <c r="H712" s="200"/>
      <c r="I712" s="200"/>
      <c r="J712" s="1"/>
      <c r="K712" s="32"/>
      <c r="L712" s="32"/>
      <c r="M712" s="6"/>
      <c r="N712" s="6"/>
      <c r="O712" s="6"/>
    </row>
    <row r="713" spans="2:15" x14ac:dyDescent="0.25">
      <c r="B713" s="32">
        <v>700</v>
      </c>
      <c r="C713" s="200"/>
      <c r="D713" s="200"/>
      <c r="E713" s="200"/>
      <c r="F713" s="200"/>
      <c r="G713" s="200"/>
      <c r="H713" s="200"/>
      <c r="I713" s="200"/>
      <c r="J713" s="1"/>
      <c r="K713" s="32"/>
      <c r="L713" s="32"/>
      <c r="M713" s="6"/>
      <c r="N713" s="6"/>
      <c r="O713" s="6"/>
    </row>
    <row r="714" spans="2:15" x14ac:dyDescent="0.25">
      <c r="B714" s="32">
        <v>701</v>
      </c>
      <c r="C714" s="200"/>
      <c r="D714" s="200"/>
      <c r="E714" s="200"/>
      <c r="F714" s="200"/>
      <c r="G714" s="200"/>
      <c r="H714" s="200"/>
      <c r="I714" s="200"/>
      <c r="J714" s="1"/>
      <c r="K714" s="32"/>
      <c r="L714" s="32"/>
      <c r="M714" s="6"/>
      <c r="N714" s="6"/>
      <c r="O714" s="6"/>
    </row>
    <row r="715" spans="2:15" x14ac:dyDescent="0.25">
      <c r="B715" s="32">
        <v>702</v>
      </c>
      <c r="C715" s="200"/>
      <c r="D715" s="200"/>
      <c r="E715" s="200"/>
      <c r="F715" s="200"/>
      <c r="G715" s="200"/>
      <c r="H715" s="200"/>
      <c r="I715" s="200"/>
      <c r="J715" s="1"/>
      <c r="K715" s="32"/>
      <c r="L715" s="32"/>
      <c r="M715" s="6"/>
      <c r="N715" s="6"/>
      <c r="O715" s="6"/>
    </row>
    <row r="716" spans="2:15" x14ac:dyDescent="0.25">
      <c r="B716" s="32">
        <v>703</v>
      </c>
      <c r="C716" s="200"/>
      <c r="D716" s="200"/>
      <c r="E716" s="200"/>
      <c r="F716" s="200"/>
      <c r="G716" s="200"/>
      <c r="H716" s="200"/>
      <c r="I716" s="200"/>
      <c r="J716" s="1"/>
      <c r="K716" s="32"/>
      <c r="L716" s="32"/>
      <c r="M716" s="6"/>
      <c r="N716" s="6"/>
      <c r="O716" s="6"/>
    </row>
    <row r="717" spans="2:15" x14ac:dyDescent="0.25">
      <c r="B717" s="32">
        <v>704</v>
      </c>
      <c r="C717" s="200"/>
      <c r="D717" s="200"/>
      <c r="E717" s="200"/>
      <c r="F717" s="200"/>
      <c r="G717" s="200"/>
      <c r="H717" s="200"/>
      <c r="I717" s="200"/>
      <c r="J717" s="1"/>
      <c r="K717" s="32"/>
      <c r="L717" s="32"/>
      <c r="M717" s="6"/>
      <c r="N717" s="6"/>
      <c r="O717" s="6"/>
    </row>
    <row r="718" spans="2:15" x14ac:dyDescent="0.25">
      <c r="B718" s="32">
        <v>705</v>
      </c>
      <c r="C718" s="200"/>
      <c r="D718" s="200"/>
      <c r="E718" s="200"/>
      <c r="F718" s="200"/>
      <c r="G718" s="200"/>
      <c r="H718" s="200"/>
      <c r="I718" s="200"/>
      <c r="J718" s="1"/>
      <c r="K718" s="32"/>
      <c r="L718" s="32"/>
      <c r="M718" s="6"/>
      <c r="N718" s="6"/>
      <c r="O718" s="6"/>
    </row>
    <row r="719" spans="2:15" x14ac:dyDescent="0.25">
      <c r="B719" s="32">
        <v>706</v>
      </c>
      <c r="C719" s="200"/>
      <c r="D719" s="200"/>
      <c r="E719" s="200"/>
      <c r="F719" s="200"/>
      <c r="G719" s="200"/>
      <c r="H719" s="200"/>
      <c r="I719" s="200"/>
      <c r="J719" s="1"/>
      <c r="K719" s="32"/>
      <c r="L719" s="32"/>
      <c r="M719" s="6"/>
      <c r="N719" s="6"/>
      <c r="O719" s="6"/>
    </row>
    <row r="720" spans="2:15" x14ac:dyDescent="0.25">
      <c r="B720" s="32">
        <v>707</v>
      </c>
      <c r="C720" s="200"/>
      <c r="D720" s="200"/>
      <c r="E720" s="200"/>
      <c r="F720" s="200"/>
      <c r="G720" s="200"/>
      <c r="H720" s="200"/>
      <c r="I720" s="200"/>
      <c r="J720" s="1"/>
      <c r="K720" s="32"/>
      <c r="L720" s="32"/>
      <c r="M720" s="6"/>
      <c r="N720" s="6"/>
      <c r="O720" s="6"/>
    </row>
    <row r="721" spans="2:15" x14ac:dyDescent="0.25">
      <c r="B721" s="32">
        <v>708</v>
      </c>
      <c r="C721" s="200"/>
      <c r="D721" s="200"/>
      <c r="E721" s="200"/>
      <c r="F721" s="200"/>
      <c r="G721" s="200"/>
      <c r="H721" s="200"/>
      <c r="I721" s="200"/>
      <c r="J721" s="1"/>
      <c r="K721" s="32"/>
      <c r="L721" s="32"/>
      <c r="M721" s="6"/>
      <c r="N721" s="6"/>
      <c r="O721" s="6"/>
    </row>
    <row r="722" spans="2:15" x14ac:dyDescent="0.25">
      <c r="B722" s="32">
        <v>709</v>
      </c>
      <c r="C722" s="200"/>
      <c r="D722" s="200"/>
      <c r="E722" s="200"/>
      <c r="F722" s="200"/>
      <c r="G722" s="200"/>
      <c r="H722" s="200"/>
      <c r="I722" s="200"/>
      <c r="J722" s="1"/>
      <c r="K722" s="32"/>
      <c r="L722" s="32"/>
      <c r="M722" s="6"/>
      <c r="N722" s="6"/>
      <c r="O722" s="6"/>
    </row>
    <row r="723" spans="2:15" x14ac:dyDescent="0.25">
      <c r="B723" s="32">
        <v>710</v>
      </c>
      <c r="C723" s="200"/>
      <c r="D723" s="200"/>
      <c r="E723" s="200"/>
      <c r="F723" s="200"/>
      <c r="G723" s="200"/>
      <c r="H723" s="200"/>
      <c r="I723" s="200"/>
      <c r="J723" s="1"/>
      <c r="K723" s="32"/>
      <c r="L723" s="32"/>
      <c r="M723" s="6"/>
      <c r="N723" s="6"/>
      <c r="O723" s="6"/>
    </row>
    <row r="724" spans="2:15" x14ac:dyDescent="0.25">
      <c r="B724" s="32">
        <v>711</v>
      </c>
      <c r="C724" s="200"/>
      <c r="D724" s="200"/>
      <c r="E724" s="200"/>
      <c r="F724" s="200"/>
      <c r="G724" s="200"/>
      <c r="H724" s="200"/>
      <c r="I724" s="200"/>
      <c r="J724" s="1"/>
      <c r="K724" s="32"/>
      <c r="L724" s="32"/>
      <c r="M724" s="6"/>
      <c r="N724" s="6"/>
      <c r="O724" s="6"/>
    </row>
    <row r="725" spans="2:15" x14ac:dyDescent="0.25">
      <c r="B725" s="32">
        <v>712</v>
      </c>
      <c r="C725" s="200"/>
      <c r="D725" s="200"/>
      <c r="E725" s="200"/>
      <c r="F725" s="200"/>
      <c r="G725" s="200"/>
      <c r="H725" s="200"/>
      <c r="I725" s="200"/>
      <c r="J725" s="1"/>
      <c r="K725" s="32"/>
      <c r="L725" s="32"/>
      <c r="M725" s="6"/>
      <c r="N725" s="6"/>
      <c r="O725" s="6"/>
    </row>
    <row r="726" spans="2:15" x14ac:dyDescent="0.25">
      <c r="B726" s="32">
        <v>713</v>
      </c>
      <c r="C726" s="200"/>
      <c r="D726" s="200"/>
      <c r="E726" s="200"/>
      <c r="F726" s="200"/>
      <c r="G726" s="200"/>
      <c r="H726" s="200"/>
      <c r="I726" s="200"/>
      <c r="J726" s="1"/>
      <c r="K726" s="32"/>
      <c r="L726" s="32"/>
      <c r="M726" s="6"/>
      <c r="N726" s="6"/>
      <c r="O726" s="6"/>
    </row>
    <row r="727" spans="2:15" x14ac:dyDescent="0.25">
      <c r="B727" s="32">
        <v>714</v>
      </c>
      <c r="C727" s="200"/>
      <c r="D727" s="200"/>
      <c r="E727" s="200"/>
      <c r="F727" s="200"/>
      <c r="G727" s="200"/>
      <c r="H727" s="200"/>
      <c r="I727" s="200"/>
      <c r="J727" s="1"/>
      <c r="K727" s="32"/>
      <c r="L727" s="32"/>
      <c r="M727" s="6"/>
      <c r="N727" s="6"/>
      <c r="O727" s="6"/>
    </row>
    <row r="728" spans="2:15" x14ac:dyDescent="0.25">
      <c r="B728" s="32">
        <v>715</v>
      </c>
      <c r="C728" s="200"/>
      <c r="D728" s="200"/>
      <c r="E728" s="200"/>
      <c r="F728" s="200"/>
      <c r="G728" s="200"/>
      <c r="H728" s="200"/>
      <c r="I728" s="200"/>
      <c r="J728" s="1"/>
      <c r="K728" s="32"/>
      <c r="L728" s="32"/>
      <c r="M728" s="6"/>
      <c r="N728" s="6"/>
      <c r="O728" s="6"/>
    </row>
    <row r="729" spans="2:15" x14ac:dyDescent="0.25">
      <c r="B729" s="32">
        <v>716</v>
      </c>
      <c r="C729" s="200"/>
      <c r="D729" s="200"/>
      <c r="E729" s="200"/>
      <c r="F729" s="200"/>
      <c r="G729" s="200"/>
      <c r="H729" s="200"/>
      <c r="I729" s="200"/>
      <c r="J729" s="1"/>
      <c r="K729" s="32"/>
      <c r="L729" s="32"/>
      <c r="M729" s="6"/>
      <c r="N729" s="6"/>
      <c r="O729" s="6"/>
    </row>
    <row r="730" spans="2:15" x14ac:dyDescent="0.25">
      <c r="B730" s="32">
        <v>717</v>
      </c>
      <c r="C730" s="200"/>
      <c r="D730" s="200"/>
      <c r="E730" s="200"/>
      <c r="F730" s="200"/>
      <c r="G730" s="200"/>
      <c r="H730" s="200"/>
      <c r="I730" s="200"/>
      <c r="J730" s="1"/>
      <c r="K730" s="32"/>
      <c r="L730" s="32"/>
      <c r="M730" s="6"/>
      <c r="N730" s="6"/>
      <c r="O730" s="6"/>
    </row>
    <row r="731" spans="2:15" x14ac:dyDescent="0.25">
      <c r="B731" s="32">
        <v>718</v>
      </c>
      <c r="C731" s="200"/>
      <c r="D731" s="200"/>
      <c r="E731" s="200"/>
      <c r="F731" s="200"/>
      <c r="G731" s="200"/>
      <c r="H731" s="200"/>
      <c r="I731" s="200"/>
      <c r="J731" s="1"/>
      <c r="K731" s="32"/>
      <c r="L731" s="32"/>
      <c r="M731" s="6"/>
      <c r="N731" s="6"/>
      <c r="O731" s="6"/>
    </row>
    <row r="732" spans="2:15" x14ac:dyDescent="0.25">
      <c r="B732" s="32">
        <v>719</v>
      </c>
      <c r="C732" s="200"/>
      <c r="D732" s="200"/>
      <c r="E732" s="200"/>
      <c r="F732" s="200"/>
      <c r="G732" s="200"/>
      <c r="H732" s="200"/>
      <c r="I732" s="200"/>
      <c r="J732" s="1"/>
      <c r="K732" s="32"/>
      <c r="L732" s="32"/>
      <c r="M732" s="6"/>
      <c r="N732" s="6"/>
      <c r="O732" s="6"/>
    </row>
    <row r="733" spans="2:15" x14ac:dyDescent="0.25">
      <c r="B733" s="32">
        <v>720</v>
      </c>
      <c r="C733" s="200"/>
      <c r="D733" s="200"/>
      <c r="E733" s="200"/>
      <c r="F733" s="200"/>
      <c r="G733" s="200"/>
      <c r="H733" s="200"/>
      <c r="I733" s="200"/>
      <c r="J733" s="1"/>
      <c r="K733" s="32"/>
      <c r="L733" s="32"/>
      <c r="M733" s="6"/>
      <c r="N733" s="6"/>
      <c r="O733" s="6"/>
    </row>
    <row r="734" spans="2:15" x14ac:dyDescent="0.25">
      <c r="B734" s="32">
        <v>721</v>
      </c>
      <c r="C734" s="200"/>
      <c r="D734" s="200"/>
      <c r="E734" s="200"/>
      <c r="F734" s="200"/>
      <c r="G734" s="200"/>
      <c r="H734" s="200"/>
      <c r="I734" s="200"/>
      <c r="J734" s="1"/>
      <c r="K734" s="32"/>
      <c r="L734" s="32"/>
      <c r="M734" s="6"/>
      <c r="N734" s="6"/>
      <c r="O734" s="6"/>
    </row>
    <row r="735" spans="2:15" x14ac:dyDescent="0.25">
      <c r="B735" s="32">
        <v>722</v>
      </c>
      <c r="C735" s="200"/>
      <c r="D735" s="200"/>
      <c r="E735" s="200"/>
      <c r="F735" s="200"/>
      <c r="G735" s="200"/>
      <c r="H735" s="200"/>
      <c r="I735" s="200"/>
      <c r="J735" s="1"/>
      <c r="K735" s="32"/>
      <c r="L735" s="32"/>
      <c r="M735" s="6"/>
      <c r="N735" s="6"/>
      <c r="O735" s="6"/>
    </row>
    <row r="736" spans="2:15" x14ac:dyDescent="0.25">
      <c r="B736" s="32">
        <v>723</v>
      </c>
      <c r="C736" s="200"/>
      <c r="D736" s="200"/>
      <c r="E736" s="200"/>
      <c r="F736" s="200"/>
      <c r="G736" s="200"/>
      <c r="H736" s="200"/>
      <c r="I736" s="200"/>
      <c r="J736" s="1"/>
      <c r="K736" s="32"/>
      <c r="L736" s="32"/>
      <c r="M736" s="6"/>
      <c r="N736" s="6"/>
      <c r="O736" s="6"/>
    </row>
    <row r="737" spans="2:15" x14ac:dyDescent="0.25">
      <c r="B737" s="32">
        <v>724</v>
      </c>
      <c r="C737" s="200"/>
      <c r="D737" s="200"/>
      <c r="E737" s="200"/>
      <c r="F737" s="200"/>
      <c r="G737" s="200"/>
      <c r="H737" s="200"/>
      <c r="I737" s="200"/>
      <c r="J737" s="1"/>
      <c r="K737" s="32"/>
      <c r="L737" s="32"/>
      <c r="M737" s="6"/>
      <c r="N737" s="6"/>
      <c r="O737" s="6"/>
    </row>
    <row r="738" spans="2:15" x14ac:dyDescent="0.25">
      <c r="B738" s="32">
        <v>725</v>
      </c>
      <c r="C738" s="200"/>
      <c r="D738" s="200"/>
      <c r="E738" s="200"/>
      <c r="F738" s="200"/>
      <c r="G738" s="200"/>
      <c r="H738" s="200"/>
      <c r="I738" s="200"/>
      <c r="J738" s="1"/>
      <c r="K738" s="32"/>
      <c r="L738" s="32"/>
      <c r="M738" s="6"/>
      <c r="N738" s="6"/>
      <c r="O738" s="6"/>
    </row>
    <row r="739" spans="2:15" x14ac:dyDescent="0.25">
      <c r="B739" s="32">
        <v>726</v>
      </c>
      <c r="C739" s="200"/>
      <c r="D739" s="200"/>
      <c r="E739" s="200"/>
      <c r="F739" s="200"/>
      <c r="G739" s="200"/>
      <c r="H739" s="200"/>
      <c r="I739" s="200"/>
      <c r="J739" s="1"/>
      <c r="K739" s="32"/>
      <c r="L739" s="32"/>
      <c r="M739" s="6"/>
      <c r="N739" s="6"/>
      <c r="O739" s="6"/>
    </row>
    <row r="740" spans="2:15" x14ac:dyDescent="0.25">
      <c r="B740" s="32">
        <v>727</v>
      </c>
      <c r="C740" s="200"/>
      <c r="D740" s="200"/>
      <c r="E740" s="200"/>
      <c r="F740" s="200"/>
      <c r="G740" s="200"/>
      <c r="H740" s="200"/>
      <c r="I740" s="200"/>
      <c r="J740" s="1"/>
      <c r="K740" s="32"/>
      <c r="L740" s="32"/>
      <c r="M740" s="6"/>
      <c r="N740" s="6"/>
      <c r="O740" s="6"/>
    </row>
    <row r="741" spans="2:15" x14ac:dyDescent="0.25">
      <c r="B741" s="32">
        <v>728</v>
      </c>
      <c r="C741" s="200"/>
      <c r="D741" s="200"/>
      <c r="E741" s="200"/>
      <c r="F741" s="200"/>
      <c r="G741" s="200"/>
      <c r="H741" s="200"/>
      <c r="I741" s="200"/>
      <c r="J741" s="1"/>
      <c r="K741" s="32"/>
      <c r="L741" s="32"/>
      <c r="M741" s="6"/>
      <c r="N741" s="6"/>
      <c r="O741" s="6"/>
    </row>
    <row r="742" spans="2:15" x14ac:dyDescent="0.25">
      <c r="B742" s="32">
        <v>729</v>
      </c>
      <c r="C742" s="200"/>
      <c r="D742" s="200"/>
      <c r="E742" s="200"/>
      <c r="F742" s="200"/>
      <c r="G742" s="200"/>
      <c r="H742" s="200"/>
      <c r="I742" s="200"/>
      <c r="J742" s="1"/>
      <c r="K742" s="32"/>
      <c r="L742" s="32"/>
      <c r="M742" s="6"/>
      <c r="N742" s="6"/>
      <c r="O742" s="6"/>
    </row>
    <row r="743" spans="2:15" x14ac:dyDescent="0.25">
      <c r="B743" s="32">
        <v>730</v>
      </c>
      <c r="C743" s="200"/>
      <c r="D743" s="200"/>
      <c r="E743" s="200"/>
      <c r="F743" s="200"/>
      <c r="G743" s="200"/>
      <c r="H743" s="200"/>
      <c r="I743" s="200"/>
      <c r="J743" s="1"/>
      <c r="K743" s="32"/>
      <c r="L743" s="32"/>
      <c r="M743" s="6"/>
      <c r="N743" s="6"/>
      <c r="O743" s="6"/>
    </row>
    <row r="744" spans="2:15" x14ac:dyDescent="0.25">
      <c r="B744" s="32">
        <v>731</v>
      </c>
      <c r="C744" s="200"/>
      <c r="D744" s="200"/>
      <c r="E744" s="200"/>
      <c r="F744" s="200"/>
      <c r="G744" s="200"/>
      <c r="H744" s="200"/>
      <c r="I744" s="200"/>
      <c r="J744" s="1"/>
      <c r="K744" s="32"/>
      <c r="L744" s="32"/>
      <c r="M744" s="6"/>
      <c r="N744" s="6"/>
      <c r="O744" s="6"/>
    </row>
    <row r="745" spans="2:15" x14ac:dyDescent="0.25">
      <c r="B745" s="32">
        <v>732</v>
      </c>
      <c r="C745" s="200"/>
      <c r="D745" s="200"/>
      <c r="E745" s="200"/>
      <c r="F745" s="200"/>
      <c r="G745" s="200"/>
      <c r="H745" s="200"/>
      <c r="I745" s="200"/>
      <c r="J745" s="1"/>
      <c r="K745" s="32"/>
      <c r="L745" s="32"/>
      <c r="M745" s="6"/>
      <c r="N745" s="6"/>
      <c r="O745" s="6"/>
    </row>
    <row r="746" spans="2:15" x14ac:dyDescent="0.25">
      <c r="B746" s="32">
        <v>733</v>
      </c>
      <c r="C746" s="200"/>
      <c r="D746" s="200"/>
      <c r="E746" s="200"/>
      <c r="F746" s="200"/>
      <c r="G746" s="200"/>
      <c r="H746" s="200"/>
      <c r="I746" s="200"/>
      <c r="J746" s="1"/>
      <c r="K746" s="32"/>
      <c r="L746" s="32"/>
      <c r="M746" s="6"/>
      <c r="N746" s="6"/>
      <c r="O746" s="6"/>
    </row>
    <row r="747" spans="2:15" x14ac:dyDescent="0.25">
      <c r="B747" s="32">
        <v>734</v>
      </c>
      <c r="C747" s="200"/>
      <c r="D747" s="200"/>
      <c r="E747" s="200"/>
      <c r="F747" s="200"/>
      <c r="G747" s="200"/>
      <c r="H747" s="200"/>
      <c r="I747" s="200"/>
      <c r="J747" s="1"/>
      <c r="K747" s="32"/>
      <c r="L747" s="32"/>
      <c r="M747" s="6"/>
      <c r="N747" s="6"/>
      <c r="O747" s="6"/>
    </row>
    <row r="748" spans="2:15" x14ac:dyDescent="0.25">
      <c r="B748" s="32">
        <v>735</v>
      </c>
      <c r="C748" s="200"/>
      <c r="D748" s="200"/>
      <c r="E748" s="200"/>
      <c r="F748" s="200"/>
      <c r="G748" s="200"/>
      <c r="H748" s="200"/>
      <c r="I748" s="200"/>
      <c r="J748" s="1"/>
      <c r="K748" s="32"/>
      <c r="L748" s="32"/>
      <c r="M748" s="6"/>
      <c r="N748" s="6"/>
      <c r="O748" s="6"/>
    </row>
    <row r="749" spans="2:15" x14ac:dyDescent="0.25">
      <c r="B749" s="32">
        <v>736</v>
      </c>
      <c r="C749" s="200"/>
      <c r="D749" s="200"/>
      <c r="E749" s="200"/>
      <c r="F749" s="200"/>
      <c r="G749" s="200"/>
      <c r="H749" s="200"/>
      <c r="I749" s="200"/>
      <c r="J749" s="1"/>
      <c r="K749" s="32"/>
      <c r="L749" s="32"/>
      <c r="M749" s="6"/>
      <c r="N749" s="6"/>
      <c r="O749" s="6"/>
    </row>
    <row r="750" spans="2:15" x14ac:dyDescent="0.25">
      <c r="B750" s="32">
        <v>737</v>
      </c>
      <c r="C750" s="200"/>
      <c r="D750" s="200"/>
      <c r="E750" s="200"/>
      <c r="F750" s="200"/>
      <c r="G750" s="200"/>
      <c r="H750" s="200"/>
      <c r="I750" s="200"/>
      <c r="J750" s="1"/>
      <c r="K750" s="32"/>
      <c r="L750" s="32"/>
      <c r="M750" s="6"/>
      <c r="N750" s="6"/>
      <c r="O750" s="6"/>
    </row>
    <row r="751" spans="2:15" x14ac:dyDescent="0.25">
      <c r="B751" s="32">
        <v>738</v>
      </c>
      <c r="C751" s="200"/>
      <c r="D751" s="200"/>
      <c r="E751" s="200"/>
      <c r="F751" s="200"/>
      <c r="G751" s="200"/>
      <c r="H751" s="200"/>
      <c r="I751" s="200"/>
      <c r="J751" s="1"/>
      <c r="K751" s="32"/>
      <c r="L751" s="32"/>
      <c r="M751" s="6"/>
      <c r="N751" s="6"/>
      <c r="O751" s="6"/>
    </row>
    <row r="752" spans="2:15" x14ac:dyDescent="0.25">
      <c r="B752" s="32">
        <v>739</v>
      </c>
      <c r="C752" s="200"/>
      <c r="D752" s="200"/>
      <c r="E752" s="200"/>
      <c r="F752" s="200"/>
      <c r="G752" s="200"/>
      <c r="H752" s="200"/>
      <c r="I752" s="200"/>
      <c r="J752" s="1"/>
      <c r="K752" s="32"/>
      <c r="L752" s="32"/>
      <c r="M752" s="6"/>
      <c r="N752" s="6"/>
      <c r="O752" s="6"/>
    </row>
    <row r="753" spans="2:15" x14ac:dyDescent="0.25">
      <c r="B753" s="32">
        <v>740</v>
      </c>
      <c r="C753" s="200"/>
      <c r="D753" s="200"/>
      <c r="E753" s="200"/>
      <c r="F753" s="200"/>
      <c r="G753" s="200"/>
      <c r="H753" s="200"/>
      <c r="I753" s="200"/>
      <c r="J753" s="1"/>
      <c r="K753" s="32"/>
      <c r="L753" s="32"/>
      <c r="M753" s="6"/>
      <c r="N753" s="6"/>
      <c r="O753" s="6"/>
    </row>
    <row r="754" spans="2:15" x14ac:dyDescent="0.25">
      <c r="B754" s="32">
        <v>741</v>
      </c>
      <c r="C754" s="200"/>
      <c r="D754" s="200"/>
      <c r="E754" s="200"/>
      <c r="F754" s="200"/>
      <c r="G754" s="200"/>
      <c r="H754" s="200"/>
      <c r="I754" s="200"/>
      <c r="J754" s="1"/>
      <c r="K754" s="32"/>
      <c r="L754" s="32"/>
      <c r="M754" s="6"/>
      <c r="N754" s="6"/>
      <c r="O754" s="6"/>
    </row>
    <row r="755" spans="2:15" x14ac:dyDescent="0.25">
      <c r="B755" s="32">
        <v>742</v>
      </c>
      <c r="C755" s="200"/>
      <c r="D755" s="200"/>
      <c r="E755" s="200"/>
      <c r="F755" s="200"/>
      <c r="G755" s="200"/>
      <c r="H755" s="200"/>
      <c r="I755" s="200"/>
      <c r="J755" s="1"/>
      <c r="K755" s="32"/>
      <c r="L755" s="32"/>
      <c r="M755" s="6"/>
      <c r="N755" s="6"/>
      <c r="O755" s="6"/>
    </row>
    <row r="756" spans="2:15" x14ac:dyDescent="0.25">
      <c r="B756" s="32">
        <v>743</v>
      </c>
      <c r="C756" s="200"/>
      <c r="D756" s="200"/>
      <c r="E756" s="200"/>
      <c r="F756" s="200"/>
      <c r="G756" s="200"/>
      <c r="H756" s="200"/>
      <c r="I756" s="200"/>
      <c r="J756" s="1"/>
      <c r="K756" s="32"/>
      <c r="L756" s="32"/>
      <c r="M756" s="6"/>
      <c r="N756" s="6"/>
      <c r="O756" s="6"/>
    </row>
    <row r="757" spans="2:15" x14ac:dyDescent="0.25">
      <c r="B757" s="32">
        <v>744</v>
      </c>
      <c r="C757" s="200"/>
      <c r="D757" s="200"/>
      <c r="E757" s="200"/>
      <c r="F757" s="200"/>
      <c r="G757" s="200"/>
      <c r="H757" s="200"/>
      <c r="I757" s="200"/>
      <c r="J757" s="1"/>
      <c r="K757" s="32"/>
      <c r="L757" s="32"/>
      <c r="M757" s="6"/>
      <c r="N757" s="6"/>
      <c r="O757" s="6"/>
    </row>
    <row r="758" spans="2:15" x14ac:dyDescent="0.25">
      <c r="B758" s="32">
        <v>745</v>
      </c>
      <c r="C758" s="200"/>
      <c r="D758" s="200"/>
      <c r="E758" s="200"/>
      <c r="F758" s="200"/>
      <c r="G758" s="200"/>
      <c r="H758" s="200"/>
      <c r="I758" s="200"/>
      <c r="J758" s="1"/>
      <c r="K758" s="32"/>
      <c r="L758" s="32"/>
      <c r="M758" s="6"/>
      <c r="N758" s="6"/>
      <c r="O758" s="6"/>
    </row>
    <row r="759" spans="2:15" x14ac:dyDescent="0.25">
      <c r="B759" s="32">
        <v>746</v>
      </c>
      <c r="C759" s="200"/>
      <c r="D759" s="200"/>
      <c r="E759" s="200"/>
      <c r="F759" s="200"/>
      <c r="G759" s="200"/>
      <c r="H759" s="200"/>
      <c r="I759" s="200"/>
      <c r="J759" s="1"/>
      <c r="K759" s="32"/>
      <c r="L759" s="32"/>
      <c r="M759" s="6"/>
      <c r="N759" s="6"/>
      <c r="O759" s="6"/>
    </row>
    <row r="760" spans="2:15" x14ac:dyDescent="0.25">
      <c r="B760" s="32">
        <v>747</v>
      </c>
      <c r="C760" s="200"/>
      <c r="D760" s="200"/>
      <c r="E760" s="200"/>
      <c r="F760" s="200"/>
      <c r="G760" s="200"/>
      <c r="H760" s="200"/>
      <c r="I760" s="200"/>
      <c r="J760" s="1"/>
      <c r="K760" s="32"/>
      <c r="L760" s="32"/>
      <c r="M760" s="6"/>
      <c r="N760" s="6"/>
      <c r="O760" s="6"/>
    </row>
    <row r="761" spans="2:15" x14ac:dyDescent="0.25">
      <c r="B761" s="32">
        <v>748</v>
      </c>
      <c r="C761" s="200"/>
      <c r="D761" s="200"/>
      <c r="E761" s="200"/>
      <c r="F761" s="200"/>
      <c r="G761" s="200"/>
      <c r="H761" s="200"/>
      <c r="I761" s="200"/>
      <c r="J761" s="1"/>
      <c r="K761" s="32"/>
      <c r="L761" s="32"/>
      <c r="M761" s="6"/>
      <c r="N761" s="6"/>
      <c r="O761" s="6"/>
    </row>
    <row r="762" spans="2:15" x14ac:dyDescent="0.25">
      <c r="B762" s="32">
        <v>749</v>
      </c>
      <c r="C762" s="200"/>
      <c r="D762" s="200"/>
      <c r="E762" s="200"/>
      <c r="F762" s="200"/>
      <c r="G762" s="200"/>
      <c r="H762" s="200"/>
      <c r="I762" s="200"/>
      <c r="J762" s="1"/>
      <c r="K762" s="32"/>
      <c r="L762" s="32"/>
      <c r="M762" s="6"/>
      <c r="N762" s="6"/>
      <c r="O762" s="6"/>
    </row>
    <row r="763" spans="2:15" x14ac:dyDescent="0.25">
      <c r="B763" s="32">
        <v>750</v>
      </c>
      <c r="C763" s="200"/>
      <c r="D763" s="200"/>
      <c r="E763" s="200"/>
      <c r="F763" s="200"/>
      <c r="G763" s="200"/>
      <c r="H763" s="200"/>
      <c r="I763" s="200"/>
      <c r="J763" s="1"/>
      <c r="K763" s="32"/>
      <c r="L763" s="32"/>
      <c r="M763" s="6"/>
      <c r="N763" s="6"/>
      <c r="O763" s="6"/>
    </row>
    <row r="764" spans="2:15" x14ac:dyDescent="0.25">
      <c r="B764" s="32">
        <v>751</v>
      </c>
      <c r="C764" s="200"/>
      <c r="D764" s="200"/>
      <c r="E764" s="200"/>
      <c r="F764" s="200"/>
      <c r="G764" s="200"/>
      <c r="H764" s="200"/>
      <c r="I764" s="200"/>
      <c r="J764" s="1"/>
      <c r="K764" s="32"/>
      <c r="L764" s="32"/>
      <c r="M764" s="6"/>
      <c r="N764" s="6"/>
      <c r="O764" s="6"/>
    </row>
    <row r="765" spans="2:15" x14ac:dyDescent="0.25">
      <c r="B765" s="32">
        <v>752</v>
      </c>
      <c r="C765" s="200"/>
      <c r="D765" s="200"/>
      <c r="E765" s="200"/>
      <c r="F765" s="200"/>
      <c r="G765" s="200"/>
      <c r="H765" s="200"/>
      <c r="I765" s="200"/>
      <c r="J765" s="1"/>
      <c r="K765" s="32"/>
      <c r="L765" s="32"/>
      <c r="M765" s="6"/>
      <c r="N765" s="6"/>
      <c r="O765" s="6"/>
    </row>
    <row r="766" spans="2:15" x14ac:dyDescent="0.25">
      <c r="B766" s="32">
        <v>753</v>
      </c>
      <c r="C766" s="200"/>
      <c r="D766" s="200"/>
      <c r="E766" s="200"/>
      <c r="F766" s="200"/>
      <c r="G766" s="200"/>
      <c r="H766" s="200"/>
      <c r="I766" s="200"/>
      <c r="J766" s="1"/>
      <c r="K766" s="32"/>
      <c r="L766" s="32"/>
      <c r="M766" s="6"/>
      <c r="N766" s="6"/>
      <c r="O766" s="6"/>
    </row>
    <row r="767" spans="2:15" x14ac:dyDescent="0.25">
      <c r="B767" s="32">
        <v>754</v>
      </c>
      <c r="C767" s="200"/>
      <c r="D767" s="200"/>
      <c r="E767" s="200"/>
      <c r="F767" s="200"/>
      <c r="G767" s="200"/>
      <c r="H767" s="200"/>
      <c r="I767" s="200"/>
      <c r="J767" s="1"/>
      <c r="K767" s="32"/>
      <c r="L767" s="32"/>
      <c r="M767" s="6"/>
      <c r="N767" s="6"/>
      <c r="O767" s="6"/>
    </row>
    <row r="768" spans="2:15" x14ac:dyDescent="0.25">
      <c r="B768" s="32">
        <v>755</v>
      </c>
      <c r="C768" s="200"/>
      <c r="D768" s="200"/>
      <c r="E768" s="200"/>
      <c r="F768" s="200"/>
      <c r="G768" s="200"/>
      <c r="H768" s="200"/>
      <c r="I768" s="200"/>
      <c r="J768" s="1"/>
      <c r="K768" s="32"/>
      <c r="L768" s="32"/>
      <c r="M768" s="6"/>
      <c r="N768" s="6"/>
      <c r="O768" s="6"/>
    </row>
    <row r="769" spans="2:15" x14ac:dyDescent="0.25">
      <c r="B769" s="32">
        <v>756</v>
      </c>
      <c r="C769" s="200"/>
      <c r="D769" s="200"/>
      <c r="E769" s="200"/>
      <c r="F769" s="200"/>
      <c r="G769" s="200"/>
      <c r="H769" s="200"/>
      <c r="I769" s="200"/>
      <c r="J769" s="1"/>
      <c r="K769" s="32"/>
      <c r="L769" s="32"/>
      <c r="M769" s="6"/>
      <c r="N769" s="6"/>
      <c r="O769" s="6"/>
    </row>
    <row r="770" spans="2:15" x14ac:dyDescent="0.25">
      <c r="B770" s="32">
        <v>757</v>
      </c>
      <c r="C770" s="200"/>
      <c r="D770" s="200"/>
      <c r="E770" s="200"/>
      <c r="F770" s="200"/>
      <c r="G770" s="200"/>
      <c r="H770" s="200"/>
      <c r="I770" s="200"/>
      <c r="J770" s="1"/>
      <c r="K770" s="32"/>
      <c r="L770" s="32"/>
      <c r="M770" s="6"/>
      <c r="N770" s="6"/>
      <c r="O770" s="6"/>
    </row>
    <row r="771" spans="2:15" x14ac:dyDescent="0.25">
      <c r="B771" s="32">
        <v>758</v>
      </c>
      <c r="C771" s="200"/>
      <c r="D771" s="200"/>
      <c r="E771" s="200"/>
      <c r="F771" s="200"/>
      <c r="G771" s="200"/>
      <c r="H771" s="200"/>
      <c r="I771" s="200"/>
      <c r="J771" s="1"/>
      <c r="K771" s="32"/>
      <c r="L771" s="32"/>
      <c r="M771" s="6"/>
      <c r="N771" s="6"/>
      <c r="O771" s="6"/>
    </row>
    <row r="772" spans="2:15" x14ac:dyDescent="0.25">
      <c r="B772" s="32">
        <v>759</v>
      </c>
      <c r="C772" s="200"/>
      <c r="D772" s="200"/>
      <c r="E772" s="200"/>
      <c r="F772" s="200"/>
      <c r="G772" s="200"/>
      <c r="H772" s="200"/>
      <c r="I772" s="200"/>
      <c r="J772" s="1"/>
      <c r="K772" s="32"/>
      <c r="L772" s="32"/>
      <c r="M772" s="6"/>
      <c r="N772" s="6"/>
      <c r="O772" s="6"/>
    </row>
    <row r="773" spans="2:15" x14ac:dyDescent="0.25">
      <c r="B773" s="32">
        <v>760</v>
      </c>
      <c r="C773" s="200"/>
      <c r="D773" s="200"/>
      <c r="E773" s="200"/>
      <c r="F773" s="200"/>
      <c r="G773" s="200"/>
      <c r="H773" s="200"/>
      <c r="I773" s="200"/>
      <c r="J773" s="1"/>
      <c r="K773" s="32"/>
      <c r="L773" s="32"/>
      <c r="M773" s="6"/>
      <c r="N773" s="6"/>
      <c r="O773" s="6"/>
    </row>
    <row r="774" spans="2:15" x14ac:dyDescent="0.25">
      <c r="B774" s="32">
        <v>761</v>
      </c>
      <c r="C774" s="200"/>
      <c r="D774" s="200"/>
      <c r="E774" s="200"/>
      <c r="F774" s="200"/>
      <c r="G774" s="200"/>
      <c r="H774" s="200"/>
      <c r="I774" s="200"/>
      <c r="J774" s="1"/>
      <c r="K774" s="32"/>
      <c r="L774" s="32"/>
      <c r="M774" s="6"/>
      <c r="N774" s="6"/>
      <c r="O774" s="6"/>
    </row>
    <row r="775" spans="2:15" x14ac:dyDescent="0.25">
      <c r="B775" s="32">
        <v>762</v>
      </c>
      <c r="C775" s="200"/>
      <c r="D775" s="200"/>
      <c r="E775" s="200"/>
      <c r="F775" s="200"/>
      <c r="G775" s="200"/>
      <c r="H775" s="200"/>
      <c r="I775" s="200"/>
      <c r="J775" s="1"/>
      <c r="K775" s="32"/>
      <c r="L775" s="32"/>
      <c r="M775" s="6"/>
      <c r="N775" s="6"/>
      <c r="O775" s="6"/>
    </row>
    <row r="776" spans="2:15" x14ac:dyDescent="0.25">
      <c r="B776" s="32">
        <v>763</v>
      </c>
      <c r="C776" s="200"/>
      <c r="D776" s="200"/>
      <c r="E776" s="200"/>
      <c r="F776" s="200"/>
      <c r="G776" s="200"/>
      <c r="H776" s="200"/>
      <c r="I776" s="200"/>
      <c r="J776" s="1"/>
      <c r="K776" s="32"/>
      <c r="L776" s="32"/>
      <c r="M776" s="6"/>
      <c r="N776" s="6"/>
      <c r="O776" s="6"/>
    </row>
    <row r="777" spans="2:15" x14ac:dyDescent="0.25">
      <c r="B777" s="32">
        <v>764</v>
      </c>
      <c r="C777" s="200"/>
      <c r="D777" s="200"/>
      <c r="E777" s="200"/>
      <c r="F777" s="200"/>
      <c r="G777" s="200"/>
      <c r="H777" s="200"/>
      <c r="I777" s="200"/>
      <c r="J777" s="1"/>
      <c r="K777" s="32"/>
      <c r="L777" s="32"/>
      <c r="M777" s="6"/>
      <c r="N777" s="6"/>
      <c r="O777" s="6"/>
    </row>
    <row r="778" spans="2:15" x14ac:dyDescent="0.25">
      <c r="B778" s="32">
        <v>765</v>
      </c>
      <c r="C778" s="200"/>
      <c r="D778" s="200"/>
      <c r="E778" s="200"/>
      <c r="F778" s="200"/>
      <c r="G778" s="200"/>
      <c r="H778" s="200"/>
      <c r="I778" s="200"/>
      <c r="J778" s="1"/>
      <c r="K778" s="32"/>
      <c r="L778" s="32"/>
      <c r="M778" s="6"/>
      <c r="N778" s="6"/>
      <c r="O778" s="6"/>
    </row>
    <row r="779" spans="2:15" x14ac:dyDescent="0.25">
      <c r="B779" s="32">
        <v>766</v>
      </c>
      <c r="C779" s="200"/>
      <c r="D779" s="200"/>
      <c r="E779" s="200"/>
      <c r="F779" s="200"/>
      <c r="G779" s="200"/>
      <c r="H779" s="200"/>
      <c r="I779" s="200"/>
      <c r="J779" s="1"/>
      <c r="K779" s="32"/>
      <c r="L779" s="32"/>
      <c r="M779" s="6"/>
      <c r="N779" s="6"/>
      <c r="O779" s="6"/>
    </row>
    <row r="780" spans="2:15" x14ac:dyDescent="0.25">
      <c r="B780" s="32">
        <v>767</v>
      </c>
      <c r="C780" s="200"/>
      <c r="D780" s="200"/>
      <c r="E780" s="200"/>
      <c r="F780" s="200"/>
      <c r="G780" s="200"/>
      <c r="H780" s="200"/>
      <c r="I780" s="200"/>
      <c r="J780" s="1"/>
      <c r="K780" s="32"/>
      <c r="L780" s="32"/>
      <c r="M780" s="6"/>
      <c r="N780" s="6"/>
      <c r="O780" s="6"/>
    </row>
    <row r="781" spans="2:15" x14ac:dyDescent="0.25">
      <c r="B781" s="32">
        <v>768</v>
      </c>
      <c r="C781" s="200"/>
      <c r="D781" s="200"/>
      <c r="E781" s="200"/>
      <c r="F781" s="200"/>
      <c r="G781" s="200"/>
      <c r="H781" s="200"/>
      <c r="I781" s="200"/>
      <c r="J781" s="1"/>
      <c r="K781" s="32"/>
      <c r="L781" s="32"/>
      <c r="M781" s="6"/>
      <c r="N781" s="6"/>
      <c r="O781" s="6"/>
    </row>
    <row r="782" spans="2:15" x14ac:dyDescent="0.25">
      <c r="B782" s="32">
        <v>769</v>
      </c>
      <c r="C782" s="200"/>
      <c r="D782" s="200"/>
      <c r="E782" s="200"/>
      <c r="F782" s="200"/>
      <c r="G782" s="200"/>
      <c r="H782" s="200"/>
      <c r="I782" s="200"/>
      <c r="J782" s="1"/>
      <c r="K782" s="32"/>
      <c r="L782" s="32"/>
      <c r="M782" s="6"/>
      <c r="N782" s="6"/>
      <c r="O782" s="6"/>
    </row>
    <row r="783" spans="2:15" x14ac:dyDescent="0.25">
      <c r="B783" s="32">
        <v>770</v>
      </c>
      <c r="C783" s="200"/>
      <c r="D783" s="200"/>
      <c r="E783" s="200"/>
      <c r="F783" s="200"/>
      <c r="G783" s="200"/>
      <c r="H783" s="200"/>
      <c r="I783" s="200"/>
      <c r="J783" s="1"/>
      <c r="K783" s="32"/>
      <c r="L783" s="32"/>
      <c r="M783" s="6"/>
      <c r="N783" s="6"/>
      <c r="O783" s="6"/>
    </row>
    <row r="784" spans="2:15" x14ac:dyDescent="0.25">
      <c r="B784" s="32">
        <v>771</v>
      </c>
      <c r="C784" s="200"/>
      <c r="D784" s="200"/>
      <c r="E784" s="200"/>
      <c r="F784" s="200"/>
      <c r="G784" s="200"/>
      <c r="H784" s="200"/>
      <c r="I784" s="200"/>
      <c r="J784" s="1"/>
      <c r="K784" s="32"/>
      <c r="L784" s="32"/>
      <c r="M784" s="6"/>
      <c r="N784" s="6"/>
      <c r="O784" s="6"/>
    </row>
    <row r="785" spans="2:15" x14ac:dyDescent="0.25">
      <c r="B785" s="32">
        <v>772</v>
      </c>
      <c r="C785" s="200"/>
      <c r="D785" s="200"/>
      <c r="E785" s="200"/>
      <c r="F785" s="200"/>
      <c r="G785" s="200"/>
      <c r="H785" s="200"/>
      <c r="I785" s="200"/>
      <c r="J785" s="1"/>
      <c r="K785" s="32"/>
      <c r="L785" s="32"/>
      <c r="M785" s="6"/>
      <c r="N785" s="6"/>
      <c r="O785" s="6"/>
    </row>
    <row r="786" spans="2:15" x14ac:dyDescent="0.25">
      <c r="B786" s="32">
        <v>773</v>
      </c>
      <c r="C786" s="200"/>
      <c r="D786" s="200"/>
      <c r="E786" s="200"/>
      <c r="F786" s="200"/>
      <c r="G786" s="200"/>
      <c r="H786" s="200"/>
      <c r="I786" s="200"/>
      <c r="J786" s="1"/>
      <c r="K786" s="32"/>
      <c r="L786" s="32"/>
      <c r="M786" s="6"/>
      <c r="N786" s="6"/>
      <c r="O786" s="6"/>
    </row>
    <row r="787" spans="2:15" x14ac:dyDescent="0.25">
      <c r="B787" s="32">
        <v>774</v>
      </c>
      <c r="C787" s="200"/>
      <c r="D787" s="200"/>
      <c r="E787" s="200"/>
      <c r="F787" s="200"/>
      <c r="G787" s="200"/>
      <c r="H787" s="200"/>
      <c r="I787" s="200"/>
      <c r="J787" s="1"/>
      <c r="K787" s="32"/>
      <c r="L787" s="32"/>
      <c r="M787" s="6"/>
      <c r="N787" s="6"/>
      <c r="O787" s="6"/>
    </row>
    <row r="788" spans="2:15" x14ac:dyDescent="0.25">
      <c r="B788" s="32">
        <v>775</v>
      </c>
      <c r="C788" s="200"/>
      <c r="D788" s="200"/>
      <c r="E788" s="200"/>
      <c r="F788" s="200"/>
      <c r="G788" s="200"/>
      <c r="H788" s="200"/>
      <c r="I788" s="200"/>
      <c r="J788" s="1"/>
      <c r="K788" s="32"/>
      <c r="L788" s="32"/>
      <c r="M788" s="6"/>
      <c r="N788" s="6"/>
      <c r="O788" s="6"/>
    </row>
    <row r="789" spans="2:15" x14ac:dyDescent="0.25">
      <c r="B789" s="32">
        <v>776</v>
      </c>
      <c r="C789" s="200"/>
      <c r="D789" s="200"/>
      <c r="E789" s="200"/>
      <c r="F789" s="200"/>
      <c r="G789" s="200"/>
      <c r="H789" s="200"/>
      <c r="I789" s="200"/>
      <c r="J789" s="1"/>
      <c r="K789" s="32"/>
      <c r="L789" s="32"/>
      <c r="M789" s="6"/>
      <c r="N789" s="6"/>
      <c r="O789" s="6"/>
    </row>
    <row r="790" spans="2:15" x14ac:dyDescent="0.25">
      <c r="B790" s="32">
        <v>777</v>
      </c>
      <c r="C790" s="200"/>
      <c r="D790" s="200"/>
      <c r="E790" s="200"/>
      <c r="F790" s="200"/>
      <c r="G790" s="200"/>
      <c r="H790" s="200"/>
      <c r="I790" s="200"/>
      <c r="J790" s="1"/>
      <c r="K790" s="32"/>
      <c r="L790" s="32"/>
      <c r="M790" s="6"/>
      <c r="N790" s="6"/>
      <c r="O790" s="6"/>
    </row>
    <row r="791" spans="2:15" x14ac:dyDescent="0.25">
      <c r="B791" s="32">
        <v>778</v>
      </c>
      <c r="C791" s="200"/>
      <c r="D791" s="200"/>
      <c r="E791" s="200"/>
      <c r="F791" s="200"/>
      <c r="G791" s="200"/>
      <c r="H791" s="200"/>
      <c r="I791" s="200"/>
      <c r="J791" s="1"/>
      <c r="K791" s="32"/>
      <c r="L791" s="32"/>
      <c r="M791" s="6"/>
      <c r="N791" s="6"/>
      <c r="O791" s="6"/>
    </row>
    <row r="792" spans="2:15" x14ac:dyDescent="0.25">
      <c r="B792" s="32">
        <v>779</v>
      </c>
      <c r="C792" s="200"/>
      <c r="D792" s="200"/>
      <c r="E792" s="200"/>
      <c r="F792" s="200"/>
      <c r="G792" s="200"/>
      <c r="H792" s="200"/>
      <c r="I792" s="200"/>
      <c r="J792" s="1"/>
      <c r="K792" s="32"/>
      <c r="L792" s="32"/>
      <c r="M792" s="6"/>
      <c r="N792" s="6"/>
      <c r="O792" s="6"/>
    </row>
    <row r="793" spans="2:15" x14ac:dyDescent="0.25">
      <c r="B793" s="32">
        <v>780</v>
      </c>
      <c r="C793" s="200"/>
      <c r="D793" s="200"/>
      <c r="E793" s="200"/>
      <c r="F793" s="200"/>
      <c r="G793" s="200"/>
      <c r="H793" s="200"/>
      <c r="I793" s="200"/>
      <c r="J793" s="1"/>
      <c r="K793" s="32"/>
      <c r="L793" s="32"/>
      <c r="M793" s="6"/>
      <c r="N793" s="6"/>
      <c r="O793" s="6"/>
    </row>
    <row r="794" spans="2:15" x14ac:dyDescent="0.25">
      <c r="B794" s="32">
        <v>781</v>
      </c>
      <c r="C794" s="200"/>
      <c r="D794" s="200"/>
      <c r="E794" s="200"/>
      <c r="F794" s="200"/>
      <c r="G794" s="200"/>
      <c r="H794" s="200"/>
      <c r="I794" s="200"/>
      <c r="J794" s="1"/>
      <c r="K794" s="32"/>
      <c r="L794" s="32"/>
      <c r="M794" s="6"/>
      <c r="N794" s="6"/>
      <c r="O794" s="6"/>
    </row>
    <row r="795" spans="2:15" x14ac:dyDescent="0.25">
      <c r="B795" s="32">
        <v>782</v>
      </c>
      <c r="C795" s="200"/>
      <c r="D795" s="200"/>
      <c r="E795" s="200"/>
      <c r="F795" s="200"/>
      <c r="G795" s="200"/>
      <c r="H795" s="200"/>
      <c r="I795" s="200"/>
      <c r="J795" s="1"/>
      <c r="K795" s="32"/>
      <c r="L795" s="32"/>
      <c r="M795" s="6"/>
      <c r="N795" s="6"/>
      <c r="O795" s="6"/>
    </row>
    <row r="796" spans="2:15" x14ac:dyDescent="0.25">
      <c r="B796" s="32">
        <v>783</v>
      </c>
      <c r="C796" s="200"/>
      <c r="D796" s="200"/>
      <c r="E796" s="200"/>
      <c r="F796" s="200"/>
      <c r="G796" s="200"/>
      <c r="H796" s="200"/>
      <c r="I796" s="200"/>
      <c r="J796" s="1"/>
      <c r="K796" s="32"/>
      <c r="L796" s="32"/>
      <c r="M796" s="6"/>
      <c r="N796" s="6"/>
      <c r="O796" s="6"/>
    </row>
    <row r="797" spans="2:15" x14ac:dyDescent="0.25">
      <c r="B797" s="32">
        <v>784</v>
      </c>
      <c r="C797" s="200"/>
      <c r="D797" s="200"/>
      <c r="E797" s="200"/>
      <c r="F797" s="200"/>
      <c r="G797" s="200"/>
      <c r="H797" s="200"/>
      <c r="I797" s="200"/>
      <c r="J797" s="1"/>
      <c r="K797" s="32"/>
      <c r="L797" s="32"/>
      <c r="M797" s="6"/>
      <c r="N797" s="6"/>
      <c r="O797" s="6"/>
    </row>
    <row r="798" spans="2:15" x14ac:dyDescent="0.25">
      <c r="B798" s="32">
        <v>785</v>
      </c>
      <c r="C798" s="200"/>
      <c r="D798" s="200"/>
      <c r="E798" s="200"/>
      <c r="F798" s="200"/>
      <c r="G798" s="200"/>
      <c r="H798" s="200"/>
      <c r="I798" s="200"/>
      <c r="J798" s="1"/>
      <c r="K798" s="32"/>
      <c r="L798" s="32"/>
      <c r="M798" s="6"/>
      <c r="N798" s="6"/>
      <c r="O798" s="6"/>
    </row>
    <row r="799" spans="2:15" x14ac:dyDescent="0.25">
      <c r="B799" s="32">
        <v>786</v>
      </c>
      <c r="C799" s="200"/>
      <c r="D799" s="200"/>
      <c r="E799" s="200"/>
      <c r="F799" s="200"/>
      <c r="G799" s="200"/>
      <c r="H799" s="200"/>
      <c r="I799" s="200"/>
      <c r="J799" s="1"/>
      <c r="K799" s="32"/>
      <c r="L799" s="32"/>
      <c r="M799" s="6"/>
      <c r="N799" s="6"/>
      <c r="O799" s="6"/>
    </row>
    <row r="800" spans="2:15" x14ac:dyDescent="0.25">
      <c r="B800" s="32">
        <v>787</v>
      </c>
      <c r="C800" s="200"/>
      <c r="D800" s="200"/>
      <c r="E800" s="200"/>
      <c r="F800" s="200"/>
      <c r="G800" s="200"/>
      <c r="H800" s="200"/>
      <c r="I800" s="200"/>
      <c r="J800" s="1"/>
      <c r="K800" s="32"/>
      <c r="L800" s="32"/>
      <c r="M800" s="6"/>
      <c r="N800" s="6"/>
      <c r="O800" s="6"/>
    </row>
    <row r="801" spans="2:15" x14ac:dyDescent="0.25">
      <c r="B801" s="32">
        <v>788</v>
      </c>
      <c r="C801" s="200"/>
      <c r="D801" s="200"/>
      <c r="E801" s="200"/>
      <c r="F801" s="200"/>
      <c r="G801" s="200"/>
      <c r="H801" s="200"/>
      <c r="I801" s="200"/>
      <c r="J801" s="1"/>
      <c r="K801" s="32"/>
      <c r="L801" s="32"/>
      <c r="M801" s="6"/>
      <c r="N801" s="6"/>
      <c r="O801" s="6"/>
    </row>
    <row r="802" spans="2:15" x14ac:dyDescent="0.25">
      <c r="B802" s="32">
        <v>789</v>
      </c>
      <c r="C802" s="200"/>
      <c r="D802" s="200"/>
      <c r="E802" s="200"/>
      <c r="F802" s="200"/>
      <c r="G802" s="200"/>
      <c r="H802" s="200"/>
      <c r="I802" s="200"/>
      <c r="J802" s="1"/>
      <c r="K802" s="32"/>
      <c r="L802" s="32"/>
      <c r="M802" s="6"/>
      <c r="N802" s="6"/>
      <c r="O802" s="6"/>
    </row>
    <row r="803" spans="2:15" x14ac:dyDescent="0.25">
      <c r="B803" s="32">
        <v>790</v>
      </c>
      <c r="C803" s="200"/>
      <c r="D803" s="200"/>
      <c r="E803" s="200"/>
      <c r="F803" s="200"/>
      <c r="G803" s="200"/>
      <c r="H803" s="200"/>
      <c r="I803" s="200"/>
      <c r="J803" s="1"/>
      <c r="K803" s="32"/>
      <c r="L803" s="32"/>
      <c r="M803" s="6"/>
      <c r="N803" s="6"/>
      <c r="O803" s="6"/>
    </row>
    <row r="804" spans="2:15" x14ac:dyDescent="0.25">
      <c r="B804" s="32">
        <v>791</v>
      </c>
      <c r="C804" s="200"/>
      <c r="D804" s="200"/>
      <c r="E804" s="200"/>
      <c r="F804" s="200"/>
      <c r="G804" s="200"/>
      <c r="H804" s="200"/>
      <c r="I804" s="200"/>
      <c r="J804" s="1"/>
      <c r="K804" s="32"/>
      <c r="L804" s="32"/>
      <c r="M804" s="6"/>
      <c r="N804" s="6"/>
      <c r="O804" s="6"/>
    </row>
    <row r="805" spans="2:15" x14ac:dyDescent="0.25">
      <c r="B805" s="32">
        <v>792</v>
      </c>
      <c r="C805" s="200"/>
      <c r="D805" s="200"/>
      <c r="E805" s="200"/>
      <c r="F805" s="200"/>
      <c r="G805" s="200"/>
      <c r="H805" s="200"/>
      <c r="I805" s="200"/>
      <c r="J805" s="1"/>
      <c r="K805" s="32"/>
      <c r="L805" s="32"/>
      <c r="M805" s="6"/>
      <c r="N805" s="6"/>
      <c r="O805" s="6"/>
    </row>
    <row r="806" spans="2:15" x14ac:dyDescent="0.25">
      <c r="B806" s="32">
        <v>793</v>
      </c>
      <c r="C806" s="200"/>
      <c r="D806" s="200"/>
      <c r="E806" s="200"/>
      <c r="F806" s="200"/>
      <c r="G806" s="200"/>
      <c r="H806" s="200"/>
      <c r="I806" s="200"/>
      <c r="J806" s="1"/>
      <c r="K806" s="32"/>
      <c r="L806" s="32"/>
      <c r="M806" s="6"/>
      <c r="N806" s="6"/>
      <c r="O806" s="6"/>
    </row>
    <row r="807" spans="2:15" x14ac:dyDescent="0.25">
      <c r="B807" s="32">
        <v>794</v>
      </c>
      <c r="C807" s="200"/>
      <c r="D807" s="200"/>
      <c r="E807" s="200"/>
      <c r="F807" s="200"/>
      <c r="G807" s="200"/>
      <c r="H807" s="200"/>
      <c r="I807" s="200"/>
      <c r="J807" s="1"/>
      <c r="K807" s="32"/>
      <c r="L807" s="32"/>
      <c r="M807" s="6"/>
      <c r="N807" s="6"/>
      <c r="O807" s="6"/>
    </row>
    <row r="808" spans="2:15" x14ac:dyDescent="0.25">
      <c r="B808" s="32">
        <v>795</v>
      </c>
      <c r="C808" s="200"/>
      <c r="D808" s="200"/>
      <c r="E808" s="200"/>
      <c r="F808" s="200"/>
      <c r="G808" s="200"/>
      <c r="H808" s="200"/>
      <c r="I808" s="200"/>
      <c r="J808" s="1"/>
      <c r="K808" s="32"/>
      <c r="L808" s="32"/>
      <c r="M808" s="6"/>
      <c r="N808" s="6"/>
      <c r="O808" s="6"/>
    </row>
    <row r="809" spans="2:15" x14ac:dyDescent="0.25">
      <c r="B809" s="32">
        <v>796</v>
      </c>
      <c r="C809" s="200"/>
      <c r="D809" s="200"/>
      <c r="E809" s="200"/>
      <c r="F809" s="200"/>
      <c r="G809" s="200"/>
      <c r="H809" s="200"/>
      <c r="I809" s="200"/>
      <c r="J809" s="1"/>
      <c r="K809" s="32"/>
      <c r="L809" s="32"/>
      <c r="M809" s="6"/>
      <c r="N809" s="6"/>
      <c r="O809" s="6"/>
    </row>
    <row r="810" spans="2:15" x14ac:dyDescent="0.25">
      <c r="B810" s="32">
        <v>797</v>
      </c>
      <c r="C810" s="200"/>
      <c r="D810" s="200"/>
      <c r="E810" s="200"/>
      <c r="F810" s="200"/>
      <c r="G810" s="200"/>
      <c r="H810" s="200"/>
      <c r="I810" s="200"/>
      <c r="J810" s="1"/>
      <c r="K810" s="32"/>
      <c r="L810" s="32"/>
      <c r="M810" s="6"/>
      <c r="N810" s="6"/>
      <c r="O810" s="6"/>
    </row>
    <row r="811" spans="2:15" x14ac:dyDescent="0.25">
      <c r="B811" s="32">
        <v>798</v>
      </c>
      <c r="C811" s="200"/>
      <c r="D811" s="200"/>
      <c r="E811" s="200"/>
      <c r="F811" s="200"/>
      <c r="G811" s="200"/>
      <c r="H811" s="200"/>
      <c r="I811" s="200"/>
      <c r="J811" s="1"/>
      <c r="K811" s="32"/>
      <c r="L811" s="32"/>
      <c r="M811" s="6"/>
      <c r="N811" s="6"/>
      <c r="O811" s="6"/>
    </row>
    <row r="812" spans="2:15" x14ac:dyDescent="0.25">
      <c r="B812" s="32">
        <v>799</v>
      </c>
      <c r="C812" s="200"/>
      <c r="D812" s="200"/>
      <c r="E812" s="200"/>
      <c r="F812" s="200"/>
      <c r="G812" s="200"/>
      <c r="H812" s="200"/>
      <c r="I812" s="200"/>
      <c r="J812" s="1"/>
      <c r="K812" s="32"/>
      <c r="L812" s="32"/>
      <c r="M812" s="6"/>
      <c r="N812" s="6"/>
      <c r="O812" s="6"/>
    </row>
    <row r="813" spans="2:15" x14ac:dyDescent="0.25">
      <c r="B813" s="32">
        <v>800</v>
      </c>
      <c r="C813" s="200"/>
      <c r="D813" s="200"/>
      <c r="E813" s="200"/>
      <c r="F813" s="200"/>
      <c r="G813" s="200"/>
      <c r="H813" s="200"/>
      <c r="I813" s="200"/>
      <c r="J813" s="1"/>
      <c r="K813" s="32"/>
      <c r="L813" s="32"/>
      <c r="M813" s="6"/>
      <c r="N813" s="6"/>
      <c r="O813" s="6"/>
    </row>
    <row r="814" spans="2:15" x14ac:dyDescent="0.25">
      <c r="B814" s="32">
        <v>801</v>
      </c>
      <c r="C814" s="200"/>
      <c r="D814" s="200"/>
      <c r="E814" s="200"/>
      <c r="F814" s="200"/>
      <c r="G814" s="200"/>
      <c r="H814" s="200"/>
      <c r="I814" s="200"/>
      <c r="J814" s="1"/>
      <c r="K814" s="32"/>
      <c r="L814" s="32"/>
      <c r="M814" s="6"/>
      <c r="N814" s="6"/>
      <c r="O814" s="6"/>
    </row>
    <row r="815" spans="2:15" x14ac:dyDescent="0.25">
      <c r="B815" s="32">
        <v>802</v>
      </c>
      <c r="C815" s="200"/>
      <c r="D815" s="200"/>
      <c r="E815" s="200"/>
      <c r="F815" s="200"/>
      <c r="G815" s="200"/>
      <c r="H815" s="200"/>
      <c r="I815" s="200"/>
      <c r="J815" s="1"/>
      <c r="K815" s="32"/>
      <c r="L815" s="32"/>
      <c r="M815" s="6"/>
      <c r="N815" s="6"/>
      <c r="O815" s="6"/>
    </row>
    <row r="816" spans="2:15" x14ac:dyDescent="0.25">
      <c r="B816" s="32">
        <v>803</v>
      </c>
      <c r="C816" s="200"/>
      <c r="D816" s="200"/>
      <c r="E816" s="200"/>
      <c r="F816" s="200"/>
      <c r="G816" s="200"/>
      <c r="H816" s="200"/>
      <c r="I816" s="200"/>
      <c r="J816" s="1"/>
      <c r="K816" s="32"/>
      <c r="L816" s="32"/>
      <c r="M816" s="6"/>
      <c r="N816" s="6"/>
      <c r="O816" s="6"/>
    </row>
    <row r="817" spans="2:15" x14ac:dyDescent="0.25">
      <c r="B817" s="32">
        <v>804</v>
      </c>
      <c r="C817" s="200"/>
      <c r="D817" s="200"/>
      <c r="E817" s="200"/>
      <c r="F817" s="200"/>
      <c r="G817" s="200"/>
      <c r="H817" s="200"/>
      <c r="I817" s="200"/>
      <c r="J817" s="1"/>
      <c r="K817" s="32"/>
      <c r="L817" s="32"/>
      <c r="M817" s="6"/>
      <c r="N817" s="6"/>
      <c r="O817" s="6"/>
    </row>
    <row r="818" spans="2:15" x14ac:dyDescent="0.25">
      <c r="B818" s="32">
        <v>805</v>
      </c>
      <c r="C818" s="200"/>
      <c r="D818" s="200"/>
      <c r="E818" s="200"/>
      <c r="F818" s="200"/>
      <c r="G818" s="200"/>
      <c r="H818" s="200"/>
      <c r="I818" s="200"/>
      <c r="J818" s="1"/>
      <c r="K818" s="32"/>
      <c r="L818" s="32"/>
      <c r="M818" s="6"/>
      <c r="N818" s="6"/>
      <c r="O818" s="6"/>
    </row>
    <row r="819" spans="2:15" x14ac:dyDescent="0.25">
      <c r="B819" s="32">
        <v>806</v>
      </c>
      <c r="C819" s="200"/>
      <c r="D819" s="200"/>
      <c r="E819" s="200"/>
      <c r="F819" s="200"/>
      <c r="G819" s="200"/>
      <c r="H819" s="200"/>
      <c r="I819" s="200"/>
      <c r="J819" s="1"/>
      <c r="K819" s="32"/>
      <c r="L819" s="32"/>
      <c r="M819" s="6"/>
      <c r="N819" s="6"/>
      <c r="O819" s="6"/>
    </row>
    <row r="820" spans="2:15" x14ac:dyDescent="0.25">
      <c r="B820" s="32">
        <v>807</v>
      </c>
      <c r="C820" s="200"/>
      <c r="D820" s="200"/>
      <c r="E820" s="200"/>
      <c r="F820" s="200"/>
      <c r="G820" s="200"/>
      <c r="H820" s="200"/>
      <c r="I820" s="200"/>
      <c r="J820" s="1"/>
      <c r="K820" s="32"/>
      <c r="L820" s="32"/>
      <c r="M820" s="6"/>
      <c r="N820" s="6"/>
      <c r="O820" s="6"/>
    </row>
    <row r="821" spans="2:15" x14ac:dyDescent="0.25">
      <c r="B821" s="32">
        <v>808</v>
      </c>
      <c r="C821" s="200"/>
      <c r="D821" s="200"/>
      <c r="E821" s="200"/>
      <c r="F821" s="200"/>
      <c r="G821" s="200"/>
      <c r="H821" s="200"/>
      <c r="I821" s="200"/>
      <c r="J821" s="1"/>
      <c r="K821" s="32"/>
      <c r="L821" s="32"/>
      <c r="M821" s="6"/>
      <c r="N821" s="6"/>
      <c r="O821" s="6"/>
    </row>
    <row r="822" spans="2:15" x14ac:dyDescent="0.25">
      <c r="B822" s="32">
        <v>809</v>
      </c>
      <c r="C822" s="200"/>
      <c r="D822" s="200"/>
      <c r="E822" s="200"/>
      <c r="F822" s="200"/>
      <c r="G822" s="200"/>
      <c r="H822" s="200"/>
      <c r="I822" s="200"/>
      <c r="J822" s="1"/>
      <c r="K822" s="32"/>
      <c r="L822" s="32"/>
      <c r="M822" s="6"/>
      <c r="N822" s="6"/>
      <c r="O822" s="6"/>
    </row>
    <row r="823" spans="2:15" x14ac:dyDescent="0.25">
      <c r="B823" s="32">
        <v>810</v>
      </c>
      <c r="C823" s="200"/>
      <c r="D823" s="200"/>
      <c r="E823" s="200"/>
      <c r="F823" s="200"/>
      <c r="G823" s="200"/>
      <c r="H823" s="200"/>
      <c r="I823" s="200"/>
      <c r="J823" s="1"/>
      <c r="K823" s="32"/>
      <c r="L823" s="32"/>
      <c r="M823" s="6"/>
      <c r="N823" s="6"/>
      <c r="O823" s="6"/>
    </row>
    <row r="824" spans="2:15" x14ac:dyDescent="0.25">
      <c r="B824" s="32">
        <v>811</v>
      </c>
      <c r="C824" s="200"/>
      <c r="D824" s="200"/>
      <c r="E824" s="200"/>
      <c r="F824" s="200"/>
      <c r="G824" s="200"/>
      <c r="H824" s="200"/>
      <c r="I824" s="200"/>
      <c r="J824" s="1"/>
      <c r="K824" s="32"/>
      <c r="L824" s="32"/>
      <c r="M824" s="6"/>
      <c r="N824" s="6"/>
      <c r="O824" s="6"/>
    </row>
    <row r="825" spans="2:15" x14ac:dyDescent="0.25">
      <c r="B825" s="32">
        <v>812</v>
      </c>
      <c r="C825" s="200"/>
      <c r="D825" s="200"/>
      <c r="E825" s="200"/>
      <c r="F825" s="200"/>
      <c r="G825" s="200"/>
      <c r="H825" s="200"/>
      <c r="I825" s="200"/>
      <c r="J825" s="1"/>
      <c r="K825" s="32"/>
      <c r="L825" s="32"/>
      <c r="M825" s="6"/>
      <c r="N825" s="6"/>
      <c r="O825" s="6"/>
    </row>
    <row r="826" spans="2:15" x14ac:dyDescent="0.25">
      <c r="B826" s="32">
        <v>813</v>
      </c>
      <c r="C826" s="200"/>
      <c r="D826" s="200"/>
      <c r="E826" s="200"/>
      <c r="F826" s="200"/>
      <c r="G826" s="200"/>
      <c r="H826" s="200"/>
      <c r="I826" s="200"/>
      <c r="J826" s="1"/>
      <c r="K826" s="32"/>
      <c r="L826" s="32"/>
      <c r="M826" s="6"/>
      <c r="N826" s="6"/>
      <c r="O826" s="6"/>
    </row>
    <row r="827" spans="2:15" x14ac:dyDescent="0.25">
      <c r="B827" s="32">
        <v>814</v>
      </c>
      <c r="C827" s="200"/>
      <c r="D827" s="200"/>
      <c r="E827" s="200"/>
      <c r="F827" s="200"/>
      <c r="G827" s="200"/>
      <c r="H827" s="200"/>
      <c r="I827" s="200"/>
      <c r="J827" s="1"/>
      <c r="K827" s="32"/>
      <c r="L827" s="32"/>
      <c r="M827" s="6"/>
      <c r="N827" s="6"/>
      <c r="O827" s="6"/>
    </row>
    <row r="828" spans="2:15" x14ac:dyDescent="0.25">
      <c r="B828" s="32">
        <v>815</v>
      </c>
      <c r="C828" s="200"/>
      <c r="D828" s="200"/>
      <c r="E828" s="200"/>
      <c r="F828" s="200"/>
      <c r="G828" s="200"/>
      <c r="H828" s="200"/>
      <c r="I828" s="200"/>
      <c r="J828" s="1"/>
      <c r="K828" s="32"/>
      <c r="L828" s="32"/>
      <c r="M828" s="6"/>
      <c r="N828" s="6"/>
      <c r="O828" s="6"/>
    </row>
    <row r="829" spans="2:15" x14ac:dyDescent="0.25">
      <c r="B829" s="32">
        <v>816</v>
      </c>
      <c r="C829" s="200"/>
      <c r="D829" s="200"/>
      <c r="E829" s="200"/>
      <c r="F829" s="200"/>
      <c r="G829" s="200"/>
      <c r="H829" s="200"/>
      <c r="I829" s="200"/>
      <c r="J829" s="1"/>
      <c r="K829" s="32"/>
      <c r="L829" s="32"/>
      <c r="M829" s="6"/>
      <c r="N829" s="6"/>
      <c r="O829" s="6"/>
    </row>
    <row r="830" spans="2:15" x14ac:dyDescent="0.25">
      <c r="B830" s="32">
        <v>817</v>
      </c>
      <c r="C830" s="200"/>
      <c r="D830" s="200"/>
      <c r="E830" s="200"/>
      <c r="F830" s="200"/>
      <c r="G830" s="200"/>
      <c r="H830" s="200"/>
      <c r="I830" s="200"/>
      <c r="J830" s="1"/>
      <c r="K830" s="32"/>
      <c r="L830" s="32"/>
      <c r="M830" s="6"/>
      <c r="N830" s="6"/>
      <c r="O830" s="6"/>
    </row>
    <row r="831" spans="2:15" x14ac:dyDescent="0.25">
      <c r="B831" s="32">
        <v>818</v>
      </c>
      <c r="C831" s="200"/>
      <c r="D831" s="200"/>
      <c r="E831" s="200"/>
      <c r="F831" s="200"/>
      <c r="G831" s="200"/>
      <c r="H831" s="200"/>
      <c r="I831" s="200"/>
      <c r="J831" s="1"/>
      <c r="K831" s="32"/>
      <c r="L831" s="32"/>
      <c r="M831" s="6"/>
      <c r="N831" s="6"/>
      <c r="O831" s="6"/>
    </row>
    <row r="832" spans="2:15" x14ac:dyDescent="0.25">
      <c r="B832" s="32">
        <v>819</v>
      </c>
      <c r="C832" s="200"/>
      <c r="D832" s="200"/>
      <c r="E832" s="200"/>
      <c r="F832" s="200"/>
      <c r="G832" s="200"/>
      <c r="H832" s="200"/>
      <c r="I832" s="200"/>
      <c r="J832" s="1"/>
      <c r="K832" s="32"/>
      <c r="L832" s="32"/>
      <c r="M832" s="6"/>
      <c r="N832" s="6"/>
      <c r="O832" s="6"/>
    </row>
    <row r="833" spans="2:15" x14ac:dyDescent="0.25">
      <c r="B833" s="32">
        <v>820</v>
      </c>
      <c r="C833" s="200"/>
      <c r="D833" s="200"/>
      <c r="E833" s="200"/>
      <c r="F833" s="200"/>
      <c r="G833" s="200"/>
      <c r="H833" s="200"/>
      <c r="I833" s="200"/>
      <c r="J833" s="1"/>
      <c r="K833" s="32"/>
      <c r="L833" s="32"/>
      <c r="M833" s="6"/>
      <c r="N833" s="6"/>
      <c r="O833" s="6"/>
    </row>
    <row r="834" spans="2:15" x14ac:dyDescent="0.25">
      <c r="B834" s="32">
        <v>821</v>
      </c>
      <c r="C834" s="200"/>
      <c r="D834" s="200"/>
      <c r="E834" s="200"/>
      <c r="F834" s="200"/>
      <c r="G834" s="200"/>
      <c r="H834" s="200"/>
      <c r="I834" s="200"/>
      <c r="J834" s="1"/>
      <c r="K834" s="32"/>
      <c r="L834" s="32"/>
      <c r="M834" s="6"/>
      <c r="N834" s="6"/>
      <c r="O834" s="6"/>
    </row>
    <row r="835" spans="2:15" x14ac:dyDescent="0.25">
      <c r="B835" s="32">
        <v>822</v>
      </c>
      <c r="C835" s="200"/>
      <c r="D835" s="200"/>
      <c r="E835" s="200"/>
      <c r="F835" s="200"/>
      <c r="G835" s="200"/>
      <c r="H835" s="200"/>
      <c r="I835" s="200"/>
      <c r="J835" s="1"/>
      <c r="K835" s="32"/>
      <c r="L835" s="32"/>
      <c r="M835" s="6"/>
      <c r="N835" s="6"/>
      <c r="O835" s="6"/>
    </row>
    <row r="836" spans="2:15" x14ac:dyDescent="0.25">
      <c r="B836" s="32">
        <v>823</v>
      </c>
      <c r="C836" s="200"/>
      <c r="D836" s="200"/>
      <c r="E836" s="200"/>
      <c r="F836" s="200"/>
      <c r="G836" s="200"/>
      <c r="H836" s="200"/>
      <c r="I836" s="200"/>
      <c r="J836" s="1"/>
      <c r="K836" s="32"/>
      <c r="L836" s="32"/>
      <c r="M836" s="6"/>
      <c r="N836" s="6"/>
      <c r="O836" s="6"/>
    </row>
    <row r="837" spans="2:15" x14ac:dyDescent="0.25">
      <c r="B837" s="32">
        <v>824</v>
      </c>
      <c r="C837" s="200"/>
      <c r="D837" s="200"/>
      <c r="E837" s="200"/>
      <c r="F837" s="200"/>
      <c r="G837" s="200"/>
      <c r="H837" s="200"/>
      <c r="I837" s="200"/>
      <c r="J837" s="1"/>
      <c r="K837" s="32"/>
      <c r="L837" s="32"/>
      <c r="M837" s="6"/>
      <c r="N837" s="6"/>
      <c r="O837" s="6"/>
    </row>
    <row r="838" spans="2:15" x14ac:dyDescent="0.25">
      <c r="B838" s="32">
        <v>825</v>
      </c>
      <c r="C838" s="200"/>
      <c r="D838" s="200"/>
      <c r="E838" s="200"/>
      <c r="F838" s="200"/>
      <c r="G838" s="200"/>
      <c r="H838" s="200"/>
      <c r="I838" s="200"/>
      <c r="J838" s="1"/>
      <c r="K838" s="32"/>
      <c r="L838" s="32"/>
      <c r="M838" s="6"/>
      <c r="N838" s="6"/>
      <c r="O838" s="6"/>
    </row>
    <row r="839" spans="2:15" x14ac:dyDescent="0.25">
      <c r="B839" s="32">
        <v>826</v>
      </c>
      <c r="C839" s="200"/>
      <c r="D839" s="200"/>
      <c r="E839" s="200"/>
      <c r="F839" s="200"/>
      <c r="G839" s="200"/>
      <c r="H839" s="200"/>
      <c r="I839" s="200"/>
      <c r="J839" s="1"/>
      <c r="K839" s="32"/>
      <c r="L839" s="32"/>
      <c r="M839" s="6"/>
      <c r="N839" s="6"/>
      <c r="O839" s="6"/>
    </row>
    <row r="840" spans="2:15" x14ac:dyDescent="0.25">
      <c r="B840" s="32">
        <v>827</v>
      </c>
      <c r="C840" s="200"/>
      <c r="D840" s="200"/>
      <c r="E840" s="200"/>
      <c r="F840" s="200"/>
      <c r="G840" s="200"/>
      <c r="H840" s="200"/>
      <c r="I840" s="200"/>
      <c r="J840" s="1"/>
      <c r="K840" s="32"/>
      <c r="L840" s="32"/>
      <c r="M840" s="6"/>
      <c r="N840" s="6"/>
      <c r="O840" s="6"/>
    </row>
    <row r="841" spans="2:15" x14ac:dyDescent="0.25">
      <c r="B841" s="32">
        <v>828</v>
      </c>
      <c r="C841" s="200"/>
      <c r="D841" s="200"/>
      <c r="E841" s="200"/>
      <c r="F841" s="200"/>
      <c r="G841" s="200"/>
      <c r="H841" s="200"/>
      <c r="I841" s="200"/>
      <c r="J841" s="1"/>
      <c r="K841" s="32"/>
      <c r="L841" s="32"/>
      <c r="M841" s="6"/>
      <c r="N841" s="6"/>
      <c r="O841" s="6"/>
    </row>
    <row r="842" spans="2:15" x14ac:dyDescent="0.25">
      <c r="B842" s="32">
        <v>829</v>
      </c>
      <c r="C842" s="200"/>
      <c r="D842" s="200"/>
      <c r="E842" s="200"/>
      <c r="F842" s="200"/>
      <c r="G842" s="200"/>
      <c r="H842" s="200"/>
      <c r="I842" s="200"/>
      <c r="J842" s="1"/>
      <c r="K842" s="32"/>
      <c r="L842" s="32"/>
      <c r="M842" s="6"/>
      <c r="N842" s="6"/>
      <c r="O842" s="6"/>
    </row>
    <row r="843" spans="2:15" x14ac:dyDescent="0.25">
      <c r="B843" s="32">
        <v>830</v>
      </c>
      <c r="C843" s="200"/>
      <c r="D843" s="200"/>
      <c r="E843" s="200"/>
      <c r="F843" s="200"/>
      <c r="G843" s="200"/>
      <c r="H843" s="200"/>
      <c r="I843" s="200"/>
      <c r="J843" s="1"/>
      <c r="K843" s="32"/>
      <c r="L843" s="32"/>
      <c r="M843" s="6"/>
      <c r="N843" s="6"/>
      <c r="O843" s="6"/>
    </row>
    <row r="844" spans="2:15" x14ac:dyDescent="0.25">
      <c r="B844" s="32">
        <v>831</v>
      </c>
      <c r="C844" s="200"/>
      <c r="D844" s="200"/>
      <c r="E844" s="200"/>
      <c r="F844" s="200"/>
      <c r="G844" s="200"/>
      <c r="H844" s="200"/>
      <c r="I844" s="200"/>
      <c r="J844" s="1"/>
      <c r="K844" s="32"/>
      <c r="L844" s="32"/>
      <c r="M844" s="6"/>
      <c r="N844" s="6"/>
      <c r="O844" s="6"/>
    </row>
    <row r="845" spans="2:15" x14ac:dyDescent="0.25">
      <c r="B845" s="32">
        <v>832</v>
      </c>
      <c r="C845" s="200"/>
      <c r="D845" s="200"/>
      <c r="E845" s="200"/>
      <c r="F845" s="200"/>
      <c r="G845" s="200"/>
      <c r="H845" s="200"/>
      <c r="I845" s="200"/>
      <c r="J845" s="1"/>
      <c r="K845" s="32"/>
      <c r="L845" s="32"/>
      <c r="M845" s="6"/>
      <c r="N845" s="6"/>
      <c r="O845" s="6"/>
    </row>
    <row r="846" spans="2:15" x14ac:dyDescent="0.25">
      <c r="B846" s="32">
        <v>833</v>
      </c>
      <c r="C846" s="200"/>
      <c r="D846" s="200"/>
      <c r="E846" s="200"/>
      <c r="F846" s="200"/>
      <c r="G846" s="200"/>
      <c r="H846" s="200"/>
      <c r="I846" s="200"/>
      <c r="J846" s="1"/>
      <c r="K846" s="32"/>
      <c r="L846" s="32"/>
      <c r="M846" s="6"/>
      <c r="N846" s="6"/>
      <c r="O846" s="6"/>
    </row>
    <row r="847" spans="2:15" x14ac:dyDescent="0.25">
      <c r="B847" s="32">
        <v>834</v>
      </c>
      <c r="C847" s="200"/>
      <c r="D847" s="200"/>
      <c r="E847" s="200"/>
      <c r="F847" s="200"/>
      <c r="G847" s="200"/>
      <c r="H847" s="200"/>
      <c r="I847" s="200"/>
      <c r="J847" s="1"/>
      <c r="K847" s="32"/>
      <c r="L847" s="32"/>
      <c r="M847" s="6"/>
      <c r="N847" s="6"/>
      <c r="O847" s="6"/>
    </row>
    <row r="848" spans="2:15" x14ac:dyDescent="0.25">
      <c r="B848" s="32">
        <v>835</v>
      </c>
      <c r="C848" s="200"/>
      <c r="D848" s="200"/>
      <c r="E848" s="200"/>
      <c r="F848" s="200"/>
      <c r="G848" s="200"/>
      <c r="H848" s="200"/>
      <c r="I848" s="200"/>
      <c r="J848" s="1"/>
      <c r="K848" s="32"/>
      <c r="L848" s="32"/>
      <c r="M848" s="6"/>
      <c r="N848" s="6"/>
      <c r="O848" s="6"/>
    </row>
    <row r="849" spans="2:15" x14ac:dyDescent="0.25">
      <c r="B849" s="32">
        <v>836</v>
      </c>
      <c r="C849" s="200"/>
      <c r="D849" s="200"/>
      <c r="E849" s="200"/>
      <c r="F849" s="200"/>
      <c r="G849" s="200"/>
      <c r="H849" s="200"/>
      <c r="I849" s="200"/>
      <c r="J849" s="1"/>
      <c r="K849" s="32"/>
      <c r="L849" s="32"/>
      <c r="M849" s="6"/>
      <c r="N849" s="6"/>
      <c r="O849" s="6"/>
    </row>
    <row r="850" spans="2:15" x14ac:dyDescent="0.25">
      <c r="B850" s="32">
        <v>837</v>
      </c>
      <c r="C850" s="200"/>
      <c r="D850" s="200"/>
      <c r="E850" s="200"/>
      <c r="F850" s="200"/>
      <c r="G850" s="200"/>
      <c r="H850" s="200"/>
      <c r="I850" s="200"/>
      <c r="J850" s="1"/>
      <c r="K850" s="32"/>
      <c r="L850" s="32"/>
      <c r="M850" s="6"/>
      <c r="N850" s="6"/>
      <c r="O850" s="6"/>
    </row>
    <row r="851" spans="2:15" x14ac:dyDescent="0.25">
      <c r="B851" s="32">
        <v>838</v>
      </c>
      <c r="C851" s="200"/>
      <c r="D851" s="200"/>
      <c r="E851" s="200"/>
      <c r="F851" s="200"/>
      <c r="G851" s="200"/>
      <c r="H851" s="200"/>
      <c r="I851" s="200"/>
      <c r="J851" s="1"/>
      <c r="K851" s="32"/>
      <c r="L851" s="32"/>
      <c r="M851" s="6"/>
      <c r="N851" s="6"/>
      <c r="O851" s="6"/>
    </row>
    <row r="852" spans="2:15" x14ac:dyDescent="0.25">
      <c r="B852" s="32">
        <v>839</v>
      </c>
      <c r="C852" s="200"/>
      <c r="D852" s="200"/>
      <c r="E852" s="200"/>
      <c r="F852" s="200"/>
      <c r="G852" s="200"/>
      <c r="H852" s="200"/>
      <c r="I852" s="200"/>
      <c r="J852" s="1"/>
      <c r="K852" s="32"/>
      <c r="L852" s="32"/>
      <c r="M852" s="6"/>
      <c r="N852" s="6"/>
      <c r="O852" s="6"/>
    </row>
    <row r="853" spans="2:15" x14ac:dyDescent="0.25">
      <c r="B853" s="32">
        <v>840</v>
      </c>
      <c r="C853" s="200"/>
      <c r="D853" s="200"/>
      <c r="E853" s="200"/>
      <c r="F853" s="200"/>
      <c r="G853" s="200"/>
      <c r="H853" s="200"/>
      <c r="I853" s="200"/>
      <c r="J853" s="1"/>
      <c r="K853" s="32"/>
      <c r="L853" s="32"/>
      <c r="M853" s="6"/>
      <c r="N853" s="6"/>
      <c r="O853" s="6"/>
    </row>
    <row r="854" spans="2:15" x14ac:dyDescent="0.25">
      <c r="B854" s="32">
        <v>841</v>
      </c>
      <c r="C854" s="200"/>
      <c r="D854" s="200"/>
      <c r="E854" s="200"/>
      <c r="F854" s="200"/>
      <c r="G854" s="200"/>
      <c r="H854" s="200"/>
      <c r="I854" s="200"/>
      <c r="J854" s="1"/>
      <c r="K854" s="32"/>
      <c r="L854" s="32"/>
      <c r="M854" s="6"/>
      <c r="N854" s="6"/>
      <c r="O854" s="6"/>
    </row>
    <row r="855" spans="2:15" x14ac:dyDescent="0.25">
      <c r="B855" s="32">
        <v>842</v>
      </c>
      <c r="C855" s="200"/>
      <c r="D855" s="200"/>
      <c r="E855" s="200"/>
      <c r="F855" s="200"/>
      <c r="G855" s="200"/>
      <c r="H855" s="200"/>
      <c r="I855" s="200"/>
      <c r="J855" s="1"/>
      <c r="K855" s="32"/>
      <c r="L855" s="32"/>
      <c r="M855" s="6"/>
      <c r="N855" s="6"/>
      <c r="O855" s="6"/>
    </row>
    <row r="856" spans="2:15" x14ac:dyDescent="0.25">
      <c r="B856" s="32">
        <v>843</v>
      </c>
      <c r="C856" s="200"/>
      <c r="D856" s="200"/>
      <c r="E856" s="200"/>
      <c r="F856" s="200"/>
      <c r="G856" s="200"/>
      <c r="H856" s="200"/>
      <c r="I856" s="200"/>
      <c r="J856" s="1"/>
      <c r="K856" s="32"/>
      <c r="L856" s="32"/>
      <c r="M856" s="6"/>
      <c r="N856" s="6"/>
      <c r="O856" s="6"/>
    </row>
    <row r="857" spans="2:15" x14ac:dyDescent="0.25">
      <c r="B857" s="32">
        <v>844</v>
      </c>
      <c r="C857" s="200"/>
      <c r="D857" s="200"/>
      <c r="E857" s="200"/>
      <c r="F857" s="200"/>
      <c r="G857" s="200"/>
      <c r="H857" s="200"/>
      <c r="I857" s="200"/>
      <c r="J857" s="1"/>
      <c r="K857" s="32"/>
      <c r="L857" s="32"/>
      <c r="M857" s="6"/>
      <c r="N857" s="6"/>
      <c r="O857" s="6"/>
    </row>
    <row r="858" spans="2:15" x14ac:dyDescent="0.25">
      <c r="B858" s="32">
        <v>845</v>
      </c>
      <c r="C858" s="200"/>
      <c r="D858" s="200"/>
      <c r="E858" s="200"/>
      <c r="F858" s="200"/>
      <c r="G858" s="200"/>
      <c r="H858" s="200"/>
      <c r="I858" s="200"/>
      <c r="J858" s="1"/>
      <c r="K858" s="32"/>
      <c r="L858" s="32"/>
      <c r="M858" s="6"/>
      <c r="N858" s="6"/>
      <c r="O858" s="6"/>
    </row>
    <row r="859" spans="2:15" x14ac:dyDescent="0.25">
      <c r="B859" s="32">
        <v>846</v>
      </c>
      <c r="C859" s="200"/>
      <c r="D859" s="200"/>
      <c r="E859" s="200"/>
      <c r="F859" s="200"/>
      <c r="G859" s="200"/>
      <c r="H859" s="200"/>
      <c r="I859" s="200"/>
      <c r="J859" s="1"/>
      <c r="K859" s="32"/>
      <c r="L859" s="32"/>
      <c r="M859" s="6"/>
      <c r="N859" s="6"/>
      <c r="O859" s="6"/>
    </row>
    <row r="860" spans="2:15" x14ac:dyDescent="0.25">
      <c r="B860" s="32">
        <v>847</v>
      </c>
      <c r="C860" s="200"/>
      <c r="D860" s="200"/>
      <c r="E860" s="200"/>
      <c r="F860" s="200"/>
      <c r="G860" s="200"/>
      <c r="H860" s="200"/>
      <c r="I860" s="200"/>
      <c r="J860" s="1"/>
      <c r="K860" s="32"/>
      <c r="L860" s="32"/>
      <c r="M860" s="6"/>
      <c r="N860" s="6"/>
      <c r="O860" s="6"/>
    </row>
    <row r="861" spans="2:15" x14ac:dyDescent="0.25">
      <c r="B861" s="32">
        <v>848</v>
      </c>
      <c r="C861" s="200"/>
      <c r="D861" s="200"/>
      <c r="E861" s="200"/>
      <c r="F861" s="200"/>
      <c r="G861" s="200"/>
      <c r="H861" s="200"/>
      <c r="I861" s="200"/>
      <c r="J861" s="1"/>
      <c r="K861" s="32"/>
      <c r="L861" s="32"/>
      <c r="M861" s="6"/>
      <c r="N861" s="6"/>
      <c r="O861" s="6"/>
    </row>
    <row r="862" spans="2:15" x14ac:dyDescent="0.25">
      <c r="B862" s="32">
        <v>849</v>
      </c>
      <c r="C862" s="200"/>
      <c r="D862" s="200"/>
      <c r="E862" s="200"/>
      <c r="F862" s="200"/>
      <c r="G862" s="200"/>
      <c r="H862" s="200"/>
      <c r="I862" s="200"/>
      <c r="J862" s="1"/>
      <c r="K862" s="32"/>
      <c r="L862" s="32"/>
      <c r="M862" s="6"/>
      <c r="N862" s="6"/>
      <c r="O862" s="6"/>
    </row>
    <row r="863" spans="2:15" x14ac:dyDescent="0.25">
      <c r="B863" s="32">
        <v>850</v>
      </c>
      <c r="C863" s="200"/>
      <c r="D863" s="200"/>
      <c r="E863" s="200"/>
      <c r="F863" s="200"/>
      <c r="G863" s="200"/>
      <c r="H863" s="200"/>
      <c r="I863" s="200"/>
      <c r="J863" s="1"/>
      <c r="K863" s="32"/>
      <c r="L863" s="32"/>
      <c r="M863" s="6"/>
      <c r="N863" s="6"/>
      <c r="O863" s="6"/>
    </row>
    <row r="864" spans="2:15" x14ac:dyDescent="0.25">
      <c r="B864" s="32">
        <v>851</v>
      </c>
      <c r="C864" s="200"/>
      <c r="D864" s="200"/>
      <c r="E864" s="200"/>
      <c r="F864" s="200"/>
      <c r="G864" s="200"/>
      <c r="H864" s="200"/>
      <c r="I864" s="200"/>
      <c r="J864" s="1"/>
      <c r="K864" s="32"/>
      <c r="L864" s="32"/>
      <c r="M864" s="6"/>
      <c r="N864" s="6"/>
      <c r="O864" s="6"/>
    </row>
    <row r="865" spans="2:15" x14ac:dyDescent="0.25">
      <c r="B865" s="32">
        <v>852</v>
      </c>
      <c r="C865" s="200"/>
      <c r="D865" s="200"/>
      <c r="E865" s="200"/>
      <c r="F865" s="200"/>
      <c r="G865" s="200"/>
      <c r="H865" s="200"/>
      <c r="I865" s="200"/>
      <c r="J865" s="1"/>
      <c r="K865" s="32"/>
      <c r="L865" s="32"/>
      <c r="M865" s="6"/>
      <c r="N865" s="6"/>
      <c r="O865" s="6"/>
    </row>
    <row r="866" spans="2:15" x14ac:dyDescent="0.25">
      <c r="B866" s="32">
        <v>853</v>
      </c>
      <c r="C866" s="200"/>
      <c r="D866" s="200"/>
      <c r="E866" s="200"/>
      <c r="F866" s="200"/>
      <c r="G866" s="200"/>
      <c r="H866" s="200"/>
      <c r="I866" s="200"/>
      <c r="J866" s="1"/>
      <c r="K866" s="32"/>
      <c r="L866" s="32"/>
      <c r="M866" s="6"/>
      <c r="N866" s="6"/>
      <c r="O866" s="6"/>
    </row>
    <row r="867" spans="2:15" x14ac:dyDescent="0.25">
      <c r="B867" s="32">
        <v>854</v>
      </c>
      <c r="C867" s="200"/>
      <c r="D867" s="200"/>
      <c r="E867" s="200"/>
      <c r="F867" s="200"/>
      <c r="G867" s="200"/>
      <c r="H867" s="200"/>
      <c r="I867" s="200"/>
      <c r="J867" s="1"/>
      <c r="K867" s="32"/>
      <c r="L867" s="32"/>
      <c r="M867" s="6"/>
      <c r="N867" s="6"/>
      <c r="O867" s="6"/>
    </row>
    <row r="868" spans="2:15" x14ac:dyDescent="0.25">
      <c r="B868" s="32">
        <v>855</v>
      </c>
      <c r="C868" s="200"/>
      <c r="D868" s="200"/>
      <c r="E868" s="200"/>
      <c r="F868" s="200"/>
      <c r="G868" s="200"/>
      <c r="H868" s="200"/>
      <c r="I868" s="200"/>
      <c r="J868" s="1"/>
      <c r="K868" s="32"/>
      <c r="L868" s="32"/>
      <c r="M868" s="6"/>
      <c r="N868" s="6"/>
      <c r="O868" s="6"/>
    </row>
    <row r="869" spans="2:15" x14ac:dyDescent="0.25">
      <c r="B869" s="32">
        <v>856</v>
      </c>
      <c r="C869" s="200"/>
      <c r="D869" s="200"/>
      <c r="E869" s="200"/>
      <c r="F869" s="200"/>
      <c r="G869" s="200"/>
      <c r="H869" s="200"/>
      <c r="I869" s="200"/>
      <c r="J869" s="1"/>
      <c r="K869" s="32"/>
      <c r="L869" s="32"/>
      <c r="M869" s="6"/>
      <c r="N869" s="6"/>
      <c r="O869" s="6"/>
    </row>
    <row r="870" spans="2:15" x14ac:dyDescent="0.25">
      <c r="B870" s="32">
        <v>857</v>
      </c>
      <c r="C870" s="200"/>
      <c r="D870" s="200"/>
      <c r="E870" s="200"/>
      <c r="F870" s="200"/>
      <c r="G870" s="200"/>
      <c r="H870" s="200"/>
      <c r="I870" s="200"/>
      <c r="J870" s="1"/>
      <c r="K870" s="32"/>
      <c r="L870" s="32"/>
      <c r="M870" s="6"/>
      <c r="N870" s="6"/>
      <c r="O870" s="6"/>
    </row>
    <row r="871" spans="2:15" x14ac:dyDescent="0.25">
      <c r="B871" s="32">
        <v>858</v>
      </c>
      <c r="C871" s="200"/>
      <c r="D871" s="200"/>
      <c r="E871" s="200"/>
      <c r="F871" s="200"/>
      <c r="G871" s="200"/>
      <c r="H871" s="200"/>
      <c r="I871" s="200"/>
      <c r="J871" s="1"/>
      <c r="K871" s="32"/>
      <c r="L871" s="32"/>
      <c r="M871" s="6"/>
      <c r="N871" s="6"/>
      <c r="O871" s="6"/>
    </row>
    <row r="872" spans="2:15" x14ac:dyDescent="0.25">
      <c r="B872" s="32">
        <v>859</v>
      </c>
      <c r="C872" s="200"/>
      <c r="D872" s="200"/>
      <c r="E872" s="200"/>
      <c r="F872" s="200"/>
      <c r="G872" s="200"/>
      <c r="H872" s="200"/>
      <c r="I872" s="200"/>
      <c r="J872" s="1"/>
      <c r="K872" s="32"/>
      <c r="L872" s="32"/>
      <c r="M872" s="6"/>
      <c r="N872" s="6"/>
      <c r="O872" s="6"/>
    </row>
    <row r="873" spans="2:15" x14ac:dyDescent="0.25">
      <c r="B873" s="32">
        <v>860</v>
      </c>
      <c r="C873" s="200"/>
      <c r="D873" s="200"/>
      <c r="E873" s="200"/>
      <c r="F873" s="200"/>
      <c r="G873" s="200"/>
      <c r="H873" s="200"/>
      <c r="I873" s="200"/>
      <c r="J873" s="1"/>
      <c r="K873" s="32"/>
      <c r="L873" s="32"/>
      <c r="M873" s="6"/>
      <c r="N873" s="6"/>
      <c r="O873" s="6"/>
    </row>
    <row r="874" spans="2:15" x14ac:dyDescent="0.25">
      <c r="B874" s="32">
        <v>861</v>
      </c>
      <c r="C874" s="200"/>
      <c r="D874" s="200"/>
      <c r="E874" s="200"/>
      <c r="F874" s="200"/>
      <c r="G874" s="200"/>
      <c r="H874" s="200"/>
      <c r="I874" s="200"/>
      <c r="J874" s="1"/>
      <c r="K874" s="32"/>
      <c r="L874" s="32"/>
      <c r="M874" s="6"/>
      <c r="N874" s="6"/>
      <c r="O874" s="6"/>
    </row>
    <row r="875" spans="2:15" x14ac:dyDescent="0.25">
      <c r="B875" s="32">
        <v>862</v>
      </c>
      <c r="C875" s="200"/>
      <c r="D875" s="200"/>
      <c r="E875" s="200"/>
      <c r="F875" s="200"/>
      <c r="G875" s="200"/>
      <c r="H875" s="200"/>
      <c r="I875" s="200"/>
      <c r="J875" s="1"/>
      <c r="K875" s="32"/>
      <c r="L875" s="32"/>
      <c r="M875" s="6"/>
      <c r="N875" s="6"/>
      <c r="O875" s="6"/>
    </row>
    <row r="876" spans="2:15" x14ac:dyDescent="0.25">
      <c r="B876" s="32">
        <v>863</v>
      </c>
      <c r="C876" s="200"/>
      <c r="D876" s="200"/>
      <c r="E876" s="200"/>
      <c r="F876" s="200"/>
      <c r="G876" s="200"/>
      <c r="H876" s="200"/>
      <c r="I876" s="200"/>
      <c r="J876" s="1"/>
      <c r="K876" s="32"/>
      <c r="L876" s="32"/>
      <c r="M876" s="6"/>
      <c r="N876" s="6"/>
      <c r="O876" s="6"/>
    </row>
    <row r="877" spans="2:15" x14ac:dyDescent="0.25">
      <c r="B877" s="32">
        <v>864</v>
      </c>
      <c r="C877" s="200"/>
      <c r="D877" s="200"/>
      <c r="E877" s="200"/>
      <c r="F877" s="200"/>
      <c r="G877" s="200"/>
      <c r="H877" s="200"/>
      <c r="I877" s="200"/>
      <c r="J877" s="1"/>
      <c r="K877" s="32"/>
      <c r="L877" s="32"/>
      <c r="M877" s="6"/>
      <c r="N877" s="6"/>
      <c r="O877" s="6"/>
    </row>
    <row r="878" spans="2:15" x14ac:dyDescent="0.25">
      <c r="B878" s="32">
        <v>865</v>
      </c>
      <c r="C878" s="200"/>
      <c r="D878" s="200"/>
      <c r="E878" s="200"/>
      <c r="F878" s="200"/>
      <c r="G878" s="200"/>
      <c r="H878" s="200"/>
      <c r="I878" s="200"/>
      <c r="J878" s="1"/>
      <c r="K878" s="32"/>
      <c r="L878" s="32"/>
      <c r="M878" s="6"/>
      <c r="N878" s="6"/>
      <c r="O878" s="6"/>
    </row>
    <row r="879" spans="2:15" x14ac:dyDescent="0.25">
      <c r="B879" s="32">
        <v>866</v>
      </c>
      <c r="C879" s="200"/>
      <c r="D879" s="200"/>
      <c r="E879" s="200"/>
      <c r="F879" s="200"/>
      <c r="G879" s="200"/>
      <c r="H879" s="200"/>
      <c r="I879" s="200"/>
      <c r="J879" s="1"/>
      <c r="K879" s="32"/>
      <c r="L879" s="32"/>
      <c r="M879" s="6"/>
      <c r="N879" s="6"/>
      <c r="O879" s="6"/>
    </row>
    <row r="880" spans="2:15" x14ac:dyDescent="0.25">
      <c r="B880" s="32">
        <v>867</v>
      </c>
      <c r="C880" s="200"/>
      <c r="D880" s="200"/>
      <c r="E880" s="200"/>
      <c r="F880" s="200"/>
      <c r="G880" s="200"/>
      <c r="H880" s="200"/>
      <c r="I880" s="200"/>
      <c r="J880" s="1"/>
      <c r="K880" s="32"/>
      <c r="L880" s="32"/>
      <c r="M880" s="6"/>
      <c r="N880" s="6"/>
      <c r="O880" s="6"/>
    </row>
    <row r="881" spans="2:15" x14ac:dyDescent="0.25">
      <c r="B881" s="32">
        <v>868</v>
      </c>
      <c r="C881" s="200"/>
      <c r="D881" s="200"/>
      <c r="E881" s="200"/>
      <c r="F881" s="200"/>
      <c r="G881" s="200"/>
      <c r="H881" s="200"/>
      <c r="I881" s="200"/>
      <c r="J881" s="1"/>
      <c r="K881" s="32"/>
      <c r="L881" s="32"/>
      <c r="M881" s="6"/>
      <c r="N881" s="6"/>
      <c r="O881" s="6"/>
    </row>
    <row r="882" spans="2:15" x14ac:dyDescent="0.25">
      <c r="B882" s="32">
        <v>869</v>
      </c>
      <c r="C882" s="200"/>
      <c r="D882" s="200"/>
      <c r="E882" s="200"/>
      <c r="F882" s="200"/>
      <c r="G882" s="200"/>
      <c r="H882" s="200"/>
      <c r="I882" s="200"/>
      <c r="J882" s="1"/>
      <c r="K882" s="32"/>
      <c r="L882" s="32"/>
      <c r="M882" s="6"/>
      <c r="N882" s="6"/>
      <c r="O882" s="6"/>
    </row>
    <row r="883" spans="2:15" x14ac:dyDescent="0.25">
      <c r="B883" s="32">
        <v>870</v>
      </c>
      <c r="C883" s="200"/>
      <c r="D883" s="200"/>
      <c r="E883" s="200"/>
      <c r="F883" s="200"/>
      <c r="G883" s="200"/>
      <c r="H883" s="200"/>
      <c r="I883" s="200"/>
      <c r="J883" s="1"/>
      <c r="K883" s="32"/>
      <c r="L883" s="32"/>
      <c r="M883" s="6"/>
      <c r="N883" s="6"/>
      <c r="O883" s="6"/>
    </row>
    <row r="884" spans="2:15" x14ac:dyDescent="0.25">
      <c r="B884" s="32">
        <v>871</v>
      </c>
      <c r="C884" s="200"/>
      <c r="D884" s="200"/>
      <c r="E884" s="200"/>
      <c r="F884" s="200"/>
      <c r="G884" s="200"/>
      <c r="H884" s="200"/>
      <c r="I884" s="200"/>
      <c r="J884" s="1"/>
      <c r="K884" s="32"/>
      <c r="L884" s="32"/>
      <c r="M884" s="6"/>
      <c r="N884" s="6"/>
      <c r="O884" s="6"/>
    </row>
    <row r="885" spans="2:15" x14ac:dyDescent="0.25">
      <c r="B885" s="32">
        <v>872</v>
      </c>
      <c r="C885" s="200"/>
      <c r="D885" s="200"/>
      <c r="E885" s="200"/>
      <c r="F885" s="200"/>
      <c r="G885" s="200"/>
      <c r="H885" s="200"/>
      <c r="I885" s="200"/>
      <c r="J885" s="1"/>
      <c r="K885" s="32"/>
      <c r="L885" s="32"/>
      <c r="M885" s="6"/>
      <c r="N885" s="6"/>
      <c r="O885" s="6"/>
    </row>
    <row r="886" spans="2:15" x14ac:dyDescent="0.25">
      <c r="B886" s="32">
        <v>873</v>
      </c>
      <c r="C886" s="200"/>
      <c r="D886" s="200"/>
      <c r="E886" s="200"/>
      <c r="F886" s="200"/>
      <c r="G886" s="200"/>
      <c r="H886" s="200"/>
      <c r="I886" s="200"/>
      <c r="J886" s="1"/>
      <c r="K886" s="32"/>
      <c r="L886" s="32"/>
      <c r="M886" s="6"/>
      <c r="N886" s="6"/>
      <c r="O886" s="6"/>
    </row>
    <row r="887" spans="2:15" x14ac:dyDescent="0.25">
      <c r="B887" s="32">
        <v>874</v>
      </c>
      <c r="C887" s="200"/>
      <c r="D887" s="200"/>
      <c r="E887" s="200"/>
      <c r="F887" s="200"/>
      <c r="G887" s="200"/>
      <c r="H887" s="200"/>
      <c r="I887" s="200"/>
      <c r="J887" s="1"/>
      <c r="K887" s="32"/>
      <c r="L887" s="32"/>
      <c r="M887" s="6"/>
      <c r="N887" s="6"/>
      <c r="O887" s="6"/>
    </row>
    <row r="888" spans="2:15" x14ac:dyDescent="0.25">
      <c r="B888" s="32">
        <v>875</v>
      </c>
      <c r="C888" s="200"/>
      <c r="D888" s="200"/>
      <c r="E888" s="200"/>
      <c r="F888" s="200"/>
      <c r="G888" s="200"/>
      <c r="H888" s="200"/>
      <c r="I888" s="200"/>
      <c r="J888" s="1"/>
      <c r="K888" s="32"/>
      <c r="L888" s="32"/>
      <c r="M888" s="6"/>
      <c r="N888" s="6"/>
      <c r="O888" s="6"/>
    </row>
    <row r="889" spans="2:15" x14ac:dyDescent="0.25">
      <c r="B889" s="32">
        <v>876</v>
      </c>
      <c r="C889" s="200"/>
      <c r="D889" s="200"/>
      <c r="E889" s="200"/>
      <c r="F889" s="200"/>
      <c r="G889" s="200"/>
      <c r="H889" s="200"/>
      <c r="I889" s="200"/>
      <c r="J889" s="1"/>
      <c r="K889" s="32"/>
      <c r="L889" s="32"/>
      <c r="M889" s="6"/>
      <c r="N889" s="6"/>
      <c r="O889" s="6"/>
    </row>
    <row r="890" spans="2:15" x14ac:dyDescent="0.25">
      <c r="B890" s="32">
        <v>877</v>
      </c>
      <c r="C890" s="200"/>
      <c r="D890" s="200"/>
      <c r="E890" s="200"/>
      <c r="F890" s="200"/>
      <c r="G890" s="200"/>
      <c r="H890" s="200"/>
      <c r="I890" s="200"/>
      <c r="J890" s="1"/>
      <c r="K890" s="32"/>
      <c r="L890" s="32"/>
      <c r="M890" s="6"/>
      <c r="N890" s="6"/>
      <c r="O890" s="6"/>
    </row>
    <row r="891" spans="2:15" x14ac:dyDescent="0.25">
      <c r="B891" s="32">
        <v>878</v>
      </c>
      <c r="C891" s="200"/>
      <c r="D891" s="200"/>
      <c r="E891" s="200"/>
      <c r="F891" s="200"/>
      <c r="G891" s="200"/>
      <c r="H891" s="200"/>
      <c r="I891" s="200"/>
      <c r="J891" s="1"/>
      <c r="K891" s="32"/>
      <c r="L891" s="32"/>
      <c r="M891" s="6"/>
      <c r="N891" s="6"/>
      <c r="O891" s="6"/>
    </row>
    <row r="892" spans="2:15" x14ac:dyDescent="0.25">
      <c r="B892" s="32">
        <v>879</v>
      </c>
      <c r="C892" s="200"/>
      <c r="D892" s="200"/>
      <c r="E892" s="200"/>
      <c r="F892" s="200"/>
      <c r="G892" s="200"/>
      <c r="H892" s="200"/>
      <c r="I892" s="200"/>
      <c r="J892" s="1"/>
      <c r="K892" s="32"/>
      <c r="L892" s="32"/>
      <c r="M892" s="6"/>
      <c r="N892" s="6"/>
      <c r="O892" s="6"/>
    </row>
    <row r="893" spans="2:15" x14ac:dyDescent="0.25">
      <c r="B893" s="32">
        <v>880</v>
      </c>
      <c r="C893" s="200"/>
      <c r="D893" s="200"/>
      <c r="E893" s="200"/>
      <c r="F893" s="200"/>
      <c r="G893" s="200"/>
      <c r="H893" s="200"/>
      <c r="I893" s="200"/>
      <c r="J893" s="1"/>
      <c r="K893" s="32"/>
      <c r="L893" s="32"/>
      <c r="M893" s="6"/>
      <c r="N893" s="6"/>
      <c r="O893" s="6"/>
    </row>
    <row r="894" spans="2:15" x14ac:dyDescent="0.25">
      <c r="B894" s="32">
        <v>881</v>
      </c>
      <c r="C894" s="200"/>
      <c r="D894" s="200"/>
      <c r="E894" s="200"/>
      <c r="F894" s="200"/>
      <c r="G894" s="200"/>
      <c r="H894" s="200"/>
      <c r="I894" s="200"/>
      <c r="J894" s="1"/>
      <c r="K894" s="32"/>
      <c r="L894" s="32"/>
      <c r="M894" s="6"/>
      <c r="N894" s="6"/>
      <c r="O894" s="6"/>
    </row>
    <row r="895" spans="2:15" x14ac:dyDescent="0.25">
      <c r="B895" s="32">
        <v>882</v>
      </c>
      <c r="C895" s="200"/>
      <c r="D895" s="200"/>
      <c r="E895" s="200"/>
      <c r="F895" s="200"/>
      <c r="G895" s="200"/>
      <c r="H895" s="200"/>
      <c r="I895" s="200"/>
      <c r="J895" s="1"/>
      <c r="K895" s="32"/>
      <c r="L895" s="32"/>
      <c r="M895" s="6"/>
      <c r="N895" s="6"/>
      <c r="O895" s="6"/>
    </row>
    <row r="896" spans="2:15" x14ac:dyDescent="0.25">
      <c r="B896" s="32">
        <v>883</v>
      </c>
      <c r="C896" s="200"/>
      <c r="D896" s="200"/>
      <c r="E896" s="200"/>
      <c r="F896" s="200"/>
      <c r="G896" s="200"/>
      <c r="H896" s="200"/>
      <c r="I896" s="200"/>
      <c r="J896" s="1"/>
      <c r="K896" s="32"/>
      <c r="L896" s="32"/>
      <c r="M896" s="6"/>
      <c r="N896" s="6"/>
      <c r="O896" s="6"/>
    </row>
    <row r="897" spans="2:15" x14ac:dyDescent="0.25">
      <c r="B897" s="32">
        <v>884</v>
      </c>
      <c r="C897" s="200"/>
      <c r="D897" s="200"/>
      <c r="E897" s="200"/>
      <c r="F897" s="200"/>
      <c r="G897" s="200"/>
      <c r="H897" s="200"/>
      <c r="I897" s="200"/>
      <c r="J897" s="1"/>
      <c r="K897" s="32"/>
      <c r="L897" s="32"/>
      <c r="M897" s="6"/>
      <c r="N897" s="6"/>
      <c r="O897" s="6"/>
    </row>
    <row r="898" spans="2:15" x14ac:dyDescent="0.25">
      <c r="B898" s="32">
        <v>885</v>
      </c>
      <c r="C898" s="200"/>
      <c r="D898" s="200"/>
      <c r="E898" s="200"/>
      <c r="F898" s="200"/>
      <c r="G898" s="200"/>
      <c r="H898" s="200"/>
      <c r="I898" s="200"/>
      <c r="J898" s="1"/>
      <c r="K898" s="32"/>
      <c r="L898" s="32"/>
      <c r="M898" s="6"/>
      <c r="N898" s="6"/>
      <c r="O898" s="6"/>
    </row>
    <row r="899" spans="2:15" x14ac:dyDescent="0.25">
      <c r="B899" s="32">
        <v>886</v>
      </c>
      <c r="C899" s="200"/>
      <c r="D899" s="200"/>
      <c r="E899" s="200"/>
      <c r="F899" s="200"/>
      <c r="G899" s="200"/>
      <c r="H899" s="200"/>
      <c r="I899" s="200"/>
      <c r="J899" s="1"/>
      <c r="K899" s="32"/>
      <c r="L899" s="32"/>
      <c r="M899" s="6"/>
      <c r="N899" s="6"/>
      <c r="O899" s="6"/>
    </row>
    <row r="900" spans="2:15" x14ac:dyDescent="0.25">
      <c r="B900" s="32">
        <v>887</v>
      </c>
      <c r="C900" s="200"/>
      <c r="D900" s="200"/>
      <c r="E900" s="200"/>
      <c r="F900" s="200"/>
      <c r="G900" s="200"/>
      <c r="H900" s="200"/>
      <c r="I900" s="200"/>
      <c r="J900" s="1"/>
      <c r="K900" s="32"/>
      <c r="L900" s="32"/>
      <c r="M900" s="6"/>
      <c r="N900" s="6"/>
      <c r="O900" s="6"/>
    </row>
    <row r="901" spans="2:15" x14ac:dyDescent="0.25">
      <c r="B901" s="32">
        <v>888</v>
      </c>
      <c r="C901" s="200"/>
      <c r="D901" s="200"/>
      <c r="E901" s="200"/>
      <c r="F901" s="200"/>
      <c r="G901" s="200"/>
      <c r="H901" s="200"/>
      <c r="I901" s="200"/>
      <c r="J901" s="1"/>
      <c r="K901" s="32"/>
      <c r="L901" s="32"/>
      <c r="M901" s="6"/>
      <c r="N901" s="6"/>
      <c r="O901" s="6"/>
    </row>
    <row r="902" spans="2:15" x14ac:dyDescent="0.25">
      <c r="B902" s="32">
        <v>889</v>
      </c>
      <c r="C902" s="200"/>
      <c r="D902" s="200"/>
      <c r="E902" s="200"/>
      <c r="F902" s="200"/>
      <c r="G902" s="200"/>
      <c r="H902" s="200"/>
      <c r="I902" s="200"/>
      <c r="J902" s="1"/>
      <c r="K902" s="32"/>
      <c r="L902" s="32"/>
      <c r="M902" s="6"/>
      <c r="N902" s="6"/>
      <c r="O902" s="6"/>
    </row>
    <row r="903" spans="2:15" x14ac:dyDescent="0.25">
      <c r="B903" s="32">
        <v>890</v>
      </c>
      <c r="C903" s="200"/>
      <c r="D903" s="200"/>
      <c r="E903" s="200"/>
      <c r="F903" s="200"/>
      <c r="G903" s="200"/>
      <c r="H903" s="200"/>
      <c r="I903" s="200"/>
      <c r="J903" s="1"/>
      <c r="K903" s="32"/>
      <c r="L903" s="32"/>
      <c r="M903" s="6"/>
      <c r="N903" s="6"/>
      <c r="O903" s="6"/>
    </row>
    <row r="904" spans="2:15" x14ac:dyDescent="0.25">
      <c r="B904" s="32">
        <v>891</v>
      </c>
      <c r="C904" s="200"/>
      <c r="D904" s="200"/>
      <c r="E904" s="200"/>
      <c r="F904" s="200"/>
      <c r="G904" s="200"/>
      <c r="H904" s="200"/>
      <c r="I904" s="200"/>
      <c r="J904" s="1"/>
      <c r="K904" s="32"/>
      <c r="L904" s="32"/>
      <c r="M904" s="6"/>
      <c r="N904" s="6"/>
      <c r="O904" s="6"/>
    </row>
    <row r="905" spans="2:15" x14ac:dyDescent="0.25">
      <c r="B905" s="32">
        <v>892</v>
      </c>
      <c r="C905" s="200"/>
      <c r="D905" s="200"/>
      <c r="E905" s="200"/>
      <c r="F905" s="200"/>
      <c r="G905" s="200"/>
      <c r="H905" s="200"/>
      <c r="I905" s="200"/>
      <c r="J905" s="1"/>
      <c r="K905" s="32"/>
      <c r="L905" s="32"/>
      <c r="M905" s="6"/>
      <c r="N905" s="6"/>
      <c r="O905" s="6"/>
    </row>
    <row r="906" spans="2:15" x14ac:dyDescent="0.25">
      <c r="B906" s="32">
        <v>893</v>
      </c>
      <c r="C906" s="200"/>
      <c r="D906" s="200"/>
      <c r="E906" s="200"/>
      <c r="F906" s="200"/>
      <c r="G906" s="200"/>
      <c r="H906" s="200"/>
      <c r="I906" s="200"/>
      <c r="J906" s="1"/>
      <c r="K906" s="32"/>
      <c r="L906" s="32"/>
      <c r="M906" s="6"/>
      <c r="N906" s="6"/>
      <c r="O906" s="6"/>
    </row>
    <row r="907" spans="2:15" x14ac:dyDescent="0.25">
      <c r="B907" s="32">
        <v>894</v>
      </c>
      <c r="C907" s="200"/>
      <c r="D907" s="200"/>
      <c r="E907" s="200"/>
      <c r="F907" s="200"/>
      <c r="G907" s="200"/>
      <c r="H907" s="200"/>
      <c r="I907" s="200"/>
      <c r="J907" s="1"/>
      <c r="K907" s="32"/>
      <c r="L907" s="32"/>
      <c r="M907" s="6"/>
      <c r="N907" s="6"/>
      <c r="O907" s="6"/>
    </row>
    <row r="908" spans="2:15" x14ac:dyDescent="0.25">
      <c r="B908" s="32">
        <v>895</v>
      </c>
      <c r="C908" s="200"/>
      <c r="D908" s="200"/>
      <c r="E908" s="200"/>
      <c r="F908" s="200"/>
      <c r="G908" s="200"/>
      <c r="H908" s="200"/>
      <c r="I908" s="200"/>
      <c r="J908" s="1"/>
      <c r="K908" s="32"/>
      <c r="L908" s="32"/>
      <c r="M908" s="6"/>
      <c r="N908" s="6"/>
      <c r="O908" s="6"/>
    </row>
    <row r="909" spans="2:15" x14ac:dyDescent="0.25">
      <c r="B909" s="32">
        <v>896</v>
      </c>
      <c r="C909" s="200"/>
      <c r="D909" s="200"/>
      <c r="E909" s="200"/>
      <c r="F909" s="200"/>
      <c r="G909" s="200"/>
      <c r="H909" s="200"/>
      <c r="I909" s="200"/>
      <c r="J909" s="1"/>
      <c r="K909" s="32"/>
      <c r="L909" s="32"/>
      <c r="M909" s="6"/>
      <c r="N909" s="6"/>
      <c r="O909" s="6"/>
    </row>
    <row r="910" spans="2:15" x14ac:dyDescent="0.25">
      <c r="B910" s="32">
        <v>897</v>
      </c>
      <c r="C910" s="200"/>
      <c r="D910" s="200"/>
      <c r="E910" s="200"/>
      <c r="F910" s="200"/>
      <c r="G910" s="200"/>
      <c r="H910" s="200"/>
      <c r="I910" s="200"/>
      <c r="J910" s="1"/>
      <c r="K910" s="32"/>
      <c r="L910" s="32"/>
      <c r="M910" s="6"/>
      <c r="N910" s="6"/>
      <c r="O910" s="6"/>
    </row>
    <row r="911" spans="2:15" x14ac:dyDescent="0.25">
      <c r="B911" s="32">
        <v>898</v>
      </c>
      <c r="C911" s="200"/>
      <c r="D911" s="200"/>
      <c r="E911" s="200"/>
      <c r="F911" s="200"/>
      <c r="G911" s="200"/>
      <c r="H911" s="200"/>
      <c r="I911" s="200"/>
      <c r="J911" s="1"/>
      <c r="K911" s="32"/>
      <c r="L911" s="32"/>
      <c r="M911" s="6"/>
      <c r="N911" s="6"/>
      <c r="O911" s="6"/>
    </row>
    <row r="912" spans="2:15" x14ac:dyDescent="0.25">
      <c r="B912" s="32">
        <v>899</v>
      </c>
      <c r="C912" s="200"/>
      <c r="D912" s="200"/>
      <c r="E912" s="200"/>
      <c r="F912" s="200"/>
      <c r="G912" s="200"/>
      <c r="H912" s="200"/>
      <c r="I912" s="200"/>
      <c r="J912" s="1"/>
      <c r="K912" s="32"/>
      <c r="L912" s="32"/>
      <c r="M912" s="6"/>
      <c r="N912" s="6"/>
      <c r="O912" s="6"/>
    </row>
    <row r="913" spans="2:15" x14ac:dyDescent="0.25">
      <c r="B913" s="32">
        <v>900</v>
      </c>
      <c r="C913" s="200"/>
      <c r="D913" s="200"/>
      <c r="E913" s="200"/>
      <c r="F913" s="200"/>
      <c r="G913" s="200"/>
      <c r="H913" s="200"/>
      <c r="I913" s="200"/>
      <c r="J913" s="1"/>
      <c r="K913" s="32"/>
      <c r="L913" s="32"/>
      <c r="M913" s="6"/>
      <c r="N913" s="6"/>
      <c r="O913" s="6"/>
    </row>
    <row r="914" spans="2:15" x14ac:dyDescent="0.25">
      <c r="B914" s="32">
        <v>901</v>
      </c>
      <c r="C914" s="200"/>
      <c r="D914" s="200"/>
      <c r="E914" s="200"/>
      <c r="F914" s="200"/>
      <c r="G914" s="200"/>
      <c r="H914" s="200"/>
      <c r="I914" s="200"/>
      <c r="J914" s="1"/>
      <c r="K914" s="32"/>
      <c r="L914" s="32"/>
      <c r="M914" s="6"/>
      <c r="N914" s="6"/>
      <c r="O914" s="6"/>
    </row>
    <row r="915" spans="2:15" x14ac:dyDescent="0.25">
      <c r="B915" s="32">
        <v>902</v>
      </c>
      <c r="C915" s="200"/>
      <c r="D915" s="200"/>
      <c r="E915" s="200"/>
      <c r="F915" s="200"/>
      <c r="G915" s="200"/>
      <c r="H915" s="200"/>
      <c r="I915" s="200"/>
      <c r="J915" s="1"/>
      <c r="K915" s="32"/>
      <c r="L915" s="32"/>
      <c r="M915" s="6"/>
      <c r="N915" s="6"/>
      <c r="O915" s="6"/>
    </row>
    <row r="916" spans="2:15" x14ac:dyDescent="0.25">
      <c r="B916" s="32">
        <v>903</v>
      </c>
      <c r="C916" s="200"/>
      <c r="D916" s="200"/>
      <c r="E916" s="200"/>
      <c r="F916" s="200"/>
      <c r="G916" s="200"/>
      <c r="H916" s="200"/>
      <c r="I916" s="200"/>
      <c r="J916" s="1"/>
      <c r="K916" s="32"/>
      <c r="L916" s="32"/>
      <c r="M916" s="6"/>
      <c r="N916" s="6"/>
      <c r="O916" s="6"/>
    </row>
    <row r="917" spans="2:15" x14ac:dyDescent="0.25">
      <c r="B917" s="32">
        <v>904</v>
      </c>
      <c r="C917" s="200"/>
      <c r="D917" s="200"/>
      <c r="E917" s="200"/>
      <c r="F917" s="200"/>
      <c r="G917" s="200"/>
      <c r="H917" s="200"/>
      <c r="I917" s="200"/>
      <c r="J917" s="1"/>
      <c r="K917" s="32"/>
      <c r="L917" s="32"/>
      <c r="M917" s="6"/>
      <c r="N917" s="6"/>
      <c r="O917" s="6"/>
    </row>
    <row r="918" spans="2:15" x14ac:dyDescent="0.25">
      <c r="B918" s="32">
        <v>905</v>
      </c>
      <c r="C918" s="200"/>
      <c r="D918" s="200"/>
      <c r="E918" s="200"/>
      <c r="F918" s="200"/>
      <c r="G918" s="200"/>
      <c r="H918" s="200"/>
      <c r="I918" s="200"/>
      <c r="J918" s="1"/>
      <c r="K918" s="32"/>
      <c r="L918" s="32"/>
      <c r="M918" s="6"/>
      <c r="N918" s="6"/>
      <c r="O918" s="6"/>
    </row>
    <row r="919" spans="2:15" x14ac:dyDescent="0.25">
      <c r="B919" s="32">
        <v>906</v>
      </c>
      <c r="C919" s="200"/>
      <c r="D919" s="200"/>
      <c r="E919" s="200"/>
      <c r="F919" s="200"/>
      <c r="G919" s="200"/>
      <c r="H919" s="200"/>
      <c r="I919" s="200"/>
      <c r="J919" s="1"/>
      <c r="K919" s="32"/>
      <c r="L919" s="32"/>
      <c r="M919" s="6"/>
      <c r="N919" s="6"/>
      <c r="O919" s="6"/>
    </row>
    <row r="920" spans="2:15" x14ac:dyDescent="0.25">
      <c r="B920" s="32">
        <v>907</v>
      </c>
      <c r="C920" s="200"/>
      <c r="D920" s="200"/>
      <c r="E920" s="200"/>
      <c r="F920" s="200"/>
      <c r="G920" s="200"/>
      <c r="H920" s="200"/>
      <c r="I920" s="200"/>
      <c r="J920" s="1"/>
      <c r="K920" s="32"/>
      <c r="L920" s="32"/>
      <c r="M920" s="6"/>
      <c r="N920" s="6"/>
      <c r="O920" s="6"/>
    </row>
    <row r="921" spans="2:15" x14ac:dyDescent="0.25">
      <c r="B921" s="32">
        <v>908</v>
      </c>
      <c r="C921" s="200"/>
      <c r="D921" s="200"/>
      <c r="E921" s="200"/>
      <c r="F921" s="200"/>
      <c r="G921" s="200"/>
      <c r="H921" s="200"/>
      <c r="I921" s="200"/>
      <c r="J921" s="1"/>
      <c r="K921" s="32"/>
      <c r="L921" s="32"/>
      <c r="M921" s="6"/>
      <c r="N921" s="6"/>
      <c r="O921" s="6"/>
    </row>
    <row r="922" spans="2:15" x14ac:dyDescent="0.25">
      <c r="B922" s="32">
        <v>909</v>
      </c>
      <c r="C922" s="200"/>
      <c r="D922" s="200"/>
      <c r="E922" s="200"/>
      <c r="F922" s="200"/>
      <c r="G922" s="200"/>
      <c r="H922" s="200"/>
      <c r="I922" s="200"/>
      <c r="J922" s="1"/>
      <c r="K922" s="32"/>
      <c r="L922" s="32"/>
      <c r="M922" s="6"/>
      <c r="N922" s="6"/>
      <c r="O922" s="6"/>
    </row>
    <row r="923" spans="2:15" x14ac:dyDescent="0.25">
      <c r="B923" s="32">
        <v>910</v>
      </c>
      <c r="C923" s="200"/>
      <c r="D923" s="200"/>
      <c r="E923" s="200"/>
      <c r="F923" s="200"/>
      <c r="G923" s="200"/>
      <c r="H923" s="200"/>
      <c r="I923" s="200"/>
      <c r="J923" s="1"/>
      <c r="K923" s="32"/>
      <c r="L923" s="32"/>
      <c r="M923" s="6"/>
      <c r="N923" s="6"/>
      <c r="O923" s="6"/>
    </row>
    <row r="924" spans="2:15" x14ac:dyDescent="0.25">
      <c r="B924" s="32">
        <v>911</v>
      </c>
      <c r="C924" s="200"/>
      <c r="D924" s="200"/>
      <c r="E924" s="200"/>
      <c r="F924" s="200"/>
      <c r="G924" s="200"/>
      <c r="H924" s="200"/>
      <c r="I924" s="200"/>
      <c r="J924" s="1"/>
      <c r="K924" s="32"/>
      <c r="L924" s="32"/>
      <c r="M924" s="6"/>
      <c r="N924" s="6"/>
      <c r="O924" s="6"/>
    </row>
    <row r="925" spans="2:15" x14ac:dyDescent="0.25">
      <c r="B925" s="32">
        <v>912</v>
      </c>
      <c r="C925" s="200"/>
      <c r="D925" s="200"/>
      <c r="E925" s="200"/>
      <c r="F925" s="200"/>
      <c r="G925" s="200"/>
      <c r="H925" s="200"/>
      <c r="I925" s="200"/>
      <c r="J925" s="1"/>
      <c r="K925" s="32"/>
      <c r="L925" s="32"/>
      <c r="M925" s="6"/>
      <c r="N925" s="6"/>
      <c r="O925" s="6"/>
    </row>
    <row r="926" spans="2:15" x14ac:dyDescent="0.25">
      <c r="B926" s="32">
        <v>913</v>
      </c>
      <c r="C926" s="200"/>
      <c r="D926" s="200"/>
      <c r="E926" s="200"/>
      <c r="F926" s="200"/>
      <c r="G926" s="200"/>
      <c r="H926" s="200"/>
      <c r="I926" s="200"/>
      <c r="J926" s="1"/>
      <c r="K926" s="32"/>
      <c r="L926" s="32"/>
      <c r="M926" s="6"/>
      <c r="N926" s="6"/>
      <c r="O926" s="6"/>
    </row>
    <row r="927" spans="2:15" x14ac:dyDescent="0.25">
      <c r="B927" s="32">
        <v>914</v>
      </c>
      <c r="C927" s="200"/>
      <c r="D927" s="200"/>
      <c r="E927" s="200"/>
      <c r="F927" s="200"/>
      <c r="G927" s="200"/>
      <c r="H927" s="200"/>
      <c r="I927" s="200"/>
      <c r="J927" s="1"/>
      <c r="K927" s="32"/>
      <c r="L927" s="32"/>
      <c r="M927" s="6"/>
      <c r="N927" s="6"/>
      <c r="O927" s="6"/>
    </row>
    <row r="928" spans="2:15" x14ac:dyDescent="0.25">
      <c r="B928" s="32">
        <v>915</v>
      </c>
      <c r="C928" s="200"/>
      <c r="D928" s="200"/>
      <c r="E928" s="200"/>
      <c r="F928" s="200"/>
      <c r="G928" s="200"/>
      <c r="H928" s="200"/>
      <c r="I928" s="200"/>
      <c r="J928" s="1"/>
      <c r="K928" s="32"/>
      <c r="L928" s="32"/>
      <c r="M928" s="6"/>
      <c r="N928" s="6"/>
      <c r="O928" s="6"/>
    </row>
    <row r="929" spans="2:15" x14ac:dyDescent="0.25">
      <c r="B929" s="32">
        <v>916</v>
      </c>
      <c r="C929" s="200"/>
      <c r="D929" s="200"/>
      <c r="E929" s="200"/>
      <c r="F929" s="200"/>
      <c r="G929" s="200"/>
      <c r="H929" s="200"/>
      <c r="I929" s="200"/>
      <c r="J929" s="1"/>
      <c r="K929" s="32"/>
      <c r="L929" s="32"/>
      <c r="M929" s="6"/>
      <c r="N929" s="6"/>
      <c r="O929" s="6"/>
    </row>
    <row r="930" spans="2:15" x14ac:dyDescent="0.25">
      <c r="B930" s="32">
        <v>917</v>
      </c>
      <c r="C930" s="200"/>
      <c r="D930" s="200"/>
      <c r="E930" s="200"/>
      <c r="F930" s="200"/>
      <c r="G930" s="200"/>
      <c r="H930" s="200"/>
      <c r="I930" s="200"/>
      <c r="J930" s="1"/>
      <c r="K930" s="32"/>
      <c r="L930" s="32"/>
      <c r="M930" s="6"/>
      <c r="N930" s="6"/>
      <c r="O930" s="6"/>
    </row>
    <row r="931" spans="2:15" x14ac:dyDescent="0.25">
      <c r="B931" s="32">
        <v>918</v>
      </c>
      <c r="C931" s="200"/>
      <c r="D931" s="200"/>
      <c r="E931" s="200"/>
      <c r="F931" s="200"/>
      <c r="G931" s="200"/>
      <c r="H931" s="200"/>
      <c r="I931" s="200"/>
      <c r="J931" s="1"/>
      <c r="K931" s="32"/>
      <c r="L931" s="32"/>
      <c r="M931" s="6"/>
      <c r="N931" s="6"/>
      <c r="O931" s="6"/>
    </row>
    <row r="932" spans="2:15" x14ac:dyDescent="0.25">
      <c r="B932" s="32">
        <v>919</v>
      </c>
      <c r="C932" s="200"/>
      <c r="D932" s="200"/>
      <c r="E932" s="200"/>
      <c r="F932" s="200"/>
      <c r="G932" s="200"/>
      <c r="H932" s="200"/>
      <c r="I932" s="200"/>
      <c r="J932" s="1"/>
      <c r="K932" s="32"/>
      <c r="L932" s="32"/>
      <c r="M932" s="6"/>
      <c r="N932" s="6"/>
      <c r="O932" s="6"/>
    </row>
    <row r="933" spans="2:15" x14ac:dyDescent="0.25">
      <c r="B933" s="32">
        <v>920</v>
      </c>
      <c r="C933" s="200"/>
      <c r="D933" s="200"/>
      <c r="E933" s="200"/>
      <c r="F933" s="200"/>
      <c r="G933" s="200"/>
      <c r="H933" s="200"/>
      <c r="I933" s="200"/>
      <c r="J933" s="1"/>
      <c r="K933" s="32"/>
      <c r="L933" s="32"/>
      <c r="M933" s="6"/>
      <c r="N933" s="6"/>
      <c r="O933" s="6"/>
    </row>
    <row r="934" spans="2:15" x14ac:dyDescent="0.25">
      <c r="B934" s="32">
        <v>921</v>
      </c>
      <c r="C934" s="200"/>
      <c r="D934" s="200"/>
      <c r="E934" s="200"/>
      <c r="F934" s="200"/>
      <c r="G934" s="200"/>
      <c r="H934" s="200"/>
      <c r="I934" s="200"/>
      <c r="J934" s="1"/>
      <c r="K934" s="32"/>
      <c r="L934" s="32"/>
      <c r="M934" s="6"/>
      <c r="N934" s="6"/>
      <c r="O934" s="6"/>
    </row>
    <row r="935" spans="2:15" x14ac:dyDescent="0.25">
      <c r="B935" s="32">
        <v>922</v>
      </c>
      <c r="C935" s="200"/>
      <c r="D935" s="200"/>
      <c r="E935" s="200"/>
      <c r="F935" s="200"/>
      <c r="G935" s="200"/>
      <c r="H935" s="200"/>
      <c r="I935" s="200"/>
      <c r="J935" s="1"/>
      <c r="K935" s="32"/>
      <c r="L935" s="32"/>
      <c r="M935" s="6"/>
      <c r="N935" s="6"/>
      <c r="O935" s="6"/>
    </row>
    <row r="936" spans="2:15" x14ac:dyDescent="0.25">
      <c r="B936" s="32">
        <v>923</v>
      </c>
      <c r="C936" s="200"/>
      <c r="D936" s="200"/>
      <c r="E936" s="200"/>
      <c r="F936" s="200"/>
      <c r="G936" s="200"/>
      <c r="H936" s="200"/>
      <c r="I936" s="200"/>
      <c r="J936" s="1"/>
      <c r="K936" s="32"/>
      <c r="L936" s="32"/>
      <c r="M936" s="6"/>
      <c r="N936" s="6"/>
      <c r="O936" s="6"/>
    </row>
    <row r="937" spans="2:15" x14ac:dyDescent="0.25">
      <c r="B937" s="32">
        <v>924</v>
      </c>
      <c r="C937" s="200"/>
      <c r="D937" s="200"/>
      <c r="E937" s="200"/>
      <c r="F937" s="200"/>
      <c r="G937" s="200"/>
      <c r="H937" s="200"/>
      <c r="I937" s="200"/>
      <c r="J937" s="1"/>
      <c r="K937" s="32"/>
      <c r="L937" s="32"/>
      <c r="M937" s="6"/>
      <c r="N937" s="6"/>
      <c r="O937" s="6"/>
    </row>
    <row r="938" spans="2:15" x14ac:dyDescent="0.25">
      <c r="B938" s="32">
        <v>925</v>
      </c>
      <c r="C938" s="200"/>
      <c r="D938" s="200"/>
      <c r="E938" s="200"/>
      <c r="F938" s="200"/>
      <c r="G938" s="200"/>
      <c r="H938" s="200"/>
      <c r="I938" s="200"/>
      <c r="J938" s="1"/>
      <c r="K938" s="32"/>
      <c r="L938" s="32"/>
      <c r="M938" s="6"/>
      <c r="N938" s="6"/>
      <c r="O938" s="6"/>
    </row>
    <row r="939" spans="2:15" x14ac:dyDescent="0.25">
      <c r="B939" s="32">
        <v>926</v>
      </c>
      <c r="C939" s="200"/>
      <c r="D939" s="200"/>
      <c r="E939" s="200"/>
      <c r="F939" s="200"/>
      <c r="G939" s="200"/>
      <c r="H939" s="200"/>
      <c r="I939" s="200"/>
      <c r="J939" s="1"/>
      <c r="K939" s="32"/>
      <c r="L939" s="32"/>
      <c r="M939" s="6"/>
      <c r="N939" s="6"/>
      <c r="O939" s="6"/>
    </row>
    <row r="940" spans="2:15" x14ac:dyDescent="0.25">
      <c r="B940" s="32">
        <v>927</v>
      </c>
      <c r="C940" s="200"/>
      <c r="D940" s="200"/>
      <c r="E940" s="200"/>
      <c r="F940" s="200"/>
      <c r="G940" s="200"/>
      <c r="H940" s="200"/>
      <c r="I940" s="200"/>
      <c r="J940" s="1"/>
      <c r="K940" s="32"/>
      <c r="L940" s="32"/>
      <c r="M940" s="6"/>
      <c r="N940" s="6"/>
      <c r="O940" s="6"/>
    </row>
    <row r="941" spans="2:15" x14ac:dyDescent="0.25">
      <c r="B941" s="32">
        <v>928</v>
      </c>
      <c r="C941" s="200"/>
      <c r="D941" s="200"/>
      <c r="E941" s="200"/>
      <c r="F941" s="200"/>
      <c r="G941" s="200"/>
      <c r="H941" s="200"/>
      <c r="I941" s="200"/>
      <c r="J941" s="1"/>
      <c r="K941" s="32"/>
      <c r="L941" s="32"/>
      <c r="M941" s="6"/>
      <c r="N941" s="6"/>
      <c r="O941" s="6"/>
    </row>
    <row r="942" spans="2:15" x14ac:dyDescent="0.25">
      <c r="B942" s="32">
        <v>929</v>
      </c>
      <c r="C942" s="200"/>
      <c r="D942" s="200"/>
      <c r="E942" s="200"/>
      <c r="F942" s="200"/>
      <c r="G942" s="200"/>
      <c r="H942" s="200"/>
      <c r="I942" s="200"/>
      <c r="J942" s="1"/>
      <c r="K942" s="32"/>
      <c r="L942" s="32"/>
      <c r="M942" s="6"/>
      <c r="N942" s="6"/>
      <c r="O942" s="6"/>
    </row>
    <row r="943" spans="2:15" x14ac:dyDescent="0.25">
      <c r="B943" s="32">
        <v>930</v>
      </c>
      <c r="C943" s="200"/>
      <c r="D943" s="200"/>
      <c r="E943" s="200"/>
      <c r="F943" s="200"/>
      <c r="G943" s="200"/>
      <c r="H943" s="200"/>
      <c r="I943" s="200"/>
      <c r="J943" s="1"/>
      <c r="K943" s="32"/>
      <c r="L943" s="32"/>
      <c r="M943" s="6"/>
      <c r="N943" s="6"/>
      <c r="O943" s="6"/>
    </row>
    <row r="944" spans="2:15" x14ac:dyDescent="0.25">
      <c r="B944" s="32">
        <v>931</v>
      </c>
      <c r="C944" s="200"/>
      <c r="D944" s="200"/>
      <c r="E944" s="200"/>
      <c r="F944" s="200"/>
      <c r="G944" s="200"/>
      <c r="H944" s="200"/>
      <c r="I944" s="200"/>
      <c r="J944" s="1"/>
      <c r="K944" s="32"/>
      <c r="L944" s="32"/>
      <c r="M944" s="6"/>
      <c r="N944" s="6"/>
      <c r="O944" s="6"/>
    </row>
    <row r="945" spans="2:15" x14ac:dyDescent="0.25">
      <c r="B945" s="32">
        <v>932</v>
      </c>
      <c r="C945" s="200"/>
      <c r="D945" s="200"/>
      <c r="E945" s="200"/>
      <c r="F945" s="200"/>
      <c r="G945" s="200"/>
      <c r="H945" s="200"/>
      <c r="I945" s="200"/>
      <c r="J945" s="1"/>
      <c r="K945" s="32"/>
      <c r="L945" s="32"/>
      <c r="M945" s="6"/>
      <c r="N945" s="6"/>
      <c r="O945" s="6"/>
    </row>
    <row r="946" spans="2:15" x14ac:dyDescent="0.25">
      <c r="B946" s="32">
        <v>933</v>
      </c>
      <c r="C946" s="200"/>
      <c r="D946" s="200"/>
      <c r="E946" s="200"/>
      <c r="F946" s="200"/>
      <c r="G946" s="200"/>
      <c r="H946" s="200"/>
      <c r="I946" s="200"/>
      <c r="J946" s="1"/>
      <c r="K946" s="32"/>
      <c r="L946" s="32"/>
      <c r="M946" s="6"/>
      <c r="N946" s="6"/>
      <c r="O946" s="6"/>
    </row>
    <row r="947" spans="2:15" x14ac:dyDescent="0.25">
      <c r="B947" s="32">
        <v>934</v>
      </c>
      <c r="C947" s="200"/>
      <c r="D947" s="200"/>
      <c r="E947" s="200"/>
      <c r="F947" s="200"/>
      <c r="G947" s="200"/>
      <c r="H947" s="200"/>
      <c r="I947" s="200"/>
      <c r="J947" s="1"/>
      <c r="K947" s="32"/>
      <c r="L947" s="32"/>
      <c r="M947" s="6"/>
      <c r="N947" s="6"/>
      <c r="O947" s="6"/>
    </row>
    <row r="948" spans="2:15" x14ac:dyDescent="0.25">
      <c r="B948" s="32">
        <v>935</v>
      </c>
      <c r="C948" s="200"/>
      <c r="D948" s="200"/>
      <c r="E948" s="200"/>
      <c r="F948" s="200"/>
      <c r="G948" s="200"/>
      <c r="H948" s="200"/>
      <c r="I948" s="200"/>
      <c r="J948" s="1"/>
      <c r="K948" s="32"/>
      <c r="L948" s="32"/>
      <c r="M948" s="6"/>
      <c r="N948" s="6"/>
      <c r="O948" s="6"/>
    </row>
    <row r="949" spans="2:15" x14ac:dyDescent="0.25">
      <c r="B949" s="32">
        <v>936</v>
      </c>
      <c r="C949" s="200"/>
      <c r="D949" s="200"/>
      <c r="E949" s="200"/>
      <c r="F949" s="200"/>
      <c r="G949" s="200"/>
      <c r="H949" s="200"/>
      <c r="I949" s="200"/>
      <c r="J949" s="1"/>
      <c r="K949" s="32"/>
      <c r="L949" s="32"/>
      <c r="M949" s="6"/>
      <c r="N949" s="6"/>
      <c r="O949" s="6"/>
    </row>
    <row r="950" spans="2:15" x14ac:dyDescent="0.25">
      <c r="B950" s="32">
        <v>937</v>
      </c>
      <c r="C950" s="200"/>
      <c r="D950" s="200"/>
      <c r="E950" s="200"/>
      <c r="F950" s="200"/>
      <c r="G950" s="200"/>
      <c r="H950" s="200"/>
      <c r="I950" s="200"/>
      <c r="J950" s="1"/>
      <c r="K950" s="32"/>
      <c r="L950" s="32"/>
      <c r="M950" s="6"/>
      <c r="N950" s="6"/>
      <c r="O950" s="6"/>
    </row>
    <row r="951" spans="2:15" x14ac:dyDescent="0.25">
      <c r="B951" s="32">
        <v>938</v>
      </c>
      <c r="C951" s="200"/>
      <c r="D951" s="200"/>
      <c r="E951" s="200"/>
      <c r="F951" s="200"/>
      <c r="G951" s="200"/>
      <c r="H951" s="200"/>
      <c r="I951" s="200"/>
      <c r="J951" s="1"/>
      <c r="K951" s="32"/>
      <c r="L951" s="32"/>
      <c r="M951" s="6"/>
      <c r="N951" s="6"/>
      <c r="O951" s="6"/>
    </row>
    <row r="952" spans="2:15" x14ac:dyDescent="0.25">
      <c r="B952" s="32">
        <v>939</v>
      </c>
      <c r="C952" s="200"/>
      <c r="D952" s="200"/>
      <c r="E952" s="200"/>
      <c r="F952" s="200"/>
      <c r="G952" s="200"/>
      <c r="H952" s="200"/>
      <c r="I952" s="200"/>
      <c r="J952" s="1"/>
      <c r="K952" s="32"/>
      <c r="L952" s="32"/>
      <c r="M952" s="6"/>
      <c r="N952" s="6"/>
      <c r="O952" s="6"/>
    </row>
    <row r="953" spans="2:15" x14ac:dyDescent="0.25">
      <c r="B953" s="32">
        <v>940</v>
      </c>
      <c r="C953" s="200"/>
      <c r="D953" s="200"/>
      <c r="E953" s="200"/>
      <c r="F953" s="200"/>
      <c r="G953" s="200"/>
      <c r="H953" s="200"/>
      <c r="I953" s="200"/>
      <c r="J953" s="1"/>
      <c r="K953" s="32"/>
      <c r="L953" s="32"/>
      <c r="M953" s="6"/>
      <c r="N953" s="6"/>
      <c r="O953" s="6"/>
    </row>
    <row r="954" spans="2:15" x14ac:dyDescent="0.25">
      <c r="B954" s="32">
        <v>941</v>
      </c>
      <c r="C954" s="200"/>
      <c r="D954" s="200"/>
      <c r="E954" s="200"/>
      <c r="F954" s="200"/>
      <c r="G954" s="200"/>
      <c r="H954" s="200"/>
      <c r="I954" s="200"/>
      <c r="J954" s="1"/>
      <c r="K954" s="32"/>
      <c r="L954" s="32"/>
      <c r="M954" s="6"/>
      <c r="N954" s="6"/>
      <c r="O954" s="6"/>
    </row>
    <row r="955" spans="2:15" x14ac:dyDescent="0.25">
      <c r="B955" s="32">
        <v>942</v>
      </c>
      <c r="C955" s="200"/>
      <c r="D955" s="200"/>
      <c r="E955" s="200"/>
      <c r="F955" s="200"/>
      <c r="G955" s="200"/>
      <c r="H955" s="200"/>
      <c r="I955" s="200"/>
      <c r="J955" s="1"/>
      <c r="K955" s="32"/>
      <c r="L955" s="32"/>
      <c r="M955" s="6"/>
      <c r="N955" s="6"/>
      <c r="O955" s="6"/>
    </row>
    <row r="956" spans="2:15" x14ac:dyDescent="0.25">
      <c r="B956" s="32">
        <v>943</v>
      </c>
      <c r="C956" s="200"/>
      <c r="D956" s="200"/>
      <c r="E956" s="200"/>
      <c r="F956" s="200"/>
      <c r="G956" s="200"/>
      <c r="H956" s="200"/>
      <c r="I956" s="200"/>
      <c r="J956" s="1"/>
      <c r="K956" s="32"/>
      <c r="L956" s="32"/>
      <c r="M956" s="6"/>
      <c r="N956" s="6"/>
      <c r="O956" s="6"/>
    </row>
    <row r="957" spans="2:15" x14ac:dyDescent="0.25">
      <c r="B957" s="32">
        <v>944</v>
      </c>
      <c r="C957" s="200"/>
      <c r="D957" s="200"/>
      <c r="E957" s="200"/>
      <c r="F957" s="200"/>
      <c r="G957" s="200"/>
      <c r="H957" s="200"/>
      <c r="I957" s="200"/>
      <c r="J957" s="1"/>
      <c r="K957" s="32"/>
      <c r="L957" s="32"/>
      <c r="M957" s="6"/>
      <c r="N957" s="6"/>
      <c r="O957" s="6"/>
    </row>
    <row r="958" spans="2:15" x14ac:dyDescent="0.25">
      <c r="B958" s="32">
        <v>945</v>
      </c>
      <c r="C958" s="200"/>
      <c r="D958" s="200"/>
      <c r="E958" s="200"/>
      <c r="F958" s="200"/>
      <c r="G958" s="200"/>
      <c r="H958" s="200"/>
      <c r="I958" s="200"/>
      <c r="J958" s="1"/>
      <c r="K958" s="32"/>
      <c r="L958" s="32"/>
      <c r="M958" s="6"/>
      <c r="N958" s="6"/>
      <c r="O958" s="6"/>
    </row>
    <row r="959" spans="2:15" x14ac:dyDescent="0.25">
      <c r="B959" s="32">
        <v>946</v>
      </c>
      <c r="C959" s="200"/>
      <c r="D959" s="200"/>
      <c r="E959" s="200"/>
      <c r="F959" s="200"/>
      <c r="G959" s="200"/>
      <c r="H959" s="200"/>
      <c r="I959" s="200"/>
      <c r="J959" s="1"/>
      <c r="K959" s="32"/>
      <c r="L959" s="32"/>
      <c r="M959" s="6"/>
      <c r="N959" s="6"/>
      <c r="O959" s="6"/>
    </row>
    <row r="960" spans="2:15" x14ac:dyDescent="0.25">
      <c r="B960" s="32">
        <v>947</v>
      </c>
      <c r="C960" s="200"/>
      <c r="D960" s="200"/>
      <c r="E960" s="200"/>
      <c r="F960" s="200"/>
      <c r="G960" s="200"/>
      <c r="H960" s="200"/>
      <c r="I960" s="200"/>
      <c r="J960" s="1"/>
      <c r="K960" s="32"/>
      <c r="L960" s="32"/>
      <c r="M960" s="6"/>
      <c r="N960" s="6"/>
      <c r="O960" s="6"/>
    </row>
    <row r="961" spans="2:15" x14ac:dyDescent="0.25">
      <c r="B961" s="32">
        <v>948</v>
      </c>
      <c r="C961" s="200"/>
      <c r="D961" s="200"/>
      <c r="E961" s="200"/>
      <c r="F961" s="200"/>
      <c r="G961" s="200"/>
      <c r="H961" s="200"/>
      <c r="I961" s="200"/>
      <c r="J961" s="1"/>
      <c r="K961" s="32"/>
      <c r="L961" s="32"/>
      <c r="M961" s="6"/>
      <c r="N961" s="6"/>
      <c r="O961" s="6"/>
    </row>
    <row r="962" spans="2:15" x14ac:dyDescent="0.25">
      <c r="B962" s="32">
        <v>949</v>
      </c>
      <c r="C962" s="200"/>
      <c r="D962" s="200"/>
      <c r="E962" s="200"/>
      <c r="F962" s="200"/>
      <c r="G962" s="200"/>
      <c r="H962" s="200"/>
      <c r="I962" s="200"/>
      <c r="J962" s="1"/>
      <c r="K962" s="32"/>
      <c r="L962" s="32"/>
      <c r="M962" s="6"/>
      <c r="N962" s="6"/>
      <c r="O962" s="6"/>
    </row>
    <row r="963" spans="2:15" x14ac:dyDescent="0.25">
      <c r="B963" s="32">
        <v>950</v>
      </c>
      <c r="C963" s="200"/>
      <c r="D963" s="200"/>
      <c r="E963" s="200"/>
      <c r="F963" s="200"/>
      <c r="G963" s="200"/>
      <c r="H963" s="200"/>
      <c r="I963" s="200"/>
      <c r="J963" s="1"/>
      <c r="K963" s="32"/>
      <c r="L963" s="32"/>
      <c r="M963" s="6"/>
      <c r="N963" s="6"/>
      <c r="O963" s="6"/>
    </row>
    <row r="964" spans="2:15" x14ac:dyDescent="0.25">
      <c r="B964" s="32">
        <v>951</v>
      </c>
      <c r="C964" s="200"/>
      <c r="D964" s="200"/>
      <c r="E964" s="200"/>
      <c r="F964" s="200"/>
      <c r="G964" s="200"/>
      <c r="H964" s="200"/>
      <c r="I964" s="200"/>
      <c r="J964" s="1"/>
      <c r="K964" s="32"/>
      <c r="L964" s="32"/>
      <c r="M964" s="6"/>
      <c r="N964" s="6"/>
      <c r="O964" s="6"/>
    </row>
    <row r="965" spans="2:15" x14ac:dyDescent="0.25">
      <c r="B965" s="32">
        <v>952</v>
      </c>
      <c r="C965" s="200"/>
      <c r="D965" s="200"/>
      <c r="E965" s="200"/>
      <c r="F965" s="200"/>
      <c r="G965" s="200"/>
      <c r="H965" s="200"/>
      <c r="I965" s="200"/>
      <c r="J965" s="1"/>
      <c r="K965" s="32"/>
      <c r="L965" s="32"/>
      <c r="M965" s="6"/>
      <c r="N965" s="6"/>
      <c r="O965" s="6"/>
    </row>
    <row r="966" spans="2:15" x14ac:dyDescent="0.25">
      <c r="B966" s="32">
        <v>953</v>
      </c>
      <c r="C966" s="200"/>
      <c r="D966" s="200"/>
      <c r="E966" s="200"/>
      <c r="F966" s="200"/>
      <c r="G966" s="200"/>
      <c r="H966" s="200"/>
      <c r="I966" s="200"/>
      <c r="J966" s="1"/>
      <c r="K966" s="32"/>
      <c r="L966" s="32"/>
      <c r="M966" s="6"/>
      <c r="N966" s="6"/>
      <c r="O966" s="6"/>
    </row>
    <row r="967" spans="2:15" x14ac:dyDescent="0.25">
      <c r="B967" s="32">
        <v>954</v>
      </c>
      <c r="C967" s="200"/>
      <c r="D967" s="200"/>
      <c r="E967" s="200"/>
      <c r="F967" s="200"/>
      <c r="G967" s="200"/>
      <c r="H967" s="200"/>
      <c r="I967" s="200"/>
      <c r="J967" s="1"/>
      <c r="K967" s="32"/>
      <c r="L967" s="32"/>
      <c r="M967" s="6"/>
      <c r="N967" s="6"/>
      <c r="O967" s="6"/>
    </row>
    <row r="968" spans="2:15" x14ac:dyDescent="0.25">
      <c r="B968" s="32">
        <v>955</v>
      </c>
      <c r="C968" s="200"/>
      <c r="D968" s="200"/>
      <c r="E968" s="200"/>
      <c r="F968" s="200"/>
      <c r="G968" s="200"/>
      <c r="H968" s="200"/>
      <c r="I968" s="200"/>
      <c r="J968" s="1"/>
      <c r="K968" s="32"/>
      <c r="L968" s="32"/>
      <c r="M968" s="6"/>
      <c r="N968" s="6"/>
      <c r="O968" s="6"/>
    </row>
    <row r="969" spans="2:15" x14ac:dyDescent="0.25">
      <c r="B969" s="32">
        <v>956</v>
      </c>
      <c r="C969" s="200"/>
      <c r="D969" s="200"/>
      <c r="E969" s="200"/>
      <c r="F969" s="200"/>
      <c r="G969" s="200"/>
      <c r="H969" s="200"/>
      <c r="I969" s="200"/>
      <c r="J969" s="1"/>
      <c r="K969" s="32"/>
      <c r="L969" s="32"/>
      <c r="M969" s="6"/>
      <c r="N969" s="6"/>
      <c r="O969" s="6"/>
    </row>
    <row r="970" spans="2:15" x14ac:dyDescent="0.25">
      <c r="B970" s="32">
        <v>957</v>
      </c>
      <c r="C970" s="200"/>
      <c r="D970" s="200"/>
      <c r="E970" s="200"/>
      <c r="F970" s="200"/>
      <c r="G970" s="200"/>
      <c r="H970" s="200"/>
      <c r="I970" s="200"/>
      <c r="J970" s="1"/>
      <c r="K970" s="32"/>
      <c r="L970" s="32"/>
      <c r="M970" s="6"/>
      <c r="N970" s="6"/>
      <c r="O970" s="6"/>
    </row>
    <row r="971" spans="2:15" x14ac:dyDescent="0.25">
      <c r="B971" s="32">
        <v>958</v>
      </c>
      <c r="C971" s="200"/>
      <c r="D971" s="200"/>
      <c r="E971" s="200"/>
      <c r="F971" s="200"/>
      <c r="G971" s="200"/>
      <c r="H971" s="200"/>
      <c r="I971" s="200"/>
      <c r="J971" s="1"/>
      <c r="K971" s="32"/>
      <c r="L971" s="32"/>
      <c r="M971" s="6"/>
      <c r="N971" s="6"/>
      <c r="O971" s="6"/>
    </row>
    <row r="972" spans="2:15" x14ac:dyDescent="0.25">
      <c r="B972" s="32">
        <v>959</v>
      </c>
      <c r="C972" s="200"/>
      <c r="D972" s="200"/>
      <c r="E972" s="200"/>
      <c r="F972" s="200"/>
      <c r="G972" s="200"/>
      <c r="H972" s="200"/>
      <c r="I972" s="200"/>
      <c r="J972" s="1"/>
      <c r="K972" s="32"/>
      <c r="L972" s="32"/>
      <c r="M972" s="6"/>
      <c r="N972" s="6"/>
      <c r="O972" s="6"/>
    </row>
    <row r="973" spans="2:15" x14ac:dyDescent="0.25">
      <c r="B973" s="32">
        <v>960</v>
      </c>
      <c r="C973" s="200"/>
      <c r="D973" s="200"/>
      <c r="E973" s="200"/>
      <c r="F973" s="200"/>
      <c r="G973" s="200"/>
      <c r="H973" s="200"/>
      <c r="I973" s="200"/>
      <c r="J973" s="1"/>
      <c r="K973" s="32"/>
      <c r="L973" s="32"/>
      <c r="M973" s="6"/>
      <c r="N973" s="6"/>
      <c r="O973" s="6"/>
    </row>
    <row r="974" spans="2:15" x14ac:dyDescent="0.25">
      <c r="B974" s="32">
        <v>961</v>
      </c>
      <c r="C974" s="200"/>
      <c r="D974" s="200"/>
      <c r="E974" s="200"/>
      <c r="F974" s="200"/>
      <c r="G974" s="200"/>
      <c r="H974" s="200"/>
      <c r="I974" s="200"/>
      <c r="J974" s="1"/>
      <c r="K974" s="32"/>
      <c r="L974" s="32"/>
      <c r="M974" s="6"/>
      <c r="N974" s="6"/>
      <c r="O974" s="6"/>
    </row>
    <row r="975" spans="2:15" x14ac:dyDescent="0.25">
      <c r="B975" s="32">
        <v>962</v>
      </c>
      <c r="C975" s="200"/>
      <c r="D975" s="200"/>
      <c r="E975" s="200"/>
      <c r="F975" s="200"/>
      <c r="G975" s="200"/>
      <c r="H975" s="200"/>
      <c r="I975" s="200"/>
      <c r="J975" s="1"/>
      <c r="K975" s="32"/>
      <c r="L975" s="32"/>
      <c r="M975" s="6"/>
      <c r="N975" s="6"/>
      <c r="O975" s="6"/>
    </row>
    <row r="976" spans="2:15" x14ac:dyDescent="0.25">
      <c r="B976" s="32">
        <v>963</v>
      </c>
      <c r="C976" s="200"/>
      <c r="D976" s="200"/>
      <c r="E976" s="200"/>
      <c r="F976" s="200"/>
      <c r="G976" s="200"/>
      <c r="H976" s="200"/>
      <c r="I976" s="200"/>
      <c r="J976" s="1"/>
      <c r="K976" s="32"/>
      <c r="L976" s="32"/>
      <c r="M976" s="6"/>
      <c r="N976" s="6"/>
      <c r="O976" s="6"/>
    </row>
    <row r="977" spans="2:15" x14ac:dyDescent="0.25">
      <c r="B977" s="32">
        <v>964</v>
      </c>
      <c r="C977" s="200"/>
      <c r="D977" s="200"/>
      <c r="E977" s="200"/>
      <c r="F977" s="200"/>
      <c r="G977" s="200"/>
      <c r="H977" s="200"/>
      <c r="I977" s="200"/>
      <c r="J977" s="1"/>
      <c r="K977" s="32"/>
      <c r="L977" s="32"/>
      <c r="M977" s="6"/>
      <c r="N977" s="6"/>
      <c r="O977" s="6"/>
    </row>
    <row r="978" spans="2:15" x14ac:dyDescent="0.25">
      <c r="B978" s="32">
        <v>965</v>
      </c>
      <c r="C978" s="200"/>
      <c r="D978" s="200"/>
      <c r="E978" s="200"/>
      <c r="F978" s="200"/>
      <c r="G978" s="200"/>
      <c r="H978" s="200"/>
      <c r="I978" s="200"/>
      <c r="J978" s="1"/>
      <c r="K978" s="32"/>
      <c r="L978" s="32"/>
      <c r="M978" s="6"/>
      <c r="N978" s="6"/>
      <c r="O978" s="6"/>
    </row>
    <row r="979" spans="2:15" x14ac:dyDescent="0.25">
      <c r="B979" s="32">
        <v>966</v>
      </c>
      <c r="C979" s="200"/>
      <c r="D979" s="200"/>
      <c r="E979" s="200"/>
      <c r="F979" s="200"/>
      <c r="G979" s="200"/>
      <c r="H979" s="200"/>
      <c r="I979" s="200"/>
      <c r="J979" s="1"/>
      <c r="K979" s="32"/>
      <c r="L979" s="32"/>
      <c r="M979" s="6"/>
      <c r="N979" s="6"/>
      <c r="O979" s="6"/>
    </row>
    <row r="980" spans="2:15" x14ac:dyDescent="0.25">
      <c r="B980" s="32">
        <v>967</v>
      </c>
      <c r="C980" s="200"/>
      <c r="D980" s="200"/>
      <c r="E980" s="200"/>
      <c r="F980" s="200"/>
      <c r="G980" s="200"/>
      <c r="H980" s="200"/>
      <c r="I980" s="200"/>
      <c r="J980" s="1"/>
      <c r="K980" s="32"/>
      <c r="L980" s="32"/>
      <c r="M980" s="6"/>
      <c r="N980" s="6"/>
      <c r="O980" s="6"/>
    </row>
    <row r="981" spans="2:15" x14ac:dyDescent="0.25">
      <c r="B981" s="32">
        <v>968</v>
      </c>
      <c r="C981" s="200"/>
      <c r="D981" s="200"/>
      <c r="E981" s="200"/>
      <c r="F981" s="200"/>
      <c r="G981" s="200"/>
      <c r="H981" s="200"/>
      <c r="I981" s="200"/>
      <c r="J981" s="1"/>
      <c r="K981" s="32"/>
      <c r="L981" s="32"/>
      <c r="M981" s="6"/>
      <c r="N981" s="6"/>
      <c r="O981" s="6"/>
    </row>
    <row r="982" spans="2:15" x14ac:dyDescent="0.25">
      <c r="B982" s="32">
        <v>969</v>
      </c>
      <c r="C982" s="200"/>
      <c r="D982" s="200"/>
      <c r="E982" s="200"/>
      <c r="F982" s="200"/>
      <c r="G982" s="200"/>
      <c r="H982" s="200"/>
      <c r="I982" s="200"/>
      <c r="J982" s="1"/>
      <c r="K982" s="32"/>
      <c r="L982" s="32"/>
      <c r="M982" s="6"/>
      <c r="N982" s="6"/>
      <c r="O982" s="6"/>
    </row>
    <row r="983" spans="2:15" x14ac:dyDescent="0.25">
      <c r="B983" s="32">
        <v>970</v>
      </c>
      <c r="C983" s="200"/>
      <c r="D983" s="200"/>
      <c r="E983" s="200"/>
      <c r="F983" s="200"/>
      <c r="G983" s="200"/>
      <c r="H983" s="200"/>
      <c r="I983" s="200"/>
      <c r="J983" s="1"/>
      <c r="K983" s="32"/>
      <c r="L983" s="32"/>
      <c r="M983" s="6"/>
      <c r="N983" s="6"/>
      <c r="O983" s="6"/>
    </row>
    <row r="984" spans="2:15" x14ac:dyDescent="0.25">
      <c r="B984" s="32">
        <v>971</v>
      </c>
      <c r="C984" s="200"/>
      <c r="D984" s="200"/>
      <c r="E984" s="200"/>
      <c r="F984" s="200"/>
      <c r="G984" s="200"/>
      <c r="H984" s="200"/>
      <c r="I984" s="200"/>
      <c r="J984" s="1"/>
      <c r="K984" s="32"/>
      <c r="L984" s="32"/>
      <c r="M984" s="6"/>
      <c r="N984" s="6"/>
      <c r="O984" s="6"/>
    </row>
    <row r="985" spans="2:15" x14ac:dyDescent="0.25">
      <c r="B985" s="32">
        <v>972</v>
      </c>
      <c r="C985" s="200"/>
      <c r="D985" s="200"/>
      <c r="E985" s="200"/>
      <c r="F985" s="200"/>
      <c r="G985" s="200"/>
      <c r="H985" s="200"/>
      <c r="I985" s="200"/>
      <c r="J985" s="1"/>
      <c r="K985" s="32"/>
      <c r="L985" s="32"/>
      <c r="M985" s="6"/>
      <c r="N985" s="6"/>
      <c r="O985" s="6"/>
    </row>
    <row r="986" spans="2:15" x14ac:dyDescent="0.25">
      <c r="B986" s="32">
        <v>973</v>
      </c>
      <c r="C986" s="200"/>
      <c r="D986" s="200"/>
      <c r="E986" s="200"/>
      <c r="F986" s="200"/>
      <c r="G986" s="200"/>
      <c r="H986" s="200"/>
      <c r="I986" s="200"/>
      <c r="J986" s="1"/>
      <c r="K986" s="32"/>
      <c r="L986" s="32"/>
      <c r="M986" s="6"/>
      <c r="N986" s="6"/>
      <c r="O986" s="6"/>
    </row>
    <row r="987" spans="2:15" x14ac:dyDescent="0.25">
      <c r="B987" s="32">
        <v>974</v>
      </c>
      <c r="C987" s="200"/>
      <c r="D987" s="200"/>
      <c r="E987" s="200"/>
      <c r="F987" s="200"/>
      <c r="G987" s="200"/>
      <c r="H987" s="200"/>
      <c r="I987" s="200"/>
      <c r="J987" s="1"/>
      <c r="K987" s="32"/>
      <c r="L987" s="32"/>
      <c r="M987" s="6"/>
      <c r="N987" s="6"/>
      <c r="O987" s="6"/>
    </row>
    <row r="988" spans="2:15" x14ac:dyDescent="0.25">
      <c r="B988" s="32">
        <v>975</v>
      </c>
      <c r="C988" s="200"/>
      <c r="D988" s="200"/>
      <c r="E988" s="200"/>
      <c r="F988" s="200"/>
      <c r="G988" s="200"/>
      <c r="H988" s="200"/>
      <c r="I988" s="200"/>
      <c r="J988" s="1"/>
      <c r="K988" s="32"/>
      <c r="L988" s="32"/>
      <c r="M988" s="6"/>
      <c r="N988" s="6"/>
      <c r="O988" s="6"/>
    </row>
    <row r="989" spans="2:15" x14ac:dyDescent="0.25">
      <c r="B989" s="32">
        <v>976</v>
      </c>
      <c r="C989" s="200"/>
      <c r="D989" s="200"/>
      <c r="E989" s="200"/>
      <c r="F989" s="200"/>
      <c r="G989" s="200"/>
      <c r="H989" s="200"/>
      <c r="I989" s="200"/>
      <c r="J989" s="1"/>
      <c r="K989" s="32"/>
      <c r="L989" s="32"/>
      <c r="M989" s="6"/>
      <c r="N989" s="6"/>
      <c r="O989" s="6"/>
    </row>
    <row r="990" spans="2:15" x14ac:dyDescent="0.25">
      <c r="B990" s="32">
        <v>977</v>
      </c>
      <c r="C990" s="200"/>
      <c r="D990" s="200"/>
      <c r="E990" s="200"/>
      <c r="F990" s="200"/>
      <c r="G990" s="200"/>
      <c r="H990" s="200"/>
      <c r="I990" s="200"/>
      <c r="J990" s="1"/>
      <c r="K990" s="32"/>
      <c r="L990" s="32"/>
      <c r="M990" s="6"/>
      <c r="N990" s="6"/>
      <c r="O990" s="6"/>
    </row>
    <row r="991" spans="2:15" x14ac:dyDescent="0.25">
      <c r="B991" s="32">
        <v>978</v>
      </c>
      <c r="C991" s="200"/>
      <c r="D991" s="200"/>
      <c r="E991" s="200"/>
      <c r="F991" s="200"/>
      <c r="G991" s="200"/>
      <c r="H991" s="200"/>
      <c r="I991" s="200"/>
      <c r="J991" s="1"/>
      <c r="K991" s="32"/>
      <c r="L991" s="32"/>
      <c r="M991" s="6"/>
      <c r="N991" s="6"/>
      <c r="O991" s="6"/>
    </row>
    <row r="992" spans="2:15" x14ac:dyDescent="0.25">
      <c r="B992" s="32">
        <v>979</v>
      </c>
      <c r="C992" s="200"/>
      <c r="D992" s="200"/>
      <c r="E992" s="200"/>
      <c r="F992" s="200"/>
      <c r="G992" s="200"/>
      <c r="H992" s="200"/>
      <c r="I992" s="200"/>
      <c r="J992" s="1"/>
      <c r="K992" s="32"/>
      <c r="L992" s="32"/>
      <c r="M992" s="6"/>
      <c r="N992" s="6"/>
      <c r="O992" s="6"/>
    </row>
    <row r="993" spans="2:15" x14ac:dyDescent="0.25">
      <c r="B993" s="32">
        <v>980</v>
      </c>
      <c r="C993" s="200"/>
      <c r="D993" s="200"/>
      <c r="E993" s="200"/>
      <c r="F993" s="200"/>
      <c r="G993" s="200"/>
      <c r="H993" s="200"/>
      <c r="I993" s="200"/>
      <c r="J993" s="1"/>
      <c r="K993" s="32"/>
      <c r="L993" s="32"/>
      <c r="M993" s="6"/>
      <c r="N993" s="6"/>
      <c r="O993" s="6"/>
    </row>
    <row r="994" spans="2:15" x14ac:dyDescent="0.25">
      <c r="B994" s="32">
        <v>981</v>
      </c>
      <c r="C994" s="200"/>
      <c r="D994" s="200"/>
      <c r="E994" s="200"/>
      <c r="F994" s="200"/>
      <c r="G994" s="200"/>
      <c r="H994" s="200"/>
      <c r="I994" s="200"/>
      <c r="J994" s="1"/>
      <c r="K994" s="32"/>
      <c r="L994" s="32"/>
      <c r="M994" s="6"/>
      <c r="N994" s="6"/>
      <c r="O994" s="6"/>
    </row>
    <row r="995" spans="2:15" x14ac:dyDescent="0.25">
      <c r="B995" s="32">
        <v>982</v>
      </c>
      <c r="C995" s="200"/>
      <c r="D995" s="200"/>
      <c r="E995" s="200"/>
      <c r="F995" s="200"/>
      <c r="G995" s="200"/>
      <c r="H995" s="200"/>
      <c r="I995" s="200"/>
      <c r="J995" s="1"/>
      <c r="K995" s="32"/>
      <c r="L995" s="32"/>
      <c r="M995" s="6"/>
      <c r="N995" s="6"/>
      <c r="O995" s="6"/>
    </row>
    <row r="996" spans="2:15" x14ac:dyDescent="0.25">
      <c r="B996" s="32">
        <v>983</v>
      </c>
      <c r="C996" s="200"/>
      <c r="D996" s="200"/>
      <c r="E996" s="200"/>
      <c r="F996" s="200"/>
      <c r="G996" s="200"/>
      <c r="H996" s="200"/>
      <c r="I996" s="200"/>
      <c r="J996" s="1"/>
      <c r="K996" s="32"/>
      <c r="L996" s="32"/>
      <c r="M996" s="6"/>
      <c r="N996" s="6"/>
      <c r="O996" s="6"/>
    </row>
    <row r="997" spans="2:15" x14ac:dyDescent="0.25">
      <c r="B997" s="32">
        <v>984</v>
      </c>
      <c r="C997" s="200"/>
      <c r="D997" s="200"/>
      <c r="E997" s="200"/>
      <c r="F997" s="200"/>
      <c r="G997" s="200"/>
      <c r="H997" s="200"/>
      <c r="I997" s="200"/>
      <c r="J997" s="1"/>
      <c r="K997" s="32"/>
      <c r="L997" s="32"/>
      <c r="M997" s="6"/>
      <c r="N997" s="6"/>
      <c r="O997" s="6"/>
    </row>
    <row r="998" spans="2:15" x14ac:dyDescent="0.25">
      <c r="B998" s="32">
        <v>985</v>
      </c>
      <c r="C998" s="200"/>
      <c r="D998" s="200"/>
      <c r="E998" s="200"/>
      <c r="F998" s="200"/>
      <c r="G998" s="200"/>
      <c r="H998" s="200"/>
      <c r="I998" s="200"/>
      <c r="J998" s="1"/>
      <c r="K998" s="32"/>
      <c r="L998" s="32"/>
      <c r="M998" s="6"/>
      <c r="N998" s="6"/>
      <c r="O998" s="6"/>
    </row>
    <row r="999" spans="2:15" x14ac:dyDescent="0.25">
      <c r="B999" s="32">
        <v>986</v>
      </c>
      <c r="C999" s="200"/>
      <c r="D999" s="200"/>
      <c r="E999" s="200"/>
      <c r="F999" s="200"/>
      <c r="G999" s="200"/>
      <c r="H999" s="200"/>
      <c r="I999" s="200"/>
      <c r="J999" s="1"/>
      <c r="K999" s="32"/>
      <c r="L999" s="32"/>
      <c r="M999" s="6"/>
      <c r="N999" s="6"/>
      <c r="O999" s="6"/>
    </row>
    <row r="1000" spans="2:15" x14ac:dyDescent="0.25">
      <c r="B1000" s="32">
        <v>987</v>
      </c>
      <c r="C1000" s="200"/>
      <c r="D1000" s="200"/>
      <c r="E1000" s="200"/>
      <c r="F1000" s="200"/>
      <c r="G1000" s="200"/>
      <c r="H1000" s="200"/>
      <c r="I1000" s="200"/>
      <c r="J1000" s="1"/>
      <c r="K1000" s="32"/>
      <c r="L1000" s="32"/>
      <c r="M1000" s="6"/>
      <c r="N1000" s="6"/>
      <c r="O1000" s="6"/>
    </row>
    <row r="1001" spans="2:15" x14ac:dyDescent="0.25">
      <c r="B1001" s="32">
        <v>988</v>
      </c>
      <c r="C1001" s="200"/>
      <c r="D1001" s="200"/>
      <c r="E1001" s="200"/>
      <c r="F1001" s="200"/>
      <c r="G1001" s="200"/>
      <c r="H1001" s="200"/>
      <c r="I1001" s="200"/>
      <c r="J1001" s="1"/>
      <c r="K1001" s="32"/>
      <c r="L1001" s="32"/>
      <c r="M1001" s="6"/>
      <c r="N1001" s="6"/>
      <c r="O1001" s="6"/>
    </row>
    <row r="1002" spans="2:15" x14ac:dyDescent="0.25">
      <c r="B1002" s="32">
        <v>989</v>
      </c>
      <c r="C1002" s="200"/>
      <c r="D1002" s="200"/>
      <c r="E1002" s="200"/>
      <c r="F1002" s="200"/>
      <c r="G1002" s="200"/>
      <c r="H1002" s="200"/>
      <c r="I1002" s="200"/>
      <c r="J1002" s="1"/>
      <c r="K1002" s="32"/>
      <c r="L1002" s="32"/>
      <c r="M1002" s="6"/>
      <c r="N1002" s="6"/>
      <c r="O1002" s="6"/>
    </row>
    <row r="1003" spans="2:15" x14ac:dyDescent="0.25">
      <c r="B1003" s="32">
        <v>990</v>
      </c>
      <c r="C1003" s="200"/>
      <c r="D1003" s="200"/>
      <c r="E1003" s="200"/>
      <c r="F1003" s="200"/>
      <c r="G1003" s="200"/>
      <c r="H1003" s="200"/>
      <c r="I1003" s="200"/>
      <c r="J1003" s="1"/>
      <c r="K1003" s="32"/>
      <c r="L1003" s="32"/>
      <c r="M1003" s="6"/>
      <c r="N1003" s="6"/>
      <c r="O1003" s="6"/>
    </row>
    <row r="1004" spans="2:15" x14ac:dyDescent="0.25">
      <c r="B1004" s="32">
        <v>991</v>
      </c>
      <c r="C1004" s="200"/>
      <c r="D1004" s="200"/>
      <c r="E1004" s="200"/>
      <c r="F1004" s="200"/>
      <c r="G1004" s="200"/>
      <c r="H1004" s="200"/>
      <c r="I1004" s="200"/>
      <c r="J1004" s="1"/>
      <c r="K1004" s="32"/>
      <c r="L1004" s="32"/>
      <c r="M1004" s="6"/>
      <c r="N1004" s="6"/>
      <c r="O1004" s="6"/>
    </row>
    <row r="1005" spans="2:15" x14ac:dyDescent="0.25">
      <c r="B1005" s="32">
        <v>992</v>
      </c>
      <c r="C1005" s="200"/>
      <c r="D1005" s="200"/>
      <c r="E1005" s="200"/>
      <c r="F1005" s="200"/>
      <c r="G1005" s="200"/>
      <c r="H1005" s="200"/>
      <c r="I1005" s="200"/>
      <c r="J1005" s="1"/>
      <c r="K1005" s="32"/>
      <c r="L1005" s="32"/>
      <c r="M1005" s="6"/>
      <c r="N1005" s="6"/>
      <c r="O1005" s="6"/>
    </row>
    <row r="1006" spans="2:15" x14ac:dyDescent="0.25">
      <c r="B1006" s="32">
        <v>993</v>
      </c>
      <c r="C1006" s="200"/>
      <c r="D1006" s="200"/>
      <c r="E1006" s="200"/>
      <c r="F1006" s="200"/>
      <c r="G1006" s="200"/>
      <c r="H1006" s="200"/>
      <c r="I1006" s="200"/>
      <c r="J1006" s="1"/>
      <c r="K1006" s="32"/>
      <c r="L1006" s="32"/>
      <c r="M1006" s="6"/>
      <c r="N1006" s="6"/>
      <c r="O1006" s="6"/>
    </row>
    <row r="1007" spans="2:15" x14ac:dyDescent="0.25">
      <c r="B1007" s="32">
        <v>994</v>
      </c>
      <c r="C1007" s="200"/>
      <c r="D1007" s="200"/>
      <c r="E1007" s="200"/>
      <c r="F1007" s="200"/>
      <c r="G1007" s="200"/>
      <c r="H1007" s="200"/>
      <c r="I1007" s="200"/>
      <c r="J1007" s="1"/>
      <c r="K1007" s="32"/>
      <c r="L1007" s="32"/>
      <c r="M1007" s="6"/>
      <c r="N1007" s="6"/>
      <c r="O1007" s="6"/>
    </row>
    <row r="1008" spans="2:15" x14ac:dyDescent="0.25">
      <c r="B1008" s="32">
        <v>995</v>
      </c>
      <c r="C1008" s="200"/>
      <c r="D1008" s="200"/>
      <c r="E1008" s="200"/>
      <c r="F1008" s="200"/>
      <c r="G1008" s="200"/>
      <c r="H1008" s="200"/>
      <c r="I1008" s="200"/>
      <c r="J1008" s="1"/>
      <c r="K1008" s="32"/>
      <c r="L1008" s="32"/>
      <c r="M1008" s="6"/>
      <c r="N1008" s="6"/>
      <c r="O1008" s="6"/>
    </row>
    <row r="1009" spans="2:15" x14ac:dyDescent="0.25">
      <c r="B1009" s="32">
        <v>996</v>
      </c>
      <c r="C1009" s="200"/>
      <c r="D1009" s="200"/>
      <c r="E1009" s="200"/>
      <c r="F1009" s="200"/>
      <c r="G1009" s="200"/>
      <c r="H1009" s="200"/>
      <c r="I1009" s="200"/>
      <c r="J1009" s="1"/>
      <c r="K1009" s="32"/>
      <c r="L1009" s="32"/>
      <c r="M1009" s="6"/>
      <c r="N1009" s="6"/>
      <c r="O1009" s="6"/>
    </row>
    <row r="1010" spans="2:15" x14ac:dyDescent="0.25">
      <c r="B1010" s="32">
        <v>997</v>
      </c>
      <c r="C1010" s="200"/>
      <c r="D1010" s="200"/>
      <c r="E1010" s="200"/>
      <c r="F1010" s="200"/>
      <c r="G1010" s="200"/>
      <c r="H1010" s="200"/>
      <c r="I1010" s="200"/>
      <c r="J1010" s="1"/>
      <c r="K1010" s="32"/>
      <c r="L1010" s="32"/>
      <c r="M1010" s="6"/>
      <c r="N1010" s="6"/>
      <c r="O1010" s="6"/>
    </row>
    <row r="1011" spans="2:15" x14ac:dyDescent="0.25">
      <c r="B1011" s="32">
        <v>998</v>
      </c>
      <c r="C1011" s="200"/>
      <c r="D1011" s="200"/>
      <c r="E1011" s="200"/>
      <c r="F1011" s="200"/>
      <c r="G1011" s="200"/>
      <c r="H1011" s="200"/>
      <c r="I1011" s="200"/>
      <c r="J1011" s="1"/>
      <c r="K1011" s="32"/>
      <c r="L1011" s="32"/>
      <c r="M1011" s="6"/>
      <c r="N1011" s="6"/>
      <c r="O1011" s="6"/>
    </row>
    <row r="1012" spans="2:15" x14ac:dyDescent="0.25">
      <c r="B1012" s="58"/>
      <c r="C1012" s="201"/>
      <c r="D1012" s="201"/>
      <c r="E1012" s="201"/>
      <c r="F1012" s="201"/>
      <c r="G1012" s="201"/>
      <c r="H1012" s="201"/>
      <c r="I1012" s="201"/>
      <c r="J1012" s="58"/>
      <c r="K1012" s="58"/>
      <c r="L1012" s="58"/>
    </row>
  </sheetData>
  <mergeCells count="1012">
    <mergeCell ref="B2:D9"/>
    <mergeCell ref="B10:B11"/>
    <mergeCell ref="C10:I11"/>
    <mergeCell ref="J10:J11"/>
    <mergeCell ref="K10:K11"/>
    <mergeCell ref="L10:L11"/>
    <mergeCell ref="M10:M11"/>
    <mergeCell ref="N10:N11"/>
    <mergeCell ref="C23:I23"/>
    <mergeCell ref="C24:I24"/>
    <mergeCell ref="C25:I25"/>
    <mergeCell ref="C26:I26"/>
    <mergeCell ref="C27:I27"/>
    <mergeCell ref="C28:I28"/>
    <mergeCell ref="B23:B24"/>
    <mergeCell ref="C17:I17"/>
    <mergeCell ref="C18:I18"/>
    <mergeCell ref="C19:I19"/>
    <mergeCell ref="C20:I20"/>
    <mergeCell ref="C21:I21"/>
    <mergeCell ref="C22:I22"/>
    <mergeCell ref="B12:L12"/>
    <mergeCell ref="C13:I13"/>
    <mergeCell ref="C14:I14"/>
    <mergeCell ref="C15:I15"/>
    <mergeCell ref="C16:I16"/>
    <mergeCell ref="C41:I41"/>
    <mergeCell ref="C42:I42"/>
    <mergeCell ref="C43:I43"/>
    <mergeCell ref="C44:I44"/>
    <mergeCell ref="C45:I45"/>
    <mergeCell ref="C46:I46"/>
    <mergeCell ref="C35:I35"/>
    <mergeCell ref="C36:I36"/>
    <mergeCell ref="C37:I37"/>
    <mergeCell ref="C38:I38"/>
    <mergeCell ref="C39:I39"/>
    <mergeCell ref="C40:I40"/>
    <mergeCell ref="C29:I29"/>
    <mergeCell ref="C30:I30"/>
    <mergeCell ref="C31:I31"/>
    <mergeCell ref="C32:I32"/>
    <mergeCell ref="C33:I33"/>
    <mergeCell ref="C34:I34"/>
    <mergeCell ref="C59:I59"/>
    <mergeCell ref="C60:I60"/>
    <mergeCell ref="C61:I61"/>
    <mergeCell ref="C62:I62"/>
    <mergeCell ref="C63:I63"/>
    <mergeCell ref="C64:I64"/>
    <mergeCell ref="C53:I53"/>
    <mergeCell ref="C54:I54"/>
    <mergeCell ref="C55:I55"/>
    <mergeCell ref="C56:I56"/>
    <mergeCell ref="C57:I57"/>
    <mergeCell ref="C58:I58"/>
    <mergeCell ref="C47:I47"/>
    <mergeCell ref="C48:I48"/>
    <mergeCell ref="C49:I49"/>
    <mergeCell ref="C50:I50"/>
    <mergeCell ref="C51:I51"/>
    <mergeCell ref="C52:I52"/>
    <mergeCell ref="C77:I77"/>
    <mergeCell ref="C78:I78"/>
    <mergeCell ref="C79:I79"/>
    <mergeCell ref="C80:I80"/>
    <mergeCell ref="C81:I81"/>
    <mergeCell ref="C82:I82"/>
    <mergeCell ref="C71:I71"/>
    <mergeCell ref="C72:I72"/>
    <mergeCell ref="C73:I73"/>
    <mergeCell ref="C74:I74"/>
    <mergeCell ref="C75:I75"/>
    <mergeCell ref="C76:I76"/>
    <mergeCell ref="C65:I65"/>
    <mergeCell ref="C66:I66"/>
    <mergeCell ref="C67:I67"/>
    <mergeCell ref="C68:I68"/>
    <mergeCell ref="C69:I69"/>
    <mergeCell ref="C70:I70"/>
    <mergeCell ref="C95:I95"/>
    <mergeCell ref="C96:I96"/>
    <mergeCell ref="C97:I97"/>
    <mergeCell ref="C98:I98"/>
    <mergeCell ref="C99:I99"/>
    <mergeCell ref="C100:I100"/>
    <mergeCell ref="C89:I89"/>
    <mergeCell ref="C90:I90"/>
    <mergeCell ref="C91:I91"/>
    <mergeCell ref="C92:I92"/>
    <mergeCell ref="C93:I93"/>
    <mergeCell ref="C94:I94"/>
    <mergeCell ref="C83:I83"/>
    <mergeCell ref="C84:I84"/>
    <mergeCell ref="C85:I85"/>
    <mergeCell ref="C86:I86"/>
    <mergeCell ref="C87:I87"/>
    <mergeCell ref="C88:I88"/>
    <mergeCell ref="C113:I113"/>
    <mergeCell ref="C114:I114"/>
    <mergeCell ref="C115:I115"/>
    <mergeCell ref="C116:I116"/>
    <mergeCell ref="C117:I117"/>
    <mergeCell ref="C118:I118"/>
    <mergeCell ref="C107:I107"/>
    <mergeCell ref="C108:I108"/>
    <mergeCell ref="C109:I109"/>
    <mergeCell ref="C110:I110"/>
    <mergeCell ref="C111:I111"/>
    <mergeCell ref="C112:I112"/>
    <mergeCell ref="C101:I101"/>
    <mergeCell ref="C102:I102"/>
    <mergeCell ref="C103:I103"/>
    <mergeCell ref="C104:I104"/>
    <mergeCell ref="C105:I105"/>
    <mergeCell ref="C106:I106"/>
    <mergeCell ref="C131:I131"/>
    <mergeCell ref="C132:I132"/>
    <mergeCell ref="C133:I133"/>
    <mergeCell ref="C134:I134"/>
    <mergeCell ref="C135:I135"/>
    <mergeCell ref="C136:I136"/>
    <mergeCell ref="C125:I125"/>
    <mergeCell ref="C126:I126"/>
    <mergeCell ref="C127:I127"/>
    <mergeCell ref="C128:I128"/>
    <mergeCell ref="C129:I129"/>
    <mergeCell ref="C130:I130"/>
    <mergeCell ref="C119:I119"/>
    <mergeCell ref="C120:I120"/>
    <mergeCell ref="C121:I121"/>
    <mergeCell ref="C122:I122"/>
    <mergeCell ref="C123:I123"/>
    <mergeCell ref="C124:I124"/>
    <mergeCell ref="C149:I149"/>
    <mergeCell ref="C150:I150"/>
    <mergeCell ref="C151:I151"/>
    <mergeCell ref="C152:I152"/>
    <mergeCell ref="C153:I153"/>
    <mergeCell ref="C154:I154"/>
    <mergeCell ref="C143:I143"/>
    <mergeCell ref="C144:I144"/>
    <mergeCell ref="C145:I145"/>
    <mergeCell ref="C146:I146"/>
    <mergeCell ref="C147:I147"/>
    <mergeCell ref="C148:I148"/>
    <mergeCell ref="C137:I137"/>
    <mergeCell ref="C138:I138"/>
    <mergeCell ref="C139:I139"/>
    <mergeCell ref="C140:I140"/>
    <mergeCell ref="C141:I141"/>
    <mergeCell ref="C142:I142"/>
    <mergeCell ref="C168:I168"/>
    <mergeCell ref="C169:I169"/>
    <mergeCell ref="C170:I170"/>
    <mergeCell ref="C171:I171"/>
    <mergeCell ref="C172:I172"/>
    <mergeCell ref="C161:I161"/>
    <mergeCell ref="C162:I162"/>
    <mergeCell ref="C163:I163"/>
    <mergeCell ref="C164:I164"/>
    <mergeCell ref="C165:I165"/>
    <mergeCell ref="C167:I167"/>
    <mergeCell ref="C155:I155"/>
    <mergeCell ref="C156:I156"/>
    <mergeCell ref="C157:I157"/>
    <mergeCell ref="C158:I158"/>
    <mergeCell ref="C159:I159"/>
    <mergeCell ref="C160:I160"/>
    <mergeCell ref="C166:I166"/>
    <mergeCell ref="C191:I191"/>
    <mergeCell ref="C192:I192"/>
    <mergeCell ref="C193:I193"/>
    <mergeCell ref="C194:I194"/>
    <mergeCell ref="C195:I195"/>
    <mergeCell ref="C196:I196"/>
    <mergeCell ref="C185:I185"/>
    <mergeCell ref="C186:I186"/>
    <mergeCell ref="C187:I187"/>
    <mergeCell ref="C179:I179"/>
    <mergeCell ref="C180:I180"/>
    <mergeCell ref="C181:I181"/>
    <mergeCell ref="C182:I182"/>
    <mergeCell ref="C183:I183"/>
    <mergeCell ref="C184:I184"/>
    <mergeCell ref="C173:I173"/>
    <mergeCell ref="C174:I174"/>
    <mergeCell ref="C175:I175"/>
    <mergeCell ref="C176:I176"/>
    <mergeCell ref="C177:I177"/>
    <mergeCell ref="C178:I178"/>
    <mergeCell ref="C209:I209"/>
    <mergeCell ref="C210:I210"/>
    <mergeCell ref="C211:I211"/>
    <mergeCell ref="C212:I212"/>
    <mergeCell ref="C213:I213"/>
    <mergeCell ref="C214:I214"/>
    <mergeCell ref="C203:I203"/>
    <mergeCell ref="C204:I204"/>
    <mergeCell ref="C205:I205"/>
    <mergeCell ref="C206:I206"/>
    <mergeCell ref="C207:I207"/>
    <mergeCell ref="C208:I208"/>
    <mergeCell ref="C197:I197"/>
    <mergeCell ref="C198:I198"/>
    <mergeCell ref="C199:I199"/>
    <mergeCell ref="C200:I200"/>
    <mergeCell ref="C201:I201"/>
    <mergeCell ref="C202:I202"/>
    <mergeCell ref="C227:I227"/>
    <mergeCell ref="C228:I228"/>
    <mergeCell ref="C229:I229"/>
    <mergeCell ref="C230:I230"/>
    <mergeCell ref="C231:I231"/>
    <mergeCell ref="C232:I232"/>
    <mergeCell ref="C221:I221"/>
    <mergeCell ref="C222:I222"/>
    <mergeCell ref="C223:I223"/>
    <mergeCell ref="C224:I224"/>
    <mergeCell ref="C225:I225"/>
    <mergeCell ref="C226:I226"/>
    <mergeCell ref="C215:I215"/>
    <mergeCell ref="C216:I216"/>
    <mergeCell ref="C217:I217"/>
    <mergeCell ref="C218:I218"/>
    <mergeCell ref="C219:I219"/>
    <mergeCell ref="C220:I220"/>
    <mergeCell ref="C245:I245"/>
    <mergeCell ref="C246:I246"/>
    <mergeCell ref="C247:I247"/>
    <mergeCell ref="C248:I248"/>
    <mergeCell ref="C249:I249"/>
    <mergeCell ref="C250:I250"/>
    <mergeCell ref="C239:I239"/>
    <mergeCell ref="C240:I240"/>
    <mergeCell ref="C241:I241"/>
    <mergeCell ref="C242:I242"/>
    <mergeCell ref="C243:I243"/>
    <mergeCell ref="C244:I244"/>
    <mergeCell ref="C233:I233"/>
    <mergeCell ref="C234:I234"/>
    <mergeCell ref="C235:I235"/>
    <mergeCell ref="C236:I236"/>
    <mergeCell ref="C237:I237"/>
    <mergeCell ref="C238:I238"/>
    <mergeCell ref="C263:I263"/>
    <mergeCell ref="C264:I264"/>
    <mergeCell ref="C265:I265"/>
    <mergeCell ref="C266:I266"/>
    <mergeCell ref="C267:I267"/>
    <mergeCell ref="C268:I268"/>
    <mergeCell ref="C257:I257"/>
    <mergeCell ref="C258:I258"/>
    <mergeCell ref="C259:I259"/>
    <mergeCell ref="C260:I260"/>
    <mergeCell ref="C261:I261"/>
    <mergeCell ref="C262:I262"/>
    <mergeCell ref="C251:I251"/>
    <mergeCell ref="C252:I252"/>
    <mergeCell ref="C253:I253"/>
    <mergeCell ref="C254:I254"/>
    <mergeCell ref="C255:I255"/>
    <mergeCell ref="C256:I256"/>
    <mergeCell ref="C281:I281"/>
    <mergeCell ref="C282:I282"/>
    <mergeCell ref="C283:I283"/>
    <mergeCell ref="C284:I284"/>
    <mergeCell ref="C285:I285"/>
    <mergeCell ref="C286:I286"/>
    <mergeCell ref="C275:I275"/>
    <mergeCell ref="C276:I276"/>
    <mergeCell ref="C277:I277"/>
    <mergeCell ref="C278:I278"/>
    <mergeCell ref="C279:I279"/>
    <mergeCell ref="C280:I280"/>
    <mergeCell ref="C269:I269"/>
    <mergeCell ref="C270:I270"/>
    <mergeCell ref="C271:I271"/>
    <mergeCell ref="C272:I272"/>
    <mergeCell ref="C273:I273"/>
    <mergeCell ref="C274:I274"/>
    <mergeCell ref="C299:I299"/>
    <mergeCell ref="C300:I300"/>
    <mergeCell ref="C301:I301"/>
    <mergeCell ref="C302:I302"/>
    <mergeCell ref="C303:I303"/>
    <mergeCell ref="C304:I304"/>
    <mergeCell ref="C293:I293"/>
    <mergeCell ref="C294:I294"/>
    <mergeCell ref="C295:I295"/>
    <mergeCell ref="C296:I296"/>
    <mergeCell ref="C297:I297"/>
    <mergeCell ref="C298:I298"/>
    <mergeCell ref="C287:I287"/>
    <mergeCell ref="C288:I288"/>
    <mergeCell ref="C289:I289"/>
    <mergeCell ref="C290:I290"/>
    <mergeCell ref="C291:I291"/>
    <mergeCell ref="C292:I292"/>
    <mergeCell ref="C317:I317"/>
    <mergeCell ref="C318:I318"/>
    <mergeCell ref="C319:I319"/>
    <mergeCell ref="C320:I320"/>
    <mergeCell ref="C321:I321"/>
    <mergeCell ref="C322:I322"/>
    <mergeCell ref="C311:I311"/>
    <mergeCell ref="C312:I312"/>
    <mergeCell ref="C313:I313"/>
    <mergeCell ref="C314:I314"/>
    <mergeCell ref="C315:I315"/>
    <mergeCell ref="C316:I316"/>
    <mergeCell ref="C305:I305"/>
    <mergeCell ref="C306:I306"/>
    <mergeCell ref="C307:I307"/>
    <mergeCell ref="C308:I308"/>
    <mergeCell ref="C309:I309"/>
    <mergeCell ref="C310:I310"/>
    <mergeCell ref="C335:I335"/>
    <mergeCell ref="C336:I336"/>
    <mergeCell ref="C337:I337"/>
    <mergeCell ref="C338:I338"/>
    <mergeCell ref="C339:I339"/>
    <mergeCell ref="C340:I340"/>
    <mergeCell ref="C329:I329"/>
    <mergeCell ref="C330:I330"/>
    <mergeCell ref="C331:I331"/>
    <mergeCell ref="C332:I332"/>
    <mergeCell ref="C333:I333"/>
    <mergeCell ref="C334:I334"/>
    <mergeCell ref="C323:I323"/>
    <mergeCell ref="C324:I324"/>
    <mergeCell ref="C325:I325"/>
    <mergeCell ref="C326:I326"/>
    <mergeCell ref="C327:I327"/>
    <mergeCell ref="C328:I328"/>
    <mergeCell ref="C353:I353"/>
    <mergeCell ref="C354:I354"/>
    <mergeCell ref="C355:I355"/>
    <mergeCell ref="C356:I356"/>
    <mergeCell ref="C357:I357"/>
    <mergeCell ref="C358:I358"/>
    <mergeCell ref="C347:I347"/>
    <mergeCell ref="C348:I348"/>
    <mergeCell ref="C349:I349"/>
    <mergeCell ref="C350:I350"/>
    <mergeCell ref="C351:I351"/>
    <mergeCell ref="C352:I352"/>
    <mergeCell ref="C341:I341"/>
    <mergeCell ref="C342:I342"/>
    <mergeCell ref="C343:I343"/>
    <mergeCell ref="C344:I344"/>
    <mergeCell ref="C345:I345"/>
    <mergeCell ref="C346:I346"/>
    <mergeCell ref="C371:I371"/>
    <mergeCell ref="C372:I372"/>
    <mergeCell ref="C373:I373"/>
    <mergeCell ref="C374:I374"/>
    <mergeCell ref="C375:I375"/>
    <mergeCell ref="C376:I376"/>
    <mergeCell ref="C365:I365"/>
    <mergeCell ref="C366:I366"/>
    <mergeCell ref="C367:I367"/>
    <mergeCell ref="C368:I368"/>
    <mergeCell ref="C369:I369"/>
    <mergeCell ref="C370:I370"/>
    <mergeCell ref="C359:I359"/>
    <mergeCell ref="C360:I360"/>
    <mergeCell ref="C361:I361"/>
    <mergeCell ref="C362:I362"/>
    <mergeCell ref="C363:I363"/>
    <mergeCell ref="C364:I364"/>
    <mergeCell ref="C389:I389"/>
    <mergeCell ref="C390:I390"/>
    <mergeCell ref="C391:I391"/>
    <mergeCell ref="C392:I392"/>
    <mergeCell ref="C393:I393"/>
    <mergeCell ref="C394:I394"/>
    <mergeCell ref="C383:I383"/>
    <mergeCell ref="C384:I384"/>
    <mergeCell ref="C385:I385"/>
    <mergeCell ref="C386:I386"/>
    <mergeCell ref="C387:I387"/>
    <mergeCell ref="C388:I388"/>
    <mergeCell ref="C377:I377"/>
    <mergeCell ref="C378:I378"/>
    <mergeCell ref="C379:I379"/>
    <mergeCell ref="C380:I380"/>
    <mergeCell ref="C381:I381"/>
    <mergeCell ref="C382:I382"/>
    <mergeCell ref="C407:I407"/>
    <mergeCell ref="C408:I408"/>
    <mergeCell ref="C409:I409"/>
    <mergeCell ref="C410:I410"/>
    <mergeCell ref="C411:I411"/>
    <mergeCell ref="C412:I412"/>
    <mergeCell ref="C401:I401"/>
    <mergeCell ref="C402:I402"/>
    <mergeCell ref="C403:I403"/>
    <mergeCell ref="C404:I404"/>
    <mergeCell ref="C405:I405"/>
    <mergeCell ref="C406:I406"/>
    <mergeCell ref="C395:I395"/>
    <mergeCell ref="C396:I396"/>
    <mergeCell ref="C397:I397"/>
    <mergeCell ref="C398:I398"/>
    <mergeCell ref="C399:I399"/>
    <mergeCell ref="C400:I400"/>
    <mergeCell ref="C425:I425"/>
    <mergeCell ref="C426:I426"/>
    <mergeCell ref="C427:I427"/>
    <mergeCell ref="C428:I428"/>
    <mergeCell ref="C429:I429"/>
    <mergeCell ref="C430:I430"/>
    <mergeCell ref="C419:I419"/>
    <mergeCell ref="C420:I420"/>
    <mergeCell ref="C421:I421"/>
    <mergeCell ref="C422:I422"/>
    <mergeCell ref="C423:I423"/>
    <mergeCell ref="C424:I424"/>
    <mergeCell ref="C413:I413"/>
    <mergeCell ref="C414:I414"/>
    <mergeCell ref="C415:I415"/>
    <mergeCell ref="C416:I416"/>
    <mergeCell ref="C417:I417"/>
    <mergeCell ref="C418:I418"/>
    <mergeCell ref="C443:I443"/>
    <mergeCell ref="C444:I444"/>
    <mergeCell ref="C445:I445"/>
    <mergeCell ref="C446:I446"/>
    <mergeCell ref="C447:I447"/>
    <mergeCell ref="C448:I448"/>
    <mergeCell ref="C437:I437"/>
    <mergeCell ref="C438:I438"/>
    <mergeCell ref="C439:I439"/>
    <mergeCell ref="C440:I440"/>
    <mergeCell ref="C441:I441"/>
    <mergeCell ref="C442:I442"/>
    <mergeCell ref="C431:I431"/>
    <mergeCell ref="C432:I432"/>
    <mergeCell ref="C433:I433"/>
    <mergeCell ref="C434:I434"/>
    <mergeCell ref="C435:I435"/>
    <mergeCell ref="C436:I436"/>
    <mergeCell ref="C461:I461"/>
    <mergeCell ref="C462:I462"/>
    <mergeCell ref="C463:I463"/>
    <mergeCell ref="C464:I464"/>
    <mergeCell ref="C465:I465"/>
    <mergeCell ref="C466:I466"/>
    <mergeCell ref="C455:I455"/>
    <mergeCell ref="C456:I456"/>
    <mergeCell ref="C457:I457"/>
    <mergeCell ref="C458:I458"/>
    <mergeCell ref="C459:I459"/>
    <mergeCell ref="C460:I460"/>
    <mergeCell ref="C449:I449"/>
    <mergeCell ref="C450:I450"/>
    <mergeCell ref="C451:I451"/>
    <mergeCell ref="C452:I452"/>
    <mergeCell ref="C453:I453"/>
    <mergeCell ref="C454:I454"/>
    <mergeCell ref="C479:I479"/>
    <mergeCell ref="C480:I480"/>
    <mergeCell ref="C481:I481"/>
    <mergeCell ref="C482:I482"/>
    <mergeCell ref="C483:I483"/>
    <mergeCell ref="C484:I484"/>
    <mergeCell ref="C473:I473"/>
    <mergeCell ref="C474:I474"/>
    <mergeCell ref="C475:I475"/>
    <mergeCell ref="C476:I476"/>
    <mergeCell ref="C477:I477"/>
    <mergeCell ref="C478:I478"/>
    <mergeCell ref="C467:I467"/>
    <mergeCell ref="C468:I468"/>
    <mergeCell ref="C469:I469"/>
    <mergeCell ref="C470:I470"/>
    <mergeCell ref="C471:I471"/>
    <mergeCell ref="C472:I472"/>
    <mergeCell ref="C497:I497"/>
    <mergeCell ref="C498:I498"/>
    <mergeCell ref="C499:I499"/>
    <mergeCell ref="C500:I500"/>
    <mergeCell ref="C501:I501"/>
    <mergeCell ref="C502:I502"/>
    <mergeCell ref="C491:I491"/>
    <mergeCell ref="C492:I492"/>
    <mergeCell ref="C493:I493"/>
    <mergeCell ref="C494:I494"/>
    <mergeCell ref="C495:I495"/>
    <mergeCell ref="C496:I496"/>
    <mergeCell ref="C485:I485"/>
    <mergeCell ref="C486:I486"/>
    <mergeCell ref="C487:I487"/>
    <mergeCell ref="C488:I488"/>
    <mergeCell ref="C489:I489"/>
    <mergeCell ref="C490:I490"/>
    <mergeCell ref="C515:I515"/>
    <mergeCell ref="C516:I516"/>
    <mergeCell ref="C517:I517"/>
    <mergeCell ref="C518:I518"/>
    <mergeCell ref="C519:I519"/>
    <mergeCell ref="C520:I520"/>
    <mergeCell ref="C509:I509"/>
    <mergeCell ref="C510:I510"/>
    <mergeCell ref="C511:I511"/>
    <mergeCell ref="C512:I512"/>
    <mergeCell ref="C513:I513"/>
    <mergeCell ref="C514:I514"/>
    <mergeCell ref="C503:I503"/>
    <mergeCell ref="C504:I504"/>
    <mergeCell ref="C505:I505"/>
    <mergeCell ref="C506:I506"/>
    <mergeCell ref="C507:I507"/>
    <mergeCell ref="C508:I508"/>
    <mergeCell ref="C533:I533"/>
    <mergeCell ref="C534:I534"/>
    <mergeCell ref="C535:I535"/>
    <mergeCell ref="C536:I536"/>
    <mergeCell ref="C537:I537"/>
    <mergeCell ref="C538:I538"/>
    <mergeCell ref="C527:I527"/>
    <mergeCell ref="C528:I528"/>
    <mergeCell ref="C529:I529"/>
    <mergeCell ref="C530:I530"/>
    <mergeCell ref="C531:I531"/>
    <mergeCell ref="C532:I532"/>
    <mergeCell ref="C521:I521"/>
    <mergeCell ref="C522:I522"/>
    <mergeCell ref="C523:I523"/>
    <mergeCell ref="C524:I524"/>
    <mergeCell ref="C525:I525"/>
    <mergeCell ref="C526:I526"/>
    <mergeCell ref="C551:I551"/>
    <mergeCell ref="C552:I552"/>
    <mergeCell ref="C553:I553"/>
    <mergeCell ref="C554:I554"/>
    <mergeCell ref="C555:I555"/>
    <mergeCell ref="C556:I556"/>
    <mergeCell ref="C545:I545"/>
    <mergeCell ref="C546:I546"/>
    <mergeCell ref="C547:I547"/>
    <mergeCell ref="C548:I548"/>
    <mergeCell ref="C549:I549"/>
    <mergeCell ref="C550:I550"/>
    <mergeCell ref="C539:I539"/>
    <mergeCell ref="C540:I540"/>
    <mergeCell ref="C541:I541"/>
    <mergeCell ref="C542:I542"/>
    <mergeCell ref="C543:I543"/>
    <mergeCell ref="C544:I544"/>
    <mergeCell ref="C569:I569"/>
    <mergeCell ref="C570:I570"/>
    <mergeCell ref="C571:I571"/>
    <mergeCell ref="C572:I572"/>
    <mergeCell ref="C573:I573"/>
    <mergeCell ref="C574:I574"/>
    <mergeCell ref="C563:I563"/>
    <mergeCell ref="C564:I564"/>
    <mergeCell ref="C565:I565"/>
    <mergeCell ref="C566:I566"/>
    <mergeCell ref="C567:I567"/>
    <mergeCell ref="C568:I568"/>
    <mergeCell ref="C557:I557"/>
    <mergeCell ref="C558:I558"/>
    <mergeCell ref="C559:I559"/>
    <mergeCell ref="C560:I560"/>
    <mergeCell ref="C561:I561"/>
    <mergeCell ref="C562:I562"/>
    <mergeCell ref="C587:I587"/>
    <mergeCell ref="C588:I588"/>
    <mergeCell ref="C589:I589"/>
    <mergeCell ref="C590:I590"/>
    <mergeCell ref="C591:I591"/>
    <mergeCell ref="C592:I592"/>
    <mergeCell ref="C581:I581"/>
    <mergeCell ref="C582:I582"/>
    <mergeCell ref="C583:I583"/>
    <mergeCell ref="C584:I584"/>
    <mergeCell ref="C585:I585"/>
    <mergeCell ref="C586:I586"/>
    <mergeCell ref="C575:I575"/>
    <mergeCell ref="C576:I576"/>
    <mergeCell ref="C577:I577"/>
    <mergeCell ref="C578:I578"/>
    <mergeCell ref="C579:I579"/>
    <mergeCell ref="C580:I580"/>
    <mergeCell ref="C605:I605"/>
    <mergeCell ref="C606:I606"/>
    <mergeCell ref="C607:I607"/>
    <mergeCell ref="C608:I608"/>
    <mergeCell ref="C609:I609"/>
    <mergeCell ref="C610:I610"/>
    <mergeCell ref="C599:I599"/>
    <mergeCell ref="C600:I600"/>
    <mergeCell ref="C601:I601"/>
    <mergeCell ref="C602:I602"/>
    <mergeCell ref="C603:I603"/>
    <mergeCell ref="C604:I604"/>
    <mergeCell ref="C593:I593"/>
    <mergeCell ref="C594:I594"/>
    <mergeCell ref="C595:I595"/>
    <mergeCell ref="C596:I596"/>
    <mergeCell ref="C597:I597"/>
    <mergeCell ref="C598:I598"/>
    <mergeCell ref="C623:I623"/>
    <mergeCell ref="C624:I624"/>
    <mergeCell ref="C625:I625"/>
    <mergeCell ref="C626:I626"/>
    <mergeCell ref="C627:I627"/>
    <mergeCell ref="C628:I628"/>
    <mergeCell ref="C617:I617"/>
    <mergeCell ref="C618:I618"/>
    <mergeCell ref="C619:I619"/>
    <mergeCell ref="C620:I620"/>
    <mergeCell ref="C621:I621"/>
    <mergeCell ref="C622:I622"/>
    <mergeCell ref="C611:I611"/>
    <mergeCell ref="C612:I612"/>
    <mergeCell ref="C613:I613"/>
    <mergeCell ref="C614:I614"/>
    <mergeCell ref="C615:I615"/>
    <mergeCell ref="C616:I616"/>
    <mergeCell ref="C641:I641"/>
    <mergeCell ref="C642:I642"/>
    <mergeCell ref="C643:I643"/>
    <mergeCell ref="C644:I644"/>
    <mergeCell ref="C645:I645"/>
    <mergeCell ref="C646:I646"/>
    <mergeCell ref="C635:I635"/>
    <mergeCell ref="C636:I636"/>
    <mergeCell ref="C637:I637"/>
    <mergeCell ref="C638:I638"/>
    <mergeCell ref="C639:I639"/>
    <mergeCell ref="C640:I640"/>
    <mergeCell ref="C629:I629"/>
    <mergeCell ref="C630:I630"/>
    <mergeCell ref="C631:I631"/>
    <mergeCell ref="C632:I632"/>
    <mergeCell ref="C633:I633"/>
    <mergeCell ref="C634:I634"/>
    <mergeCell ref="C659:I659"/>
    <mergeCell ref="C660:I660"/>
    <mergeCell ref="C661:I661"/>
    <mergeCell ref="C662:I662"/>
    <mergeCell ref="C663:I663"/>
    <mergeCell ref="C664:I664"/>
    <mergeCell ref="C653:I653"/>
    <mergeCell ref="C654:I654"/>
    <mergeCell ref="C655:I655"/>
    <mergeCell ref="C656:I656"/>
    <mergeCell ref="C657:I657"/>
    <mergeCell ref="C658:I658"/>
    <mergeCell ref="C647:I647"/>
    <mergeCell ref="C648:I648"/>
    <mergeCell ref="C649:I649"/>
    <mergeCell ref="C650:I650"/>
    <mergeCell ref="C651:I651"/>
    <mergeCell ref="C652:I652"/>
    <mergeCell ref="C677:I677"/>
    <mergeCell ref="C678:I678"/>
    <mergeCell ref="C679:I679"/>
    <mergeCell ref="C680:I680"/>
    <mergeCell ref="C681:I681"/>
    <mergeCell ref="C682:I682"/>
    <mergeCell ref="C671:I671"/>
    <mergeCell ref="C672:I672"/>
    <mergeCell ref="C673:I673"/>
    <mergeCell ref="C674:I674"/>
    <mergeCell ref="C675:I675"/>
    <mergeCell ref="C676:I676"/>
    <mergeCell ref="C665:I665"/>
    <mergeCell ref="C666:I666"/>
    <mergeCell ref="C667:I667"/>
    <mergeCell ref="C668:I668"/>
    <mergeCell ref="C669:I669"/>
    <mergeCell ref="C670:I670"/>
    <mergeCell ref="C695:I695"/>
    <mergeCell ref="C696:I696"/>
    <mergeCell ref="C697:I697"/>
    <mergeCell ref="C698:I698"/>
    <mergeCell ref="C699:I699"/>
    <mergeCell ref="C700:I700"/>
    <mergeCell ref="C689:I689"/>
    <mergeCell ref="C690:I690"/>
    <mergeCell ref="C691:I691"/>
    <mergeCell ref="C692:I692"/>
    <mergeCell ref="C693:I693"/>
    <mergeCell ref="C694:I694"/>
    <mergeCell ref="C683:I683"/>
    <mergeCell ref="C684:I684"/>
    <mergeCell ref="C685:I685"/>
    <mergeCell ref="C686:I686"/>
    <mergeCell ref="C687:I687"/>
    <mergeCell ref="C688:I688"/>
    <mergeCell ref="C713:I713"/>
    <mergeCell ref="C714:I714"/>
    <mergeCell ref="C715:I715"/>
    <mergeCell ref="C716:I716"/>
    <mergeCell ref="C717:I717"/>
    <mergeCell ref="C718:I718"/>
    <mergeCell ref="C707:I707"/>
    <mergeCell ref="C708:I708"/>
    <mergeCell ref="C709:I709"/>
    <mergeCell ref="C710:I710"/>
    <mergeCell ref="C711:I711"/>
    <mergeCell ref="C712:I712"/>
    <mergeCell ref="C701:I701"/>
    <mergeCell ref="C702:I702"/>
    <mergeCell ref="C703:I703"/>
    <mergeCell ref="C704:I704"/>
    <mergeCell ref="C705:I705"/>
    <mergeCell ref="C706:I706"/>
    <mergeCell ref="C731:I731"/>
    <mergeCell ref="C732:I732"/>
    <mergeCell ref="C733:I733"/>
    <mergeCell ref="C734:I734"/>
    <mergeCell ref="C735:I735"/>
    <mergeCell ref="C736:I736"/>
    <mergeCell ref="C725:I725"/>
    <mergeCell ref="C726:I726"/>
    <mergeCell ref="C727:I727"/>
    <mergeCell ref="C728:I728"/>
    <mergeCell ref="C729:I729"/>
    <mergeCell ref="C730:I730"/>
    <mergeCell ref="C719:I719"/>
    <mergeCell ref="C720:I720"/>
    <mergeCell ref="C721:I721"/>
    <mergeCell ref="C722:I722"/>
    <mergeCell ref="C723:I723"/>
    <mergeCell ref="C724:I724"/>
    <mergeCell ref="C749:I749"/>
    <mergeCell ref="C750:I750"/>
    <mergeCell ref="C751:I751"/>
    <mergeCell ref="C752:I752"/>
    <mergeCell ref="C753:I753"/>
    <mergeCell ref="C754:I754"/>
    <mergeCell ref="C743:I743"/>
    <mergeCell ref="C744:I744"/>
    <mergeCell ref="C745:I745"/>
    <mergeCell ref="C746:I746"/>
    <mergeCell ref="C747:I747"/>
    <mergeCell ref="C748:I748"/>
    <mergeCell ref="C737:I737"/>
    <mergeCell ref="C738:I738"/>
    <mergeCell ref="C739:I739"/>
    <mergeCell ref="C740:I740"/>
    <mergeCell ref="C741:I741"/>
    <mergeCell ref="C742:I742"/>
    <mergeCell ref="C767:I767"/>
    <mergeCell ref="C768:I768"/>
    <mergeCell ref="C769:I769"/>
    <mergeCell ref="C770:I770"/>
    <mergeCell ref="C771:I771"/>
    <mergeCell ref="C772:I772"/>
    <mergeCell ref="C761:I761"/>
    <mergeCell ref="C762:I762"/>
    <mergeCell ref="C763:I763"/>
    <mergeCell ref="C764:I764"/>
    <mergeCell ref="C765:I765"/>
    <mergeCell ref="C766:I766"/>
    <mergeCell ref="C755:I755"/>
    <mergeCell ref="C756:I756"/>
    <mergeCell ref="C757:I757"/>
    <mergeCell ref="C758:I758"/>
    <mergeCell ref="C759:I759"/>
    <mergeCell ref="C760:I760"/>
    <mergeCell ref="C785:I785"/>
    <mergeCell ref="C786:I786"/>
    <mergeCell ref="C787:I787"/>
    <mergeCell ref="C788:I788"/>
    <mergeCell ref="C789:I789"/>
    <mergeCell ref="C790:I790"/>
    <mergeCell ref="C779:I779"/>
    <mergeCell ref="C780:I780"/>
    <mergeCell ref="C781:I781"/>
    <mergeCell ref="C782:I782"/>
    <mergeCell ref="C783:I783"/>
    <mergeCell ref="C784:I784"/>
    <mergeCell ref="C773:I773"/>
    <mergeCell ref="C774:I774"/>
    <mergeCell ref="C775:I775"/>
    <mergeCell ref="C776:I776"/>
    <mergeCell ref="C777:I777"/>
    <mergeCell ref="C778:I778"/>
    <mergeCell ref="C803:I803"/>
    <mergeCell ref="C804:I804"/>
    <mergeCell ref="C805:I805"/>
    <mergeCell ref="C806:I806"/>
    <mergeCell ref="C807:I807"/>
    <mergeCell ref="C808:I808"/>
    <mergeCell ref="C797:I797"/>
    <mergeCell ref="C798:I798"/>
    <mergeCell ref="C799:I799"/>
    <mergeCell ref="C800:I800"/>
    <mergeCell ref="C801:I801"/>
    <mergeCell ref="C802:I802"/>
    <mergeCell ref="C791:I791"/>
    <mergeCell ref="C792:I792"/>
    <mergeCell ref="C793:I793"/>
    <mergeCell ref="C794:I794"/>
    <mergeCell ref="C795:I795"/>
    <mergeCell ref="C796:I796"/>
    <mergeCell ref="C821:I821"/>
    <mergeCell ref="C822:I822"/>
    <mergeCell ref="C823:I823"/>
    <mergeCell ref="C824:I824"/>
    <mergeCell ref="C825:I825"/>
    <mergeCell ref="C826:I826"/>
    <mergeCell ref="C815:I815"/>
    <mergeCell ref="C816:I816"/>
    <mergeCell ref="C817:I817"/>
    <mergeCell ref="C818:I818"/>
    <mergeCell ref="C819:I819"/>
    <mergeCell ref="C820:I820"/>
    <mergeCell ref="C809:I809"/>
    <mergeCell ref="C810:I810"/>
    <mergeCell ref="C811:I811"/>
    <mergeCell ref="C812:I812"/>
    <mergeCell ref="C813:I813"/>
    <mergeCell ref="C814:I814"/>
    <mergeCell ref="C839:I839"/>
    <mergeCell ref="C840:I840"/>
    <mergeCell ref="C841:I841"/>
    <mergeCell ref="C842:I842"/>
    <mergeCell ref="C843:I843"/>
    <mergeCell ref="C844:I844"/>
    <mergeCell ref="C833:I833"/>
    <mergeCell ref="C834:I834"/>
    <mergeCell ref="C835:I835"/>
    <mergeCell ref="C836:I836"/>
    <mergeCell ref="C837:I837"/>
    <mergeCell ref="C838:I838"/>
    <mergeCell ref="C827:I827"/>
    <mergeCell ref="C828:I828"/>
    <mergeCell ref="C829:I829"/>
    <mergeCell ref="C830:I830"/>
    <mergeCell ref="C831:I831"/>
    <mergeCell ref="C832:I832"/>
    <mergeCell ref="C857:I857"/>
    <mergeCell ref="C858:I858"/>
    <mergeCell ref="C859:I859"/>
    <mergeCell ref="C860:I860"/>
    <mergeCell ref="C861:I861"/>
    <mergeCell ref="C862:I862"/>
    <mergeCell ref="C851:I851"/>
    <mergeCell ref="C852:I852"/>
    <mergeCell ref="C853:I853"/>
    <mergeCell ref="C854:I854"/>
    <mergeCell ref="C855:I855"/>
    <mergeCell ref="C856:I856"/>
    <mergeCell ref="C845:I845"/>
    <mergeCell ref="C846:I846"/>
    <mergeCell ref="C847:I847"/>
    <mergeCell ref="C848:I848"/>
    <mergeCell ref="C849:I849"/>
    <mergeCell ref="C850:I850"/>
    <mergeCell ref="C875:I875"/>
    <mergeCell ref="C876:I876"/>
    <mergeCell ref="C877:I877"/>
    <mergeCell ref="C878:I878"/>
    <mergeCell ref="C879:I879"/>
    <mergeCell ref="C880:I880"/>
    <mergeCell ref="C869:I869"/>
    <mergeCell ref="C870:I870"/>
    <mergeCell ref="C871:I871"/>
    <mergeCell ref="C872:I872"/>
    <mergeCell ref="C873:I873"/>
    <mergeCell ref="C874:I874"/>
    <mergeCell ref="C863:I863"/>
    <mergeCell ref="C864:I864"/>
    <mergeCell ref="C865:I865"/>
    <mergeCell ref="C866:I866"/>
    <mergeCell ref="C867:I867"/>
    <mergeCell ref="C868:I868"/>
    <mergeCell ref="C893:I893"/>
    <mergeCell ref="C894:I894"/>
    <mergeCell ref="C895:I895"/>
    <mergeCell ref="C896:I896"/>
    <mergeCell ref="C897:I897"/>
    <mergeCell ref="C898:I898"/>
    <mergeCell ref="C887:I887"/>
    <mergeCell ref="C888:I888"/>
    <mergeCell ref="C889:I889"/>
    <mergeCell ref="C890:I890"/>
    <mergeCell ref="C891:I891"/>
    <mergeCell ref="C892:I892"/>
    <mergeCell ref="C881:I881"/>
    <mergeCell ref="C882:I882"/>
    <mergeCell ref="C883:I883"/>
    <mergeCell ref="C884:I884"/>
    <mergeCell ref="C885:I885"/>
    <mergeCell ref="C886:I886"/>
    <mergeCell ref="C911:I911"/>
    <mergeCell ref="C912:I912"/>
    <mergeCell ref="C913:I913"/>
    <mergeCell ref="C914:I914"/>
    <mergeCell ref="C915:I915"/>
    <mergeCell ref="C916:I916"/>
    <mergeCell ref="C905:I905"/>
    <mergeCell ref="C906:I906"/>
    <mergeCell ref="C907:I907"/>
    <mergeCell ref="C908:I908"/>
    <mergeCell ref="C909:I909"/>
    <mergeCell ref="C910:I910"/>
    <mergeCell ref="C899:I899"/>
    <mergeCell ref="C900:I900"/>
    <mergeCell ref="C901:I901"/>
    <mergeCell ref="C902:I902"/>
    <mergeCell ref="C903:I903"/>
    <mergeCell ref="C904:I904"/>
    <mergeCell ref="C929:I929"/>
    <mergeCell ref="C930:I930"/>
    <mergeCell ref="C931:I931"/>
    <mergeCell ref="C932:I932"/>
    <mergeCell ref="C933:I933"/>
    <mergeCell ref="C934:I934"/>
    <mergeCell ref="C923:I923"/>
    <mergeCell ref="C924:I924"/>
    <mergeCell ref="C925:I925"/>
    <mergeCell ref="C926:I926"/>
    <mergeCell ref="C927:I927"/>
    <mergeCell ref="C928:I928"/>
    <mergeCell ref="C917:I917"/>
    <mergeCell ref="C918:I918"/>
    <mergeCell ref="C919:I919"/>
    <mergeCell ref="C920:I920"/>
    <mergeCell ref="C921:I921"/>
    <mergeCell ref="C922:I922"/>
    <mergeCell ref="C970:I970"/>
    <mergeCell ref="C959:I959"/>
    <mergeCell ref="C960:I960"/>
    <mergeCell ref="C961:I961"/>
    <mergeCell ref="C962:I962"/>
    <mergeCell ref="C963:I963"/>
    <mergeCell ref="C964:I964"/>
    <mergeCell ref="C941:I941"/>
    <mergeCell ref="C942:I942"/>
    <mergeCell ref="C943:I943"/>
    <mergeCell ref="C944:I944"/>
    <mergeCell ref="C945:I945"/>
    <mergeCell ref="C946:I946"/>
    <mergeCell ref="C935:I935"/>
    <mergeCell ref="C936:I936"/>
    <mergeCell ref="C937:I937"/>
    <mergeCell ref="C938:I938"/>
    <mergeCell ref="C939:I939"/>
    <mergeCell ref="C940:I940"/>
    <mergeCell ref="C1008:I1008"/>
    <mergeCell ref="C1009:I1009"/>
    <mergeCell ref="C1010:I1010"/>
    <mergeCell ref="C1011:I1011"/>
    <mergeCell ref="C977:I977"/>
    <mergeCell ref="C978:I978"/>
    <mergeCell ref="C979:I979"/>
    <mergeCell ref="C980:I980"/>
    <mergeCell ref="C981:I981"/>
    <mergeCell ref="C982:I982"/>
    <mergeCell ref="C953:I953"/>
    <mergeCell ref="C954:I954"/>
    <mergeCell ref="C955:I955"/>
    <mergeCell ref="C956:I956"/>
    <mergeCell ref="C957:I957"/>
    <mergeCell ref="C958:I958"/>
    <mergeCell ref="C947:I947"/>
    <mergeCell ref="C948:I948"/>
    <mergeCell ref="C949:I949"/>
    <mergeCell ref="C950:I950"/>
    <mergeCell ref="C951:I951"/>
    <mergeCell ref="C952:I952"/>
    <mergeCell ref="C971:I971"/>
    <mergeCell ref="C972:I972"/>
    <mergeCell ref="C973:I973"/>
    <mergeCell ref="C974:I974"/>
    <mergeCell ref="C975:I975"/>
    <mergeCell ref="C965:I965"/>
    <mergeCell ref="C966:I966"/>
    <mergeCell ref="C967:I967"/>
    <mergeCell ref="C968:I968"/>
    <mergeCell ref="C969:I969"/>
    <mergeCell ref="O10:O11"/>
    <mergeCell ref="E2:O9"/>
    <mergeCell ref="C190:I190"/>
    <mergeCell ref="C189:I189"/>
    <mergeCell ref="C188:I188"/>
    <mergeCell ref="C976:I976"/>
    <mergeCell ref="C1012:I1012"/>
    <mergeCell ref="C1001:I1001"/>
    <mergeCell ref="C1002:I1002"/>
    <mergeCell ref="C1003:I1003"/>
    <mergeCell ref="C1004:I1004"/>
    <mergeCell ref="C1005:I1005"/>
    <mergeCell ref="C1006:I1006"/>
    <mergeCell ref="C995:I995"/>
    <mergeCell ref="C996:I996"/>
    <mergeCell ref="C997:I997"/>
    <mergeCell ref="C998:I998"/>
    <mergeCell ref="C999:I999"/>
    <mergeCell ref="C1000:I1000"/>
    <mergeCell ref="C985:I985"/>
    <mergeCell ref="C986:I986"/>
    <mergeCell ref="C987:I987"/>
    <mergeCell ref="C988:I988"/>
    <mergeCell ref="C989:I989"/>
    <mergeCell ref="C990:I990"/>
    <mergeCell ref="C991:I991"/>
    <mergeCell ref="C992:I992"/>
    <mergeCell ref="C993:I993"/>
    <mergeCell ref="C994:I994"/>
    <mergeCell ref="C983:I983"/>
    <mergeCell ref="C984:I984"/>
    <mergeCell ref="C1007:I1007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28"/>
  <sheetViews>
    <sheetView topLeftCell="A272" zoomScale="85" zoomScaleNormal="85" workbookViewId="0">
      <selection activeCell="N299" sqref="N299"/>
    </sheetView>
  </sheetViews>
  <sheetFormatPr baseColWidth="10" defaultColWidth="11.42578125" defaultRowHeight="15" x14ac:dyDescent="0.25"/>
  <cols>
    <col min="1" max="1" width="4" style="7" bestFit="1" customWidth="1"/>
    <col min="2" max="2" width="12.42578125" style="7" customWidth="1"/>
    <col min="3" max="4" width="11.42578125" style="7"/>
    <col min="5" max="5" width="14.42578125" style="7" customWidth="1"/>
    <col min="6" max="8" width="14.85546875" style="7" customWidth="1"/>
    <col min="9" max="9" width="15" style="7" customWidth="1"/>
    <col min="10" max="10" width="14.85546875" style="7" bestFit="1" customWidth="1"/>
    <col min="11" max="11" width="11.42578125" style="7"/>
    <col min="12" max="12" width="12.85546875" style="7" customWidth="1"/>
    <col min="13" max="13" width="11.42578125" style="7" customWidth="1"/>
    <col min="14" max="14" width="30.42578125" style="7" bestFit="1" customWidth="1"/>
    <col min="15" max="15" width="26" style="7" bestFit="1" customWidth="1"/>
    <col min="16" max="16" width="3.85546875" style="7" customWidth="1"/>
    <col min="17" max="17" width="3.42578125" style="7" customWidth="1"/>
    <col min="18" max="16384" width="11.42578125" style="7"/>
  </cols>
  <sheetData>
    <row r="1" spans="2:18" ht="15.75" thickBot="1" x14ac:dyDescent="0.3"/>
    <row r="2" spans="2:18" ht="15" customHeight="1" x14ac:dyDescent="0.25">
      <c r="B2" s="234"/>
      <c r="C2" s="235"/>
      <c r="D2" s="235"/>
      <c r="E2" s="191" t="s">
        <v>0</v>
      </c>
      <c r="F2" s="192"/>
      <c r="G2" s="192"/>
      <c r="H2" s="192"/>
      <c r="I2" s="192"/>
      <c r="J2" s="192"/>
      <c r="K2" s="192"/>
      <c r="L2" s="192"/>
      <c r="M2" s="192"/>
      <c r="N2" s="192"/>
      <c r="O2" s="193"/>
    </row>
    <row r="3" spans="2:18" ht="15" customHeight="1" x14ac:dyDescent="0.25">
      <c r="B3" s="236"/>
      <c r="C3" s="237"/>
      <c r="D3" s="237"/>
      <c r="E3" s="194"/>
      <c r="F3" s="195"/>
      <c r="G3" s="195"/>
      <c r="H3" s="195"/>
      <c r="I3" s="195"/>
      <c r="J3" s="195"/>
      <c r="K3" s="195"/>
      <c r="L3" s="195"/>
      <c r="M3" s="195"/>
      <c r="N3" s="195"/>
      <c r="O3" s="196"/>
    </row>
    <row r="4" spans="2:18" ht="15" customHeight="1" x14ac:dyDescent="0.25">
      <c r="B4" s="236"/>
      <c r="C4" s="237"/>
      <c r="D4" s="237"/>
      <c r="E4" s="194"/>
      <c r="F4" s="195"/>
      <c r="G4" s="195"/>
      <c r="H4" s="195"/>
      <c r="I4" s="195"/>
      <c r="J4" s="195"/>
      <c r="K4" s="195"/>
      <c r="L4" s="195"/>
      <c r="M4" s="195"/>
      <c r="N4" s="195"/>
      <c r="O4" s="196"/>
      <c r="Q4" s="9"/>
      <c r="R4" s="7" t="s">
        <v>183</v>
      </c>
    </row>
    <row r="5" spans="2:18" ht="15" customHeight="1" x14ac:dyDescent="0.25">
      <c r="B5" s="236"/>
      <c r="C5" s="237"/>
      <c r="D5" s="237"/>
      <c r="E5" s="194"/>
      <c r="F5" s="195"/>
      <c r="G5" s="195"/>
      <c r="H5" s="195"/>
      <c r="I5" s="195"/>
      <c r="J5" s="195"/>
      <c r="K5" s="195"/>
      <c r="L5" s="195"/>
      <c r="M5" s="195"/>
      <c r="N5" s="195"/>
      <c r="O5" s="196"/>
      <c r="Q5" s="26"/>
      <c r="R5" s="7" t="s">
        <v>184</v>
      </c>
    </row>
    <row r="6" spans="2:18" ht="15" customHeight="1" x14ac:dyDescent="0.25">
      <c r="B6" s="236"/>
      <c r="C6" s="237"/>
      <c r="D6" s="237"/>
      <c r="E6" s="194"/>
      <c r="F6" s="195"/>
      <c r="G6" s="195"/>
      <c r="H6" s="195"/>
      <c r="I6" s="195"/>
      <c r="J6" s="195"/>
      <c r="K6" s="195"/>
      <c r="L6" s="195"/>
      <c r="M6" s="195"/>
      <c r="N6" s="195"/>
      <c r="O6" s="196"/>
    </row>
    <row r="7" spans="2:18" ht="15" customHeight="1" x14ac:dyDescent="0.25">
      <c r="B7" s="236"/>
      <c r="C7" s="237"/>
      <c r="D7" s="237"/>
      <c r="E7" s="194"/>
      <c r="F7" s="195"/>
      <c r="G7" s="195"/>
      <c r="H7" s="195"/>
      <c r="I7" s="195"/>
      <c r="J7" s="195"/>
      <c r="K7" s="195"/>
      <c r="L7" s="195"/>
      <c r="M7" s="195"/>
      <c r="N7" s="195"/>
      <c r="O7" s="196"/>
    </row>
    <row r="8" spans="2:18" ht="15" customHeight="1" x14ac:dyDescent="0.25">
      <c r="B8" s="236"/>
      <c r="C8" s="237"/>
      <c r="D8" s="237"/>
      <c r="E8" s="194"/>
      <c r="F8" s="195"/>
      <c r="G8" s="195"/>
      <c r="H8" s="195"/>
      <c r="I8" s="195"/>
      <c r="J8" s="195"/>
      <c r="K8" s="195"/>
      <c r="L8" s="195"/>
      <c r="M8" s="195"/>
      <c r="N8" s="195"/>
      <c r="O8" s="196"/>
    </row>
    <row r="9" spans="2:18" ht="15.75" customHeight="1" thickBot="1" x14ac:dyDescent="0.3">
      <c r="B9" s="238"/>
      <c r="C9" s="239"/>
      <c r="D9" s="239"/>
      <c r="E9" s="197"/>
      <c r="F9" s="198"/>
      <c r="G9" s="198"/>
      <c r="H9" s="198"/>
      <c r="I9" s="198"/>
      <c r="J9" s="198"/>
      <c r="K9" s="198"/>
      <c r="L9" s="198"/>
      <c r="M9" s="198"/>
      <c r="N9" s="198"/>
      <c r="O9" s="199"/>
    </row>
    <row r="10" spans="2:18" ht="15" customHeight="1" x14ac:dyDescent="0.25">
      <c r="B10" s="240" t="s">
        <v>1</v>
      </c>
      <c r="C10" s="242" t="s">
        <v>2</v>
      </c>
      <c r="D10" s="243"/>
      <c r="E10" s="243"/>
      <c r="F10" s="243"/>
      <c r="G10" s="244"/>
      <c r="H10" s="245"/>
      <c r="I10" s="246"/>
      <c r="J10" s="252" t="s">
        <v>3</v>
      </c>
      <c r="K10" s="254" t="s">
        <v>4</v>
      </c>
      <c r="L10" s="254" t="s">
        <v>5</v>
      </c>
      <c r="M10" s="189" t="s">
        <v>6</v>
      </c>
      <c r="N10" s="189" t="s">
        <v>7</v>
      </c>
      <c r="O10" s="189" t="s">
        <v>8</v>
      </c>
    </row>
    <row r="11" spans="2:18" ht="15.75" thickBot="1" x14ac:dyDescent="0.3">
      <c r="B11" s="241"/>
      <c r="C11" s="247"/>
      <c r="D11" s="248"/>
      <c r="E11" s="248"/>
      <c r="F11" s="248"/>
      <c r="G11" s="249"/>
      <c r="H11" s="250"/>
      <c r="I11" s="251"/>
      <c r="J11" s="253"/>
      <c r="K11" s="255"/>
      <c r="L11" s="255"/>
      <c r="M11" s="190"/>
      <c r="N11" s="190"/>
      <c r="O11" s="190"/>
    </row>
    <row r="12" spans="2:18" ht="9" customHeight="1" x14ac:dyDescent="0.25">
      <c r="B12" s="233"/>
      <c r="C12" s="233"/>
      <c r="D12" s="233"/>
      <c r="E12" s="233"/>
      <c r="F12" s="233"/>
      <c r="G12" s="233"/>
      <c r="H12" s="233"/>
      <c r="I12" s="233"/>
      <c r="J12" s="233"/>
      <c r="K12" s="233"/>
      <c r="L12" s="233"/>
    </row>
    <row r="13" spans="2:18" x14ac:dyDescent="0.25">
      <c r="B13" s="62">
        <v>1</v>
      </c>
      <c r="C13" s="229" t="s">
        <v>185</v>
      </c>
      <c r="D13" s="229"/>
      <c r="E13" s="229"/>
      <c r="F13" s="229"/>
      <c r="G13" s="229"/>
      <c r="H13" s="229"/>
      <c r="I13" s="229"/>
      <c r="J13" s="11">
        <v>33000000</v>
      </c>
      <c r="K13" s="12">
        <v>43468</v>
      </c>
      <c r="L13" s="59"/>
      <c r="M13" s="64"/>
      <c r="N13" s="7" t="s">
        <v>186</v>
      </c>
      <c r="O13" s="64"/>
    </row>
    <row r="14" spans="2:18" x14ac:dyDescent="0.25">
      <c r="B14" s="62">
        <v>2</v>
      </c>
      <c r="C14" s="229" t="s">
        <v>187</v>
      </c>
      <c r="D14" s="229"/>
      <c r="E14" s="229"/>
      <c r="F14" s="229"/>
      <c r="G14" s="229"/>
      <c r="H14" s="229"/>
      <c r="I14" s="229"/>
      <c r="J14" s="11">
        <v>4450000</v>
      </c>
      <c r="K14" s="12">
        <v>43468</v>
      </c>
      <c r="L14" s="59"/>
      <c r="M14" s="64"/>
      <c r="N14" s="64" t="s">
        <v>188</v>
      </c>
      <c r="O14" s="64"/>
    </row>
    <row r="15" spans="2:18" x14ac:dyDescent="0.25">
      <c r="B15" s="62">
        <v>3</v>
      </c>
      <c r="C15" s="229" t="s">
        <v>189</v>
      </c>
      <c r="D15" s="229"/>
      <c r="E15" s="229"/>
      <c r="F15" s="229"/>
      <c r="G15" s="229"/>
      <c r="H15" s="229"/>
      <c r="I15" s="229"/>
      <c r="J15" s="11">
        <v>20480000</v>
      </c>
      <c r="K15" s="12">
        <v>43469</v>
      </c>
      <c r="L15" s="59"/>
      <c r="M15" s="64"/>
      <c r="N15" s="64" t="s">
        <v>190</v>
      </c>
      <c r="O15" s="64"/>
    </row>
    <row r="16" spans="2:18" x14ac:dyDescent="0.25">
      <c r="B16" s="62">
        <v>4</v>
      </c>
      <c r="C16" s="229" t="s">
        <v>191</v>
      </c>
      <c r="D16" s="229"/>
      <c r="E16" s="229"/>
      <c r="F16" s="229"/>
      <c r="G16" s="229"/>
      <c r="H16" s="229"/>
      <c r="I16" s="229"/>
      <c r="J16" s="11">
        <v>3295000</v>
      </c>
      <c r="K16" s="12">
        <v>43474</v>
      </c>
      <c r="L16" s="59"/>
      <c r="M16" s="64"/>
      <c r="N16" s="64" t="s">
        <v>192</v>
      </c>
      <c r="O16" s="64"/>
    </row>
    <row r="17" spans="2:15" x14ac:dyDescent="0.25">
      <c r="B17" s="62">
        <v>5</v>
      </c>
      <c r="C17" s="229" t="s">
        <v>193</v>
      </c>
      <c r="D17" s="229"/>
      <c r="E17" s="229"/>
      <c r="F17" s="229"/>
      <c r="G17" s="229"/>
      <c r="H17" s="229"/>
      <c r="I17" s="229"/>
      <c r="J17" s="11">
        <v>3442</v>
      </c>
      <c r="K17" s="12">
        <v>43474</v>
      </c>
      <c r="L17" s="59"/>
      <c r="M17" s="64"/>
      <c r="N17" s="64" t="s">
        <v>194</v>
      </c>
      <c r="O17" s="64"/>
    </row>
    <row r="18" spans="2:15" x14ac:dyDescent="0.25">
      <c r="B18" s="13">
        <v>6</v>
      </c>
      <c r="C18" s="229" t="s">
        <v>195</v>
      </c>
      <c r="D18" s="229"/>
      <c r="E18" s="229"/>
      <c r="F18" s="229"/>
      <c r="G18" s="229"/>
      <c r="H18" s="229"/>
      <c r="I18" s="229"/>
      <c r="J18" s="11">
        <v>4990000</v>
      </c>
      <c r="K18" s="12">
        <v>43476</v>
      </c>
      <c r="L18" s="59"/>
      <c r="M18" s="64"/>
      <c r="N18" s="14" t="s">
        <v>196</v>
      </c>
      <c r="O18" s="64"/>
    </row>
    <row r="19" spans="2:15" x14ac:dyDescent="0.25">
      <c r="B19" s="13">
        <v>6</v>
      </c>
      <c r="C19" s="230" t="s">
        <v>195</v>
      </c>
      <c r="D19" s="231"/>
      <c r="E19" s="231"/>
      <c r="F19" s="231"/>
      <c r="G19" s="231"/>
      <c r="H19" s="231"/>
      <c r="I19" s="232"/>
      <c r="J19" s="11">
        <v>4990000</v>
      </c>
      <c r="K19" s="12">
        <v>43476</v>
      </c>
      <c r="L19" s="59"/>
      <c r="M19" s="64"/>
      <c r="N19" s="14" t="s">
        <v>197</v>
      </c>
      <c r="O19" s="64"/>
    </row>
    <row r="20" spans="2:15" x14ac:dyDescent="0.25">
      <c r="B20" s="62">
        <v>7</v>
      </c>
      <c r="C20" s="229" t="s">
        <v>198</v>
      </c>
      <c r="D20" s="229"/>
      <c r="E20" s="229"/>
      <c r="F20" s="229"/>
      <c r="G20" s="229"/>
      <c r="H20" s="229"/>
      <c r="I20" s="229"/>
      <c r="J20" s="11">
        <v>6000000</v>
      </c>
      <c r="K20" s="12">
        <v>43479</v>
      </c>
      <c r="L20" s="59"/>
      <c r="M20" s="64"/>
      <c r="N20" s="64" t="s">
        <v>199</v>
      </c>
      <c r="O20" s="64"/>
    </row>
    <row r="21" spans="2:15" x14ac:dyDescent="0.25">
      <c r="B21" s="62">
        <v>8</v>
      </c>
      <c r="C21" s="229" t="s">
        <v>200</v>
      </c>
      <c r="D21" s="229"/>
      <c r="E21" s="229"/>
      <c r="F21" s="229"/>
      <c r="G21" s="229"/>
      <c r="H21" s="229"/>
      <c r="I21" s="229"/>
      <c r="J21" s="11">
        <v>3930000</v>
      </c>
      <c r="K21" s="12">
        <v>43479</v>
      </c>
      <c r="L21" s="59"/>
      <c r="M21" s="64"/>
      <c r="N21" s="64" t="s">
        <v>201</v>
      </c>
      <c r="O21" s="64"/>
    </row>
    <row r="22" spans="2:15" x14ac:dyDescent="0.25">
      <c r="B22" s="62">
        <v>9</v>
      </c>
      <c r="C22" s="229" t="s">
        <v>202</v>
      </c>
      <c r="D22" s="229"/>
      <c r="E22" s="229"/>
      <c r="F22" s="229"/>
      <c r="G22" s="229"/>
      <c r="H22" s="229"/>
      <c r="I22" s="229"/>
      <c r="J22" s="11">
        <v>16800000</v>
      </c>
      <c r="K22" s="12">
        <v>43479</v>
      </c>
      <c r="L22" s="59"/>
      <c r="M22" s="64"/>
      <c r="N22" s="64" t="s">
        <v>201</v>
      </c>
      <c r="O22" s="64" t="s">
        <v>203</v>
      </c>
    </row>
    <row r="23" spans="2:15" x14ac:dyDescent="0.25">
      <c r="B23" s="62">
        <v>10</v>
      </c>
      <c r="C23" s="229" t="s">
        <v>204</v>
      </c>
      <c r="D23" s="229"/>
      <c r="E23" s="229"/>
      <c r="F23" s="229"/>
      <c r="G23" s="229"/>
      <c r="H23" s="229"/>
      <c r="I23" s="229"/>
      <c r="J23" s="11">
        <v>11270000</v>
      </c>
      <c r="K23" s="12">
        <v>43480</v>
      </c>
      <c r="L23" s="59"/>
      <c r="M23" s="64"/>
      <c r="N23" s="64" t="s">
        <v>205</v>
      </c>
      <c r="O23" s="64"/>
    </row>
    <row r="24" spans="2:15" x14ac:dyDescent="0.25">
      <c r="B24" s="62">
        <v>11</v>
      </c>
      <c r="C24" s="229" t="s">
        <v>206</v>
      </c>
      <c r="D24" s="229"/>
      <c r="E24" s="229"/>
      <c r="F24" s="229"/>
      <c r="G24" s="229"/>
      <c r="H24" s="229"/>
      <c r="I24" s="229"/>
      <c r="J24" s="11">
        <v>16016</v>
      </c>
      <c r="K24" s="12">
        <v>43481</v>
      </c>
      <c r="L24" s="59"/>
      <c r="M24" s="64"/>
      <c r="N24" s="64" t="s">
        <v>194</v>
      </c>
      <c r="O24" s="64"/>
    </row>
    <row r="25" spans="2:15" x14ac:dyDescent="0.25">
      <c r="B25" s="62">
        <v>12</v>
      </c>
      <c r="C25" s="229" t="s">
        <v>149</v>
      </c>
      <c r="D25" s="229"/>
      <c r="E25" s="229"/>
      <c r="F25" s="229"/>
      <c r="G25" s="229"/>
      <c r="H25" s="229"/>
      <c r="I25" s="229"/>
      <c r="J25" s="11" t="s">
        <v>150</v>
      </c>
      <c r="K25" s="12">
        <v>43486</v>
      </c>
      <c r="L25" s="12"/>
      <c r="M25" s="64"/>
      <c r="N25" s="64" t="s">
        <v>207</v>
      </c>
      <c r="O25" s="64"/>
    </row>
    <row r="26" spans="2:15" x14ac:dyDescent="0.25">
      <c r="B26" s="62">
        <v>13</v>
      </c>
      <c r="C26" s="229" t="s">
        <v>208</v>
      </c>
      <c r="D26" s="229"/>
      <c r="E26" s="229"/>
      <c r="F26" s="229"/>
      <c r="G26" s="229"/>
      <c r="H26" s="229"/>
      <c r="I26" s="229"/>
      <c r="J26" s="11">
        <v>6130000</v>
      </c>
      <c r="K26" s="12">
        <v>43486</v>
      </c>
      <c r="L26" s="12"/>
      <c r="M26" s="64"/>
      <c r="N26" s="64" t="s">
        <v>209</v>
      </c>
      <c r="O26" s="64"/>
    </row>
    <row r="27" spans="2:15" x14ac:dyDescent="0.25">
      <c r="B27" s="62">
        <v>14</v>
      </c>
      <c r="C27" s="229" t="s">
        <v>210</v>
      </c>
      <c r="D27" s="229"/>
      <c r="E27" s="229"/>
      <c r="F27" s="229"/>
      <c r="G27" s="229"/>
      <c r="H27" s="229"/>
      <c r="I27" s="229"/>
      <c r="J27" s="11">
        <v>3775000</v>
      </c>
      <c r="K27" s="12">
        <v>43121</v>
      </c>
      <c r="L27" s="12"/>
      <c r="M27" s="64"/>
      <c r="N27" s="64" t="s">
        <v>211</v>
      </c>
      <c r="O27" s="64"/>
    </row>
    <row r="28" spans="2:15" x14ac:dyDescent="0.25">
      <c r="B28" s="62">
        <v>15</v>
      </c>
      <c r="C28" s="229" t="s">
        <v>208</v>
      </c>
      <c r="D28" s="229"/>
      <c r="E28" s="229"/>
      <c r="F28" s="229"/>
      <c r="G28" s="229"/>
      <c r="H28" s="229"/>
      <c r="I28" s="229"/>
      <c r="J28" s="11">
        <v>4590000</v>
      </c>
      <c r="K28" s="12">
        <v>43488</v>
      </c>
      <c r="L28" s="12"/>
      <c r="M28" s="64"/>
      <c r="N28" s="64" t="s">
        <v>212</v>
      </c>
      <c r="O28" s="64"/>
    </row>
    <row r="29" spans="2:15" x14ac:dyDescent="0.25">
      <c r="B29" s="62">
        <v>16</v>
      </c>
      <c r="C29" s="229" t="s">
        <v>213</v>
      </c>
      <c r="D29" s="229"/>
      <c r="E29" s="229"/>
      <c r="F29" s="229"/>
      <c r="G29" s="229"/>
      <c r="H29" s="229"/>
      <c r="I29" s="229"/>
      <c r="J29" s="11">
        <v>6590000</v>
      </c>
      <c r="K29" s="12">
        <v>43487</v>
      </c>
      <c r="L29" s="59"/>
      <c r="M29" s="64"/>
      <c r="N29" s="64" t="s">
        <v>214</v>
      </c>
      <c r="O29" s="64"/>
    </row>
    <row r="30" spans="2:15" x14ac:dyDescent="0.25">
      <c r="B30" s="62">
        <v>17</v>
      </c>
      <c r="C30" s="229" t="s">
        <v>215</v>
      </c>
      <c r="D30" s="229"/>
      <c r="E30" s="229"/>
      <c r="F30" s="229"/>
      <c r="G30" s="229"/>
      <c r="H30" s="229"/>
      <c r="I30" s="229"/>
      <c r="J30" s="11">
        <v>4470000</v>
      </c>
      <c r="K30" s="12">
        <v>43489</v>
      </c>
      <c r="L30" s="12"/>
      <c r="M30" s="64"/>
      <c r="N30" s="64" t="s">
        <v>216</v>
      </c>
      <c r="O30" s="64"/>
    </row>
    <row r="31" spans="2:15" x14ac:dyDescent="0.25">
      <c r="B31" s="62">
        <v>18</v>
      </c>
      <c r="C31" s="229" t="s">
        <v>217</v>
      </c>
      <c r="D31" s="229"/>
      <c r="E31" s="229"/>
      <c r="F31" s="229"/>
      <c r="G31" s="229"/>
      <c r="H31" s="229"/>
      <c r="I31" s="229"/>
      <c r="J31" s="11">
        <v>2600000</v>
      </c>
      <c r="K31" s="12">
        <v>43490</v>
      </c>
      <c r="L31" s="12"/>
      <c r="M31" s="64"/>
      <c r="N31" s="64" t="s">
        <v>218</v>
      </c>
      <c r="O31" s="64"/>
    </row>
    <row r="32" spans="2:15" x14ac:dyDescent="0.25">
      <c r="B32" s="13">
        <v>19</v>
      </c>
      <c r="C32" s="229" t="s">
        <v>219</v>
      </c>
      <c r="D32" s="229"/>
      <c r="E32" s="229"/>
      <c r="F32" s="229"/>
      <c r="G32" s="229"/>
      <c r="H32" s="229"/>
      <c r="I32" s="229"/>
      <c r="J32" s="11">
        <v>31790000</v>
      </c>
      <c r="K32" s="12">
        <v>43490</v>
      </c>
      <c r="L32" s="59"/>
      <c r="M32" s="64"/>
      <c r="N32" s="64" t="s">
        <v>220</v>
      </c>
      <c r="O32" s="64"/>
    </row>
    <row r="33" spans="1:15" x14ac:dyDescent="0.25">
      <c r="B33" s="13">
        <v>19</v>
      </c>
      <c r="C33" s="257" t="s">
        <v>221</v>
      </c>
      <c r="D33" s="258"/>
      <c r="E33" s="258"/>
      <c r="F33" s="258"/>
      <c r="G33" s="258"/>
      <c r="H33" s="258"/>
      <c r="I33" s="259"/>
      <c r="J33" s="11">
        <v>33000000</v>
      </c>
      <c r="K33" s="12">
        <v>43468</v>
      </c>
      <c r="L33" s="59"/>
      <c r="M33" s="64"/>
      <c r="N33" s="7" t="s">
        <v>186</v>
      </c>
      <c r="O33" s="64"/>
    </row>
    <row r="34" spans="1:15" x14ac:dyDescent="0.25">
      <c r="B34" s="62">
        <v>20</v>
      </c>
      <c r="C34" s="229" t="s">
        <v>222</v>
      </c>
      <c r="D34" s="229"/>
      <c r="E34" s="229"/>
      <c r="F34" s="229"/>
      <c r="G34" s="229"/>
      <c r="H34" s="229"/>
      <c r="I34" s="229"/>
      <c r="J34" s="11">
        <v>9480000</v>
      </c>
      <c r="K34" s="12">
        <v>43490</v>
      </c>
      <c r="L34" s="59"/>
      <c r="M34" s="64"/>
      <c r="N34" s="64" t="s">
        <v>223</v>
      </c>
      <c r="O34" s="64"/>
    </row>
    <row r="35" spans="1:15" x14ac:dyDescent="0.25">
      <c r="B35" s="62">
        <v>21</v>
      </c>
      <c r="C35" s="229" t="s">
        <v>224</v>
      </c>
      <c r="D35" s="229"/>
      <c r="E35" s="229"/>
      <c r="F35" s="229"/>
      <c r="G35" s="229"/>
      <c r="H35" s="229"/>
      <c r="I35" s="229"/>
      <c r="J35" s="11">
        <v>1950000</v>
      </c>
      <c r="K35" s="12">
        <v>43493</v>
      </c>
      <c r="L35" s="59"/>
      <c r="M35" s="64"/>
      <c r="N35" s="64" t="s">
        <v>225</v>
      </c>
      <c r="O35" s="64"/>
    </row>
    <row r="36" spans="1:15" x14ac:dyDescent="0.25">
      <c r="B36" s="62">
        <v>22</v>
      </c>
      <c r="C36" s="229" t="s">
        <v>226</v>
      </c>
      <c r="D36" s="229"/>
      <c r="E36" s="229"/>
      <c r="F36" s="229"/>
      <c r="G36" s="229"/>
      <c r="H36" s="229"/>
      <c r="I36" s="229"/>
      <c r="J36" s="11" t="s">
        <v>150</v>
      </c>
      <c r="K36" s="12">
        <v>43494</v>
      </c>
      <c r="L36" s="59"/>
      <c r="M36" s="64"/>
      <c r="N36" s="64" t="s">
        <v>227</v>
      </c>
      <c r="O36" s="64"/>
    </row>
    <row r="37" spans="1:15" x14ac:dyDescent="0.25">
      <c r="B37" s="62">
        <v>23</v>
      </c>
      <c r="C37" s="229" t="s">
        <v>228</v>
      </c>
      <c r="D37" s="229"/>
      <c r="E37" s="229"/>
      <c r="F37" s="229"/>
      <c r="G37" s="229"/>
      <c r="H37" s="229"/>
      <c r="I37" s="229"/>
      <c r="J37" s="11">
        <v>8153000</v>
      </c>
      <c r="K37" s="12">
        <v>43494</v>
      </c>
      <c r="L37" s="59"/>
      <c r="M37" s="64"/>
      <c r="N37" s="64" t="s">
        <v>229</v>
      </c>
      <c r="O37" s="64"/>
    </row>
    <row r="38" spans="1:15" x14ac:dyDescent="0.25">
      <c r="B38" s="62">
        <v>24</v>
      </c>
      <c r="C38" s="229" t="s">
        <v>230</v>
      </c>
      <c r="D38" s="229"/>
      <c r="E38" s="229"/>
      <c r="F38" s="229"/>
      <c r="G38" s="229"/>
      <c r="H38" s="229"/>
      <c r="I38" s="229"/>
      <c r="J38" s="11">
        <v>10865000</v>
      </c>
      <c r="K38" s="12">
        <v>43494</v>
      </c>
      <c r="L38" s="59"/>
      <c r="M38" s="64"/>
      <c r="N38" s="64" t="s">
        <v>231</v>
      </c>
      <c r="O38" s="64"/>
    </row>
    <row r="39" spans="1:15" x14ac:dyDescent="0.25">
      <c r="B39" s="62">
        <v>25</v>
      </c>
      <c r="C39" s="229" t="s">
        <v>232</v>
      </c>
      <c r="D39" s="229"/>
      <c r="E39" s="229"/>
      <c r="F39" s="229"/>
      <c r="G39" s="229"/>
      <c r="H39" s="229"/>
      <c r="I39" s="229"/>
      <c r="J39" s="11">
        <v>32190000</v>
      </c>
      <c r="K39" s="12">
        <v>43494</v>
      </c>
      <c r="L39" s="59"/>
      <c r="M39" s="64"/>
      <c r="N39" s="64" t="s">
        <v>233</v>
      </c>
      <c r="O39" s="64"/>
    </row>
    <row r="40" spans="1:15" x14ac:dyDescent="0.25">
      <c r="B40" s="62">
        <v>26</v>
      </c>
      <c r="C40" s="229" t="s">
        <v>234</v>
      </c>
      <c r="D40" s="229"/>
      <c r="E40" s="229"/>
      <c r="F40" s="229"/>
      <c r="G40" s="229"/>
      <c r="H40" s="229"/>
      <c r="I40" s="229"/>
      <c r="J40" s="11">
        <v>17491000</v>
      </c>
      <c r="K40" s="12">
        <v>43494</v>
      </c>
      <c r="L40" s="59"/>
      <c r="M40" s="64"/>
      <c r="N40" s="64" t="s">
        <v>235</v>
      </c>
      <c r="O40" s="64"/>
    </row>
    <row r="41" spans="1:15" x14ac:dyDescent="0.25">
      <c r="B41" s="62">
        <v>27</v>
      </c>
      <c r="C41" s="229" t="s">
        <v>236</v>
      </c>
      <c r="D41" s="229"/>
      <c r="E41" s="229"/>
      <c r="F41" s="229"/>
      <c r="G41" s="229"/>
      <c r="H41" s="229"/>
      <c r="I41" s="229"/>
      <c r="J41" s="11">
        <v>20584000</v>
      </c>
      <c r="K41" s="12">
        <v>43494</v>
      </c>
      <c r="L41" s="59"/>
      <c r="M41" s="64"/>
      <c r="N41" s="64" t="s">
        <v>235</v>
      </c>
      <c r="O41" s="64"/>
    </row>
    <row r="42" spans="1:15" x14ac:dyDescent="0.25">
      <c r="B42" s="61">
        <v>28</v>
      </c>
      <c r="C42" s="228" t="s">
        <v>236</v>
      </c>
      <c r="D42" s="228"/>
      <c r="E42" s="228"/>
      <c r="F42" s="228"/>
      <c r="G42" s="228"/>
      <c r="H42" s="228"/>
      <c r="I42" s="228"/>
      <c r="J42" s="27">
        <v>20584000</v>
      </c>
      <c r="K42" s="28">
        <v>43495</v>
      </c>
      <c r="L42" s="61"/>
      <c r="M42" s="25"/>
      <c r="N42" s="25"/>
      <c r="O42" s="25"/>
    </row>
    <row r="43" spans="1:15" x14ac:dyDescent="0.25">
      <c r="A43" s="7" t="s">
        <v>237</v>
      </c>
      <c r="B43" s="13">
        <v>29</v>
      </c>
      <c r="C43" s="229" t="s">
        <v>238</v>
      </c>
      <c r="D43" s="229"/>
      <c r="E43" s="229"/>
      <c r="F43" s="229"/>
      <c r="G43" s="229"/>
      <c r="H43" s="229"/>
      <c r="I43" s="229"/>
      <c r="J43" s="11">
        <v>2980000</v>
      </c>
      <c r="K43" s="12">
        <v>43496</v>
      </c>
      <c r="L43" s="12"/>
      <c r="M43" s="64"/>
      <c r="N43" s="64" t="s">
        <v>239</v>
      </c>
      <c r="O43" s="64"/>
    </row>
    <row r="44" spans="1:15" x14ac:dyDescent="0.25">
      <c r="A44" s="7" t="s">
        <v>237</v>
      </c>
      <c r="B44" s="13">
        <v>29</v>
      </c>
      <c r="C44" s="230" t="s">
        <v>236</v>
      </c>
      <c r="D44" s="231"/>
      <c r="E44" s="231"/>
      <c r="F44" s="231"/>
      <c r="G44" s="231"/>
      <c r="H44" s="231"/>
      <c r="I44" s="232"/>
      <c r="J44" s="11" t="s">
        <v>150</v>
      </c>
      <c r="K44" s="12">
        <v>43495</v>
      </c>
      <c r="L44" s="12"/>
      <c r="M44" s="64"/>
      <c r="N44" s="64" t="s">
        <v>201</v>
      </c>
      <c r="O44" s="64" t="s">
        <v>203</v>
      </c>
    </row>
    <row r="45" spans="1:15" x14ac:dyDescent="0.25">
      <c r="B45" s="62">
        <v>30</v>
      </c>
      <c r="C45" s="229" t="s">
        <v>240</v>
      </c>
      <c r="D45" s="229"/>
      <c r="E45" s="229"/>
      <c r="F45" s="229"/>
      <c r="G45" s="229"/>
      <c r="H45" s="229"/>
      <c r="I45" s="229"/>
      <c r="J45" s="11">
        <v>320000</v>
      </c>
      <c r="K45" s="12">
        <v>43496</v>
      </c>
      <c r="L45" s="59"/>
      <c r="M45" s="64"/>
      <c r="N45" s="64" t="s">
        <v>192</v>
      </c>
      <c r="O45" s="64"/>
    </row>
    <row r="46" spans="1:15" x14ac:dyDescent="0.25">
      <c r="B46" s="62">
        <v>31</v>
      </c>
      <c r="C46" s="229" t="s">
        <v>241</v>
      </c>
      <c r="D46" s="229"/>
      <c r="E46" s="229"/>
      <c r="F46" s="229"/>
      <c r="G46" s="229"/>
      <c r="H46" s="229"/>
      <c r="I46" s="229"/>
      <c r="J46" s="11">
        <v>10835000</v>
      </c>
      <c r="K46" s="12">
        <v>43131</v>
      </c>
      <c r="L46" s="59"/>
      <c r="M46" s="64"/>
      <c r="N46" s="64" t="s">
        <v>242</v>
      </c>
      <c r="O46" s="64"/>
    </row>
    <row r="47" spans="1:15" x14ac:dyDescent="0.25">
      <c r="B47" s="62">
        <v>32</v>
      </c>
      <c r="C47" s="229" t="s">
        <v>243</v>
      </c>
      <c r="D47" s="229"/>
      <c r="E47" s="229"/>
      <c r="F47" s="229"/>
      <c r="G47" s="229"/>
      <c r="H47" s="229"/>
      <c r="I47" s="229"/>
      <c r="J47" s="11">
        <v>320000</v>
      </c>
      <c r="K47" s="12">
        <v>43500</v>
      </c>
      <c r="L47" s="59"/>
      <c r="M47" s="64"/>
      <c r="N47" s="64" t="s">
        <v>192</v>
      </c>
      <c r="O47" s="64"/>
    </row>
    <row r="48" spans="1:15" x14ac:dyDescent="0.25">
      <c r="B48" s="62">
        <v>33</v>
      </c>
      <c r="C48" s="229" t="s">
        <v>244</v>
      </c>
      <c r="D48" s="229"/>
      <c r="E48" s="229"/>
      <c r="F48" s="229"/>
      <c r="G48" s="229"/>
      <c r="H48" s="229"/>
      <c r="I48" s="229"/>
      <c r="J48" s="11">
        <v>320000</v>
      </c>
      <c r="K48" s="12">
        <v>43500</v>
      </c>
      <c r="L48" s="59"/>
      <c r="M48" s="64"/>
      <c r="N48" s="64" t="s">
        <v>192</v>
      </c>
      <c r="O48" s="64"/>
    </row>
    <row r="49" spans="1:15" x14ac:dyDescent="0.25">
      <c r="B49" s="62">
        <v>34</v>
      </c>
      <c r="C49" s="229" t="s">
        <v>245</v>
      </c>
      <c r="D49" s="229"/>
      <c r="E49" s="229"/>
      <c r="F49" s="229"/>
      <c r="G49" s="229"/>
      <c r="H49" s="229"/>
      <c r="I49" s="229"/>
      <c r="J49" s="11">
        <v>5482000</v>
      </c>
      <c r="K49" s="12">
        <v>43501</v>
      </c>
      <c r="L49" s="59"/>
      <c r="M49" s="64"/>
      <c r="N49" s="64" t="s">
        <v>246</v>
      </c>
      <c r="O49" s="64"/>
    </row>
    <row r="50" spans="1:15" x14ac:dyDescent="0.25">
      <c r="B50" s="62">
        <v>35</v>
      </c>
      <c r="C50" s="229" t="s">
        <v>247</v>
      </c>
      <c r="D50" s="229"/>
      <c r="E50" s="229"/>
      <c r="F50" s="229"/>
      <c r="G50" s="229"/>
      <c r="H50" s="229"/>
      <c r="I50" s="229"/>
      <c r="J50" s="11">
        <v>2960000</v>
      </c>
      <c r="K50" s="12">
        <v>43501</v>
      </c>
      <c r="L50" s="59"/>
      <c r="M50" s="64"/>
      <c r="N50" s="64" t="s">
        <v>246</v>
      </c>
      <c r="O50" s="64"/>
    </row>
    <row r="51" spans="1:15" x14ac:dyDescent="0.25">
      <c r="B51" s="62">
        <v>36</v>
      </c>
      <c r="C51" s="229" t="s">
        <v>248</v>
      </c>
      <c r="D51" s="229"/>
      <c r="E51" s="229"/>
      <c r="F51" s="229"/>
      <c r="G51" s="229"/>
      <c r="H51" s="229"/>
      <c r="I51" s="229"/>
      <c r="J51" s="11">
        <v>3250000</v>
      </c>
      <c r="K51" s="12">
        <v>43501</v>
      </c>
      <c r="L51" s="59"/>
      <c r="M51" s="64"/>
      <c r="N51" s="64" t="s">
        <v>246</v>
      </c>
      <c r="O51" s="64"/>
    </row>
    <row r="52" spans="1:15" x14ac:dyDescent="0.25">
      <c r="B52" s="62">
        <v>37</v>
      </c>
      <c r="C52" s="229" t="s">
        <v>249</v>
      </c>
      <c r="D52" s="229"/>
      <c r="E52" s="229"/>
      <c r="F52" s="229"/>
      <c r="G52" s="229"/>
      <c r="H52" s="229"/>
      <c r="I52" s="229"/>
      <c r="J52" s="11">
        <v>8655000</v>
      </c>
      <c r="K52" s="12">
        <v>43501</v>
      </c>
      <c r="L52" s="59"/>
      <c r="M52" s="64"/>
      <c r="N52" s="64" t="s">
        <v>250</v>
      </c>
      <c r="O52" s="64"/>
    </row>
    <row r="53" spans="1:15" x14ac:dyDescent="0.25">
      <c r="B53" s="62">
        <v>38</v>
      </c>
      <c r="C53" s="229" t="s">
        <v>251</v>
      </c>
      <c r="D53" s="229"/>
      <c r="E53" s="229"/>
      <c r="F53" s="229"/>
      <c r="G53" s="229"/>
      <c r="H53" s="229"/>
      <c r="I53" s="229"/>
      <c r="J53" s="11">
        <v>1317000</v>
      </c>
      <c r="K53" s="12">
        <v>43501</v>
      </c>
      <c r="L53" s="12"/>
      <c r="M53" s="64"/>
      <c r="N53" s="64" t="s">
        <v>252</v>
      </c>
      <c r="O53" s="64"/>
    </row>
    <row r="54" spans="1:15" x14ac:dyDescent="0.25">
      <c r="B54" s="62">
        <v>39</v>
      </c>
      <c r="C54" s="229" t="s">
        <v>253</v>
      </c>
      <c r="D54" s="229"/>
      <c r="E54" s="229"/>
      <c r="F54" s="229"/>
      <c r="G54" s="229"/>
      <c r="H54" s="229"/>
      <c r="I54" s="229"/>
      <c r="J54" s="11">
        <v>450000</v>
      </c>
      <c r="K54" s="12">
        <v>43502</v>
      </c>
      <c r="L54" s="59"/>
      <c r="M54" s="64"/>
      <c r="N54" s="64" t="s">
        <v>212</v>
      </c>
      <c r="O54" s="64"/>
    </row>
    <row r="55" spans="1:15" x14ac:dyDescent="0.25">
      <c r="B55" s="62">
        <v>40</v>
      </c>
      <c r="C55" s="229" t="s">
        <v>254</v>
      </c>
      <c r="D55" s="229"/>
      <c r="E55" s="229"/>
      <c r="F55" s="229"/>
      <c r="G55" s="229"/>
      <c r="H55" s="229"/>
      <c r="I55" s="229"/>
      <c r="J55" s="11">
        <v>320000</v>
      </c>
      <c r="K55" s="15">
        <v>43503</v>
      </c>
      <c r="L55" s="59"/>
      <c r="M55" s="64"/>
      <c r="N55" s="64" t="s">
        <v>192</v>
      </c>
      <c r="O55" s="64"/>
    </row>
    <row r="56" spans="1:15" x14ac:dyDescent="0.25">
      <c r="B56" s="61">
        <v>41</v>
      </c>
      <c r="C56" s="228" t="s">
        <v>255</v>
      </c>
      <c r="D56" s="228"/>
      <c r="E56" s="228"/>
      <c r="F56" s="228"/>
      <c r="G56" s="228"/>
      <c r="H56" s="228"/>
      <c r="I56" s="228"/>
      <c r="J56" s="27">
        <v>1882000</v>
      </c>
      <c r="K56" s="29">
        <v>43503</v>
      </c>
      <c r="L56" s="61"/>
      <c r="M56" s="25"/>
      <c r="N56" s="25"/>
      <c r="O56" s="25"/>
    </row>
    <row r="57" spans="1:15" x14ac:dyDescent="0.25">
      <c r="B57" s="62">
        <v>42</v>
      </c>
      <c r="C57" s="229" t="s">
        <v>256</v>
      </c>
      <c r="D57" s="229"/>
      <c r="E57" s="229"/>
      <c r="F57" s="229"/>
      <c r="G57" s="229"/>
      <c r="H57" s="229"/>
      <c r="I57" s="229"/>
      <c r="J57" s="11">
        <v>1225000</v>
      </c>
      <c r="K57" s="12">
        <v>43505</v>
      </c>
      <c r="L57" s="59"/>
      <c r="M57" s="64"/>
      <c r="N57" s="64" t="s">
        <v>257</v>
      </c>
      <c r="O57" s="64"/>
    </row>
    <row r="58" spans="1:15" x14ac:dyDescent="0.25">
      <c r="A58" s="7" t="s">
        <v>237</v>
      </c>
      <c r="B58" s="13">
        <v>43</v>
      </c>
      <c r="C58" s="229" t="s">
        <v>258</v>
      </c>
      <c r="D58" s="229"/>
      <c r="E58" s="229"/>
      <c r="F58" s="229"/>
      <c r="G58" s="229"/>
      <c r="H58" s="229"/>
      <c r="I58" s="229"/>
      <c r="J58" s="11">
        <v>18560000</v>
      </c>
      <c r="K58" s="12">
        <v>43507</v>
      </c>
      <c r="L58" s="12"/>
      <c r="M58" s="64"/>
      <c r="N58" s="64" t="s">
        <v>259</v>
      </c>
      <c r="O58" s="64"/>
    </row>
    <row r="59" spans="1:15" x14ac:dyDescent="0.25">
      <c r="A59" s="7" t="s">
        <v>237</v>
      </c>
      <c r="B59" s="13">
        <v>43</v>
      </c>
      <c r="C59" s="230" t="s">
        <v>260</v>
      </c>
      <c r="D59" s="231"/>
      <c r="E59" s="231"/>
      <c r="F59" s="231"/>
      <c r="G59" s="231"/>
      <c r="H59" s="231"/>
      <c r="I59" s="232"/>
      <c r="J59" s="11">
        <v>7790000</v>
      </c>
      <c r="K59" s="12">
        <v>43505</v>
      </c>
      <c r="L59" s="12"/>
      <c r="M59" s="64"/>
      <c r="N59" s="64" t="s">
        <v>261</v>
      </c>
      <c r="O59" s="64"/>
    </row>
    <row r="60" spans="1:15" x14ac:dyDescent="0.25">
      <c r="B60" s="62">
        <v>44</v>
      </c>
      <c r="C60" s="229" t="s">
        <v>262</v>
      </c>
      <c r="D60" s="229"/>
      <c r="E60" s="229"/>
      <c r="F60" s="229"/>
      <c r="G60" s="229"/>
      <c r="H60" s="229"/>
      <c r="I60" s="229"/>
      <c r="J60" s="11" t="s">
        <v>263</v>
      </c>
      <c r="K60" s="12">
        <v>43508</v>
      </c>
      <c r="L60" s="12"/>
      <c r="M60" s="64"/>
      <c r="N60" s="64" t="s">
        <v>264</v>
      </c>
      <c r="O60" s="64"/>
    </row>
    <row r="61" spans="1:15" x14ac:dyDescent="0.25">
      <c r="B61" s="62">
        <v>45</v>
      </c>
      <c r="C61" s="229" t="s">
        <v>265</v>
      </c>
      <c r="D61" s="229"/>
      <c r="E61" s="229"/>
      <c r="F61" s="229"/>
      <c r="G61" s="229"/>
      <c r="H61" s="229"/>
      <c r="I61" s="229"/>
      <c r="J61" s="11">
        <v>3135000</v>
      </c>
      <c r="K61" s="12">
        <v>43143</v>
      </c>
      <c r="L61" s="12"/>
      <c r="M61" s="64"/>
      <c r="N61" s="64" t="s">
        <v>264</v>
      </c>
      <c r="O61" s="64"/>
    </row>
    <row r="62" spans="1:15" x14ac:dyDescent="0.25">
      <c r="B62" s="62">
        <v>46</v>
      </c>
      <c r="C62" s="229" t="s">
        <v>266</v>
      </c>
      <c r="D62" s="229"/>
      <c r="E62" s="229"/>
      <c r="F62" s="229"/>
      <c r="G62" s="229"/>
      <c r="H62" s="229"/>
      <c r="I62" s="229"/>
      <c r="J62" s="11">
        <v>5630000</v>
      </c>
      <c r="K62" s="12">
        <v>43507</v>
      </c>
      <c r="L62" s="59"/>
      <c r="M62" s="64"/>
      <c r="N62" s="64" t="s">
        <v>267</v>
      </c>
      <c r="O62" s="64"/>
    </row>
    <row r="63" spans="1:15" x14ac:dyDescent="0.25">
      <c r="A63" s="7" t="s">
        <v>268</v>
      </c>
      <c r="B63" s="13">
        <v>48</v>
      </c>
      <c r="C63" s="229" t="s">
        <v>269</v>
      </c>
      <c r="D63" s="229"/>
      <c r="E63" s="229"/>
      <c r="F63" s="229"/>
      <c r="G63" s="229"/>
      <c r="H63" s="229"/>
      <c r="I63" s="229"/>
      <c r="J63" s="11">
        <v>12535000</v>
      </c>
      <c r="K63" s="12">
        <v>43507</v>
      </c>
      <c r="L63" s="12"/>
      <c r="M63" s="64"/>
      <c r="N63" s="64" t="s">
        <v>201</v>
      </c>
      <c r="O63" s="64"/>
    </row>
    <row r="64" spans="1:15" x14ac:dyDescent="0.25">
      <c r="A64" s="7" t="s">
        <v>268</v>
      </c>
      <c r="B64" s="13">
        <v>48</v>
      </c>
      <c r="C64" s="230" t="s">
        <v>270</v>
      </c>
      <c r="D64" s="231"/>
      <c r="E64" s="231"/>
      <c r="F64" s="231"/>
      <c r="G64" s="231"/>
      <c r="H64" s="231"/>
      <c r="I64" s="232"/>
      <c r="J64" s="11">
        <v>4610000</v>
      </c>
      <c r="K64" s="12">
        <v>43508</v>
      </c>
      <c r="L64" s="12"/>
      <c r="M64" s="64"/>
      <c r="N64" s="64" t="s">
        <v>192</v>
      </c>
      <c r="O64" s="64"/>
    </row>
    <row r="65" spans="2:15" x14ac:dyDescent="0.25">
      <c r="B65" s="62">
        <v>49</v>
      </c>
      <c r="C65" s="256" t="s">
        <v>271</v>
      </c>
      <c r="D65" s="256"/>
      <c r="E65" s="256"/>
      <c r="F65" s="256"/>
      <c r="G65" s="256"/>
      <c r="H65" s="256"/>
      <c r="I65" s="256"/>
      <c r="J65" s="11">
        <v>13800000</v>
      </c>
      <c r="K65" s="12">
        <v>43508</v>
      </c>
      <c r="L65" s="12"/>
      <c r="M65" s="64"/>
      <c r="N65" s="64" t="s">
        <v>272</v>
      </c>
      <c r="O65" s="64"/>
    </row>
    <row r="66" spans="2:15" x14ac:dyDescent="0.25">
      <c r="B66" s="62">
        <v>50</v>
      </c>
      <c r="C66" s="256" t="s">
        <v>273</v>
      </c>
      <c r="D66" s="256"/>
      <c r="E66" s="256"/>
      <c r="F66" s="256"/>
      <c r="G66" s="256"/>
      <c r="H66" s="256"/>
      <c r="I66" s="256"/>
      <c r="J66" s="11">
        <v>2640000</v>
      </c>
      <c r="K66" s="12">
        <v>43515</v>
      </c>
      <c r="L66" s="59"/>
      <c r="M66" s="64"/>
      <c r="N66" s="64" t="s">
        <v>192</v>
      </c>
      <c r="O66" s="64"/>
    </row>
    <row r="67" spans="2:15" x14ac:dyDescent="0.25">
      <c r="B67" s="62">
        <v>51</v>
      </c>
      <c r="C67" s="256" t="s">
        <v>274</v>
      </c>
      <c r="D67" s="256"/>
      <c r="E67" s="256"/>
      <c r="F67" s="256"/>
      <c r="G67" s="256"/>
      <c r="H67" s="256"/>
      <c r="I67" s="256"/>
      <c r="J67" s="11">
        <v>9979000</v>
      </c>
      <c r="K67" s="12">
        <v>43516</v>
      </c>
      <c r="L67" s="59"/>
      <c r="M67" s="64"/>
      <c r="N67" s="25"/>
      <c r="O67" s="64"/>
    </row>
    <row r="68" spans="2:15" x14ac:dyDescent="0.25">
      <c r="B68" s="62">
        <v>52</v>
      </c>
      <c r="C68" s="256" t="s">
        <v>275</v>
      </c>
      <c r="D68" s="256"/>
      <c r="E68" s="256"/>
      <c r="F68" s="256"/>
      <c r="G68" s="256"/>
      <c r="H68" s="256"/>
      <c r="I68" s="256"/>
      <c r="J68" s="11">
        <v>4450</v>
      </c>
      <c r="K68" s="12">
        <v>43518</v>
      </c>
      <c r="L68" s="59"/>
      <c r="M68" s="64"/>
      <c r="N68" s="64" t="s">
        <v>194</v>
      </c>
      <c r="O68" s="64"/>
    </row>
    <row r="69" spans="2:15" x14ac:dyDescent="0.25">
      <c r="B69" s="62">
        <v>53</v>
      </c>
      <c r="C69" s="256" t="s">
        <v>276</v>
      </c>
      <c r="D69" s="256"/>
      <c r="E69" s="256"/>
      <c r="F69" s="256"/>
      <c r="G69" s="256"/>
      <c r="H69" s="256"/>
      <c r="I69" s="256"/>
      <c r="J69" s="11">
        <v>18000000</v>
      </c>
      <c r="K69" s="12">
        <v>43518</v>
      </c>
      <c r="L69" s="59"/>
      <c r="M69" s="64"/>
      <c r="N69" s="25"/>
      <c r="O69" s="64"/>
    </row>
    <row r="70" spans="2:15" x14ac:dyDescent="0.25">
      <c r="B70" s="62">
        <v>54</v>
      </c>
      <c r="C70" s="256" t="s">
        <v>277</v>
      </c>
      <c r="D70" s="256"/>
      <c r="E70" s="256"/>
      <c r="F70" s="256"/>
      <c r="G70" s="256"/>
      <c r="H70" s="256"/>
      <c r="I70" s="256"/>
      <c r="J70" s="11">
        <v>12535000</v>
      </c>
      <c r="K70" s="12">
        <v>43522</v>
      </c>
      <c r="L70" s="59"/>
      <c r="M70" s="64"/>
      <c r="N70" s="64" t="s">
        <v>278</v>
      </c>
      <c r="O70" s="64"/>
    </row>
    <row r="71" spans="2:15" x14ac:dyDescent="0.25">
      <c r="B71" s="62">
        <v>55</v>
      </c>
      <c r="C71" s="256" t="s">
        <v>279</v>
      </c>
      <c r="D71" s="256"/>
      <c r="E71" s="256"/>
      <c r="F71" s="256"/>
      <c r="G71" s="256"/>
      <c r="H71" s="256"/>
      <c r="I71" s="256"/>
      <c r="J71" s="11">
        <v>2430000</v>
      </c>
      <c r="K71" s="12">
        <v>43523</v>
      </c>
      <c r="L71" s="59"/>
      <c r="M71" s="64"/>
      <c r="N71" s="64" t="s">
        <v>280</v>
      </c>
      <c r="O71" s="64"/>
    </row>
    <row r="72" spans="2:15" x14ac:dyDescent="0.25">
      <c r="B72" s="62">
        <v>56</v>
      </c>
      <c r="C72" s="256" t="s">
        <v>281</v>
      </c>
      <c r="D72" s="256"/>
      <c r="E72" s="256"/>
      <c r="F72" s="256"/>
      <c r="G72" s="256"/>
      <c r="H72" s="256"/>
      <c r="I72" s="256"/>
      <c r="J72" s="11">
        <v>7985000</v>
      </c>
      <c r="K72" s="12">
        <v>43523</v>
      </c>
      <c r="L72" s="59"/>
      <c r="M72" s="64"/>
      <c r="N72" s="64" t="s">
        <v>282</v>
      </c>
      <c r="O72" s="64"/>
    </row>
    <row r="73" spans="2:15" x14ac:dyDescent="0.25">
      <c r="B73" s="62">
        <v>57</v>
      </c>
      <c r="C73" s="256" t="s">
        <v>283</v>
      </c>
      <c r="D73" s="256"/>
      <c r="E73" s="256"/>
      <c r="F73" s="256"/>
      <c r="G73" s="256"/>
      <c r="H73" s="256"/>
      <c r="I73" s="256"/>
      <c r="J73" s="11">
        <v>590000</v>
      </c>
      <c r="K73" s="12">
        <v>43524</v>
      </c>
      <c r="L73" s="59"/>
      <c r="M73" s="64"/>
      <c r="N73" s="64" t="s">
        <v>284</v>
      </c>
      <c r="O73" s="64"/>
    </row>
    <row r="74" spans="2:15" x14ac:dyDescent="0.25">
      <c r="B74" s="62">
        <v>58</v>
      </c>
      <c r="C74" s="256" t="s">
        <v>285</v>
      </c>
      <c r="D74" s="256"/>
      <c r="E74" s="256"/>
      <c r="F74" s="256"/>
      <c r="G74" s="256"/>
      <c r="H74" s="256"/>
      <c r="I74" s="256"/>
      <c r="J74" s="11">
        <v>3293000</v>
      </c>
      <c r="K74" s="12">
        <v>43525</v>
      </c>
      <c r="L74" s="59"/>
      <c r="M74" s="64"/>
      <c r="N74" s="64" t="s">
        <v>286</v>
      </c>
      <c r="O74" s="64"/>
    </row>
    <row r="75" spans="2:15" x14ac:dyDescent="0.25">
      <c r="B75" s="62">
        <v>59</v>
      </c>
      <c r="C75" s="256" t="s">
        <v>287</v>
      </c>
      <c r="D75" s="256"/>
      <c r="E75" s="256"/>
      <c r="F75" s="256"/>
      <c r="G75" s="256"/>
      <c r="H75" s="256"/>
      <c r="I75" s="256"/>
      <c r="J75" s="11">
        <v>330000</v>
      </c>
      <c r="K75" s="12">
        <v>43525</v>
      </c>
      <c r="L75" s="12"/>
      <c r="M75" s="64"/>
      <c r="N75" s="64" t="s">
        <v>192</v>
      </c>
      <c r="O75" s="64"/>
    </row>
    <row r="76" spans="2:15" x14ac:dyDescent="0.25">
      <c r="B76" s="62">
        <v>60</v>
      </c>
      <c r="C76" s="256" t="s">
        <v>288</v>
      </c>
      <c r="D76" s="256"/>
      <c r="E76" s="256"/>
      <c r="F76" s="256"/>
      <c r="G76" s="256"/>
      <c r="H76" s="256"/>
      <c r="I76" s="256"/>
      <c r="J76" s="11">
        <v>990000</v>
      </c>
      <c r="K76" s="12">
        <v>43528</v>
      </c>
      <c r="L76" s="59"/>
      <c r="M76" s="64"/>
      <c r="N76" s="64" t="s">
        <v>289</v>
      </c>
      <c r="O76" s="64"/>
    </row>
    <row r="77" spans="2:15" x14ac:dyDescent="0.25">
      <c r="B77" s="62">
        <v>61</v>
      </c>
      <c r="C77" s="256" t="s">
        <v>290</v>
      </c>
      <c r="D77" s="256"/>
      <c r="E77" s="256"/>
      <c r="F77" s="256"/>
      <c r="G77" s="256"/>
      <c r="H77" s="256"/>
      <c r="I77" s="256"/>
      <c r="J77" s="11">
        <v>14926000</v>
      </c>
      <c r="K77" s="12">
        <v>43529</v>
      </c>
      <c r="L77" s="12"/>
      <c r="M77" s="64"/>
      <c r="N77" s="64" t="s">
        <v>291</v>
      </c>
      <c r="O77" s="64"/>
    </row>
    <row r="78" spans="2:15" x14ac:dyDescent="0.25">
      <c r="B78" s="62">
        <v>62</v>
      </c>
      <c r="C78" s="256" t="s">
        <v>292</v>
      </c>
      <c r="D78" s="256"/>
      <c r="E78" s="256"/>
      <c r="F78" s="256"/>
      <c r="G78" s="256"/>
      <c r="H78" s="256"/>
      <c r="I78" s="256"/>
      <c r="J78" s="11">
        <v>320000</v>
      </c>
      <c r="K78" s="12">
        <v>43529</v>
      </c>
      <c r="L78" s="59"/>
      <c r="M78" s="64"/>
      <c r="N78" s="64" t="s">
        <v>192</v>
      </c>
      <c r="O78" s="64"/>
    </row>
    <row r="79" spans="2:15" x14ac:dyDescent="0.25">
      <c r="B79" s="13">
        <v>63</v>
      </c>
      <c r="C79" s="229" t="s">
        <v>293</v>
      </c>
      <c r="D79" s="229"/>
      <c r="E79" s="229"/>
      <c r="F79" s="229"/>
      <c r="G79" s="229"/>
      <c r="H79" s="229"/>
      <c r="I79" s="229"/>
      <c r="J79" s="11">
        <v>650000</v>
      </c>
      <c r="K79" s="12">
        <v>43529</v>
      </c>
      <c r="L79" s="12"/>
      <c r="M79" s="64"/>
      <c r="N79" s="64" t="s">
        <v>291</v>
      </c>
      <c r="O79" s="64"/>
    </row>
    <row r="80" spans="2:15" x14ac:dyDescent="0.25">
      <c r="B80" s="13">
        <v>63</v>
      </c>
      <c r="C80" s="230" t="s">
        <v>294</v>
      </c>
      <c r="D80" s="231"/>
      <c r="E80" s="231"/>
      <c r="F80" s="231"/>
      <c r="G80" s="231"/>
      <c r="H80" s="231"/>
      <c r="I80" s="232"/>
      <c r="J80" s="11">
        <v>1620000</v>
      </c>
      <c r="K80" s="12">
        <v>43535</v>
      </c>
      <c r="L80" s="12"/>
      <c r="M80" s="64"/>
      <c r="N80" s="64" t="s">
        <v>291</v>
      </c>
      <c r="O80" s="64"/>
    </row>
    <row r="81" spans="2:15" x14ac:dyDescent="0.25">
      <c r="B81" s="62">
        <v>64</v>
      </c>
      <c r="C81" s="229" t="s">
        <v>295</v>
      </c>
      <c r="D81" s="229"/>
      <c r="E81" s="229"/>
      <c r="F81" s="229"/>
      <c r="G81" s="229"/>
      <c r="H81" s="229"/>
      <c r="I81" s="229"/>
      <c r="J81" s="11">
        <v>1016</v>
      </c>
      <c r="K81" s="12">
        <v>43529</v>
      </c>
      <c r="L81" s="12"/>
      <c r="M81" s="64"/>
      <c r="N81" s="64" t="s">
        <v>194</v>
      </c>
      <c r="O81" s="64"/>
    </row>
    <row r="82" spans="2:15" x14ac:dyDescent="0.25">
      <c r="B82" s="62">
        <v>65</v>
      </c>
      <c r="C82" s="229" t="s">
        <v>296</v>
      </c>
      <c r="D82" s="229"/>
      <c r="E82" s="229"/>
      <c r="F82" s="229"/>
      <c r="G82" s="229"/>
      <c r="H82" s="229"/>
      <c r="I82" s="229"/>
      <c r="J82" s="11">
        <v>2740000</v>
      </c>
      <c r="K82" s="12">
        <v>43529</v>
      </c>
      <c r="L82" s="12"/>
      <c r="M82" s="64"/>
      <c r="N82" s="64" t="s">
        <v>297</v>
      </c>
      <c r="O82" s="64"/>
    </row>
    <row r="83" spans="2:15" x14ac:dyDescent="0.25">
      <c r="B83" s="61">
        <v>66</v>
      </c>
      <c r="C83" s="228" t="s">
        <v>298</v>
      </c>
      <c r="D83" s="228"/>
      <c r="E83" s="228"/>
      <c r="F83" s="228"/>
      <c r="G83" s="228"/>
      <c r="H83" s="228"/>
      <c r="I83" s="228"/>
      <c r="J83" s="27">
        <v>550000</v>
      </c>
      <c r="K83" s="28">
        <v>43529</v>
      </c>
      <c r="L83" s="61"/>
      <c r="M83" s="25"/>
      <c r="N83" s="25"/>
      <c r="O83" s="25"/>
    </row>
    <row r="84" spans="2:15" x14ac:dyDescent="0.25">
      <c r="B84" s="62">
        <v>67</v>
      </c>
      <c r="C84" s="229" t="s">
        <v>299</v>
      </c>
      <c r="D84" s="229"/>
      <c r="E84" s="229"/>
      <c r="F84" s="229"/>
      <c r="G84" s="229"/>
      <c r="H84" s="229"/>
      <c r="I84" s="229"/>
      <c r="J84" s="11">
        <v>19995000</v>
      </c>
      <c r="K84" s="12">
        <v>43531</v>
      </c>
      <c r="L84" s="12"/>
      <c r="M84" s="64"/>
      <c r="N84" s="64" t="s">
        <v>264</v>
      </c>
      <c r="O84" s="64"/>
    </row>
    <row r="85" spans="2:15" x14ac:dyDescent="0.25">
      <c r="B85" s="62">
        <v>68</v>
      </c>
      <c r="C85" s="229" t="s">
        <v>300</v>
      </c>
      <c r="D85" s="229"/>
      <c r="E85" s="229"/>
      <c r="F85" s="229"/>
      <c r="G85" s="229"/>
      <c r="H85" s="229"/>
      <c r="I85" s="229"/>
      <c r="J85" s="11" t="s">
        <v>150</v>
      </c>
      <c r="K85" s="12">
        <v>43531</v>
      </c>
      <c r="L85" s="59"/>
      <c r="M85" s="64"/>
      <c r="N85" s="64" t="s">
        <v>301</v>
      </c>
      <c r="O85" s="64"/>
    </row>
    <row r="86" spans="2:15" x14ac:dyDescent="0.25">
      <c r="B86" s="62">
        <v>69</v>
      </c>
      <c r="C86" s="229" t="s">
        <v>302</v>
      </c>
      <c r="D86" s="229"/>
      <c r="E86" s="229"/>
      <c r="F86" s="229"/>
      <c r="G86" s="229"/>
      <c r="H86" s="229"/>
      <c r="I86" s="229"/>
      <c r="J86" s="11">
        <v>14586000</v>
      </c>
      <c r="K86" s="12">
        <v>43531</v>
      </c>
      <c r="L86" s="59"/>
      <c r="M86" s="64"/>
      <c r="N86" s="64" t="s">
        <v>303</v>
      </c>
      <c r="O86" s="64"/>
    </row>
    <row r="87" spans="2:15" x14ac:dyDescent="0.25">
      <c r="B87" s="62">
        <v>70</v>
      </c>
      <c r="C87" s="229" t="s">
        <v>304</v>
      </c>
      <c r="D87" s="229"/>
      <c r="E87" s="229"/>
      <c r="F87" s="229"/>
      <c r="G87" s="229"/>
      <c r="H87" s="229"/>
      <c r="I87" s="229"/>
      <c r="J87" s="11">
        <v>18440000</v>
      </c>
      <c r="K87" s="12">
        <v>43531</v>
      </c>
      <c r="L87" s="59"/>
      <c r="M87" s="64"/>
      <c r="N87" s="14" t="s">
        <v>305</v>
      </c>
      <c r="O87" s="64"/>
    </row>
    <row r="88" spans="2:15" x14ac:dyDescent="0.25">
      <c r="B88" s="62">
        <v>71</v>
      </c>
      <c r="C88" s="229" t="s">
        <v>306</v>
      </c>
      <c r="D88" s="229"/>
      <c r="E88" s="229"/>
      <c r="F88" s="229"/>
      <c r="G88" s="229"/>
      <c r="H88" s="229"/>
      <c r="I88" s="229"/>
      <c r="J88" s="11">
        <v>14900000</v>
      </c>
      <c r="K88" s="12">
        <v>43532</v>
      </c>
      <c r="L88" s="59"/>
      <c r="M88" s="64"/>
      <c r="N88" s="64" t="s">
        <v>307</v>
      </c>
      <c r="O88" s="64"/>
    </row>
    <row r="89" spans="2:15" x14ac:dyDescent="0.25">
      <c r="B89" s="62">
        <v>72</v>
      </c>
      <c r="C89" s="229" t="s">
        <v>308</v>
      </c>
      <c r="D89" s="229"/>
      <c r="E89" s="229"/>
      <c r="F89" s="229"/>
      <c r="G89" s="229"/>
      <c r="H89" s="229"/>
      <c r="I89" s="229"/>
      <c r="J89" s="11">
        <v>11763000</v>
      </c>
      <c r="K89" s="12">
        <v>43532</v>
      </c>
      <c r="L89" s="59"/>
      <c r="M89" s="64"/>
      <c r="N89" s="64" t="s">
        <v>309</v>
      </c>
      <c r="O89" s="64"/>
    </row>
    <row r="90" spans="2:15" x14ac:dyDescent="0.25">
      <c r="B90" s="62">
        <v>73</v>
      </c>
      <c r="C90" s="229" t="s">
        <v>310</v>
      </c>
      <c r="D90" s="229"/>
      <c r="E90" s="229"/>
      <c r="F90" s="229"/>
      <c r="G90" s="229"/>
      <c r="H90" s="229"/>
      <c r="I90" s="229"/>
      <c r="J90" s="11">
        <v>11250000</v>
      </c>
      <c r="K90" s="12">
        <v>43532</v>
      </c>
      <c r="L90" s="59"/>
      <c r="M90" s="64"/>
      <c r="N90" s="64" t="s">
        <v>311</v>
      </c>
      <c r="O90" s="64"/>
    </row>
    <row r="91" spans="2:15" x14ac:dyDescent="0.25">
      <c r="B91" s="61">
        <v>74</v>
      </c>
      <c r="C91" s="228" t="s">
        <v>312</v>
      </c>
      <c r="D91" s="228"/>
      <c r="E91" s="228"/>
      <c r="F91" s="228"/>
      <c r="G91" s="228"/>
      <c r="H91" s="228"/>
      <c r="I91" s="228"/>
      <c r="J91" s="27">
        <v>1620000</v>
      </c>
      <c r="K91" s="28">
        <v>43535</v>
      </c>
      <c r="L91" s="61"/>
      <c r="M91" s="25"/>
      <c r="N91" s="25"/>
      <c r="O91" s="25"/>
    </row>
    <row r="92" spans="2:15" x14ac:dyDescent="0.25">
      <c r="B92" s="62">
        <v>75</v>
      </c>
      <c r="C92" s="256" t="s">
        <v>313</v>
      </c>
      <c r="D92" s="256"/>
      <c r="E92" s="256"/>
      <c r="F92" s="256"/>
      <c r="G92" s="256"/>
      <c r="H92" s="256"/>
      <c r="I92" s="256"/>
      <c r="J92" s="11">
        <v>13755000</v>
      </c>
      <c r="K92" s="12">
        <v>43536</v>
      </c>
      <c r="L92" s="59"/>
      <c r="M92" s="64"/>
      <c r="N92" s="64" t="s">
        <v>212</v>
      </c>
      <c r="O92" s="64"/>
    </row>
    <row r="93" spans="2:15" x14ac:dyDescent="0.25">
      <c r="B93" s="62">
        <v>76</v>
      </c>
      <c r="C93" s="256" t="s">
        <v>314</v>
      </c>
      <c r="D93" s="256"/>
      <c r="E93" s="256"/>
      <c r="F93" s="256"/>
      <c r="G93" s="256"/>
      <c r="H93" s="256"/>
      <c r="I93" s="256"/>
      <c r="J93" s="11">
        <v>2100000</v>
      </c>
      <c r="K93" s="12">
        <v>43536</v>
      </c>
      <c r="L93" s="59"/>
      <c r="M93" s="64"/>
      <c r="N93" s="64" t="s">
        <v>315</v>
      </c>
      <c r="O93" s="64"/>
    </row>
    <row r="94" spans="2:15" x14ac:dyDescent="0.25">
      <c r="B94" s="62">
        <v>77</v>
      </c>
      <c r="C94" s="256" t="s">
        <v>316</v>
      </c>
      <c r="D94" s="256"/>
      <c r="E94" s="256"/>
      <c r="F94" s="256"/>
      <c r="G94" s="256"/>
      <c r="H94" s="256"/>
      <c r="I94" s="256"/>
      <c r="J94" s="11">
        <v>9588</v>
      </c>
      <c r="K94" s="12">
        <v>43537</v>
      </c>
      <c r="L94" s="59"/>
      <c r="M94" s="64"/>
      <c r="N94" s="64" t="s">
        <v>194</v>
      </c>
      <c r="O94" s="64"/>
    </row>
    <row r="95" spans="2:15" x14ac:dyDescent="0.25">
      <c r="B95" s="62">
        <v>78</v>
      </c>
      <c r="C95" s="256" t="s">
        <v>172</v>
      </c>
      <c r="D95" s="256"/>
      <c r="E95" s="256"/>
      <c r="F95" s="256"/>
      <c r="G95" s="256"/>
      <c r="H95" s="256"/>
      <c r="I95" s="256"/>
      <c r="J95" s="11">
        <v>16165000</v>
      </c>
      <c r="K95" s="12">
        <v>43538</v>
      </c>
      <c r="L95" s="59"/>
      <c r="M95" s="64"/>
      <c r="N95" s="64" t="s">
        <v>317</v>
      </c>
      <c r="O95" s="64"/>
    </row>
    <row r="96" spans="2:15" x14ac:dyDescent="0.25">
      <c r="B96" s="62">
        <v>79</v>
      </c>
      <c r="C96" s="256" t="s">
        <v>173</v>
      </c>
      <c r="D96" s="256"/>
      <c r="E96" s="256"/>
      <c r="F96" s="256"/>
      <c r="G96" s="256"/>
      <c r="H96" s="256"/>
      <c r="I96" s="256"/>
      <c r="J96" s="11">
        <v>10720000</v>
      </c>
      <c r="K96" s="12">
        <v>43538</v>
      </c>
      <c r="L96" s="59"/>
      <c r="M96" s="64"/>
      <c r="N96" s="64" t="s">
        <v>317</v>
      </c>
      <c r="O96" s="64"/>
    </row>
    <row r="97" spans="2:16" x14ac:dyDescent="0.25">
      <c r="B97" s="62">
        <v>80</v>
      </c>
      <c r="C97" s="256" t="s">
        <v>318</v>
      </c>
      <c r="D97" s="256"/>
      <c r="E97" s="256"/>
      <c r="F97" s="256"/>
      <c r="G97" s="256"/>
      <c r="H97" s="256"/>
      <c r="I97" s="256"/>
      <c r="J97" s="11">
        <v>2820000</v>
      </c>
      <c r="K97" s="12">
        <v>43539</v>
      </c>
      <c r="L97" s="59"/>
      <c r="M97" s="64"/>
      <c r="N97" s="64" t="s">
        <v>192</v>
      </c>
      <c r="O97" s="64"/>
    </row>
    <row r="98" spans="2:16" x14ac:dyDescent="0.25">
      <c r="B98" s="62">
        <v>81</v>
      </c>
      <c r="C98" s="256" t="s">
        <v>319</v>
      </c>
      <c r="D98" s="256"/>
      <c r="E98" s="256"/>
      <c r="F98" s="256"/>
      <c r="G98" s="256"/>
      <c r="H98" s="256"/>
      <c r="I98" s="256"/>
      <c r="J98" s="11" t="s">
        <v>150</v>
      </c>
      <c r="K98" s="12">
        <v>43539</v>
      </c>
      <c r="L98" s="59"/>
      <c r="M98" s="64"/>
      <c r="N98" s="64" t="s">
        <v>320</v>
      </c>
      <c r="O98" s="64"/>
    </row>
    <row r="99" spans="2:16" x14ac:dyDescent="0.25">
      <c r="B99" s="62">
        <v>82</v>
      </c>
      <c r="C99" s="256" t="s">
        <v>321</v>
      </c>
      <c r="D99" s="256"/>
      <c r="E99" s="256"/>
      <c r="F99" s="256"/>
      <c r="G99" s="256"/>
      <c r="H99" s="256"/>
      <c r="I99" s="256"/>
      <c r="J99" s="11">
        <v>8955000</v>
      </c>
      <c r="K99" s="12">
        <v>43539</v>
      </c>
      <c r="L99" s="59"/>
      <c r="M99" s="64"/>
      <c r="N99" s="64" t="s">
        <v>289</v>
      </c>
      <c r="O99" s="64"/>
    </row>
    <row r="100" spans="2:16" x14ac:dyDescent="0.25">
      <c r="B100" s="62">
        <v>83</v>
      </c>
      <c r="C100" s="256" t="s">
        <v>322</v>
      </c>
      <c r="D100" s="256"/>
      <c r="E100" s="256"/>
      <c r="F100" s="256"/>
      <c r="G100" s="256"/>
      <c r="H100" s="256"/>
      <c r="I100" s="256"/>
      <c r="J100" s="11">
        <v>1317000</v>
      </c>
      <c r="K100" s="12">
        <v>43542</v>
      </c>
      <c r="L100" s="59"/>
      <c r="M100" s="64"/>
      <c r="N100" s="25"/>
      <c r="O100" s="64"/>
      <c r="P100" s="18"/>
    </row>
    <row r="101" spans="2:16" x14ac:dyDescent="0.25">
      <c r="B101" s="62">
        <v>84</v>
      </c>
      <c r="C101" s="256" t="s">
        <v>323</v>
      </c>
      <c r="D101" s="256"/>
      <c r="E101" s="256"/>
      <c r="F101" s="256"/>
      <c r="G101" s="256"/>
      <c r="H101" s="256"/>
      <c r="I101" s="256"/>
      <c r="J101" s="11">
        <v>5990000</v>
      </c>
      <c r="K101" s="12">
        <v>43542</v>
      </c>
      <c r="L101" s="59"/>
      <c r="M101" s="64"/>
      <c r="N101" s="64" t="s">
        <v>324</v>
      </c>
      <c r="O101" s="64"/>
      <c r="P101" s="18"/>
    </row>
    <row r="102" spans="2:16" x14ac:dyDescent="0.25">
      <c r="B102" s="62">
        <v>85</v>
      </c>
      <c r="C102" s="256" t="s">
        <v>325</v>
      </c>
      <c r="D102" s="256"/>
      <c r="E102" s="256"/>
      <c r="F102" s="256"/>
      <c r="G102" s="256"/>
      <c r="H102" s="256"/>
      <c r="I102" s="256"/>
      <c r="J102" s="11">
        <v>9970000</v>
      </c>
      <c r="K102" s="12">
        <v>43543</v>
      </c>
      <c r="L102" s="59"/>
      <c r="M102" s="64"/>
      <c r="N102" s="64" t="s">
        <v>326</v>
      </c>
      <c r="O102" s="64"/>
    </row>
    <row r="103" spans="2:16" x14ac:dyDescent="0.25">
      <c r="B103" s="62">
        <v>86</v>
      </c>
      <c r="C103" s="256" t="s">
        <v>327</v>
      </c>
      <c r="D103" s="256"/>
      <c r="E103" s="256"/>
      <c r="F103" s="256"/>
      <c r="G103" s="256"/>
      <c r="H103" s="256"/>
      <c r="I103" s="256"/>
      <c r="J103" s="11">
        <v>12800000</v>
      </c>
      <c r="K103" s="12">
        <v>43543</v>
      </c>
      <c r="L103" s="59"/>
      <c r="M103" s="64"/>
      <c r="N103" s="64" t="s">
        <v>212</v>
      </c>
      <c r="O103" s="64"/>
    </row>
    <row r="104" spans="2:16" x14ac:dyDescent="0.25">
      <c r="B104" s="62">
        <v>87</v>
      </c>
      <c r="C104" s="256" t="s">
        <v>328</v>
      </c>
      <c r="D104" s="256"/>
      <c r="E104" s="256"/>
      <c r="F104" s="256"/>
      <c r="G104" s="256"/>
      <c r="H104" s="256"/>
      <c r="I104" s="256"/>
      <c r="J104" s="11">
        <v>4450000</v>
      </c>
      <c r="K104" s="12">
        <v>43545</v>
      </c>
      <c r="L104" s="59"/>
      <c r="M104" s="64"/>
      <c r="N104" s="64" t="s">
        <v>329</v>
      </c>
      <c r="O104" s="64"/>
    </row>
    <row r="105" spans="2:16" x14ac:dyDescent="0.25">
      <c r="B105" s="62">
        <v>88</v>
      </c>
      <c r="C105" s="256" t="s">
        <v>330</v>
      </c>
      <c r="D105" s="256"/>
      <c r="E105" s="256"/>
      <c r="F105" s="256"/>
      <c r="G105" s="256"/>
      <c r="H105" s="256"/>
      <c r="I105" s="256"/>
      <c r="J105" s="11">
        <v>7250000</v>
      </c>
      <c r="K105" s="12">
        <v>43546</v>
      </c>
      <c r="L105" s="59"/>
      <c r="M105" s="64"/>
      <c r="N105" s="64" t="s">
        <v>331</v>
      </c>
      <c r="O105" s="64"/>
    </row>
    <row r="106" spans="2:16" x14ac:dyDescent="0.25">
      <c r="B106" s="62">
        <v>89</v>
      </c>
      <c r="C106" s="256" t="s">
        <v>332</v>
      </c>
      <c r="D106" s="256"/>
      <c r="E106" s="256"/>
      <c r="F106" s="256"/>
      <c r="G106" s="256"/>
      <c r="H106" s="256"/>
      <c r="I106" s="256"/>
      <c r="J106" s="11">
        <v>1590000</v>
      </c>
      <c r="K106" s="12">
        <v>43546</v>
      </c>
      <c r="L106" s="59"/>
      <c r="M106" s="64"/>
      <c r="N106" s="64" t="s">
        <v>333</v>
      </c>
      <c r="O106" s="64"/>
    </row>
    <row r="107" spans="2:16" x14ac:dyDescent="0.25">
      <c r="B107" s="62">
        <v>90</v>
      </c>
      <c r="C107" s="256" t="s">
        <v>334</v>
      </c>
      <c r="D107" s="256"/>
      <c r="E107" s="256"/>
      <c r="F107" s="256"/>
      <c r="G107" s="256"/>
      <c r="H107" s="256"/>
      <c r="I107" s="256"/>
      <c r="J107" s="11">
        <v>15935000</v>
      </c>
      <c r="K107" s="12">
        <v>43550</v>
      </c>
      <c r="L107" s="59"/>
      <c r="M107" s="64"/>
      <c r="N107" s="64" t="s">
        <v>335</v>
      </c>
      <c r="O107" s="64"/>
    </row>
    <row r="108" spans="2:16" x14ac:dyDescent="0.25">
      <c r="B108" s="62">
        <v>91</v>
      </c>
      <c r="C108" s="256" t="s">
        <v>336</v>
      </c>
      <c r="D108" s="256"/>
      <c r="E108" s="256"/>
      <c r="F108" s="256"/>
      <c r="G108" s="256"/>
      <c r="H108" s="256"/>
      <c r="I108" s="256"/>
      <c r="J108" s="11">
        <v>1980000</v>
      </c>
      <c r="K108" s="12">
        <v>43550</v>
      </c>
      <c r="L108" s="59"/>
      <c r="M108" s="64"/>
      <c r="N108" s="64" t="s">
        <v>337</v>
      </c>
      <c r="O108" s="64"/>
    </row>
    <row r="109" spans="2:16" x14ac:dyDescent="0.25">
      <c r="B109" s="62">
        <v>92</v>
      </c>
      <c r="C109" s="256" t="s">
        <v>338</v>
      </c>
      <c r="D109" s="256"/>
      <c r="E109" s="256"/>
      <c r="F109" s="256"/>
      <c r="G109" s="256"/>
      <c r="H109" s="256"/>
      <c r="I109" s="256"/>
      <c r="J109" s="11">
        <v>6585000</v>
      </c>
      <c r="K109" s="12">
        <v>43551</v>
      </c>
      <c r="L109" s="59"/>
      <c r="M109" s="64"/>
      <c r="N109" s="64" t="s">
        <v>212</v>
      </c>
      <c r="O109" s="64"/>
    </row>
    <row r="110" spans="2:16" x14ac:dyDescent="0.25">
      <c r="B110" s="62">
        <v>93</v>
      </c>
      <c r="C110" s="256" t="s">
        <v>339</v>
      </c>
      <c r="D110" s="256"/>
      <c r="E110" s="256"/>
      <c r="F110" s="256"/>
      <c r="G110" s="256"/>
      <c r="H110" s="256"/>
      <c r="I110" s="256"/>
      <c r="J110" s="11">
        <v>8895000</v>
      </c>
      <c r="K110" s="12">
        <v>43551</v>
      </c>
      <c r="L110" s="59"/>
      <c r="M110" s="64"/>
      <c r="N110" s="64" t="s">
        <v>340</v>
      </c>
      <c r="O110" s="64"/>
    </row>
    <row r="111" spans="2:16" x14ac:dyDescent="0.25">
      <c r="B111" s="62">
        <v>94</v>
      </c>
      <c r="C111" s="256" t="s">
        <v>341</v>
      </c>
      <c r="D111" s="256"/>
      <c r="E111" s="256"/>
      <c r="F111" s="256"/>
      <c r="G111" s="256"/>
      <c r="H111" s="256"/>
      <c r="I111" s="256"/>
      <c r="J111" s="11">
        <v>7990000</v>
      </c>
      <c r="K111" s="12">
        <v>43552</v>
      </c>
      <c r="L111" s="59"/>
      <c r="M111" s="64"/>
      <c r="N111" s="64" t="s">
        <v>342</v>
      </c>
      <c r="O111" s="64"/>
    </row>
    <row r="112" spans="2:16" x14ac:dyDescent="0.25">
      <c r="B112" s="62">
        <v>95</v>
      </c>
      <c r="C112" s="256" t="s">
        <v>343</v>
      </c>
      <c r="D112" s="256"/>
      <c r="E112" s="256"/>
      <c r="F112" s="256"/>
      <c r="G112" s="256"/>
      <c r="H112" s="256"/>
      <c r="I112" s="256"/>
      <c r="J112" s="11">
        <v>1650000</v>
      </c>
      <c r="K112" s="12">
        <v>43556</v>
      </c>
      <c r="L112" s="59"/>
      <c r="M112" s="64"/>
      <c r="N112" s="64" t="s">
        <v>344</v>
      </c>
      <c r="O112" s="64"/>
    </row>
    <row r="113" spans="1:15" x14ac:dyDescent="0.25">
      <c r="B113" s="61">
        <v>96</v>
      </c>
      <c r="C113" s="228" t="s">
        <v>345</v>
      </c>
      <c r="D113" s="228"/>
      <c r="E113" s="228"/>
      <c r="F113" s="228"/>
      <c r="G113" s="228"/>
      <c r="H113" s="228"/>
      <c r="I113" s="228"/>
      <c r="J113" s="27">
        <v>320000</v>
      </c>
      <c r="K113" s="28">
        <v>43556</v>
      </c>
      <c r="L113" s="61"/>
      <c r="M113" s="25"/>
      <c r="N113" s="25"/>
      <c r="O113" s="25"/>
    </row>
    <row r="114" spans="1:15" x14ac:dyDescent="0.25">
      <c r="B114" s="62">
        <v>97</v>
      </c>
      <c r="C114" s="229" t="s">
        <v>346</v>
      </c>
      <c r="D114" s="229"/>
      <c r="E114" s="229"/>
      <c r="F114" s="229"/>
      <c r="G114" s="229"/>
      <c r="H114" s="229"/>
      <c r="I114" s="229"/>
      <c r="J114" s="11">
        <v>2950000</v>
      </c>
      <c r="K114" s="12">
        <v>43557</v>
      </c>
      <c r="L114" s="59"/>
      <c r="M114" s="64"/>
      <c r="N114" s="64" t="s">
        <v>212</v>
      </c>
      <c r="O114" s="64"/>
    </row>
    <row r="115" spans="1:15" x14ac:dyDescent="0.25">
      <c r="B115" s="62">
        <v>98</v>
      </c>
      <c r="C115" s="229" t="s">
        <v>347</v>
      </c>
      <c r="D115" s="229"/>
      <c r="E115" s="229"/>
      <c r="F115" s="229"/>
      <c r="G115" s="229"/>
      <c r="H115" s="229"/>
      <c r="I115" s="229"/>
      <c r="J115" s="11">
        <v>560000</v>
      </c>
      <c r="K115" s="12">
        <v>43558</v>
      </c>
      <c r="L115" s="59"/>
      <c r="M115" s="64"/>
      <c r="N115" s="64" t="s">
        <v>192</v>
      </c>
      <c r="O115" s="64"/>
    </row>
    <row r="116" spans="1:15" x14ac:dyDescent="0.25">
      <c r="B116" s="62">
        <v>99</v>
      </c>
      <c r="C116" s="229" t="s">
        <v>348</v>
      </c>
      <c r="D116" s="229"/>
      <c r="E116" s="229"/>
      <c r="F116" s="229"/>
      <c r="G116" s="229"/>
      <c r="H116" s="229"/>
      <c r="I116" s="229"/>
      <c r="J116" s="11">
        <v>1500000</v>
      </c>
      <c r="K116" s="12">
        <v>43558</v>
      </c>
      <c r="L116" s="59"/>
      <c r="M116" s="64"/>
      <c r="N116" s="64" t="s">
        <v>192</v>
      </c>
      <c r="O116" s="64"/>
    </row>
    <row r="117" spans="1:15" x14ac:dyDescent="0.25">
      <c r="B117" s="62">
        <v>100</v>
      </c>
      <c r="C117" s="229" t="s">
        <v>349</v>
      </c>
      <c r="D117" s="229"/>
      <c r="E117" s="229"/>
      <c r="F117" s="229"/>
      <c r="G117" s="229"/>
      <c r="H117" s="229"/>
      <c r="I117" s="229"/>
      <c r="J117" s="11">
        <v>32906</v>
      </c>
      <c r="K117" s="12">
        <v>43559</v>
      </c>
      <c r="L117" s="59"/>
      <c r="M117" s="64"/>
      <c r="N117" s="64" t="s">
        <v>194</v>
      </c>
      <c r="O117" s="64"/>
    </row>
    <row r="118" spans="1:15" x14ac:dyDescent="0.25">
      <c r="B118" s="62">
        <v>101</v>
      </c>
      <c r="C118" s="229" t="s">
        <v>321</v>
      </c>
      <c r="D118" s="229"/>
      <c r="E118" s="229"/>
      <c r="F118" s="229"/>
      <c r="G118" s="229"/>
      <c r="H118" s="229"/>
      <c r="I118" s="229"/>
      <c r="J118" s="11">
        <v>8955000</v>
      </c>
      <c r="K118" s="12">
        <v>43559</v>
      </c>
      <c r="L118" s="59"/>
      <c r="M118" s="64"/>
      <c r="N118" s="64" t="s">
        <v>350</v>
      </c>
      <c r="O118" s="64"/>
    </row>
    <row r="119" spans="1:15" x14ac:dyDescent="0.25">
      <c r="B119" s="62">
        <v>102</v>
      </c>
      <c r="C119" s="229" t="s">
        <v>351</v>
      </c>
      <c r="D119" s="229"/>
      <c r="E119" s="229"/>
      <c r="F119" s="229"/>
      <c r="G119" s="229"/>
      <c r="H119" s="229"/>
      <c r="I119" s="229"/>
      <c r="J119" s="11">
        <v>17780000</v>
      </c>
      <c r="K119" s="12">
        <v>43565</v>
      </c>
      <c r="L119" s="59"/>
      <c r="M119" s="64"/>
      <c r="N119" s="64" t="s">
        <v>212</v>
      </c>
      <c r="O119" s="64"/>
    </row>
    <row r="120" spans="1:15" x14ac:dyDescent="0.25">
      <c r="B120" s="61">
        <v>103</v>
      </c>
      <c r="C120" s="228" t="s">
        <v>352</v>
      </c>
      <c r="D120" s="228"/>
      <c r="E120" s="228"/>
      <c r="F120" s="228"/>
      <c r="G120" s="228"/>
      <c r="H120" s="228"/>
      <c r="I120" s="228"/>
      <c r="J120" s="27">
        <v>14835000</v>
      </c>
      <c r="K120" s="28">
        <v>43565</v>
      </c>
      <c r="L120" s="61"/>
      <c r="M120" s="25"/>
      <c r="N120" s="25"/>
      <c r="O120" s="25"/>
    </row>
    <row r="121" spans="1:15" x14ac:dyDescent="0.25">
      <c r="B121" s="61">
        <v>104</v>
      </c>
      <c r="C121" s="228" t="s">
        <v>353</v>
      </c>
      <c r="D121" s="228"/>
      <c r="E121" s="228"/>
      <c r="F121" s="228"/>
      <c r="G121" s="228"/>
      <c r="H121" s="228"/>
      <c r="I121" s="228"/>
      <c r="J121" s="27">
        <v>13050000</v>
      </c>
      <c r="K121" s="28">
        <v>43565</v>
      </c>
      <c r="L121" s="61"/>
      <c r="M121" s="25"/>
      <c r="N121" s="25"/>
      <c r="O121" s="25"/>
    </row>
    <row r="122" spans="1:15" x14ac:dyDescent="0.25">
      <c r="B122" s="62">
        <v>105</v>
      </c>
      <c r="C122" s="229" t="s">
        <v>354</v>
      </c>
      <c r="D122" s="229"/>
      <c r="E122" s="229"/>
      <c r="F122" s="229"/>
      <c r="G122" s="229"/>
      <c r="H122" s="229"/>
      <c r="I122" s="229"/>
      <c r="J122" s="11">
        <v>5950000</v>
      </c>
      <c r="K122" s="12">
        <v>43565</v>
      </c>
      <c r="L122" s="59"/>
      <c r="M122" s="64"/>
      <c r="N122" s="64" t="s">
        <v>355</v>
      </c>
      <c r="O122" s="64"/>
    </row>
    <row r="123" spans="1:15" x14ac:dyDescent="0.25">
      <c r="A123" s="7" t="s">
        <v>268</v>
      </c>
      <c r="B123" s="13">
        <v>106</v>
      </c>
      <c r="C123" s="256" t="s">
        <v>356</v>
      </c>
      <c r="D123" s="256"/>
      <c r="E123" s="256"/>
      <c r="F123" s="256"/>
      <c r="G123" s="256"/>
      <c r="H123" s="256"/>
      <c r="I123" s="256"/>
      <c r="J123" s="21">
        <v>2100000</v>
      </c>
      <c r="K123" s="22">
        <v>43565</v>
      </c>
      <c r="L123" s="62"/>
      <c r="M123" s="63"/>
      <c r="N123" s="63" t="s">
        <v>315</v>
      </c>
      <c r="O123" s="64"/>
    </row>
    <row r="124" spans="1:15" x14ac:dyDescent="0.25">
      <c r="A124" s="7" t="s">
        <v>268</v>
      </c>
      <c r="B124" s="13">
        <v>106</v>
      </c>
      <c r="C124" s="256" t="s">
        <v>357</v>
      </c>
      <c r="D124" s="256"/>
      <c r="E124" s="256"/>
      <c r="F124" s="256"/>
      <c r="G124" s="256"/>
      <c r="H124" s="256"/>
      <c r="I124" s="256"/>
      <c r="J124" s="21" t="s">
        <v>150</v>
      </c>
      <c r="K124" s="22">
        <v>43571</v>
      </c>
      <c r="L124" s="62"/>
      <c r="M124" s="63"/>
      <c r="N124" s="64" t="s">
        <v>358</v>
      </c>
      <c r="O124" s="64"/>
    </row>
    <row r="125" spans="1:15" x14ac:dyDescent="0.25">
      <c r="B125" s="62">
        <v>107</v>
      </c>
      <c r="C125" s="256" t="s">
        <v>359</v>
      </c>
      <c r="D125" s="256"/>
      <c r="E125" s="256"/>
      <c r="F125" s="256"/>
      <c r="G125" s="256"/>
      <c r="H125" s="256"/>
      <c r="I125" s="256"/>
      <c r="J125" s="11" t="s">
        <v>150</v>
      </c>
      <c r="K125" s="12">
        <v>43566</v>
      </c>
      <c r="L125" s="59"/>
      <c r="M125" s="64"/>
      <c r="N125" s="64" t="s">
        <v>340</v>
      </c>
      <c r="O125" s="64"/>
    </row>
    <row r="126" spans="1:15" x14ac:dyDescent="0.25">
      <c r="B126" s="62">
        <v>108</v>
      </c>
      <c r="C126" s="256" t="s">
        <v>359</v>
      </c>
      <c r="D126" s="256"/>
      <c r="E126" s="256"/>
      <c r="F126" s="256"/>
      <c r="G126" s="256"/>
      <c r="H126" s="256"/>
      <c r="I126" s="256"/>
      <c r="J126" s="11">
        <v>31200000</v>
      </c>
      <c r="K126" s="12">
        <v>43571</v>
      </c>
      <c r="L126" s="59"/>
      <c r="M126" s="64"/>
      <c r="N126" s="64" t="s">
        <v>360</v>
      </c>
      <c r="O126" s="64"/>
    </row>
    <row r="127" spans="1:15" x14ac:dyDescent="0.25">
      <c r="B127" s="62">
        <v>109</v>
      </c>
      <c r="C127" s="256" t="s">
        <v>361</v>
      </c>
      <c r="D127" s="256"/>
      <c r="E127" s="256"/>
      <c r="F127" s="256"/>
      <c r="G127" s="256"/>
      <c r="H127" s="256"/>
      <c r="I127" s="256"/>
      <c r="J127" s="11">
        <v>2990000</v>
      </c>
      <c r="K127" s="12">
        <v>43577</v>
      </c>
      <c r="L127" s="59"/>
      <c r="M127" s="64"/>
      <c r="N127" s="64" t="s">
        <v>362</v>
      </c>
      <c r="O127" s="64"/>
    </row>
    <row r="128" spans="1:15" x14ac:dyDescent="0.25">
      <c r="B128" s="62">
        <v>110</v>
      </c>
      <c r="C128" s="256" t="s">
        <v>363</v>
      </c>
      <c r="D128" s="256"/>
      <c r="E128" s="256"/>
      <c r="F128" s="256"/>
      <c r="G128" s="256"/>
      <c r="H128" s="256"/>
      <c r="I128" s="256"/>
      <c r="J128" s="11">
        <v>3770000</v>
      </c>
      <c r="K128" s="12">
        <v>43577</v>
      </c>
      <c r="L128" s="59"/>
      <c r="M128" s="64"/>
      <c r="N128" s="64" t="s">
        <v>364</v>
      </c>
      <c r="O128" s="64"/>
    </row>
    <row r="129" spans="1:15" x14ac:dyDescent="0.25">
      <c r="B129" s="61">
        <v>111</v>
      </c>
      <c r="C129" s="228" t="s">
        <v>365</v>
      </c>
      <c r="D129" s="228"/>
      <c r="E129" s="228"/>
      <c r="F129" s="228"/>
      <c r="G129" s="228"/>
      <c r="H129" s="228"/>
      <c r="I129" s="228"/>
      <c r="J129" s="27">
        <v>4690000</v>
      </c>
      <c r="K129" s="28">
        <v>43577</v>
      </c>
      <c r="L129" s="61"/>
      <c r="M129" s="25"/>
      <c r="N129" s="25"/>
      <c r="O129" s="25"/>
    </row>
    <row r="130" spans="1:15" x14ac:dyDescent="0.25">
      <c r="B130" s="62">
        <v>112</v>
      </c>
      <c r="C130" s="229" t="s">
        <v>366</v>
      </c>
      <c r="D130" s="229"/>
      <c r="E130" s="229"/>
      <c r="F130" s="229"/>
      <c r="G130" s="229"/>
      <c r="H130" s="229"/>
      <c r="I130" s="229"/>
      <c r="J130" s="11">
        <v>10800000</v>
      </c>
      <c r="K130" s="12">
        <v>43585</v>
      </c>
      <c r="L130" s="59"/>
      <c r="M130" s="64"/>
      <c r="N130" s="64" t="s">
        <v>192</v>
      </c>
      <c r="O130" s="64"/>
    </row>
    <row r="131" spans="1:15" x14ac:dyDescent="0.25">
      <c r="B131" s="62">
        <v>113</v>
      </c>
      <c r="C131" s="229" t="s">
        <v>367</v>
      </c>
      <c r="D131" s="229"/>
      <c r="E131" s="229"/>
      <c r="F131" s="229"/>
      <c r="G131" s="229"/>
      <c r="H131" s="229"/>
      <c r="I131" s="229"/>
      <c r="J131" s="11">
        <v>15680000</v>
      </c>
      <c r="K131" s="12">
        <v>43585</v>
      </c>
      <c r="L131" s="59"/>
      <c r="M131" s="64"/>
      <c r="N131" s="23" t="s">
        <v>368</v>
      </c>
      <c r="O131" s="64"/>
    </row>
    <row r="132" spans="1:15" x14ac:dyDescent="0.25">
      <c r="B132" s="62">
        <v>114</v>
      </c>
      <c r="C132" s="229" t="s">
        <v>369</v>
      </c>
      <c r="D132" s="229"/>
      <c r="E132" s="229"/>
      <c r="F132" s="229"/>
      <c r="G132" s="229"/>
      <c r="H132" s="229"/>
      <c r="I132" s="229"/>
      <c r="J132" s="11">
        <v>1710000</v>
      </c>
      <c r="K132" s="12">
        <v>43587</v>
      </c>
      <c r="L132" s="59"/>
      <c r="M132" s="64"/>
      <c r="N132" s="64" t="s">
        <v>370</v>
      </c>
      <c r="O132" s="64"/>
    </row>
    <row r="133" spans="1:15" x14ac:dyDescent="0.25">
      <c r="B133" s="62">
        <v>115</v>
      </c>
      <c r="C133" s="229" t="s">
        <v>371</v>
      </c>
      <c r="D133" s="229"/>
      <c r="E133" s="229"/>
      <c r="F133" s="229"/>
      <c r="G133" s="229"/>
      <c r="H133" s="229"/>
      <c r="I133" s="229"/>
      <c r="J133" s="11">
        <v>7200000</v>
      </c>
      <c r="K133" s="12">
        <v>43588</v>
      </c>
      <c r="L133" s="59"/>
      <c r="M133" s="64"/>
      <c r="N133" s="64" t="s">
        <v>372</v>
      </c>
      <c r="O133" s="64"/>
    </row>
    <row r="134" spans="1:15" x14ac:dyDescent="0.25">
      <c r="B134" s="62">
        <v>116</v>
      </c>
      <c r="C134" s="229" t="s">
        <v>373</v>
      </c>
      <c r="D134" s="229"/>
      <c r="E134" s="229"/>
      <c r="F134" s="229"/>
      <c r="G134" s="229"/>
      <c r="H134" s="229"/>
      <c r="I134" s="229"/>
      <c r="J134" s="16">
        <v>1985000</v>
      </c>
      <c r="K134" s="12">
        <v>43591</v>
      </c>
      <c r="L134" s="59"/>
      <c r="M134" s="64"/>
      <c r="N134" s="64" t="s">
        <v>374</v>
      </c>
      <c r="O134" s="64"/>
    </row>
    <row r="135" spans="1:15" x14ac:dyDescent="0.25">
      <c r="B135" s="62">
        <v>117</v>
      </c>
      <c r="C135" s="229" t="s">
        <v>375</v>
      </c>
      <c r="D135" s="229"/>
      <c r="E135" s="229"/>
      <c r="F135" s="229"/>
      <c r="G135" s="229"/>
      <c r="H135" s="229"/>
      <c r="I135" s="229"/>
      <c r="J135" s="16">
        <v>3100000</v>
      </c>
      <c r="K135" s="12">
        <v>43591</v>
      </c>
      <c r="L135" s="59"/>
      <c r="M135" s="64"/>
      <c r="N135" s="64" t="s">
        <v>192</v>
      </c>
      <c r="O135" s="64"/>
    </row>
    <row r="136" spans="1:15" x14ac:dyDescent="0.25">
      <c r="B136" s="62">
        <v>118</v>
      </c>
      <c r="C136" s="229" t="s">
        <v>376</v>
      </c>
      <c r="D136" s="229"/>
      <c r="E136" s="229"/>
      <c r="F136" s="229"/>
      <c r="G136" s="229"/>
      <c r="H136" s="229"/>
      <c r="I136" s="229"/>
      <c r="J136" s="11">
        <v>13800000</v>
      </c>
      <c r="K136" s="12">
        <v>43591</v>
      </c>
      <c r="L136" s="59"/>
      <c r="M136" s="64"/>
      <c r="N136" s="64" t="s">
        <v>340</v>
      </c>
      <c r="O136" s="64"/>
    </row>
    <row r="137" spans="1:15" x14ac:dyDescent="0.25">
      <c r="B137" s="62">
        <v>119</v>
      </c>
      <c r="C137" s="229" t="s">
        <v>377</v>
      </c>
      <c r="D137" s="229"/>
      <c r="E137" s="229"/>
      <c r="F137" s="229"/>
      <c r="G137" s="229"/>
      <c r="H137" s="229"/>
      <c r="I137" s="229"/>
      <c r="J137" s="11" t="s">
        <v>150</v>
      </c>
      <c r="K137" s="12">
        <v>43592</v>
      </c>
      <c r="L137" s="59"/>
      <c r="M137" s="64"/>
      <c r="N137" s="64" t="s">
        <v>378</v>
      </c>
      <c r="O137" s="64"/>
    </row>
    <row r="138" spans="1:15" x14ac:dyDescent="0.25">
      <c r="B138" s="62">
        <v>120</v>
      </c>
      <c r="C138" s="229" t="s">
        <v>379</v>
      </c>
      <c r="D138" s="229"/>
      <c r="E138" s="229"/>
      <c r="F138" s="229"/>
      <c r="G138" s="229"/>
      <c r="H138" s="229"/>
      <c r="I138" s="229"/>
      <c r="J138" s="11">
        <v>12990000</v>
      </c>
      <c r="K138" s="12">
        <v>43592</v>
      </c>
      <c r="L138" s="59"/>
      <c r="M138" s="64"/>
      <c r="N138" s="64" t="s">
        <v>378</v>
      </c>
      <c r="O138" s="64"/>
    </row>
    <row r="139" spans="1:15" x14ac:dyDescent="0.25">
      <c r="B139" s="62">
        <v>121</v>
      </c>
      <c r="C139" s="229" t="s">
        <v>380</v>
      </c>
      <c r="D139" s="229"/>
      <c r="E139" s="229"/>
      <c r="F139" s="229"/>
      <c r="G139" s="229"/>
      <c r="H139" s="229"/>
      <c r="I139" s="229"/>
      <c r="J139" s="11" t="s">
        <v>381</v>
      </c>
      <c r="K139" s="12">
        <v>43592</v>
      </c>
      <c r="L139" s="59"/>
      <c r="M139" s="64"/>
      <c r="N139" s="64" t="s">
        <v>378</v>
      </c>
      <c r="O139" s="64"/>
    </row>
    <row r="140" spans="1:15" x14ac:dyDescent="0.25">
      <c r="B140" s="61">
        <v>122</v>
      </c>
      <c r="C140" s="228" t="s">
        <v>382</v>
      </c>
      <c r="D140" s="228"/>
      <c r="E140" s="228"/>
      <c r="F140" s="228"/>
      <c r="G140" s="228"/>
      <c r="H140" s="228"/>
      <c r="I140" s="228"/>
      <c r="J140" s="27">
        <v>15875000</v>
      </c>
      <c r="K140" s="28">
        <v>43592</v>
      </c>
      <c r="L140" s="61"/>
      <c r="M140" s="25"/>
      <c r="N140" s="25"/>
      <c r="O140" s="25"/>
    </row>
    <row r="141" spans="1:15" x14ac:dyDescent="0.25">
      <c r="A141" s="7" t="s">
        <v>237</v>
      </c>
      <c r="B141" s="13">
        <v>123</v>
      </c>
      <c r="C141" s="229" t="s">
        <v>383</v>
      </c>
      <c r="D141" s="229"/>
      <c r="E141" s="229"/>
      <c r="F141" s="229"/>
      <c r="G141" s="229"/>
      <c r="H141" s="229"/>
      <c r="I141" s="229"/>
      <c r="J141" s="11">
        <v>570000</v>
      </c>
      <c r="K141" s="12">
        <v>43606</v>
      </c>
      <c r="L141" s="59"/>
      <c r="M141" s="64"/>
      <c r="N141" s="64" t="s">
        <v>384</v>
      </c>
      <c r="O141" s="64"/>
    </row>
    <row r="142" spans="1:15" x14ac:dyDescent="0.25">
      <c r="A142" s="7" t="s">
        <v>237</v>
      </c>
      <c r="B142" s="13">
        <v>123</v>
      </c>
      <c r="C142" s="230" t="s">
        <v>385</v>
      </c>
      <c r="D142" s="231"/>
      <c r="E142" s="231"/>
      <c r="F142" s="231"/>
      <c r="G142" s="231"/>
      <c r="H142" s="231"/>
      <c r="I142" s="232"/>
      <c r="J142" s="11">
        <v>15875000</v>
      </c>
      <c r="K142" s="12">
        <v>43958</v>
      </c>
      <c r="L142" s="59"/>
      <c r="M142" s="64"/>
      <c r="N142" s="64" t="s">
        <v>386</v>
      </c>
      <c r="O142" s="64"/>
    </row>
    <row r="143" spans="1:15" x14ac:dyDescent="0.25">
      <c r="B143" s="62">
        <v>124</v>
      </c>
      <c r="C143" s="229" t="s">
        <v>387</v>
      </c>
      <c r="D143" s="229"/>
      <c r="E143" s="229"/>
      <c r="F143" s="229"/>
      <c r="G143" s="229"/>
      <c r="H143" s="229"/>
      <c r="I143" s="229"/>
      <c r="J143" s="11">
        <v>2850000</v>
      </c>
      <c r="K143" s="12">
        <v>43593</v>
      </c>
      <c r="L143" s="59"/>
      <c r="M143" s="64"/>
      <c r="N143" s="64" t="s">
        <v>192</v>
      </c>
      <c r="O143" s="64"/>
    </row>
    <row r="144" spans="1:15" x14ac:dyDescent="0.25">
      <c r="B144" s="62">
        <v>125</v>
      </c>
      <c r="C144" s="229" t="s">
        <v>387</v>
      </c>
      <c r="D144" s="229"/>
      <c r="E144" s="229"/>
      <c r="F144" s="229"/>
      <c r="G144" s="229"/>
      <c r="H144" s="229"/>
      <c r="I144" s="229"/>
      <c r="J144" s="11">
        <v>2850000</v>
      </c>
      <c r="K144" s="12">
        <v>43593</v>
      </c>
      <c r="L144" s="59"/>
      <c r="M144" s="64"/>
      <c r="N144" s="64" t="s">
        <v>212</v>
      </c>
      <c r="O144" s="64"/>
    </row>
    <row r="145" spans="1:15" x14ac:dyDescent="0.25">
      <c r="A145" s="7" t="s">
        <v>268</v>
      </c>
      <c r="B145" s="13">
        <v>126</v>
      </c>
      <c r="C145" s="229" t="s">
        <v>388</v>
      </c>
      <c r="D145" s="229"/>
      <c r="E145" s="229"/>
      <c r="F145" s="229"/>
      <c r="G145" s="229"/>
      <c r="H145" s="229"/>
      <c r="I145" s="229"/>
      <c r="J145" s="11">
        <v>3100000</v>
      </c>
      <c r="K145" s="12">
        <v>43598</v>
      </c>
      <c r="L145" s="59"/>
      <c r="M145" s="64"/>
      <c r="N145" s="64" t="s">
        <v>344</v>
      </c>
      <c r="O145" s="64"/>
    </row>
    <row r="146" spans="1:15" x14ac:dyDescent="0.25">
      <c r="A146" s="7" t="s">
        <v>268</v>
      </c>
      <c r="B146" s="13">
        <v>126</v>
      </c>
      <c r="C146" s="230" t="s">
        <v>389</v>
      </c>
      <c r="D146" s="231"/>
      <c r="E146" s="231"/>
      <c r="F146" s="231"/>
      <c r="G146" s="231"/>
      <c r="H146" s="231"/>
      <c r="I146" s="232"/>
      <c r="J146" s="11">
        <v>3762000</v>
      </c>
      <c r="K146" s="12">
        <v>43593</v>
      </c>
      <c r="L146" s="59"/>
      <c r="M146" s="64"/>
      <c r="N146" s="64" t="s">
        <v>390</v>
      </c>
      <c r="O146" s="64"/>
    </row>
    <row r="147" spans="1:15" x14ac:dyDescent="0.25">
      <c r="B147" s="62">
        <v>127</v>
      </c>
      <c r="C147" s="229" t="s">
        <v>391</v>
      </c>
      <c r="D147" s="229"/>
      <c r="E147" s="229"/>
      <c r="F147" s="229"/>
      <c r="G147" s="229"/>
      <c r="H147" s="229"/>
      <c r="I147" s="229"/>
      <c r="J147" s="11">
        <v>30920000</v>
      </c>
      <c r="K147" s="12">
        <v>43599</v>
      </c>
      <c r="L147" s="59"/>
      <c r="M147" s="64"/>
      <c r="N147" s="64" t="s">
        <v>392</v>
      </c>
      <c r="O147" s="64"/>
    </row>
    <row r="148" spans="1:15" x14ac:dyDescent="0.25">
      <c r="B148" s="62">
        <v>128</v>
      </c>
      <c r="C148" s="229" t="s">
        <v>393</v>
      </c>
      <c r="D148" s="229"/>
      <c r="E148" s="229"/>
      <c r="F148" s="229"/>
      <c r="G148" s="229"/>
      <c r="H148" s="229"/>
      <c r="I148" s="229"/>
      <c r="J148" s="11">
        <v>6998000</v>
      </c>
      <c r="K148" s="12">
        <v>43599</v>
      </c>
      <c r="L148" s="59"/>
      <c r="M148" s="64"/>
      <c r="N148" s="64" t="s">
        <v>394</v>
      </c>
      <c r="O148" s="64"/>
    </row>
    <row r="149" spans="1:15" x14ac:dyDescent="0.25">
      <c r="B149" s="62">
        <v>129</v>
      </c>
      <c r="C149" s="229" t="s">
        <v>395</v>
      </c>
      <c r="D149" s="229"/>
      <c r="E149" s="229"/>
      <c r="F149" s="229"/>
      <c r="G149" s="229"/>
      <c r="H149" s="229"/>
      <c r="I149" s="229"/>
      <c r="J149" s="11">
        <v>4890000</v>
      </c>
      <c r="K149" s="12">
        <v>43599</v>
      </c>
      <c r="L149" s="59"/>
      <c r="M149" s="64"/>
      <c r="N149" s="64" t="s">
        <v>212</v>
      </c>
      <c r="O149" s="64"/>
    </row>
    <row r="150" spans="1:15" x14ac:dyDescent="0.25">
      <c r="B150" s="61">
        <v>130</v>
      </c>
      <c r="C150" s="228" t="s">
        <v>396</v>
      </c>
      <c r="D150" s="228"/>
      <c r="E150" s="228"/>
      <c r="F150" s="228"/>
      <c r="G150" s="228"/>
      <c r="H150" s="228"/>
      <c r="I150" s="228"/>
      <c r="J150" s="27">
        <v>5915000</v>
      </c>
      <c r="K150" s="28">
        <v>43599</v>
      </c>
      <c r="L150" s="61"/>
      <c r="M150" s="25"/>
      <c r="N150" s="25"/>
      <c r="O150" s="25"/>
    </row>
    <row r="151" spans="1:15" x14ac:dyDescent="0.25">
      <c r="B151" s="62">
        <v>131</v>
      </c>
      <c r="C151" s="229" t="s">
        <v>397</v>
      </c>
      <c r="D151" s="229"/>
      <c r="E151" s="229"/>
      <c r="F151" s="229"/>
      <c r="G151" s="229"/>
      <c r="H151" s="229"/>
      <c r="I151" s="229"/>
      <c r="J151" s="11">
        <v>3290000</v>
      </c>
      <c r="K151" s="12">
        <v>43599</v>
      </c>
      <c r="L151" s="59"/>
      <c r="M151" s="64"/>
      <c r="N151" s="64" t="s">
        <v>398</v>
      </c>
      <c r="O151" s="64"/>
    </row>
    <row r="152" spans="1:15" x14ac:dyDescent="0.25">
      <c r="B152" s="62">
        <v>132</v>
      </c>
      <c r="C152" s="229" t="s">
        <v>399</v>
      </c>
      <c r="D152" s="229"/>
      <c r="E152" s="229"/>
      <c r="F152" s="229"/>
      <c r="G152" s="229"/>
      <c r="H152" s="229"/>
      <c r="I152" s="229"/>
      <c r="J152" s="11">
        <v>25250000</v>
      </c>
      <c r="K152" s="12">
        <v>43599</v>
      </c>
      <c r="L152" s="59"/>
      <c r="M152" s="64"/>
      <c r="N152" s="64" t="s">
        <v>400</v>
      </c>
      <c r="O152" s="64"/>
    </row>
    <row r="153" spans="1:15" x14ac:dyDescent="0.25">
      <c r="B153" s="62">
        <v>133</v>
      </c>
      <c r="C153" s="229" t="s">
        <v>401</v>
      </c>
      <c r="D153" s="229"/>
      <c r="E153" s="229"/>
      <c r="F153" s="229"/>
      <c r="G153" s="229"/>
      <c r="H153" s="229"/>
      <c r="I153" s="229"/>
      <c r="J153" s="11">
        <v>2000</v>
      </c>
      <c r="K153" s="12">
        <v>43600</v>
      </c>
      <c r="L153" s="59"/>
      <c r="M153" s="64"/>
      <c r="N153" s="64" t="s">
        <v>194</v>
      </c>
      <c r="O153" s="64"/>
    </row>
    <row r="154" spans="1:15" x14ac:dyDescent="0.25">
      <c r="B154" s="62">
        <v>134</v>
      </c>
      <c r="C154" s="229" t="s">
        <v>402</v>
      </c>
      <c r="D154" s="229"/>
      <c r="E154" s="229"/>
      <c r="F154" s="229"/>
      <c r="G154" s="229"/>
      <c r="H154" s="229"/>
      <c r="I154" s="229"/>
      <c r="J154" s="11">
        <v>6400000</v>
      </c>
      <c r="K154" s="12">
        <v>43601</v>
      </c>
      <c r="L154" s="59"/>
      <c r="M154" s="64"/>
      <c r="N154" s="64" t="s">
        <v>403</v>
      </c>
      <c r="O154" s="64"/>
    </row>
    <row r="155" spans="1:15" x14ac:dyDescent="0.25">
      <c r="A155" s="7" t="s">
        <v>268</v>
      </c>
      <c r="B155" s="13">
        <v>135</v>
      </c>
      <c r="C155" s="229" t="s">
        <v>404</v>
      </c>
      <c r="D155" s="229"/>
      <c r="E155" s="229"/>
      <c r="F155" s="229"/>
      <c r="G155" s="229"/>
      <c r="H155" s="229"/>
      <c r="I155" s="229"/>
      <c r="J155" s="11" t="s">
        <v>150</v>
      </c>
      <c r="K155" s="12">
        <v>43606</v>
      </c>
      <c r="L155" s="59"/>
      <c r="M155" s="64"/>
      <c r="N155" s="64" t="s">
        <v>405</v>
      </c>
      <c r="O155" s="64"/>
    </row>
    <row r="156" spans="1:15" x14ac:dyDescent="0.25">
      <c r="A156" s="7" t="s">
        <v>268</v>
      </c>
      <c r="B156" s="13">
        <v>135</v>
      </c>
      <c r="C156" s="229" t="s">
        <v>406</v>
      </c>
      <c r="D156" s="229"/>
      <c r="E156" s="229"/>
      <c r="F156" s="229"/>
      <c r="G156" s="229"/>
      <c r="H156" s="229"/>
      <c r="I156" s="229"/>
      <c r="J156" s="11" t="s">
        <v>150</v>
      </c>
      <c r="K156" s="12">
        <v>43601</v>
      </c>
      <c r="L156" s="59"/>
      <c r="M156" s="64"/>
      <c r="N156" s="64" t="s">
        <v>407</v>
      </c>
      <c r="O156" s="64"/>
    </row>
    <row r="157" spans="1:15" x14ac:dyDescent="0.25">
      <c r="B157" s="13">
        <v>136</v>
      </c>
      <c r="C157" s="229" t="s">
        <v>408</v>
      </c>
      <c r="D157" s="229"/>
      <c r="E157" s="229"/>
      <c r="F157" s="229"/>
      <c r="G157" s="229"/>
      <c r="H157" s="229"/>
      <c r="I157" s="229"/>
      <c r="J157" s="11">
        <v>1000000</v>
      </c>
      <c r="K157" s="12">
        <v>43606</v>
      </c>
      <c r="L157" s="59"/>
      <c r="M157" s="64"/>
      <c r="N157" s="64" t="s">
        <v>409</v>
      </c>
      <c r="O157" s="64"/>
    </row>
    <row r="158" spans="1:15" x14ac:dyDescent="0.25">
      <c r="B158" s="13">
        <v>136</v>
      </c>
      <c r="C158" s="230" t="s">
        <v>410</v>
      </c>
      <c r="D158" s="231"/>
      <c r="E158" s="231"/>
      <c r="F158" s="231"/>
      <c r="G158" s="231"/>
      <c r="H158" s="231"/>
      <c r="I158" s="232"/>
      <c r="J158" s="11">
        <v>1000000</v>
      </c>
      <c r="K158" s="12">
        <v>43606</v>
      </c>
      <c r="L158" s="59"/>
      <c r="M158" s="64"/>
      <c r="N158" s="64" t="s">
        <v>212</v>
      </c>
      <c r="O158" s="64"/>
    </row>
    <row r="159" spans="1:15" x14ac:dyDescent="0.25">
      <c r="B159" s="62">
        <v>137</v>
      </c>
      <c r="C159" s="256" t="s">
        <v>411</v>
      </c>
      <c r="D159" s="256"/>
      <c r="E159" s="256"/>
      <c r="F159" s="256"/>
      <c r="G159" s="256"/>
      <c r="H159" s="256"/>
      <c r="I159" s="256"/>
      <c r="J159" s="21">
        <v>18580000</v>
      </c>
      <c r="K159" s="22">
        <v>43607</v>
      </c>
      <c r="L159" s="62"/>
      <c r="M159" s="63"/>
      <c r="N159" s="63" t="s">
        <v>412</v>
      </c>
      <c r="O159" s="64"/>
    </row>
    <row r="160" spans="1:15" x14ac:dyDescent="0.25">
      <c r="B160" s="62">
        <v>138</v>
      </c>
      <c r="C160" s="256" t="s">
        <v>413</v>
      </c>
      <c r="D160" s="256"/>
      <c r="E160" s="256"/>
      <c r="F160" s="256"/>
      <c r="G160" s="256"/>
      <c r="H160" s="256"/>
      <c r="I160" s="256"/>
      <c r="J160" s="21">
        <v>4300000</v>
      </c>
      <c r="K160" s="22">
        <v>43612</v>
      </c>
      <c r="L160" s="62"/>
      <c r="M160" s="63"/>
      <c r="N160" s="63" t="s">
        <v>414</v>
      </c>
      <c r="O160" s="64"/>
    </row>
    <row r="161" spans="2:15" x14ac:dyDescent="0.25">
      <c r="B161" s="62">
        <v>139</v>
      </c>
      <c r="C161" s="256" t="s">
        <v>415</v>
      </c>
      <c r="D161" s="256"/>
      <c r="E161" s="256"/>
      <c r="F161" s="256"/>
      <c r="G161" s="256"/>
      <c r="H161" s="256"/>
      <c r="I161" s="256"/>
      <c r="J161" s="21">
        <v>6200</v>
      </c>
      <c r="K161" s="22">
        <v>43612</v>
      </c>
      <c r="L161" s="62"/>
      <c r="M161" s="63"/>
      <c r="N161" s="63" t="s">
        <v>194</v>
      </c>
      <c r="O161" s="64"/>
    </row>
    <row r="162" spans="2:15" x14ac:dyDescent="0.25">
      <c r="B162" s="62">
        <v>140</v>
      </c>
      <c r="C162" s="256" t="s">
        <v>416</v>
      </c>
      <c r="D162" s="256"/>
      <c r="E162" s="256"/>
      <c r="F162" s="256"/>
      <c r="G162" s="256"/>
      <c r="H162" s="256"/>
      <c r="I162" s="256"/>
      <c r="J162" s="21">
        <v>4245000</v>
      </c>
      <c r="K162" s="22">
        <v>43613</v>
      </c>
      <c r="L162" s="62"/>
      <c r="M162" s="63"/>
      <c r="N162" s="63" t="s">
        <v>417</v>
      </c>
      <c r="O162" s="64"/>
    </row>
    <row r="163" spans="2:15" x14ac:dyDescent="0.25">
      <c r="B163" s="62">
        <v>141</v>
      </c>
      <c r="C163" s="256" t="s">
        <v>418</v>
      </c>
      <c r="D163" s="256"/>
      <c r="E163" s="256"/>
      <c r="F163" s="256"/>
      <c r="G163" s="256"/>
      <c r="H163" s="256"/>
      <c r="I163" s="256"/>
      <c r="J163" s="21">
        <v>3761</v>
      </c>
      <c r="K163" s="22">
        <v>43613</v>
      </c>
      <c r="L163" s="62"/>
      <c r="M163" s="63"/>
      <c r="N163" s="63" t="s">
        <v>194</v>
      </c>
      <c r="O163" s="64"/>
    </row>
    <row r="164" spans="2:15" x14ac:dyDescent="0.25">
      <c r="B164" s="62">
        <v>142</v>
      </c>
      <c r="C164" s="256" t="s">
        <v>419</v>
      </c>
      <c r="D164" s="256"/>
      <c r="E164" s="256"/>
      <c r="F164" s="256"/>
      <c r="G164" s="256"/>
      <c r="H164" s="256"/>
      <c r="I164" s="256"/>
      <c r="J164" s="21">
        <v>6970000</v>
      </c>
      <c r="K164" s="22">
        <v>43615</v>
      </c>
      <c r="L164" s="62"/>
      <c r="M164" s="63"/>
      <c r="N164" s="63" t="s">
        <v>420</v>
      </c>
      <c r="O164" s="64"/>
    </row>
    <row r="165" spans="2:15" x14ac:dyDescent="0.25">
      <c r="B165" s="62">
        <v>143</v>
      </c>
      <c r="C165" s="256" t="s">
        <v>421</v>
      </c>
      <c r="D165" s="256"/>
      <c r="E165" s="256"/>
      <c r="F165" s="256"/>
      <c r="G165" s="256"/>
      <c r="H165" s="256"/>
      <c r="I165" s="256"/>
      <c r="J165" s="21" t="s">
        <v>150</v>
      </c>
      <c r="K165" s="22">
        <v>43615</v>
      </c>
      <c r="L165" s="62"/>
      <c r="M165" s="63"/>
      <c r="N165" s="63" t="s">
        <v>422</v>
      </c>
      <c r="O165" s="64"/>
    </row>
    <row r="166" spans="2:15" x14ac:dyDescent="0.25">
      <c r="B166" s="62">
        <v>144</v>
      </c>
      <c r="C166" s="256" t="s">
        <v>423</v>
      </c>
      <c r="D166" s="256"/>
      <c r="E166" s="256"/>
      <c r="F166" s="256"/>
      <c r="G166" s="256"/>
      <c r="H166" s="256"/>
      <c r="I166" s="256"/>
      <c r="J166" s="21">
        <v>950000</v>
      </c>
      <c r="K166" s="22">
        <v>43615</v>
      </c>
      <c r="L166" s="62"/>
      <c r="M166" s="63"/>
      <c r="N166" s="63" t="s">
        <v>212</v>
      </c>
      <c r="O166" s="64"/>
    </row>
    <row r="167" spans="2:15" x14ac:dyDescent="0.25">
      <c r="B167" s="61">
        <v>145</v>
      </c>
      <c r="C167" s="228" t="s">
        <v>424</v>
      </c>
      <c r="D167" s="228"/>
      <c r="E167" s="228"/>
      <c r="F167" s="228"/>
      <c r="G167" s="228"/>
      <c r="H167" s="228"/>
      <c r="I167" s="228"/>
      <c r="J167" s="27"/>
      <c r="K167" s="28">
        <v>43615</v>
      </c>
      <c r="L167" s="61"/>
      <c r="M167" s="25"/>
      <c r="N167" s="25"/>
      <c r="O167" s="25"/>
    </row>
    <row r="168" spans="2:15" x14ac:dyDescent="0.25">
      <c r="B168" s="62">
        <v>146</v>
      </c>
      <c r="C168" s="256" t="s">
        <v>425</v>
      </c>
      <c r="D168" s="256"/>
      <c r="E168" s="256"/>
      <c r="F168" s="256"/>
      <c r="G168" s="256"/>
      <c r="H168" s="256"/>
      <c r="I168" s="256"/>
      <c r="J168" s="11">
        <v>5814000</v>
      </c>
      <c r="K168" s="12">
        <v>43620</v>
      </c>
      <c r="L168" s="59"/>
      <c r="M168" s="64"/>
      <c r="N168" s="64" t="s">
        <v>426</v>
      </c>
      <c r="O168" s="64"/>
    </row>
    <row r="169" spans="2:15" x14ac:dyDescent="0.25">
      <c r="B169" s="62">
        <v>147</v>
      </c>
      <c r="C169" s="256" t="s">
        <v>427</v>
      </c>
      <c r="D169" s="256"/>
      <c r="E169" s="256"/>
      <c r="F169" s="256"/>
      <c r="G169" s="256"/>
      <c r="H169" s="256"/>
      <c r="I169" s="256"/>
      <c r="J169" s="11">
        <v>320000</v>
      </c>
      <c r="K169" s="12">
        <v>43620</v>
      </c>
      <c r="L169" s="59"/>
      <c r="M169" s="64"/>
      <c r="N169" s="64" t="s">
        <v>384</v>
      </c>
      <c r="O169" s="64"/>
    </row>
    <row r="170" spans="2:15" x14ac:dyDescent="0.25">
      <c r="B170" s="62">
        <v>148</v>
      </c>
      <c r="C170" s="256" t="s">
        <v>428</v>
      </c>
      <c r="D170" s="256"/>
      <c r="E170" s="256"/>
      <c r="F170" s="256"/>
      <c r="G170" s="256"/>
      <c r="H170" s="256"/>
      <c r="I170" s="256"/>
      <c r="J170" s="11">
        <v>14865000</v>
      </c>
      <c r="K170" s="12">
        <v>43621</v>
      </c>
      <c r="L170" s="59"/>
      <c r="M170" s="64"/>
      <c r="N170" s="64" t="s">
        <v>242</v>
      </c>
      <c r="O170" s="64"/>
    </row>
    <row r="171" spans="2:15" x14ac:dyDescent="0.25">
      <c r="B171" s="62">
        <v>149</v>
      </c>
      <c r="C171" s="256" t="s">
        <v>429</v>
      </c>
      <c r="D171" s="256"/>
      <c r="E171" s="256"/>
      <c r="F171" s="256"/>
      <c r="G171" s="256"/>
      <c r="H171" s="256"/>
      <c r="I171" s="256"/>
      <c r="J171" s="11">
        <v>17365000</v>
      </c>
      <c r="K171" s="12">
        <v>43622</v>
      </c>
      <c r="L171" s="59"/>
      <c r="M171" s="64"/>
      <c r="N171" s="64" t="s">
        <v>305</v>
      </c>
      <c r="O171" s="64"/>
    </row>
    <row r="172" spans="2:15" x14ac:dyDescent="0.25">
      <c r="B172" s="62">
        <v>150</v>
      </c>
      <c r="C172" s="256" t="s">
        <v>430</v>
      </c>
      <c r="D172" s="256"/>
      <c r="E172" s="256"/>
      <c r="F172" s="256"/>
      <c r="G172" s="256"/>
      <c r="H172" s="256"/>
      <c r="I172" s="256"/>
      <c r="J172" s="11">
        <v>2165000</v>
      </c>
      <c r="K172" s="12">
        <v>43622</v>
      </c>
      <c r="L172" s="59"/>
      <c r="M172" s="64"/>
      <c r="N172" s="64" t="s">
        <v>431</v>
      </c>
      <c r="O172" s="64"/>
    </row>
    <row r="173" spans="2:15" x14ac:dyDescent="0.25">
      <c r="B173" s="62">
        <v>151</v>
      </c>
      <c r="C173" s="256" t="s">
        <v>432</v>
      </c>
      <c r="D173" s="256"/>
      <c r="E173" s="256"/>
      <c r="F173" s="256"/>
      <c r="G173" s="256"/>
      <c r="H173" s="256"/>
      <c r="I173" s="256"/>
      <c r="J173" s="11">
        <v>5955000</v>
      </c>
      <c r="K173" s="12">
        <v>43626</v>
      </c>
      <c r="L173" s="59"/>
      <c r="M173" s="64"/>
      <c r="N173" s="64" t="s">
        <v>433</v>
      </c>
      <c r="O173" s="64"/>
    </row>
    <row r="174" spans="2:15" x14ac:dyDescent="0.25">
      <c r="B174" s="62">
        <v>152</v>
      </c>
      <c r="C174" s="256" t="s">
        <v>434</v>
      </c>
      <c r="D174" s="256"/>
      <c r="E174" s="256"/>
      <c r="F174" s="256"/>
      <c r="G174" s="256"/>
      <c r="H174" s="256"/>
      <c r="I174" s="256"/>
      <c r="J174" s="11">
        <v>16305900</v>
      </c>
      <c r="K174" s="12">
        <v>43627</v>
      </c>
      <c r="L174" s="59"/>
      <c r="M174" s="64"/>
      <c r="N174" s="64" t="s">
        <v>235</v>
      </c>
      <c r="O174" s="64"/>
    </row>
    <row r="175" spans="2:15" x14ac:dyDescent="0.25">
      <c r="B175" s="62">
        <v>153</v>
      </c>
      <c r="C175" s="260" t="s">
        <v>435</v>
      </c>
      <c r="D175" s="260"/>
      <c r="E175" s="260"/>
      <c r="F175" s="260"/>
      <c r="G175" s="260"/>
      <c r="H175" s="260"/>
      <c r="I175" s="260"/>
      <c r="J175" s="11">
        <v>9945000</v>
      </c>
      <c r="K175" s="12">
        <v>43628</v>
      </c>
      <c r="L175" s="59"/>
      <c r="M175" s="64"/>
      <c r="N175" s="14" t="s">
        <v>436</v>
      </c>
      <c r="O175" s="64"/>
    </row>
    <row r="176" spans="2:15" x14ac:dyDescent="0.25">
      <c r="B176" s="13">
        <v>154</v>
      </c>
      <c r="C176" s="229" t="s">
        <v>437</v>
      </c>
      <c r="D176" s="229"/>
      <c r="E176" s="229"/>
      <c r="F176" s="229"/>
      <c r="G176" s="229"/>
      <c r="H176" s="229"/>
      <c r="I176" s="229"/>
      <c r="J176" s="11">
        <v>9905000</v>
      </c>
      <c r="K176" s="12">
        <v>43629</v>
      </c>
      <c r="L176" s="59"/>
      <c r="M176" s="64"/>
      <c r="N176" s="64" t="s">
        <v>284</v>
      </c>
      <c r="O176" s="64"/>
    </row>
    <row r="177" spans="2:15" x14ac:dyDescent="0.25">
      <c r="B177" s="13">
        <v>154</v>
      </c>
      <c r="C177" s="230" t="s">
        <v>438</v>
      </c>
      <c r="D177" s="231"/>
      <c r="E177" s="231"/>
      <c r="F177" s="231"/>
      <c r="G177" s="231"/>
      <c r="H177" s="231"/>
      <c r="I177" s="232"/>
      <c r="J177" s="11">
        <v>19915000</v>
      </c>
      <c r="K177" s="12">
        <v>47281</v>
      </c>
      <c r="L177" s="59"/>
      <c r="M177" s="64"/>
      <c r="N177" s="64" t="s">
        <v>212</v>
      </c>
      <c r="O177" s="64"/>
    </row>
    <row r="178" spans="2:15" x14ac:dyDescent="0.25">
      <c r="B178" s="61">
        <v>155</v>
      </c>
      <c r="C178" s="228" t="s">
        <v>439</v>
      </c>
      <c r="D178" s="228"/>
      <c r="E178" s="228"/>
      <c r="F178" s="228"/>
      <c r="G178" s="228"/>
      <c r="H178" s="228"/>
      <c r="I178" s="228"/>
      <c r="J178" s="27">
        <v>9905000</v>
      </c>
      <c r="K178" s="28">
        <v>43629</v>
      </c>
      <c r="L178" s="61"/>
      <c r="M178" s="25"/>
      <c r="N178" s="25"/>
      <c r="O178" s="25"/>
    </row>
    <row r="179" spans="2:15" x14ac:dyDescent="0.25">
      <c r="B179" s="62">
        <v>156</v>
      </c>
      <c r="C179" s="256" t="s">
        <v>440</v>
      </c>
      <c r="D179" s="256"/>
      <c r="E179" s="256"/>
      <c r="F179" s="256"/>
      <c r="G179" s="256"/>
      <c r="H179" s="256"/>
      <c r="I179" s="256"/>
      <c r="J179" s="11">
        <v>950000</v>
      </c>
      <c r="K179" s="12">
        <v>43690</v>
      </c>
      <c r="L179" s="59"/>
      <c r="M179" s="64"/>
      <c r="N179" s="64" t="s">
        <v>441</v>
      </c>
      <c r="O179" s="64"/>
    </row>
    <row r="180" spans="2:15" x14ac:dyDescent="0.25">
      <c r="B180" s="62">
        <v>157</v>
      </c>
      <c r="C180" s="256" t="s">
        <v>442</v>
      </c>
      <c r="D180" s="256"/>
      <c r="E180" s="256"/>
      <c r="F180" s="256"/>
      <c r="G180" s="256"/>
      <c r="H180" s="256"/>
      <c r="I180" s="256"/>
      <c r="J180" s="11">
        <v>27600000</v>
      </c>
      <c r="K180" s="12">
        <v>43633</v>
      </c>
      <c r="L180" s="59"/>
      <c r="M180" s="64"/>
      <c r="N180" s="7" t="s">
        <v>443</v>
      </c>
      <c r="O180" s="64"/>
    </row>
    <row r="181" spans="2:15" x14ac:dyDescent="0.25">
      <c r="B181" s="62">
        <v>158</v>
      </c>
      <c r="C181" s="256" t="s">
        <v>444</v>
      </c>
      <c r="D181" s="256"/>
      <c r="E181" s="256"/>
      <c r="F181" s="256"/>
      <c r="G181" s="256"/>
      <c r="H181" s="256"/>
      <c r="I181" s="256"/>
      <c r="J181" s="11">
        <v>5980000</v>
      </c>
      <c r="K181" s="12">
        <v>43634</v>
      </c>
      <c r="L181" s="59"/>
      <c r="M181" s="64"/>
      <c r="N181" s="64" t="s">
        <v>445</v>
      </c>
      <c r="O181" s="64"/>
    </row>
    <row r="182" spans="2:15" x14ac:dyDescent="0.25">
      <c r="B182" s="62">
        <v>159</v>
      </c>
      <c r="C182" s="256" t="s">
        <v>446</v>
      </c>
      <c r="D182" s="256"/>
      <c r="E182" s="256"/>
      <c r="F182" s="256"/>
      <c r="G182" s="256"/>
      <c r="H182" s="256"/>
      <c r="I182" s="256"/>
      <c r="J182" s="11">
        <v>2690000</v>
      </c>
      <c r="K182" s="12">
        <v>43634</v>
      </c>
      <c r="L182" s="59"/>
      <c r="M182" s="64"/>
      <c r="N182" s="25"/>
      <c r="O182" s="64"/>
    </row>
    <row r="183" spans="2:15" x14ac:dyDescent="0.25">
      <c r="B183" s="62">
        <v>160</v>
      </c>
      <c r="C183" s="256" t="s">
        <v>447</v>
      </c>
      <c r="D183" s="256"/>
      <c r="E183" s="256"/>
      <c r="F183" s="256"/>
      <c r="G183" s="256"/>
      <c r="H183" s="256"/>
      <c r="I183" s="256"/>
      <c r="J183" s="11">
        <v>1580000</v>
      </c>
      <c r="K183" s="12">
        <v>43635</v>
      </c>
      <c r="L183" s="59"/>
      <c r="M183" s="64"/>
      <c r="N183" s="64" t="s">
        <v>448</v>
      </c>
      <c r="O183" s="64"/>
    </row>
    <row r="184" spans="2:15" x14ac:dyDescent="0.25">
      <c r="B184" s="62">
        <v>161</v>
      </c>
      <c r="C184" s="256" t="s">
        <v>449</v>
      </c>
      <c r="D184" s="256"/>
      <c r="E184" s="256"/>
      <c r="F184" s="256"/>
      <c r="G184" s="256"/>
      <c r="H184" s="256"/>
      <c r="I184" s="256"/>
      <c r="J184" s="11">
        <v>320000</v>
      </c>
      <c r="K184" s="12">
        <v>43635</v>
      </c>
      <c r="L184" s="59"/>
      <c r="M184" s="64"/>
      <c r="N184" s="64" t="s">
        <v>384</v>
      </c>
      <c r="O184" s="64"/>
    </row>
    <row r="185" spans="2:15" x14ac:dyDescent="0.25">
      <c r="B185" s="62">
        <v>162</v>
      </c>
      <c r="C185" s="256" t="s">
        <v>450</v>
      </c>
      <c r="D185" s="256"/>
      <c r="E185" s="256"/>
      <c r="F185" s="256"/>
      <c r="G185" s="256"/>
      <c r="H185" s="256"/>
      <c r="I185" s="256"/>
      <c r="J185" s="11">
        <v>26342000</v>
      </c>
      <c r="K185" s="12">
        <v>43636</v>
      </c>
      <c r="L185" s="59"/>
      <c r="M185" s="64"/>
      <c r="N185" s="64" t="s">
        <v>451</v>
      </c>
      <c r="O185" s="64"/>
    </row>
    <row r="186" spans="2:15" x14ac:dyDescent="0.25">
      <c r="B186" s="62">
        <v>163</v>
      </c>
      <c r="C186" s="256" t="s">
        <v>452</v>
      </c>
      <c r="D186" s="256"/>
      <c r="E186" s="256"/>
      <c r="F186" s="256"/>
      <c r="G186" s="256"/>
      <c r="H186" s="256"/>
      <c r="I186" s="256"/>
      <c r="J186" s="11" t="s">
        <v>150</v>
      </c>
      <c r="K186" s="12">
        <v>43637</v>
      </c>
      <c r="L186" s="59"/>
      <c r="M186" s="64"/>
      <c r="N186" s="64" t="s">
        <v>453</v>
      </c>
      <c r="O186" s="64"/>
    </row>
    <row r="187" spans="2:15" x14ac:dyDescent="0.25">
      <c r="B187" s="62">
        <v>164</v>
      </c>
      <c r="C187" s="256" t="s">
        <v>454</v>
      </c>
      <c r="D187" s="256"/>
      <c r="E187" s="256"/>
      <c r="F187" s="256"/>
      <c r="G187" s="256"/>
      <c r="H187" s="256"/>
      <c r="I187" s="256"/>
      <c r="J187" s="11">
        <v>1775000</v>
      </c>
      <c r="K187" s="12">
        <v>43640</v>
      </c>
      <c r="L187" s="59"/>
      <c r="M187" s="64"/>
      <c r="N187" s="64" t="s">
        <v>455</v>
      </c>
      <c r="O187" s="64"/>
    </row>
    <row r="188" spans="2:15" x14ac:dyDescent="0.25">
      <c r="B188" s="62">
        <v>165</v>
      </c>
      <c r="C188" s="256" t="s">
        <v>456</v>
      </c>
      <c r="D188" s="256"/>
      <c r="E188" s="256"/>
      <c r="F188" s="256"/>
      <c r="G188" s="256"/>
      <c r="H188" s="256"/>
      <c r="I188" s="256"/>
      <c r="J188" s="11">
        <v>8655000</v>
      </c>
      <c r="K188" s="12">
        <v>43641</v>
      </c>
      <c r="L188" s="59"/>
      <c r="M188" s="64"/>
      <c r="N188" s="64" t="s">
        <v>457</v>
      </c>
      <c r="O188" s="64"/>
    </row>
    <row r="189" spans="2:15" x14ac:dyDescent="0.25">
      <c r="B189" s="62">
        <v>166</v>
      </c>
      <c r="C189" s="256" t="s">
        <v>458</v>
      </c>
      <c r="D189" s="256"/>
      <c r="E189" s="256"/>
      <c r="F189" s="256"/>
      <c r="G189" s="256"/>
      <c r="H189" s="256"/>
      <c r="I189" s="256"/>
      <c r="J189" s="11" t="s">
        <v>150</v>
      </c>
      <c r="K189" s="12">
        <v>43641</v>
      </c>
      <c r="L189" s="59"/>
      <c r="M189" s="64"/>
      <c r="N189" s="64" t="s">
        <v>459</v>
      </c>
      <c r="O189" s="64"/>
    </row>
    <row r="190" spans="2:15" x14ac:dyDescent="0.25">
      <c r="B190" s="62">
        <v>167</v>
      </c>
      <c r="C190" s="256" t="s">
        <v>460</v>
      </c>
      <c r="D190" s="256"/>
      <c r="E190" s="256"/>
      <c r="F190" s="256"/>
      <c r="G190" s="256"/>
      <c r="H190" s="256"/>
      <c r="I190" s="256"/>
      <c r="J190" s="11" t="s">
        <v>150</v>
      </c>
      <c r="K190" s="12">
        <v>43641</v>
      </c>
      <c r="L190" s="59"/>
      <c r="M190" s="64"/>
      <c r="N190" s="64" t="s">
        <v>459</v>
      </c>
      <c r="O190" s="64"/>
    </row>
    <row r="191" spans="2:15" x14ac:dyDescent="0.25">
      <c r="B191" s="62">
        <v>168</v>
      </c>
      <c r="C191" s="256" t="s">
        <v>461</v>
      </c>
      <c r="D191" s="256"/>
      <c r="E191" s="256"/>
      <c r="F191" s="256"/>
      <c r="G191" s="256"/>
      <c r="H191" s="256"/>
      <c r="I191" s="256"/>
      <c r="J191" s="11">
        <v>16600000</v>
      </c>
      <c r="K191" s="12">
        <v>43641</v>
      </c>
      <c r="L191" s="59"/>
      <c r="M191" s="64"/>
      <c r="N191" s="64" t="s">
        <v>400</v>
      </c>
      <c r="O191" s="64"/>
    </row>
    <row r="192" spans="2:15" x14ac:dyDescent="0.25">
      <c r="B192" s="62">
        <v>169</v>
      </c>
      <c r="C192" s="256" t="s">
        <v>462</v>
      </c>
      <c r="D192" s="256"/>
      <c r="E192" s="256"/>
      <c r="F192" s="256"/>
      <c r="G192" s="256"/>
      <c r="H192" s="256"/>
      <c r="I192" s="256"/>
      <c r="J192" s="11">
        <v>1920000</v>
      </c>
      <c r="K192" s="12">
        <v>43643</v>
      </c>
      <c r="L192" s="59"/>
      <c r="M192" s="64"/>
      <c r="N192" s="64" t="s">
        <v>350</v>
      </c>
      <c r="O192" s="64"/>
    </row>
    <row r="193" spans="1:15" x14ac:dyDescent="0.25">
      <c r="B193" s="62">
        <v>170</v>
      </c>
      <c r="C193" s="256" t="s">
        <v>463</v>
      </c>
      <c r="D193" s="256"/>
      <c r="E193" s="256"/>
      <c r="F193" s="256"/>
      <c r="G193" s="256"/>
      <c r="H193" s="256"/>
      <c r="I193" s="256"/>
      <c r="J193" s="11">
        <v>6525000</v>
      </c>
      <c r="K193" s="12">
        <v>43643</v>
      </c>
      <c r="L193" s="59"/>
      <c r="M193" s="64"/>
      <c r="N193" s="64" t="s">
        <v>436</v>
      </c>
      <c r="O193" s="64"/>
    </row>
    <row r="194" spans="1:15" x14ac:dyDescent="0.25">
      <c r="B194" s="62">
        <v>171</v>
      </c>
      <c r="C194" s="256" t="s">
        <v>464</v>
      </c>
      <c r="D194" s="256"/>
      <c r="E194" s="256"/>
      <c r="F194" s="256"/>
      <c r="G194" s="256"/>
      <c r="H194" s="256"/>
      <c r="I194" s="256"/>
      <c r="J194" s="11">
        <v>8475000</v>
      </c>
      <c r="K194" s="12">
        <v>43648</v>
      </c>
      <c r="L194" s="59"/>
      <c r="M194" s="64"/>
      <c r="N194" s="23" t="s">
        <v>465</v>
      </c>
      <c r="O194" s="64"/>
    </row>
    <row r="195" spans="1:15" x14ac:dyDescent="0.25">
      <c r="A195" s="24"/>
      <c r="B195" s="61">
        <v>172</v>
      </c>
      <c r="C195" s="228" t="s">
        <v>466</v>
      </c>
      <c r="D195" s="228"/>
      <c r="E195" s="228"/>
      <c r="F195" s="228"/>
      <c r="G195" s="228"/>
      <c r="H195" s="228"/>
      <c r="I195" s="228"/>
      <c r="J195" s="27">
        <v>320000</v>
      </c>
      <c r="K195" s="28">
        <v>43649</v>
      </c>
      <c r="L195" s="61"/>
      <c r="M195" s="25"/>
      <c r="N195" s="25"/>
      <c r="O195" s="25"/>
    </row>
    <row r="196" spans="1:15" x14ac:dyDescent="0.25">
      <c r="B196" s="62">
        <v>173</v>
      </c>
      <c r="C196" s="229" t="s">
        <v>467</v>
      </c>
      <c r="D196" s="229"/>
      <c r="E196" s="229"/>
      <c r="F196" s="229"/>
      <c r="G196" s="229"/>
      <c r="H196" s="229"/>
      <c r="I196" s="229"/>
      <c r="J196" s="11">
        <v>320000</v>
      </c>
      <c r="K196" s="12">
        <v>43650</v>
      </c>
      <c r="L196" s="59"/>
      <c r="M196" s="64"/>
      <c r="N196" s="64" t="s">
        <v>192</v>
      </c>
      <c r="O196" s="64"/>
    </row>
    <row r="197" spans="1:15" x14ac:dyDescent="0.25">
      <c r="B197" s="62">
        <v>174</v>
      </c>
      <c r="C197" s="229" t="s">
        <v>468</v>
      </c>
      <c r="D197" s="229"/>
      <c r="E197" s="229"/>
      <c r="F197" s="229"/>
      <c r="G197" s="229"/>
      <c r="H197" s="229"/>
      <c r="I197" s="229"/>
      <c r="J197" s="11">
        <v>15995000</v>
      </c>
      <c r="K197" s="12">
        <v>43650</v>
      </c>
      <c r="L197" s="59"/>
      <c r="M197" s="64"/>
      <c r="N197" s="64" t="s">
        <v>436</v>
      </c>
      <c r="O197" s="64"/>
    </row>
    <row r="198" spans="1:15" x14ac:dyDescent="0.25">
      <c r="B198" s="62">
        <v>175</v>
      </c>
      <c r="C198" s="229" t="s">
        <v>469</v>
      </c>
      <c r="D198" s="229"/>
      <c r="E198" s="229"/>
      <c r="F198" s="229"/>
      <c r="G198" s="229"/>
      <c r="H198" s="229"/>
      <c r="I198" s="229"/>
      <c r="J198" s="11">
        <v>4925000</v>
      </c>
      <c r="K198" s="12">
        <v>43651</v>
      </c>
      <c r="L198" s="59"/>
      <c r="M198" s="64"/>
      <c r="N198" s="64" t="s">
        <v>201</v>
      </c>
      <c r="O198" s="64"/>
    </row>
    <row r="199" spans="1:15" x14ac:dyDescent="0.25">
      <c r="B199" s="62">
        <v>176</v>
      </c>
      <c r="C199" s="229" t="s">
        <v>470</v>
      </c>
      <c r="D199" s="229"/>
      <c r="E199" s="229"/>
      <c r="F199" s="229"/>
      <c r="G199" s="229"/>
      <c r="H199" s="229"/>
      <c r="I199" s="229"/>
      <c r="J199" s="11">
        <v>13830000</v>
      </c>
      <c r="K199" s="12">
        <v>43654</v>
      </c>
      <c r="L199" s="59"/>
      <c r="M199" s="64"/>
      <c r="N199" s="23" t="s">
        <v>220</v>
      </c>
      <c r="O199" s="64"/>
    </row>
    <row r="200" spans="1:15" x14ac:dyDescent="0.25">
      <c r="B200" s="62">
        <v>177</v>
      </c>
      <c r="C200" s="229" t="s">
        <v>471</v>
      </c>
      <c r="D200" s="229"/>
      <c r="E200" s="229"/>
      <c r="F200" s="229"/>
      <c r="G200" s="229"/>
      <c r="H200" s="229"/>
      <c r="I200" s="229"/>
      <c r="J200" s="11">
        <v>6595000</v>
      </c>
      <c r="K200" s="12">
        <v>43654</v>
      </c>
      <c r="L200" s="59"/>
      <c r="M200" s="64"/>
      <c r="N200" s="64" t="s">
        <v>472</v>
      </c>
      <c r="O200" s="64"/>
    </row>
    <row r="201" spans="1:15" x14ac:dyDescent="0.25">
      <c r="B201" s="62">
        <v>178</v>
      </c>
      <c r="C201" s="229" t="s">
        <v>473</v>
      </c>
      <c r="D201" s="229"/>
      <c r="E201" s="229"/>
      <c r="F201" s="229"/>
      <c r="G201" s="229"/>
      <c r="H201" s="229"/>
      <c r="I201" s="229"/>
      <c r="J201" s="11">
        <v>1000000</v>
      </c>
      <c r="K201" s="12">
        <v>43654</v>
      </c>
      <c r="L201" s="59"/>
      <c r="M201" s="64"/>
      <c r="N201" s="64" t="s">
        <v>474</v>
      </c>
      <c r="O201" s="64"/>
    </row>
    <row r="202" spans="1:15" x14ac:dyDescent="0.25">
      <c r="A202" s="7" t="s">
        <v>268</v>
      </c>
      <c r="B202" s="13">
        <v>179</v>
      </c>
      <c r="C202" s="229" t="s">
        <v>475</v>
      </c>
      <c r="D202" s="229"/>
      <c r="E202" s="229"/>
      <c r="F202" s="229"/>
      <c r="G202" s="229"/>
      <c r="H202" s="229"/>
      <c r="I202" s="229"/>
      <c r="J202" s="11">
        <v>1550000</v>
      </c>
      <c r="K202" s="12">
        <v>43655</v>
      </c>
      <c r="L202" s="59"/>
      <c r="M202" s="64"/>
      <c r="N202" s="64" t="s">
        <v>476</v>
      </c>
      <c r="O202" s="64"/>
    </row>
    <row r="203" spans="1:15" x14ac:dyDescent="0.25">
      <c r="A203" s="7" t="s">
        <v>477</v>
      </c>
      <c r="B203" s="13">
        <v>179</v>
      </c>
      <c r="C203" s="229" t="s">
        <v>478</v>
      </c>
      <c r="D203" s="229"/>
      <c r="E203" s="229"/>
      <c r="F203" s="229"/>
      <c r="G203" s="229"/>
      <c r="H203" s="229"/>
      <c r="I203" s="229"/>
      <c r="J203" s="11" t="s">
        <v>150</v>
      </c>
      <c r="K203" s="12">
        <v>43654</v>
      </c>
      <c r="L203" s="59"/>
      <c r="M203" s="64"/>
      <c r="N203" s="64" t="s">
        <v>479</v>
      </c>
      <c r="O203" s="64" t="s">
        <v>480</v>
      </c>
    </row>
    <row r="204" spans="1:15" x14ac:dyDescent="0.25">
      <c r="B204" s="62">
        <v>180</v>
      </c>
      <c r="C204" s="256" t="s">
        <v>481</v>
      </c>
      <c r="D204" s="256"/>
      <c r="E204" s="256"/>
      <c r="F204" s="256"/>
      <c r="G204" s="256"/>
      <c r="H204" s="256"/>
      <c r="I204" s="256"/>
      <c r="J204" s="11">
        <v>940000</v>
      </c>
      <c r="K204" s="12">
        <v>43656</v>
      </c>
      <c r="L204" s="59"/>
      <c r="M204" s="64"/>
      <c r="N204" s="64" t="s">
        <v>400</v>
      </c>
      <c r="O204" s="64"/>
    </row>
    <row r="205" spans="1:15" x14ac:dyDescent="0.25">
      <c r="B205" s="62">
        <v>181</v>
      </c>
      <c r="C205" s="256" t="s">
        <v>482</v>
      </c>
      <c r="D205" s="256"/>
      <c r="E205" s="256"/>
      <c r="F205" s="256"/>
      <c r="G205" s="256"/>
      <c r="H205" s="256"/>
      <c r="I205" s="256"/>
      <c r="J205" s="11">
        <v>3830000</v>
      </c>
      <c r="K205" s="12">
        <v>43656</v>
      </c>
      <c r="L205" s="59"/>
      <c r="M205" s="64"/>
      <c r="N205" s="64" t="s">
        <v>483</v>
      </c>
      <c r="O205" s="64"/>
    </row>
    <row r="206" spans="1:15" x14ac:dyDescent="0.25">
      <c r="B206" s="62">
        <v>182</v>
      </c>
      <c r="C206" s="256" t="s">
        <v>484</v>
      </c>
      <c r="D206" s="256"/>
      <c r="E206" s="256"/>
      <c r="F206" s="256"/>
      <c r="G206" s="256"/>
      <c r="H206" s="256"/>
      <c r="I206" s="256"/>
      <c r="J206" s="11">
        <v>1250000</v>
      </c>
      <c r="K206" s="12">
        <v>43658</v>
      </c>
      <c r="L206" s="59"/>
      <c r="M206" s="64"/>
      <c r="N206" s="64" t="s">
        <v>485</v>
      </c>
      <c r="O206" s="64"/>
    </row>
    <row r="207" spans="1:15" x14ac:dyDescent="0.25">
      <c r="B207" s="62">
        <v>183</v>
      </c>
      <c r="C207" s="256" t="s">
        <v>486</v>
      </c>
      <c r="D207" s="256"/>
      <c r="E207" s="256"/>
      <c r="F207" s="256"/>
      <c r="G207" s="256"/>
      <c r="H207" s="256"/>
      <c r="I207" s="256"/>
      <c r="J207" s="11">
        <v>3985000</v>
      </c>
      <c r="K207" s="12">
        <v>43658</v>
      </c>
      <c r="L207" s="59"/>
      <c r="M207" s="64"/>
      <c r="N207" s="64" t="s">
        <v>360</v>
      </c>
      <c r="O207" s="64"/>
    </row>
    <row r="208" spans="1:15" x14ac:dyDescent="0.25">
      <c r="B208" s="62">
        <v>184</v>
      </c>
      <c r="C208" s="256" t="s">
        <v>487</v>
      </c>
      <c r="D208" s="256"/>
      <c r="E208" s="256"/>
      <c r="F208" s="256"/>
      <c r="G208" s="256"/>
      <c r="H208" s="256"/>
      <c r="I208" s="256"/>
      <c r="J208" s="11">
        <v>4420000</v>
      </c>
      <c r="K208" s="12">
        <v>43658</v>
      </c>
      <c r="L208" s="59"/>
      <c r="M208" s="64"/>
      <c r="N208" s="64" t="s">
        <v>436</v>
      </c>
      <c r="O208" s="64"/>
    </row>
    <row r="209" spans="2:15" x14ac:dyDescent="0.25">
      <c r="B209" s="62">
        <v>185</v>
      </c>
      <c r="C209" s="256" t="s">
        <v>488</v>
      </c>
      <c r="D209" s="256"/>
      <c r="E209" s="256"/>
      <c r="F209" s="256"/>
      <c r="G209" s="256"/>
      <c r="H209" s="256"/>
      <c r="I209" s="256"/>
      <c r="J209" s="11">
        <v>23460000</v>
      </c>
      <c r="K209" s="12">
        <v>43658</v>
      </c>
      <c r="L209" s="59"/>
      <c r="M209" s="64"/>
      <c r="N209" s="25"/>
      <c r="O209" s="64"/>
    </row>
    <row r="210" spans="2:15" x14ac:dyDescent="0.25">
      <c r="B210" s="62">
        <v>186</v>
      </c>
      <c r="C210" s="256" t="s">
        <v>489</v>
      </c>
      <c r="D210" s="256"/>
      <c r="E210" s="256"/>
      <c r="F210" s="256"/>
      <c r="G210" s="256"/>
      <c r="H210" s="256"/>
      <c r="I210" s="256"/>
      <c r="J210" s="11">
        <v>35225000</v>
      </c>
      <c r="K210" s="12">
        <v>43658</v>
      </c>
      <c r="L210" s="59"/>
      <c r="M210" s="64"/>
      <c r="N210" s="64" t="s">
        <v>490</v>
      </c>
      <c r="O210" s="64"/>
    </row>
    <row r="211" spans="2:15" x14ac:dyDescent="0.25">
      <c r="B211" s="62">
        <v>187</v>
      </c>
      <c r="C211" s="256" t="s">
        <v>491</v>
      </c>
      <c r="D211" s="256"/>
      <c r="E211" s="256"/>
      <c r="F211" s="256"/>
      <c r="G211" s="256"/>
      <c r="H211" s="256"/>
      <c r="I211" s="256"/>
      <c r="J211" s="11">
        <v>585000</v>
      </c>
      <c r="K211" s="12">
        <v>43659</v>
      </c>
      <c r="L211" s="59"/>
      <c r="M211" s="64"/>
      <c r="N211" s="64" t="s">
        <v>492</v>
      </c>
      <c r="O211" s="64"/>
    </row>
    <row r="212" spans="2:15" x14ac:dyDescent="0.25">
      <c r="B212" s="62">
        <v>188</v>
      </c>
      <c r="C212" s="256" t="s">
        <v>493</v>
      </c>
      <c r="D212" s="256"/>
      <c r="E212" s="256"/>
      <c r="F212" s="256"/>
      <c r="G212" s="256"/>
      <c r="H212" s="256"/>
      <c r="I212" s="256"/>
      <c r="J212" s="11">
        <v>5815000</v>
      </c>
      <c r="K212" s="12">
        <v>43661</v>
      </c>
      <c r="L212" s="59"/>
      <c r="M212" s="64"/>
      <c r="N212" s="64" t="s">
        <v>242</v>
      </c>
      <c r="O212" s="64"/>
    </row>
    <row r="213" spans="2:15" x14ac:dyDescent="0.25">
      <c r="B213" s="61">
        <v>189</v>
      </c>
      <c r="C213" s="228" t="s">
        <v>494</v>
      </c>
      <c r="D213" s="228"/>
      <c r="E213" s="228"/>
      <c r="F213" s="228"/>
      <c r="G213" s="228"/>
      <c r="H213" s="228"/>
      <c r="I213" s="228"/>
      <c r="J213" s="27">
        <v>2480000</v>
      </c>
      <c r="K213" s="28">
        <v>43663</v>
      </c>
      <c r="L213" s="61"/>
      <c r="M213" s="25"/>
      <c r="N213" s="25"/>
      <c r="O213" s="25"/>
    </row>
    <row r="214" spans="2:15" x14ac:dyDescent="0.25">
      <c r="B214" s="62">
        <v>190</v>
      </c>
      <c r="C214" s="229" t="s">
        <v>495</v>
      </c>
      <c r="D214" s="229"/>
      <c r="E214" s="229"/>
      <c r="F214" s="229"/>
      <c r="G214" s="229"/>
      <c r="H214" s="229"/>
      <c r="I214" s="229"/>
      <c r="J214" s="11">
        <v>22940000</v>
      </c>
      <c r="K214" s="12">
        <v>43664</v>
      </c>
      <c r="L214" s="59"/>
      <c r="M214" s="64"/>
      <c r="N214" s="64" t="s">
        <v>496</v>
      </c>
      <c r="O214" s="64"/>
    </row>
    <row r="215" spans="2:15" x14ac:dyDescent="0.25">
      <c r="B215" s="61">
        <v>191</v>
      </c>
      <c r="C215" s="228" t="s">
        <v>497</v>
      </c>
      <c r="D215" s="228"/>
      <c r="E215" s="228"/>
      <c r="F215" s="228"/>
      <c r="G215" s="228"/>
      <c r="H215" s="228"/>
      <c r="I215" s="228"/>
      <c r="J215" s="27">
        <v>23460000</v>
      </c>
      <c r="K215" s="28">
        <v>43664</v>
      </c>
      <c r="L215" s="61"/>
      <c r="M215" s="25"/>
      <c r="N215" s="25"/>
      <c r="O215" s="25"/>
    </row>
    <row r="216" spans="2:15" x14ac:dyDescent="0.25">
      <c r="B216" s="62">
        <v>192</v>
      </c>
      <c r="C216" s="256" t="s">
        <v>498</v>
      </c>
      <c r="D216" s="256"/>
      <c r="E216" s="256"/>
      <c r="F216" s="256"/>
      <c r="G216" s="256"/>
      <c r="H216" s="256"/>
      <c r="I216" s="256"/>
      <c r="J216" s="11">
        <v>35225000</v>
      </c>
      <c r="K216" s="12">
        <v>43664</v>
      </c>
      <c r="L216" s="59"/>
      <c r="M216" s="64"/>
      <c r="N216" s="64" t="s">
        <v>499</v>
      </c>
      <c r="O216" s="64"/>
    </row>
    <row r="217" spans="2:15" x14ac:dyDescent="0.25">
      <c r="B217" s="62">
        <v>193</v>
      </c>
      <c r="C217" s="256" t="s">
        <v>500</v>
      </c>
      <c r="D217" s="256"/>
      <c r="E217" s="256"/>
      <c r="F217" s="256"/>
      <c r="G217" s="256"/>
      <c r="H217" s="256"/>
      <c r="I217" s="256"/>
      <c r="J217" s="11">
        <v>23460000</v>
      </c>
      <c r="K217" s="12">
        <v>43665</v>
      </c>
      <c r="L217" s="59"/>
      <c r="M217" s="64"/>
      <c r="N217" s="64" t="s">
        <v>320</v>
      </c>
      <c r="O217" s="64"/>
    </row>
    <row r="218" spans="2:15" x14ac:dyDescent="0.25">
      <c r="B218" s="62">
        <v>194</v>
      </c>
      <c r="C218" s="256" t="s">
        <v>501</v>
      </c>
      <c r="D218" s="256"/>
      <c r="E218" s="256"/>
      <c r="F218" s="256"/>
      <c r="G218" s="256"/>
      <c r="H218" s="256"/>
      <c r="I218" s="256"/>
      <c r="J218" s="11">
        <v>35225000</v>
      </c>
      <c r="K218" s="12">
        <v>43665</v>
      </c>
      <c r="L218" s="59"/>
      <c r="M218" s="64"/>
      <c r="N218" s="64" t="s">
        <v>443</v>
      </c>
      <c r="O218" s="64"/>
    </row>
    <row r="219" spans="2:15" x14ac:dyDescent="0.25">
      <c r="B219" s="62">
        <v>195</v>
      </c>
      <c r="C219" s="256" t="s">
        <v>502</v>
      </c>
      <c r="D219" s="256"/>
      <c r="E219" s="256"/>
      <c r="F219" s="256"/>
      <c r="G219" s="256"/>
      <c r="H219" s="256"/>
      <c r="I219" s="256"/>
      <c r="J219" s="11">
        <v>23460000</v>
      </c>
      <c r="K219" s="12">
        <v>43665</v>
      </c>
      <c r="L219" s="59"/>
      <c r="M219" s="64"/>
      <c r="N219" s="7" t="s">
        <v>426</v>
      </c>
      <c r="O219" s="64"/>
    </row>
    <row r="220" spans="2:15" x14ac:dyDescent="0.25">
      <c r="B220" s="62">
        <v>196</v>
      </c>
      <c r="C220" s="256" t="s">
        <v>503</v>
      </c>
      <c r="D220" s="256"/>
      <c r="E220" s="256"/>
      <c r="F220" s="256"/>
      <c r="G220" s="256"/>
      <c r="H220" s="256"/>
      <c r="I220" s="256"/>
      <c r="J220" s="11">
        <v>35225000</v>
      </c>
      <c r="K220" s="12">
        <v>43665</v>
      </c>
      <c r="L220" s="59"/>
      <c r="M220" s="64"/>
      <c r="N220" s="7" t="s">
        <v>426</v>
      </c>
      <c r="O220" s="64"/>
    </row>
    <row r="221" spans="2:15" x14ac:dyDescent="0.25">
      <c r="B221" s="62">
        <v>197</v>
      </c>
      <c r="C221" s="256" t="s">
        <v>504</v>
      </c>
      <c r="D221" s="256"/>
      <c r="E221" s="256"/>
      <c r="F221" s="256"/>
      <c r="G221" s="256"/>
      <c r="H221" s="256"/>
      <c r="I221" s="256"/>
      <c r="J221" s="11">
        <v>7200000</v>
      </c>
      <c r="K221" s="12">
        <v>43665</v>
      </c>
      <c r="L221" s="59"/>
      <c r="M221" s="64"/>
      <c r="N221" s="64" t="s">
        <v>505</v>
      </c>
      <c r="O221" s="64"/>
    </row>
    <row r="222" spans="2:15" x14ac:dyDescent="0.25">
      <c r="B222" s="62">
        <v>198</v>
      </c>
      <c r="C222" s="256" t="s">
        <v>506</v>
      </c>
      <c r="D222" s="256"/>
      <c r="E222" s="256"/>
      <c r="F222" s="256"/>
      <c r="G222" s="256"/>
      <c r="H222" s="256"/>
      <c r="I222" s="256"/>
      <c r="J222" s="11" t="s">
        <v>150</v>
      </c>
      <c r="K222" s="12">
        <v>43668</v>
      </c>
      <c r="L222" s="59"/>
      <c r="M222" s="64"/>
      <c r="N222" s="25" t="s">
        <v>507</v>
      </c>
      <c r="O222" s="64"/>
    </row>
    <row r="223" spans="2:15" x14ac:dyDescent="0.25">
      <c r="B223" s="62">
        <v>199</v>
      </c>
      <c r="C223" s="256" t="s">
        <v>508</v>
      </c>
      <c r="D223" s="256"/>
      <c r="E223" s="256"/>
      <c r="F223" s="256"/>
      <c r="G223" s="256"/>
      <c r="H223" s="256"/>
      <c r="I223" s="256"/>
      <c r="J223" s="11">
        <v>2260000</v>
      </c>
      <c r="K223" s="12">
        <v>43668</v>
      </c>
      <c r="L223" s="59"/>
      <c r="M223" s="64"/>
      <c r="N223" s="64" t="s">
        <v>509</v>
      </c>
      <c r="O223" s="64"/>
    </row>
    <row r="224" spans="2:15" x14ac:dyDescent="0.25">
      <c r="B224" s="62">
        <v>200</v>
      </c>
      <c r="C224" s="229" t="s">
        <v>510</v>
      </c>
      <c r="D224" s="229"/>
      <c r="E224" s="229"/>
      <c r="F224" s="229"/>
      <c r="G224" s="229"/>
      <c r="H224" s="229"/>
      <c r="I224" s="229"/>
      <c r="J224" s="11">
        <v>16290000</v>
      </c>
      <c r="K224" s="12">
        <v>43669</v>
      </c>
      <c r="L224" s="59"/>
      <c r="M224" s="64"/>
      <c r="N224" s="64" t="s">
        <v>451</v>
      </c>
      <c r="O224" s="64"/>
    </row>
    <row r="225" spans="2:15" x14ac:dyDescent="0.25">
      <c r="B225" s="61">
        <v>201</v>
      </c>
      <c r="C225" s="228" t="s">
        <v>511</v>
      </c>
      <c r="D225" s="228"/>
      <c r="E225" s="228"/>
      <c r="F225" s="228"/>
      <c r="G225" s="228"/>
      <c r="H225" s="228"/>
      <c r="I225" s="228"/>
      <c r="J225" s="27">
        <v>2720000</v>
      </c>
      <c r="K225" s="28">
        <v>43669</v>
      </c>
      <c r="L225" s="61"/>
      <c r="M225" s="25"/>
      <c r="N225" s="25" t="s">
        <v>512</v>
      </c>
      <c r="O225" s="25"/>
    </row>
    <row r="226" spans="2:15" x14ac:dyDescent="0.25">
      <c r="B226" s="62">
        <v>202</v>
      </c>
      <c r="C226" s="229" t="s">
        <v>513</v>
      </c>
      <c r="D226" s="229"/>
      <c r="E226" s="229"/>
      <c r="F226" s="229"/>
      <c r="G226" s="229"/>
      <c r="H226" s="229"/>
      <c r="I226" s="229"/>
      <c r="J226" s="11">
        <v>5960000</v>
      </c>
      <c r="K226" s="12">
        <v>43669</v>
      </c>
      <c r="L226" s="59"/>
      <c r="M226" s="64"/>
      <c r="N226" s="64" t="s">
        <v>350</v>
      </c>
      <c r="O226" s="64"/>
    </row>
    <row r="227" spans="2:15" x14ac:dyDescent="0.25">
      <c r="B227" s="62">
        <v>203</v>
      </c>
      <c r="C227" s="229" t="s">
        <v>514</v>
      </c>
      <c r="D227" s="229"/>
      <c r="E227" s="229"/>
      <c r="F227" s="229"/>
      <c r="G227" s="229"/>
      <c r="H227" s="229"/>
      <c r="I227" s="229"/>
      <c r="J227" s="11">
        <v>15415000</v>
      </c>
      <c r="K227" s="12">
        <v>43669</v>
      </c>
      <c r="L227" s="59"/>
      <c r="M227" s="64"/>
      <c r="N227" s="64" t="s">
        <v>412</v>
      </c>
      <c r="O227" s="64"/>
    </row>
    <row r="228" spans="2:15" x14ac:dyDescent="0.25">
      <c r="B228" s="62">
        <v>204</v>
      </c>
      <c r="C228" s="229" t="s">
        <v>515</v>
      </c>
      <c r="D228" s="229"/>
      <c r="E228" s="229"/>
      <c r="F228" s="229"/>
      <c r="G228" s="229"/>
      <c r="H228" s="229"/>
      <c r="I228" s="229"/>
      <c r="J228" s="11">
        <f>320000*6</f>
        <v>1920000</v>
      </c>
      <c r="K228" s="12">
        <v>43669</v>
      </c>
      <c r="L228" s="59"/>
      <c r="M228" s="64"/>
      <c r="N228" s="64" t="s">
        <v>516</v>
      </c>
      <c r="O228" s="64"/>
    </row>
    <row r="229" spans="2:15" x14ac:dyDescent="0.25">
      <c r="B229" s="62">
        <v>205</v>
      </c>
      <c r="C229" s="229" t="s">
        <v>517</v>
      </c>
      <c r="D229" s="229"/>
      <c r="E229" s="229"/>
      <c r="F229" s="229"/>
      <c r="G229" s="229"/>
      <c r="H229" s="229"/>
      <c r="I229" s="229"/>
      <c r="J229" s="11">
        <v>895000</v>
      </c>
      <c r="K229" s="12">
        <v>43670</v>
      </c>
      <c r="L229" s="59"/>
      <c r="M229" s="64"/>
      <c r="N229" s="64" t="s">
        <v>518</v>
      </c>
      <c r="O229" s="64"/>
    </row>
    <row r="230" spans="2:15" x14ac:dyDescent="0.25">
      <c r="B230" s="62">
        <v>206</v>
      </c>
      <c r="C230" s="229" t="s">
        <v>519</v>
      </c>
      <c r="D230" s="229"/>
      <c r="E230" s="229"/>
      <c r="F230" s="229"/>
      <c r="G230" s="229"/>
      <c r="H230" s="229"/>
      <c r="I230" s="229"/>
      <c r="J230" s="11">
        <v>895000</v>
      </c>
      <c r="K230" s="12">
        <v>43670</v>
      </c>
      <c r="L230" s="59"/>
      <c r="M230" s="64"/>
      <c r="N230" s="64" t="s">
        <v>518</v>
      </c>
      <c r="O230" s="64"/>
    </row>
    <row r="231" spans="2:15" x14ac:dyDescent="0.25">
      <c r="B231" s="62">
        <v>207</v>
      </c>
      <c r="C231" s="229" t="s">
        <v>520</v>
      </c>
      <c r="D231" s="229"/>
      <c r="E231" s="229"/>
      <c r="F231" s="229"/>
      <c r="G231" s="229"/>
      <c r="H231" s="229"/>
      <c r="I231" s="229"/>
      <c r="J231" s="11">
        <v>8784000</v>
      </c>
      <c r="K231" s="12">
        <v>43670</v>
      </c>
      <c r="L231" s="59"/>
      <c r="M231" s="64"/>
      <c r="N231" s="64" t="s">
        <v>521</v>
      </c>
      <c r="O231" s="64"/>
    </row>
    <row r="232" spans="2:15" x14ac:dyDescent="0.25">
      <c r="B232" s="62">
        <v>208</v>
      </c>
      <c r="C232" s="229" t="s">
        <v>522</v>
      </c>
      <c r="D232" s="229"/>
      <c r="E232" s="229"/>
      <c r="F232" s="229"/>
      <c r="G232" s="229"/>
      <c r="H232" s="229"/>
      <c r="I232" s="229"/>
      <c r="J232" s="11">
        <v>1550000</v>
      </c>
      <c r="K232" s="12">
        <v>43670</v>
      </c>
      <c r="L232" s="59"/>
      <c r="M232" s="64"/>
      <c r="N232" s="64" t="s">
        <v>523</v>
      </c>
      <c r="O232" s="64"/>
    </row>
    <row r="233" spans="2:15" x14ac:dyDescent="0.25">
      <c r="B233" s="62">
        <v>209</v>
      </c>
      <c r="C233" s="229" t="s">
        <v>524</v>
      </c>
      <c r="D233" s="229"/>
      <c r="E233" s="229"/>
      <c r="F233" s="229"/>
      <c r="G233" s="229"/>
      <c r="H233" s="229"/>
      <c r="I233" s="229"/>
      <c r="J233" s="11">
        <v>35120000</v>
      </c>
      <c r="K233" s="12">
        <v>43671</v>
      </c>
      <c r="L233" s="59"/>
      <c r="M233" s="64"/>
      <c r="N233" s="64" t="s">
        <v>525</v>
      </c>
      <c r="O233" s="64"/>
    </row>
    <row r="234" spans="2:15" x14ac:dyDescent="0.25">
      <c r="B234" s="62">
        <v>210</v>
      </c>
      <c r="C234" s="229" t="s">
        <v>526</v>
      </c>
      <c r="D234" s="229"/>
      <c r="E234" s="229"/>
      <c r="F234" s="229"/>
      <c r="G234" s="229"/>
      <c r="H234" s="229"/>
      <c r="I234" s="229"/>
      <c r="J234" s="11">
        <v>12530000</v>
      </c>
      <c r="K234" s="12">
        <v>43672</v>
      </c>
      <c r="L234" s="59"/>
      <c r="M234" s="64"/>
      <c r="N234" s="64" t="s">
        <v>527</v>
      </c>
      <c r="O234" s="64"/>
    </row>
    <row r="235" spans="2:15" x14ac:dyDescent="0.25">
      <c r="B235" s="62">
        <v>211</v>
      </c>
      <c r="C235" s="229" t="s">
        <v>528</v>
      </c>
      <c r="D235" s="229"/>
      <c r="E235" s="229"/>
      <c r="F235" s="229"/>
      <c r="G235" s="229"/>
      <c r="H235" s="229"/>
      <c r="I235" s="229"/>
      <c r="J235" s="11">
        <v>4800000</v>
      </c>
      <c r="K235" s="12">
        <v>43675</v>
      </c>
      <c r="L235" s="59"/>
      <c r="M235" s="64"/>
      <c r="N235" s="64" t="s">
        <v>400</v>
      </c>
      <c r="O235" s="64"/>
    </row>
    <row r="236" spans="2:15" x14ac:dyDescent="0.25">
      <c r="B236" s="62">
        <v>212</v>
      </c>
      <c r="C236" s="229" t="s">
        <v>529</v>
      </c>
      <c r="D236" s="229"/>
      <c r="E236" s="229"/>
      <c r="F236" s="229"/>
      <c r="G236" s="229"/>
      <c r="H236" s="229"/>
      <c r="I236" s="229"/>
      <c r="J236" s="11">
        <v>6585000</v>
      </c>
      <c r="K236" s="12">
        <v>43675</v>
      </c>
      <c r="L236" s="59"/>
      <c r="M236" s="64"/>
      <c r="N236" s="64" t="s">
        <v>530</v>
      </c>
      <c r="O236" s="64"/>
    </row>
    <row r="237" spans="2:15" x14ac:dyDescent="0.25">
      <c r="B237" s="61">
        <v>213</v>
      </c>
      <c r="C237" s="228" t="s">
        <v>531</v>
      </c>
      <c r="D237" s="228"/>
      <c r="E237" s="228"/>
      <c r="F237" s="228"/>
      <c r="G237" s="228"/>
      <c r="H237" s="228"/>
      <c r="I237" s="228"/>
      <c r="J237" s="27">
        <v>2650000</v>
      </c>
      <c r="K237" s="28">
        <v>43675</v>
      </c>
      <c r="L237" s="61"/>
      <c r="M237" s="25"/>
      <c r="N237" s="25"/>
      <c r="O237" s="25"/>
    </row>
    <row r="238" spans="2:15" x14ac:dyDescent="0.25">
      <c r="B238" s="62">
        <v>214</v>
      </c>
      <c r="C238" s="256" t="s">
        <v>532</v>
      </c>
      <c r="D238" s="256"/>
      <c r="E238" s="256"/>
      <c r="F238" s="256"/>
      <c r="G238" s="256"/>
      <c r="H238" s="256"/>
      <c r="I238" s="256"/>
      <c r="J238" s="11">
        <v>7475000</v>
      </c>
      <c r="K238" s="12">
        <v>43676</v>
      </c>
      <c r="L238" s="59"/>
      <c r="M238" s="64"/>
      <c r="N238" s="64" t="s">
        <v>212</v>
      </c>
      <c r="O238" s="64"/>
    </row>
    <row r="239" spans="2:15" x14ac:dyDescent="0.25">
      <c r="B239" s="62">
        <v>215</v>
      </c>
      <c r="C239" s="256" t="s">
        <v>533</v>
      </c>
      <c r="D239" s="256"/>
      <c r="E239" s="256"/>
      <c r="F239" s="256"/>
      <c r="G239" s="256"/>
      <c r="H239" s="256"/>
      <c r="I239" s="256"/>
      <c r="J239" s="11">
        <v>15915000</v>
      </c>
      <c r="K239" s="12">
        <v>43676</v>
      </c>
      <c r="L239" s="59"/>
      <c r="M239" s="64"/>
      <c r="N239" s="25"/>
      <c r="O239" s="64"/>
    </row>
    <row r="240" spans="2:15" x14ac:dyDescent="0.25">
      <c r="B240" s="62">
        <v>216</v>
      </c>
      <c r="C240" s="256" t="s">
        <v>534</v>
      </c>
      <c r="D240" s="256"/>
      <c r="E240" s="256"/>
      <c r="F240" s="256"/>
      <c r="G240" s="256"/>
      <c r="H240" s="256"/>
      <c r="I240" s="256"/>
      <c r="J240" s="11">
        <v>10940000</v>
      </c>
      <c r="K240" s="12">
        <v>43676</v>
      </c>
      <c r="L240" s="59"/>
      <c r="M240" s="64"/>
      <c r="N240" s="64" t="s">
        <v>212</v>
      </c>
      <c r="O240" s="64"/>
    </row>
    <row r="241" spans="2:15" x14ac:dyDescent="0.25">
      <c r="B241" s="62">
        <v>217</v>
      </c>
      <c r="C241" s="256" t="s">
        <v>535</v>
      </c>
      <c r="D241" s="256"/>
      <c r="E241" s="256"/>
      <c r="F241" s="256"/>
      <c r="G241" s="256"/>
      <c r="H241" s="256"/>
      <c r="I241" s="256"/>
      <c r="J241" s="11">
        <v>6920000</v>
      </c>
      <c r="K241" s="12">
        <v>43677</v>
      </c>
      <c r="L241" s="59"/>
      <c r="M241" s="64"/>
      <c r="N241" s="64" t="s">
        <v>536</v>
      </c>
      <c r="O241" s="64"/>
    </row>
    <row r="242" spans="2:15" x14ac:dyDescent="0.25">
      <c r="B242" s="62">
        <v>218</v>
      </c>
      <c r="C242" s="256" t="s">
        <v>537</v>
      </c>
      <c r="D242" s="256"/>
      <c r="E242" s="256"/>
      <c r="F242" s="256"/>
      <c r="G242" s="256"/>
      <c r="H242" s="256"/>
      <c r="I242" s="256"/>
      <c r="J242" s="11">
        <v>1350000</v>
      </c>
      <c r="K242" s="12">
        <v>43677</v>
      </c>
      <c r="L242" s="59"/>
      <c r="M242" s="64"/>
      <c r="N242" s="64" t="s">
        <v>523</v>
      </c>
      <c r="O242" s="64"/>
    </row>
    <row r="243" spans="2:15" x14ac:dyDescent="0.25">
      <c r="B243" s="62">
        <v>219</v>
      </c>
      <c r="C243" s="256" t="s">
        <v>538</v>
      </c>
      <c r="D243" s="256"/>
      <c r="E243" s="256"/>
      <c r="F243" s="256"/>
      <c r="G243" s="256"/>
      <c r="H243" s="256"/>
      <c r="I243" s="256"/>
      <c r="J243" s="11">
        <v>13245000</v>
      </c>
      <c r="K243" s="12">
        <v>43678</v>
      </c>
      <c r="L243" s="59"/>
      <c r="M243" s="64"/>
      <c r="N243" s="64" t="s">
        <v>539</v>
      </c>
      <c r="O243" s="64"/>
    </row>
    <row r="244" spans="2:15" x14ac:dyDescent="0.25">
      <c r="B244" s="62">
        <v>220</v>
      </c>
      <c r="C244" s="256" t="s">
        <v>533</v>
      </c>
      <c r="D244" s="256"/>
      <c r="E244" s="256"/>
      <c r="F244" s="256"/>
      <c r="G244" s="256"/>
      <c r="H244" s="256"/>
      <c r="I244" s="256"/>
      <c r="J244" s="11">
        <v>15915000</v>
      </c>
      <c r="K244" s="12">
        <v>43678</v>
      </c>
      <c r="L244" s="59"/>
      <c r="M244" s="64"/>
      <c r="N244" s="64" t="s">
        <v>540</v>
      </c>
      <c r="O244" s="64"/>
    </row>
    <row r="245" spans="2:15" x14ac:dyDescent="0.25">
      <c r="B245" s="62">
        <v>221</v>
      </c>
      <c r="C245" s="256" t="s">
        <v>541</v>
      </c>
      <c r="D245" s="256"/>
      <c r="E245" s="256"/>
      <c r="F245" s="256"/>
      <c r="G245" s="256"/>
      <c r="H245" s="256"/>
      <c r="I245" s="256"/>
      <c r="J245" s="11">
        <v>1000000</v>
      </c>
      <c r="K245" s="12">
        <v>43679</v>
      </c>
      <c r="L245" s="59"/>
      <c r="M245" s="64"/>
      <c r="N245" s="64" t="s">
        <v>496</v>
      </c>
      <c r="O245" s="64"/>
    </row>
    <row r="246" spans="2:15" x14ac:dyDescent="0.25">
      <c r="B246" s="62">
        <v>222</v>
      </c>
      <c r="C246" s="256" t="s">
        <v>542</v>
      </c>
      <c r="D246" s="256"/>
      <c r="E246" s="256"/>
      <c r="F246" s="256"/>
      <c r="G246" s="256"/>
      <c r="H246" s="256"/>
      <c r="I246" s="256"/>
      <c r="J246" s="11">
        <v>12210000</v>
      </c>
      <c r="K246" s="12">
        <v>43682</v>
      </c>
      <c r="L246" s="59"/>
      <c r="M246" s="64"/>
      <c r="N246" s="64" t="s">
        <v>543</v>
      </c>
      <c r="O246" s="64"/>
    </row>
    <row r="247" spans="2:15" x14ac:dyDescent="0.25">
      <c r="B247" s="62">
        <v>223</v>
      </c>
      <c r="C247" s="256" t="s">
        <v>544</v>
      </c>
      <c r="D247" s="256"/>
      <c r="E247" s="256"/>
      <c r="F247" s="256"/>
      <c r="G247" s="256"/>
      <c r="H247" s="256"/>
      <c r="I247" s="256"/>
      <c r="J247" s="11">
        <v>13545000</v>
      </c>
      <c r="K247" s="12">
        <v>43685</v>
      </c>
      <c r="L247" s="59"/>
      <c r="M247" s="64"/>
      <c r="N247" s="64" t="s">
        <v>499</v>
      </c>
      <c r="O247" s="64"/>
    </row>
    <row r="248" spans="2:15" x14ac:dyDescent="0.25">
      <c r="B248" s="62">
        <v>224</v>
      </c>
      <c r="C248" s="256" t="s">
        <v>545</v>
      </c>
      <c r="D248" s="256"/>
      <c r="E248" s="256"/>
      <c r="F248" s="256"/>
      <c r="G248" s="256"/>
      <c r="H248" s="256"/>
      <c r="I248" s="256"/>
      <c r="J248" s="11">
        <v>2500000</v>
      </c>
      <c r="K248" s="12">
        <v>43685</v>
      </c>
      <c r="L248" s="59"/>
      <c r="M248" s="64"/>
      <c r="N248" s="64" t="s">
        <v>242</v>
      </c>
      <c r="O248" s="64"/>
    </row>
    <row r="249" spans="2:15" x14ac:dyDescent="0.25">
      <c r="B249" s="62">
        <v>225</v>
      </c>
      <c r="C249" s="256" t="s">
        <v>546</v>
      </c>
      <c r="D249" s="256"/>
      <c r="E249" s="256"/>
      <c r="F249" s="256"/>
      <c r="G249" s="256"/>
      <c r="H249" s="256"/>
      <c r="I249" s="256"/>
      <c r="J249" s="11">
        <v>14425000</v>
      </c>
      <c r="K249" s="12">
        <v>43685</v>
      </c>
      <c r="L249" s="59"/>
      <c r="M249" s="64"/>
      <c r="N249" s="64" t="s">
        <v>436</v>
      </c>
      <c r="O249" s="64"/>
    </row>
    <row r="250" spans="2:15" x14ac:dyDescent="0.25">
      <c r="B250" s="62">
        <v>226</v>
      </c>
      <c r="C250" s="256" t="s">
        <v>547</v>
      </c>
      <c r="D250" s="256"/>
      <c r="E250" s="256"/>
      <c r="F250" s="256"/>
      <c r="G250" s="256"/>
      <c r="H250" s="256"/>
      <c r="I250" s="256"/>
      <c r="J250" s="11">
        <v>6645000</v>
      </c>
      <c r="K250" s="12">
        <v>43686</v>
      </c>
      <c r="L250" s="59"/>
      <c r="M250" s="64"/>
      <c r="N250" s="64" t="s">
        <v>548</v>
      </c>
      <c r="O250" s="64"/>
    </row>
    <row r="251" spans="2:15" x14ac:dyDescent="0.25">
      <c r="B251" s="62">
        <v>227</v>
      </c>
      <c r="C251" s="256" t="s">
        <v>549</v>
      </c>
      <c r="D251" s="256"/>
      <c r="E251" s="256"/>
      <c r="F251" s="256"/>
      <c r="G251" s="256"/>
      <c r="H251" s="256"/>
      <c r="I251" s="256"/>
      <c r="J251" s="11">
        <v>29855000</v>
      </c>
      <c r="K251" s="12">
        <v>43686</v>
      </c>
      <c r="L251" s="59"/>
      <c r="M251" s="64"/>
      <c r="N251" s="64" t="s">
        <v>451</v>
      </c>
      <c r="O251" s="64"/>
    </row>
    <row r="252" spans="2:15" x14ac:dyDescent="0.25">
      <c r="B252" s="62">
        <v>228</v>
      </c>
      <c r="C252" s="256" t="s">
        <v>550</v>
      </c>
      <c r="D252" s="256"/>
      <c r="E252" s="256"/>
      <c r="F252" s="256"/>
      <c r="G252" s="256"/>
      <c r="H252" s="256"/>
      <c r="I252" s="256"/>
      <c r="J252" s="11">
        <v>4905000</v>
      </c>
      <c r="K252" s="12">
        <v>43689</v>
      </c>
      <c r="L252" s="59"/>
      <c r="M252" s="64"/>
      <c r="N252" s="64" t="s">
        <v>551</v>
      </c>
      <c r="O252" s="64"/>
    </row>
    <row r="253" spans="2:15" x14ac:dyDescent="0.25">
      <c r="B253" s="62">
        <v>229</v>
      </c>
      <c r="C253" s="256" t="s">
        <v>552</v>
      </c>
      <c r="D253" s="256"/>
      <c r="E253" s="256"/>
      <c r="F253" s="256"/>
      <c r="G253" s="256"/>
      <c r="H253" s="256"/>
      <c r="I253" s="256"/>
      <c r="J253" s="11">
        <v>2310000</v>
      </c>
      <c r="K253" s="12">
        <v>43690</v>
      </c>
      <c r="L253" s="59"/>
      <c r="M253" s="64"/>
      <c r="N253" s="64" t="s">
        <v>417</v>
      </c>
      <c r="O253" s="64"/>
    </row>
    <row r="254" spans="2:15" x14ac:dyDescent="0.25">
      <c r="B254" s="62">
        <v>230</v>
      </c>
      <c r="C254" s="256" t="s">
        <v>553</v>
      </c>
      <c r="D254" s="256"/>
      <c r="E254" s="256"/>
      <c r="F254" s="256"/>
      <c r="G254" s="256"/>
      <c r="H254" s="256"/>
      <c r="I254" s="256"/>
      <c r="J254" s="11">
        <v>27345000</v>
      </c>
      <c r="K254" s="12">
        <v>43690</v>
      </c>
      <c r="L254" s="59"/>
      <c r="M254" s="64"/>
      <c r="N254" s="64" t="s">
        <v>443</v>
      </c>
      <c r="O254" s="64"/>
    </row>
    <row r="255" spans="2:15" x14ac:dyDescent="0.25">
      <c r="B255" s="62">
        <v>231</v>
      </c>
      <c r="C255" s="256" t="s">
        <v>554</v>
      </c>
      <c r="D255" s="256"/>
      <c r="E255" s="256"/>
      <c r="F255" s="256"/>
      <c r="G255" s="256"/>
      <c r="H255" s="256"/>
      <c r="I255" s="256"/>
      <c r="J255" s="11">
        <v>7200000</v>
      </c>
      <c r="K255" s="12">
        <v>43690</v>
      </c>
      <c r="L255" s="59"/>
      <c r="M255" s="64"/>
      <c r="N255" s="64" t="s">
        <v>289</v>
      </c>
      <c r="O255" s="64"/>
    </row>
    <row r="256" spans="2:15" x14ac:dyDescent="0.25">
      <c r="B256" s="61">
        <v>232</v>
      </c>
      <c r="C256" s="228" t="s">
        <v>555</v>
      </c>
      <c r="D256" s="228"/>
      <c r="E256" s="228"/>
      <c r="F256" s="228"/>
      <c r="G256" s="228"/>
      <c r="H256" s="228"/>
      <c r="I256" s="228"/>
      <c r="J256" s="27">
        <v>10540000</v>
      </c>
      <c r="K256" s="28">
        <v>43690</v>
      </c>
      <c r="L256" s="61"/>
      <c r="M256" s="25"/>
      <c r="N256" s="25"/>
      <c r="O256" s="25"/>
    </row>
    <row r="257" spans="1:15" x14ac:dyDescent="0.25">
      <c r="B257" s="62">
        <v>233</v>
      </c>
      <c r="C257" s="256" t="s">
        <v>556</v>
      </c>
      <c r="D257" s="256"/>
      <c r="E257" s="256"/>
      <c r="F257" s="256"/>
      <c r="G257" s="256"/>
      <c r="H257" s="256"/>
      <c r="I257" s="256"/>
      <c r="J257" s="11">
        <v>27345000</v>
      </c>
      <c r="K257" s="12">
        <v>43690</v>
      </c>
      <c r="L257" s="59"/>
      <c r="M257" s="64"/>
      <c r="N257" s="64" t="s">
        <v>358</v>
      </c>
      <c r="O257" s="64"/>
    </row>
    <row r="258" spans="1:15" x14ac:dyDescent="0.25">
      <c r="B258" s="62">
        <v>234</v>
      </c>
      <c r="C258" s="256" t="s">
        <v>557</v>
      </c>
      <c r="D258" s="256"/>
      <c r="E258" s="256"/>
      <c r="F258" s="256"/>
      <c r="G258" s="256"/>
      <c r="H258" s="256"/>
      <c r="I258" s="256"/>
      <c r="J258" s="11">
        <v>2860000</v>
      </c>
      <c r="K258" s="12">
        <v>43691</v>
      </c>
      <c r="L258" s="59"/>
      <c r="M258" s="64"/>
      <c r="N258" s="64" t="s">
        <v>558</v>
      </c>
      <c r="O258" s="64"/>
    </row>
    <row r="259" spans="1:15" x14ac:dyDescent="0.25">
      <c r="B259" s="62">
        <v>235</v>
      </c>
      <c r="C259" s="256" t="s">
        <v>559</v>
      </c>
      <c r="D259" s="256"/>
      <c r="E259" s="256"/>
      <c r="F259" s="256"/>
      <c r="G259" s="256"/>
      <c r="H259" s="256"/>
      <c r="I259" s="256"/>
      <c r="J259" s="11">
        <v>6920000</v>
      </c>
      <c r="K259" s="12">
        <v>43691</v>
      </c>
      <c r="L259" s="59"/>
      <c r="M259" s="64"/>
      <c r="N259" s="23" t="s">
        <v>192</v>
      </c>
      <c r="O259" s="64"/>
    </row>
    <row r="260" spans="1:15" x14ac:dyDescent="0.25">
      <c r="B260" s="62">
        <v>236</v>
      </c>
      <c r="C260" s="256" t="s">
        <v>560</v>
      </c>
      <c r="D260" s="256"/>
      <c r="E260" s="256"/>
      <c r="F260" s="256"/>
      <c r="G260" s="256"/>
      <c r="H260" s="256"/>
      <c r="I260" s="256"/>
      <c r="J260" s="11">
        <v>6920000</v>
      </c>
      <c r="K260" s="12">
        <v>43692</v>
      </c>
      <c r="L260" s="59"/>
      <c r="M260" s="64"/>
      <c r="N260" s="64" t="s">
        <v>561</v>
      </c>
      <c r="O260" s="64"/>
    </row>
    <row r="261" spans="1:15" x14ac:dyDescent="0.25">
      <c r="B261" s="62">
        <v>237</v>
      </c>
      <c r="C261" s="256" t="s">
        <v>562</v>
      </c>
      <c r="D261" s="256"/>
      <c r="E261" s="256"/>
      <c r="F261" s="256"/>
      <c r="G261" s="256"/>
      <c r="H261" s="256"/>
      <c r="I261" s="256"/>
      <c r="J261" s="11">
        <v>10943000</v>
      </c>
      <c r="K261" s="12">
        <v>43693</v>
      </c>
      <c r="L261" s="59"/>
      <c r="M261" s="64"/>
      <c r="N261" s="64" t="s">
        <v>496</v>
      </c>
      <c r="O261" s="64"/>
    </row>
    <row r="262" spans="1:15" x14ac:dyDescent="0.25">
      <c r="B262" s="62">
        <v>238</v>
      </c>
      <c r="C262" s="256" t="s">
        <v>563</v>
      </c>
      <c r="D262" s="256"/>
      <c r="E262" s="256"/>
      <c r="F262" s="256"/>
      <c r="G262" s="256"/>
      <c r="H262" s="256"/>
      <c r="I262" s="256"/>
      <c r="J262" s="11">
        <v>7994250</v>
      </c>
      <c r="K262" s="12">
        <v>43697</v>
      </c>
      <c r="L262" s="59"/>
      <c r="M262" s="64"/>
      <c r="N262" s="64" t="s">
        <v>307</v>
      </c>
      <c r="O262" s="64"/>
    </row>
    <row r="263" spans="1:15" x14ac:dyDescent="0.25">
      <c r="B263" s="62">
        <v>239</v>
      </c>
      <c r="C263" s="256" t="s">
        <v>564</v>
      </c>
      <c r="D263" s="256"/>
      <c r="E263" s="256"/>
      <c r="F263" s="256"/>
      <c r="G263" s="256"/>
      <c r="H263" s="256"/>
      <c r="I263" s="256"/>
      <c r="J263" s="11">
        <v>16950000</v>
      </c>
      <c r="K263" s="12">
        <v>43697</v>
      </c>
      <c r="L263" s="59"/>
      <c r="M263" s="64"/>
      <c r="N263" s="64" t="s">
        <v>340</v>
      </c>
      <c r="O263" s="64"/>
    </row>
    <row r="264" spans="1:15" x14ac:dyDescent="0.25">
      <c r="B264" s="62">
        <v>240</v>
      </c>
      <c r="C264" s="256" t="s">
        <v>565</v>
      </c>
      <c r="D264" s="256"/>
      <c r="E264" s="256"/>
      <c r="F264" s="256"/>
      <c r="G264" s="256"/>
      <c r="H264" s="256"/>
      <c r="I264" s="256"/>
      <c r="J264" s="11">
        <v>9400000</v>
      </c>
      <c r="K264" s="12">
        <v>43699</v>
      </c>
      <c r="L264" s="59"/>
      <c r="M264" s="64"/>
      <c r="N264" s="23" t="s">
        <v>566</v>
      </c>
      <c r="O264" s="64"/>
    </row>
    <row r="265" spans="1:15" x14ac:dyDescent="0.25">
      <c r="B265" s="62">
        <v>241</v>
      </c>
      <c r="C265" s="256" t="s">
        <v>567</v>
      </c>
      <c r="D265" s="256"/>
      <c r="E265" s="256"/>
      <c r="F265" s="256"/>
      <c r="G265" s="256"/>
      <c r="H265" s="256"/>
      <c r="I265" s="256"/>
      <c r="J265" s="11" t="s">
        <v>150</v>
      </c>
      <c r="K265" s="12">
        <v>43699</v>
      </c>
      <c r="L265" s="59"/>
      <c r="M265" s="64"/>
      <c r="N265" s="25"/>
      <c r="O265" s="64"/>
    </row>
    <row r="266" spans="1:15" x14ac:dyDescent="0.25">
      <c r="B266" s="62">
        <v>242</v>
      </c>
      <c r="C266" s="256" t="s">
        <v>568</v>
      </c>
      <c r="D266" s="256"/>
      <c r="E266" s="256"/>
      <c r="F266" s="256"/>
      <c r="G266" s="256"/>
      <c r="H266" s="256"/>
      <c r="I266" s="256"/>
      <c r="J266" s="11">
        <v>5190000</v>
      </c>
      <c r="K266" s="12">
        <v>43699</v>
      </c>
      <c r="L266" s="59"/>
      <c r="M266" s="64"/>
      <c r="N266" s="23" t="s">
        <v>192</v>
      </c>
      <c r="O266" s="64"/>
    </row>
    <row r="267" spans="1:15" x14ac:dyDescent="0.25">
      <c r="A267" s="7" t="s">
        <v>237</v>
      </c>
      <c r="B267" s="13">
        <v>243</v>
      </c>
      <c r="C267" s="229" t="s">
        <v>569</v>
      </c>
      <c r="D267" s="229"/>
      <c r="E267" s="229"/>
      <c r="F267" s="229"/>
      <c r="G267" s="229"/>
      <c r="H267" s="229"/>
      <c r="I267" s="229"/>
      <c r="J267" s="11">
        <v>57500000</v>
      </c>
      <c r="K267" s="12">
        <v>43700</v>
      </c>
      <c r="L267" s="59"/>
      <c r="M267" s="64"/>
      <c r="N267" s="64" t="s">
        <v>570</v>
      </c>
      <c r="O267" s="64"/>
    </row>
    <row r="268" spans="1:15" x14ac:dyDescent="0.25">
      <c r="A268" s="7" t="s">
        <v>237</v>
      </c>
      <c r="B268" s="13">
        <v>243</v>
      </c>
      <c r="C268" s="230" t="s">
        <v>568</v>
      </c>
      <c r="D268" s="231"/>
      <c r="E268" s="231"/>
      <c r="F268" s="231"/>
      <c r="G268" s="231"/>
      <c r="H268" s="231"/>
      <c r="I268" s="232"/>
      <c r="J268" s="11">
        <v>4670000</v>
      </c>
      <c r="K268" s="12">
        <v>44065</v>
      </c>
      <c r="L268" s="59"/>
      <c r="M268" s="64"/>
      <c r="N268" s="64" t="s">
        <v>212</v>
      </c>
      <c r="O268" s="64"/>
    </row>
    <row r="269" spans="1:15" x14ac:dyDescent="0.25">
      <c r="B269" s="62">
        <v>244</v>
      </c>
      <c r="C269" s="229" t="s">
        <v>571</v>
      </c>
      <c r="D269" s="229"/>
      <c r="E269" s="229"/>
      <c r="F269" s="229"/>
      <c r="G269" s="229"/>
      <c r="H269" s="229"/>
      <c r="I269" s="229"/>
      <c r="J269" s="11">
        <v>1880000</v>
      </c>
      <c r="K269" s="12">
        <v>43704</v>
      </c>
      <c r="L269" s="59"/>
      <c r="M269" s="64"/>
      <c r="N269" s="64" t="s">
        <v>272</v>
      </c>
      <c r="O269" s="64"/>
    </row>
    <row r="270" spans="1:15" x14ac:dyDescent="0.25">
      <c r="B270" s="61">
        <v>245</v>
      </c>
      <c r="C270" s="228" t="s">
        <v>572</v>
      </c>
      <c r="D270" s="228"/>
      <c r="E270" s="228"/>
      <c r="F270" s="228"/>
      <c r="G270" s="228"/>
      <c r="H270" s="228"/>
      <c r="I270" s="228"/>
      <c r="J270" s="27">
        <v>10420000</v>
      </c>
      <c r="K270" s="28">
        <v>43704</v>
      </c>
      <c r="L270" s="61"/>
      <c r="M270" s="25"/>
      <c r="N270" s="25"/>
      <c r="O270" s="25"/>
    </row>
    <row r="271" spans="1:15" x14ac:dyDescent="0.25">
      <c r="B271" s="62">
        <v>246</v>
      </c>
      <c r="C271" s="229" t="s">
        <v>573</v>
      </c>
      <c r="D271" s="229"/>
      <c r="E271" s="229"/>
      <c r="F271" s="229"/>
      <c r="G271" s="229"/>
      <c r="H271" s="229"/>
      <c r="I271" s="229"/>
      <c r="J271" s="11">
        <v>21865000</v>
      </c>
      <c r="K271" s="12">
        <v>43705</v>
      </c>
      <c r="L271" s="59"/>
      <c r="M271" s="64"/>
      <c r="N271" s="64" t="s">
        <v>574</v>
      </c>
      <c r="O271" s="64"/>
    </row>
    <row r="272" spans="1:15" x14ac:dyDescent="0.25">
      <c r="B272" s="61">
        <v>247</v>
      </c>
      <c r="C272" s="228" t="s">
        <v>575</v>
      </c>
      <c r="D272" s="228"/>
      <c r="E272" s="228"/>
      <c r="F272" s="228"/>
      <c r="G272" s="228"/>
      <c r="H272" s="228"/>
      <c r="I272" s="228"/>
      <c r="J272" s="27">
        <v>1710000</v>
      </c>
      <c r="K272" s="28">
        <v>43705</v>
      </c>
      <c r="L272" s="61"/>
      <c r="M272" s="25"/>
      <c r="N272" s="25"/>
      <c r="O272" s="25"/>
    </row>
    <row r="273" spans="1:15" x14ac:dyDescent="0.25">
      <c r="B273" s="61">
        <v>248</v>
      </c>
      <c r="C273" s="228" t="s">
        <v>576</v>
      </c>
      <c r="D273" s="228"/>
      <c r="E273" s="228"/>
      <c r="F273" s="228"/>
      <c r="G273" s="228"/>
      <c r="H273" s="228"/>
      <c r="I273" s="228"/>
      <c r="J273" s="27">
        <v>8780000</v>
      </c>
      <c r="K273" s="28">
        <v>43705</v>
      </c>
      <c r="L273" s="61"/>
      <c r="M273" s="25"/>
      <c r="N273" s="25"/>
      <c r="O273" s="25"/>
    </row>
    <row r="274" spans="1:15" x14ac:dyDescent="0.25">
      <c r="B274" s="62">
        <v>249</v>
      </c>
      <c r="C274" s="229" t="s">
        <v>577</v>
      </c>
      <c r="D274" s="229"/>
      <c r="E274" s="229"/>
      <c r="F274" s="229"/>
      <c r="G274" s="229"/>
      <c r="H274" s="229"/>
      <c r="I274" s="229"/>
      <c r="J274" s="11">
        <v>1580000</v>
      </c>
      <c r="K274" s="12">
        <v>43705</v>
      </c>
      <c r="L274" s="59"/>
      <c r="M274" s="64"/>
      <c r="N274" s="64" t="s">
        <v>578</v>
      </c>
      <c r="O274" s="64"/>
    </row>
    <row r="275" spans="1:15" x14ac:dyDescent="0.25">
      <c r="B275" s="61">
        <v>250</v>
      </c>
      <c r="C275" s="228" t="s">
        <v>579</v>
      </c>
      <c r="D275" s="228"/>
      <c r="E275" s="228"/>
      <c r="F275" s="228"/>
      <c r="G275" s="228"/>
      <c r="H275" s="228"/>
      <c r="I275" s="228"/>
      <c r="J275" s="27">
        <v>3900000</v>
      </c>
      <c r="K275" s="28">
        <v>43705</v>
      </c>
      <c r="L275" s="61"/>
      <c r="M275" s="25"/>
      <c r="N275" s="25"/>
      <c r="O275" s="25"/>
    </row>
    <row r="276" spans="1:15" x14ac:dyDescent="0.25">
      <c r="B276" s="61">
        <v>251</v>
      </c>
      <c r="C276" s="228" t="s">
        <v>580</v>
      </c>
      <c r="D276" s="228"/>
      <c r="E276" s="228"/>
      <c r="F276" s="228"/>
      <c r="G276" s="228"/>
      <c r="H276" s="228"/>
      <c r="I276" s="228"/>
      <c r="J276" s="27">
        <v>1200000</v>
      </c>
      <c r="K276" s="28">
        <v>43705</v>
      </c>
      <c r="L276" s="61"/>
      <c r="M276" s="25"/>
      <c r="N276" s="25"/>
      <c r="O276" s="25"/>
    </row>
    <row r="277" spans="1:15" x14ac:dyDescent="0.25">
      <c r="B277" s="62">
        <v>252</v>
      </c>
      <c r="C277" s="261" t="s">
        <v>581</v>
      </c>
      <c r="D277" s="261"/>
      <c r="E277" s="261"/>
      <c r="F277" s="261"/>
      <c r="G277" s="261"/>
      <c r="H277" s="261"/>
      <c r="I277" s="261"/>
      <c r="J277" s="11">
        <v>12980000</v>
      </c>
      <c r="K277" s="12">
        <v>43711</v>
      </c>
      <c r="L277" s="59"/>
      <c r="M277" s="64"/>
      <c r="N277" s="64" t="s">
        <v>582</v>
      </c>
      <c r="O277" s="64"/>
    </row>
    <row r="278" spans="1:15" x14ac:dyDescent="0.25">
      <c r="B278" s="62">
        <v>253</v>
      </c>
      <c r="C278" s="229" t="s">
        <v>583</v>
      </c>
      <c r="D278" s="229"/>
      <c r="E278" s="229"/>
      <c r="F278" s="229"/>
      <c r="G278" s="229"/>
      <c r="H278" s="229"/>
      <c r="I278" s="229"/>
      <c r="J278" s="11">
        <v>3510000</v>
      </c>
      <c r="K278" s="12">
        <v>43712</v>
      </c>
      <c r="L278" s="59"/>
      <c r="M278" s="64"/>
      <c r="N278" s="64" t="s">
        <v>242</v>
      </c>
      <c r="O278" s="64"/>
    </row>
    <row r="279" spans="1:15" x14ac:dyDescent="0.25">
      <c r="B279" s="62">
        <v>254</v>
      </c>
      <c r="C279" s="229" t="s">
        <v>584</v>
      </c>
      <c r="D279" s="229"/>
      <c r="E279" s="229"/>
      <c r="F279" s="229"/>
      <c r="G279" s="229"/>
      <c r="H279" s="229"/>
      <c r="I279" s="229"/>
      <c r="J279" s="11">
        <v>16870000</v>
      </c>
      <c r="K279" s="12">
        <v>43712</v>
      </c>
      <c r="L279" s="59"/>
      <c r="M279" s="64"/>
      <c r="N279" s="64" t="s">
        <v>212</v>
      </c>
      <c r="O279" s="64"/>
    </row>
    <row r="280" spans="1:15" x14ac:dyDescent="0.25">
      <c r="B280" s="62">
        <v>255</v>
      </c>
      <c r="C280" s="229" t="s">
        <v>585</v>
      </c>
      <c r="D280" s="229"/>
      <c r="E280" s="229"/>
      <c r="F280" s="229"/>
      <c r="G280" s="229"/>
      <c r="H280" s="229"/>
      <c r="I280" s="229"/>
      <c r="J280" s="11">
        <v>11255000</v>
      </c>
      <c r="K280" s="12">
        <v>43716</v>
      </c>
      <c r="L280" s="59"/>
      <c r="M280" s="64"/>
      <c r="N280" s="64" t="s">
        <v>586</v>
      </c>
      <c r="O280" s="64"/>
    </row>
    <row r="281" spans="1:15" x14ac:dyDescent="0.25">
      <c r="B281" s="62">
        <v>256</v>
      </c>
      <c r="C281" s="229" t="s">
        <v>587</v>
      </c>
      <c r="D281" s="229"/>
      <c r="E281" s="229"/>
      <c r="F281" s="229"/>
      <c r="G281" s="229"/>
      <c r="H281" s="229"/>
      <c r="I281" s="229"/>
      <c r="J281" s="11">
        <v>1995000</v>
      </c>
      <c r="K281" s="12">
        <v>43718</v>
      </c>
      <c r="L281" s="59"/>
      <c r="M281" s="64"/>
      <c r="N281" s="64" t="s">
        <v>588</v>
      </c>
      <c r="O281" s="64"/>
    </row>
    <row r="282" spans="1:15" x14ac:dyDescent="0.25">
      <c r="B282" s="62">
        <v>257</v>
      </c>
      <c r="C282" s="229" t="s">
        <v>589</v>
      </c>
      <c r="D282" s="229"/>
      <c r="E282" s="229"/>
      <c r="F282" s="229"/>
      <c r="G282" s="229"/>
      <c r="H282" s="229"/>
      <c r="I282" s="229"/>
      <c r="J282" s="11">
        <v>2260000</v>
      </c>
      <c r="K282" s="12">
        <v>43688</v>
      </c>
      <c r="L282" s="59"/>
      <c r="M282" s="64"/>
      <c r="N282" s="64" t="s">
        <v>212</v>
      </c>
      <c r="O282" s="64"/>
    </row>
    <row r="283" spans="1:15" x14ac:dyDescent="0.25">
      <c r="B283" s="62">
        <v>258</v>
      </c>
      <c r="C283" s="229" t="s">
        <v>590</v>
      </c>
      <c r="D283" s="229"/>
      <c r="E283" s="229"/>
      <c r="F283" s="229"/>
      <c r="G283" s="229"/>
      <c r="H283" s="229"/>
      <c r="I283" s="229"/>
      <c r="J283" s="11">
        <v>750000</v>
      </c>
      <c r="K283" s="12">
        <v>43719</v>
      </c>
      <c r="L283" s="59"/>
      <c r="M283" s="64"/>
      <c r="N283" s="64" t="s">
        <v>426</v>
      </c>
      <c r="O283" s="64"/>
    </row>
    <row r="284" spans="1:15" x14ac:dyDescent="0.25">
      <c r="A284" s="7" t="s">
        <v>237</v>
      </c>
      <c r="B284" s="13">
        <v>259</v>
      </c>
      <c r="C284" s="229" t="s">
        <v>591</v>
      </c>
      <c r="D284" s="229"/>
      <c r="E284" s="229"/>
      <c r="F284" s="229"/>
      <c r="G284" s="229"/>
      <c r="H284" s="229"/>
      <c r="I284" s="229"/>
      <c r="J284" s="11">
        <v>11917000</v>
      </c>
      <c r="K284" s="12">
        <v>43719</v>
      </c>
      <c r="L284" s="59"/>
      <c r="M284" s="64"/>
      <c r="N284" s="64" t="s">
        <v>426</v>
      </c>
      <c r="O284" s="64"/>
    </row>
    <row r="285" spans="1:15" x14ac:dyDescent="0.25">
      <c r="A285" s="7" t="s">
        <v>237</v>
      </c>
      <c r="B285" s="13">
        <v>259</v>
      </c>
      <c r="C285" s="230" t="s">
        <v>592</v>
      </c>
      <c r="D285" s="231"/>
      <c r="E285" s="231"/>
      <c r="F285" s="231"/>
      <c r="G285" s="231"/>
      <c r="H285" s="231"/>
      <c r="I285" s="232"/>
      <c r="J285" s="11"/>
      <c r="K285" s="12"/>
      <c r="L285" s="59"/>
      <c r="M285" s="64"/>
      <c r="N285" s="64"/>
      <c r="O285" s="64"/>
    </row>
    <row r="286" spans="1:15" x14ac:dyDescent="0.25">
      <c r="B286" s="62">
        <v>260</v>
      </c>
      <c r="C286" s="229" t="s">
        <v>593</v>
      </c>
      <c r="D286" s="229"/>
      <c r="E286" s="229"/>
      <c r="F286" s="229"/>
      <c r="G286" s="229"/>
      <c r="H286" s="229"/>
      <c r="I286" s="229"/>
      <c r="J286" s="11">
        <v>800000</v>
      </c>
      <c r="K286" s="12">
        <v>43720</v>
      </c>
      <c r="L286" s="59"/>
      <c r="M286" s="64"/>
      <c r="N286" s="64" t="s">
        <v>192</v>
      </c>
      <c r="O286" s="64"/>
    </row>
    <row r="287" spans="1:15" x14ac:dyDescent="0.25">
      <c r="B287" s="62">
        <v>261</v>
      </c>
      <c r="C287" s="229" t="s">
        <v>594</v>
      </c>
      <c r="D287" s="229"/>
      <c r="E287" s="229"/>
      <c r="F287" s="229"/>
      <c r="G287" s="229"/>
      <c r="H287" s="229"/>
      <c r="I287" s="229"/>
      <c r="J287" s="11">
        <v>15680000</v>
      </c>
      <c r="K287" s="12">
        <v>43721</v>
      </c>
      <c r="L287" s="59"/>
      <c r="M287" s="64"/>
      <c r="N287" s="64"/>
      <c r="O287" s="64"/>
    </row>
    <row r="288" spans="1:15" x14ac:dyDescent="0.25">
      <c r="B288" s="62">
        <v>262</v>
      </c>
      <c r="C288" s="229" t="s">
        <v>595</v>
      </c>
      <c r="D288" s="229"/>
      <c r="E288" s="229"/>
      <c r="F288" s="229"/>
      <c r="G288" s="229"/>
      <c r="H288" s="229"/>
      <c r="I288" s="229"/>
      <c r="J288" s="11">
        <v>950000</v>
      </c>
      <c r="K288" s="12">
        <v>43721</v>
      </c>
      <c r="L288" s="59"/>
      <c r="M288" s="64"/>
      <c r="N288" s="64" t="s">
        <v>596</v>
      </c>
      <c r="O288" s="64"/>
    </row>
    <row r="289" spans="2:15" x14ac:dyDescent="0.25">
      <c r="B289" s="62">
        <v>263</v>
      </c>
      <c r="C289" s="229" t="s">
        <v>597</v>
      </c>
      <c r="D289" s="229"/>
      <c r="E289" s="229"/>
      <c r="F289" s="229"/>
      <c r="G289" s="229"/>
      <c r="H289" s="229"/>
      <c r="I289" s="229"/>
      <c r="J289" s="11">
        <v>39280000</v>
      </c>
      <c r="K289" s="12">
        <v>43721</v>
      </c>
      <c r="L289" s="59"/>
      <c r="M289" s="64"/>
      <c r="N289" s="64" t="s">
        <v>598</v>
      </c>
      <c r="O289" s="64"/>
    </row>
    <row r="290" spans="2:15" x14ac:dyDescent="0.25">
      <c r="B290" s="62">
        <v>264</v>
      </c>
      <c r="C290" s="229" t="s">
        <v>599</v>
      </c>
      <c r="D290" s="229"/>
      <c r="E290" s="229"/>
      <c r="F290" s="229"/>
      <c r="G290" s="229"/>
      <c r="H290" s="229"/>
      <c r="I290" s="229"/>
      <c r="J290" s="11">
        <v>2950000</v>
      </c>
      <c r="K290" s="12">
        <v>43726</v>
      </c>
      <c r="L290" s="59"/>
      <c r="M290" s="64"/>
      <c r="N290" s="64" t="s">
        <v>212</v>
      </c>
      <c r="O290" s="64"/>
    </row>
    <row r="291" spans="2:15" x14ac:dyDescent="0.25">
      <c r="B291" s="62">
        <v>265</v>
      </c>
      <c r="C291" s="229" t="s">
        <v>600</v>
      </c>
      <c r="D291" s="229"/>
      <c r="E291" s="229"/>
      <c r="F291" s="229"/>
      <c r="G291" s="229"/>
      <c r="H291" s="229"/>
      <c r="I291" s="229"/>
      <c r="J291" s="11">
        <v>19370000</v>
      </c>
      <c r="K291" s="12">
        <v>43726</v>
      </c>
      <c r="L291" s="59"/>
      <c r="M291" s="64"/>
      <c r="N291" s="64" t="s">
        <v>212</v>
      </c>
      <c r="O291" s="64"/>
    </row>
    <row r="292" spans="2:15" x14ac:dyDescent="0.25">
      <c r="B292" s="62">
        <v>266</v>
      </c>
      <c r="C292" s="229" t="s">
        <v>601</v>
      </c>
      <c r="D292" s="229"/>
      <c r="E292" s="229"/>
      <c r="F292" s="229"/>
      <c r="G292" s="229"/>
      <c r="H292" s="229"/>
      <c r="I292" s="229"/>
      <c r="J292" s="11">
        <v>3890000</v>
      </c>
      <c r="K292" s="12">
        <v>43726</v>
      </c>
      <c r="L292" s="59"/>
      <c r="M292" s="64"/>
      <c r="N292" s="64" t="s">
        <v>272</v>
      </c>
      <c r="O292" s="64"/>
    </row>
    <row r="293" spans="2:15" x14ac:dyDescent="0.25">
      <c r="B293" s="62">
        <v>267</v>
      </c>
      <c r="C293" s="229" t="s">
        <v>602</v>
      </c>
      <c r="D293" s="229"/>
      <c r="E293" s="229"/>
      <c r="F293" s="229"/>
      <c r="G293" s="229"/>
      <c r="H293" s="229"/>
      <c r="I293" s="229"/>
      <c r="J293" s="11">
        <v>5770000</v>
      </c>
      <c r="K293" s="12">
        <v>43726</v>
      </c>
      <c r="L293" s="59"/>
      <c r="M293" s="64"/>
      <c r="N293" s="64" t="s">
        <v>192</v>
      </c>
      <c r="O293" s="64"/>
    </row>
    <row r="294" spans="2:15" x14ac:dyDescent="0.25">
      <c r="B294" s="62">
        <v>268</v>
      </c>
      <c r="C294" s="229" t="s">
        <v>603</v>
      </c>
      <c r="D294" s="229"/>
      <c r="E294" s="229"/>
      <c r="F294" s="229"/>
      <c r="G294" s="229"/>
      <c r="H294" s="229"/>
      <c r="I294" s="229"/>
      <c r="J294" s="11">
        <v>9530000</v>
      </c>
      <c r="K294" s="12">
        <v>43728</v>
      </c>
      <c r="L294" s="59"/>
      <c r="M294" s="64"/>
      <c r="N294" s="64" t="s">
        <v>604</v>
      </c>
      <c r="O294" s="64"/>
    </row>
    <row r="295" spans="2:15" x14ac:dyDescent="0.25">
      <c r="B295" s="62">
        <v>269</v>
      </c>
      <c r="C295" s="229" t="s">
        <v>605</v>
      </c>
      <c r="D295" s="229"/>
      <c r="E295" s="229"/>
      <c r="F295" s="229"/>
      <c r="G295" s="229"/>
      <c r="H295" s="229"/>
      <c r="I295" s="229"/>
      <c r="J295" s="11" t="s">
        <v>150</v>
      </c>
      <c r="K295" s="12">
        <v>43728</v>
      </c>
      <c r="L295" s="59"/>
      <c r="M295" s="64"/>
      <c r="N295" s="64" t="s">
        <v>426</v>
      </c>
      <c r="O295" s="64"/>
    </row>
    <row r="296" spans="2:15" x14ac:dyDescent="0.25">
      <c r="B296" s="62">
        <v>270</v>
      </c>
      <c r="C296" s="229" t="s">
        <v>606</v>
      </c>
      <c r="D296" s="229"/>
      <c r="E296" s="229"/>
      <c r="F296" s="229"/>
      <c r="G296" s="229"/>
      <c r="H296" s="229"/>
      <c r="I296" s="229"/>
      <c r="J296" s="11">
        <v>513500</v>
      </c>
      <c r="K296" s="12">
        <v>43731</v>
      </c>
      <c r="L296" s="59"/>
      <c r="M296" s="64"/>
      <c r="N296" s="64" t="s">
        <v>426</v>
      </c>
      <c r="O296" s="64"/>
    </row>
    <row r="297" spans="2:15" x14ac:dyDescent="0.25">
      <c r="B297" s="62">
        <v>271</v>
      </c>
      <c r="C297" s="229" t="s">
        <v>607</v>
      </c>
      <c r="D297" s="229"/>
      <c r="E297" s="229"/>
      <c r="F297" s="229"/>
      <c r="G297" s="229"/>
      <c r="H297" s="229"/>
      <c r="I297" s="229"/>
      <c r="J297" s="11">
        <v>570000</v>
      </c>
      <c r="K297" s="12">
        <v>43733</v>
      </c>
      <c r="L297" s="59"/>
      <c r="M297" s="64"/>
      <c r="N297" s="64" t="s">
        <v>192</v>
      </c>
      <c r="O297" s="64"/>
    </row>
    <row r="298" spans="2:15" x14ac:dyDescent="0.25">
      <c r="B298" s="62">
        <v>272</v>
      </c>
      <c r="C298" s="229" t="s">
        <v>608</v>
      </c>
      <c r="D298" s="229"/>
      <c r="E298" s="229"/>
      <c r="F298" s="229"/>
      <c r="G298" s="229"/>
      <c r="H298" s="229"/>
      <c r="I298" s="229"/>
      <c r="J298" s="11">
        <v>880000</v>
      </c>
      <c r="K298" s="12">
        <v>43733</v>
      </c>
      <c r="L298" s="59"/>
      <c r="M298" s="64"/>
      <c r="N298" s="64" t="s">
        <v>609</v>
      </c>
      <c r="O298" s="64"/>
    </row>
    <row r="299" spans="2:15" x14ac:dyDescent="0.25">
      <c r="B299" s="62">
        <v>273</v>
      </c>
      <c r="C299" s="229" t="s">
        <v>610</v>
      </c>
      <c r="D299" s="229"/>
      <c r="E299" s="229"/>
      <c r="F299" s="229"/>
      <c r="G299" s="229"/>
      <c r="H299" s="229"/>
      <c r="I299" s="229"/>
      <c r="J299" s="11">
        <v>28850000</v>
      </c>
      <c r="K299" s="12">
        <v>43733</v>
      </c>
      <c r="L299" s="59"/>
      <c r="M299" s="64"/>
      <c r="N299" s="64" t="s">
        <v>196</v>
      </c>
      <c r="O299" s="64"/>
    </row>
    <row r="300" spans="2:15" x14ac:dyDescent="0.25">
      <c r="B300" s="62">
        <v>274</v>
      </c>
      <c r="C300" s="229" t="s">
        <v>611</v>
      </c>
      <c r="D300" s="229"/>
      <c r="E300" s="229"/>
      <c r="F300" s="229"/>
      <c r="G300" s="229"/>
      <c r="H300" s="229"/>
      <c r="I300" s="229"/>
      <c r="J300" s="11">
        <v>3670000</v>
      </c>
      <c r="K300" s="12">
        <v>43735</v>
      </c>
      <c r="L300" s="59"/>
      <c r="M300" s="64"/>
      <c r="N300" s="64" t="s">
        <v>561</v>
      </c>
      <c r="O300" s="64"/>
    </row>
    <row r="301" spans="2:15" x14ac:dyDescent="0.25">
      <c r="B301" s="62">
        <v>275</v>
      </c>
      <c r="C301" s="229" t="s">
        <v>612</v>
      </c>
      <c r="D301" s="229"/>
      <c r="E301" s="229"/>
      <c r="F301" s="229"/>
      <c r="G301" s="229"/>
      <c r="H301" s="229"/>
      <c r="I301" s="229"/>
      <c r="J301" s="11">
        <v>7215000</v>
      </c>
      <c r="K301" s="12">
        <v>43738</v>
      </c>
      <c r="L301" s="59"/>
      <c r="M301" s="64"/>
      <c r="N301" s="64" t="s">
        <v>613</v>
      </c>
      <c r="O301" s="64"/>
    </row>
    <row r="302" spans="2:15" x14ac:dyDescent="0.25">
      <c r="B302" s="62">
        <v>276</v>
      </c>
      <c r="C302" s="229" t="s">
        <v>614</v>
      </c>
      <c r="D302" s="229"/>
      <c r="E302" s="229"/>
      <c r="F302" s="229"/>
      <c r="G302" s="229"/>
      <c r="H302" s="229"/>
      <c r="I302" s="229"/>
      <c r="J302" s="11" t="s">
        <v>150</v>
      </c>
      <c r="K302" s="12">
        <v>43738</v>
      </c>
      <c r="L302" s="59"/>
      <c r="M302" s="64"/>
      <c r="N302" s="64" t="s">
        <v>615</v>
      </c>
      <c r="O302" s="64"/>
    </row>
    <row r="303" spans="2:15" x14ac:dyDescent="0.25">
      <c r="B303" s="62">
        <v>277</v>
      </c>
      <c r="C303" s="230" t="s">
        <v>616</v>
      </c>
      <c r="D303" s="231"/>
      <c r="E303" s="231"/>
      <c r="F303" s="231"/>
      <c r="G303" s="231"/>
      <c r="H303" s="231"/>
      <c r="I303" s="232"/>
      <c r="J303" s="11">
        <v>13560000</v>
      </c>
      <c r="K303" s="12">
        <v>43760</v>
      </c>
      <c r="L303" s="12">
        <v>43871</v>
      </c>
      <c r="M303" s="64" t="s">
        <v>617</v>
      </c>
      <c r="N303" s="64" t="s">
        <v>443</v>
      </c>
      <c r="O303" s="64"/>
    </row>
    <row r="304" spans="2:15" ht="15" customHeight="1" x14ac:dyDescent="0.25">
      <c r="B304" s="62">
        <v>278</v>
      </c>
      <c r="C304" s="229" t="s">
        <v>618</v>
      </c>
      <c r="D304" s="229"/>
      <c r="E304" s="229"/>
      <c r="F304" s="229"/>
      <c r="G304" s="229"/>
      <c r="H304" s="229"/>
      <c r="I304" s="229"/>
      <c r="J304" s="11">
        <v>11540000</v>
      </c>
      <c r="K304" s="12">
        <v>43740</v>
      </c>
      <c r="L304" s="59"/>
      <c r="M304" s="64"/>
      <c r="N304" s="64" t="s">
        <v>619</v>
      </c>
      <c r="O304" s="64"/>
    </row>
    <row r="305" spans="2:15" x14ac:dyDescent="0.25">
      <c r="B305" s="62">
        <v>279</v>
      </c>
      <c r="C305" s="229" t="s">
        <v>620</v>
      </c>
      <c r="D305" s="229"/>
      <c r="E305" s="229"/>
      <c r="F305" s="229"/>
      <c r="G305" s="229"/>
      <c r="H305" s="229"/>
      <c r="I305" s="229"/>
      <c r="J305" s="11">
        <v>2297000</v>
      </c>
      <c r="K305" s="12">
        <v>43741</v>
      </c>
      <c r="L305" s="59"/>
      <c r="M305" s="64"/>
      <c r="N305" s="64" t="s">
        <v>426</v>
      </c>
      <c r="O305" s="64"/>
    </row>
    <row r="306" spans="2:15" x14ac:dyDescent="0.25">
      <c r="B306" s="62">
        <v>280</v>
      </c>
      <c r="C306" s="229" t="s">
        <v>621</v>
      </c>
      <c r="D306" s="229"/>
      <c r="E306" s="229"/>
      <c r="F306" s="229"/>
      <c r="G306" s="229"/>
      <c r="H306" s="229"/>
      <c r="I306" s="229"/>
      <c r="J306" s="11">
        <v>1880000</v>
      </c>
      <c r="K306" s="12">
        <v>43748</v>
      </c>
      <c r="L306" s="59"/>
      <c r="M306" s="64"/>
      <c r="N306" s="64" t="s">
        <v>622</v>
      </c>
      <c r="O306" s="64"/>
    </row>
    <row r="307" spans="2:15" x14ac:dyDescent="0.25">
      <c r="B307" s="62">
        <v>281</v>
      </c>
      <c r="C307" s="229" t="s">
        <v>623</v>
      </c>
      <c r="D307" s="229"/>
      <c r="E307" s="229"/>
      <c r="F307" s="229"/>
      <c r="G307" s="229"/>
      <c r="H307" s="229"/>
      <c r="I307" s="229"/>
      <c r="J307" s="11">
        <v>3500000</v>
      </c>
      <c r="K307" s="12">
        <v>43749</v>
      </c>
      <c r="L307" s="59"/>
      <c r="M307" s="64"/>
      <c r="N307" s="64" t="s">
        <v>496</v>
      </c>
      <c r="O307" s="64"/>
    </row>
    <row r="308" spans="2:15" x14ac:dyDescent="0.25">
      <c r="B308" s="13">
        <v>282</v>
      </c>
      <c r="C308" s="229" t="s">
        <v>624</v>
      </c>
      <c r="D308" s="229"/>
      <c r="E308" s="229"/>
      <c r="F308" s="229"/>
      <c r="G308" s="229"/>
      <c r="H308" s="229"/>
      <c r="I308" s="229"/>
      <c r="J308" s="11" t="s">
        <v>150</v>
      </c>
      <c r="K308" s="12">
        <v>43754</v>
      </c>
      <c r="L308" s="59"/>
      <c r="M308" s="64"/>
      <c r="N308" s="64" t="s">
        <v>625</v>
      </c>
      <c r="O308" s="64"/>
    </row>
    <row r="309" spans="2:15" x14ac:dyDescent="0.25">
      <c r="B309" s="13">
        <v>282</v>
      </c>
      <c r="C309" s="230" t="s">
        <v>626</v>
      </c>
      <c r="D309" s="231"/>
      <c r="E309" s="231"/>
      <c r="F309" s="231"/>
      <c r="G309" s="231"/>
      <c r="H309" s="231"/>
      <c r="I309" s="232"/>
      <c r="J309" s="11">
        <v>13295500</v>
      </c>
      <c r="K309" s="12">
        <v>43755</v>
      </c>
      <c r="L309" s="59"/>
      <c r="M309" s="64"/>
      <c r="N309" s="64" t="s">
        <v>242</v>
      </c>
      <c r="O309" s="64"/>
    </row>
    <row r="310" spans="2:15" x14ac:dyDescent="0.25">
      <c r="B310" s="62">
        <v>283</v>
      </c>
      <c r="C310" s="229" t="s">
        <v>627</v>
      </c>
      <c r="D310" s="229"/>
      <c r="E310" s="229"/>
      <c r="F310" s="229"/>
      <c r="G310" s="229"/>
      <c r="H310" s="229"/>
      <c r="I310" s="229"/>
      <c r="J310" s="11" t="s">
        <v>150</v>
      </c>
      <c r="K310" s="12">
        <v>43759</v>
      </c>
      <c r="L310" s="59"/>
      <c r="M310" s="64"/>
      <c r="N310" s="64" t="s">
        <v>628</v>
      </c>
      <c r="O310" s="64"/>
    </row>
    <row r="311" spans="2:15" x14ac:dyDescent="0.25">
      <c r="B311" s="61">
        <v>284</v>
      </c>
      <c r="C311" s="228" t="s">
        <v>627</v>
      </c>
      <c r="D311" s="228"/>
      <c r="E311" s="228"/>
      <c r="F311" s="228"/>
      <c r="G311" s="228"/>
      <c r="H311" s="228"/>
      <c r="I311" s="228"/>
      <c r="J311" s="27" t="s">
        <v>150</v>
      </c>
      <c r="K311" s="28">
        <v>43759</v>
      </c>
      <c r="L311" s="61"/>
      <c r="M311" s="25"/>
      <c r="N311" s="25"/>
      <c r="O311" s="25"/>
    </row>
    <row r="312" spans="2:15" x14ac:dyDescent="0.25">
      <c r="B312" s="62">
        <v>285</v>
      </c>
      <c r="C312" s="229" t="s">
        <v>629</v>
      </c>
      <c r="D312" s="229"/>
      <c r="E312" s="229"/>
      <c r="F312" s="229"/>
      <c r="G312" s="229"/>
      <c r="H312" s="229"/>
      <c r="I312" s="229"/>
      <c r="J312" s="11">
        <v>1081000</v>
      </c>
      <c r="K312" s="12">
        <v>43759</v>
      </c>
      <c r="L312" s="59"/>
      <c r="M312" s="64"/>
      <c r="N312" s="64" t="s">
        <v>284</v>
      </c>
      <c r="O312" s="64"/>
    </row>
    <row r="313" spans="2:15" x14ac:dyDescent="0.25">
      <c r="B313" s="62">
        <v>286</v>
      </c>
      <c r="C313" s="229" t="s">
        <v>630</v>
      </c>
      <c r="D313" s="229"/>
      <c r="E313" s="229"/>
      <c r="F313" s="229"/>
      <c r="G313" s="229"/>
      <c r="H313" s="229"/>
      <c r="I313" s="229"/>
      <c r="J313" s="11">
        <v>4110000</v>
      </c>
      <c r="K313" s="12">
        <v>43759</v>
      </c>
      <c r="L313" s="59"/>
      <c r="M313" s="64"/>
      <c r="N313" s="25"/>
      <c r="O313" s="64"/>
    </row>
    <row r="314" spans="2:15" x14ac:dyDescent="0.25">
      <c r="B314" s="62">
        <v>287</v>
      </c>
      <c r="C314" s="229" t="s">
        <v>631</v>
      </c>
      <c r="D314" s="229"/>
      <c r="E314" s="229"/>
      <c r="F314" s="229"/>
      <c r="G314" s="229"/>
      <c r="H314" s="229"/>
      <c r="I314" s="229"/>
      <c r="J314" s="11">
        <v>14925000</v>
      </c>
      <c r="K314" s="12">
        <v>43761</v>
      </c>
      <c r="L314" s="59"/>
      <c r="M314" s="64"/>
      <c r="N314" s="64" t="s">
        <v>201</v>
      </c>
      <c r="O314" s="64"/>
    </row>
    <row r="315" spans="2:15" x14ac:dyDescent="0.25">
      <c r="B315" s="62">
        <v>288</v>
      </c>
      <c r="C315" s="229" t="s">
        <v>632</v>
      </c>
      <c r="D315" s="229"/>
      <c r="E315" s="229"/>
      <c r="F315" s="229"/>
      <c r="G315" s="229"/>
      <c r="H315" s="229"/>
      <c r="I315" s="229"/>
      <c r="J315" s="11" t="s">
        <v>381</v>
      </c>
      <c r="K315" s="12">
        <v>43490</v>
      </c>
      <c r="L315" s="59"/>
      <c r="M315" s="64"/>
      <c r="N315" s="25"/>
      <c r="O315" s="64"/>
    </row>
    <row r="316" spans="2:15" x14ac:dyDescent="0.25">
      <c r="B316" s="62">
        <v>289</v>
      </c>
      <c r="C316" s="229" t="s">
        <v>633</v>
      </c>
      <c r="D316" s="229"/>
      <c r="E316" s="229"/>
      <c r="F316" s="229"/>
      <c r="G316" s="229"/>
      <c r="H316" s="229"/>
      <c r="I316" s="229"/>
      <c r="J316" s="11">
        <v>1350000</v>
      </c>
      <c r="K316" s="12">
        <v>43766</v>
      </c>
      <c r="L316" s="59"/>
      <c r="M316" s="64"/>
      <c r="N316" s="64" t="s">
        <v>242</v>
      </c>
      <c r="O316" s="64"/>
    </row>
    <row r="317" spans="2:15" x14ac:dyDescent="0.25">
      <c r="B317" s="62">
        <v>290</v>
      </c>
      <c r="C317" s="229" t="s">
        <v>634</v>
      </c>
      <c r="D317" s="229"/>
      <c r="E317" s="229"/>
      <c r="F317" s="229"/>
      <c r="G317" s="229"/>
      <c r="H317" s="229"/>
      <c r="I317" s="229"/>
      <c r="J317" s="11">
        <v>550000</v>
      </c>
      <c r="K317" s="12">
        <v>43767</v>
      </c>
      <c r="L317" s="59"/>
      <c r="M317" s="64"/>
      <c r="N317" s="64" t="s">
        <v>315</v>
      </c>
      <c r="O317" s="64"/>
    </row>
    <row r="318" spans="2:15" x14ac:dyDescent="0.25">
      <c r="B318" s="62">
        <v>291</v>
      </c>
      <c r="C318" s="229" t="s">
        <v>635</v>
      </c>
      <c r="D318" s="229"/>
      <c r="E318" s="229"/>
      <c r="F318" s="229"/>
      <c r="G318" s="229"/>
      <c r="H318" s="229"/>
      <c r="I318" s="229"/>
      <c r="J318" s="11">
        <v>1650000</v>
      </c>
      <c r="K318" s="12">
        <v>43767</v>
      </c>
      <c r="L318" s="12">
        <v>43957</v>
      </c>
      <c r="M318" s="64" t="s">
        <v>237</v>
      </c>
      <c r="N318" s="64" t="s">
        <v>636</v>
      </c>
      <c r="O318" s="64"/>
    </row>
    <row r="319" spans="2:15" x14ac:dyDescent="0.25">
      <c r="B319" s="62">
        <v>292</v>
      </c>
      <c r="C319" s="229" t="s">
        <v>637</v>
      </c>
      <c r="D319" s="229"/>
      <c r="E319" s="229"/>
      <c r="F319" s="229"/>
      <c r="G319" s="229"/>
      <c r="H319" s="229"/>
      <c r="I319" s="229"/>
      <c r="J319" s="11">
        <v>590000</v>
      </c>
      <c r="K319" s="12">
        <v>43767</v>
      </c>
      <c r="L319" s="59"/>
      <c r="M319" s="64"/>
      <c r="N319" s="64" t="s">
        <v>192</v>
      </c>
      <c r="O319" s="64"/>
    </row>
    <row r="320" spans="2:15" x14ac:dyDescent="0.25">
      <c r="B320" s="62">
        <v>293</v>
      </c>
      <c r="C320" s="229" t="s">
        <v>638</v>
      </c>
      <c r="D320" s="229"/>
      <c r="E320" s="229"/>
      <c r="F320" s="229"/>
      <c r="G320" s="229"/>
      <c r="H320" s="229"/>
      <c r="I320" s="229"/>
      <c r="J320" s="11">
        <v>14625000</v>
      </c>
      <c r="K320" s="12">
        <v>43776</v>
      </c>
      <c r="L320" s="59"/>
      <c r="M320" s="64"/>
      <c r="N320" s="64" t="s">
        <v>639</v>
      </c>
      <c r="O320" s="64"/>
    </row>
    <row r="321" spans="2:15" x14ac:dyDescent="0.25">
      <c r="B321" s="62">
        <v>294</v>
      </c>
      <c r="C321" s="229" t="s">
        <v>640</v>
      </c>
      <c r="D321" s="229"/>
      <c r="E321" s="229"/>
      <c r="F321" s="229"/>
      <c r="G321" s="229"/>
      <c r="H321" s="229"/>
      <c r="I321" s="229"/>
      <c r="J321" s="11">
        <v>29565000</v>
      </c>
      <c r="K321" s="12">
        <v>43776</v>
      </c>
      <c r="L321" s="59"/>
      <c r="M321" s="64"/>
      <c r="N321" s="64" t="s">
        <v>641</v>
      </c>
      <c r="O321" s="64"/>
    </row>
    <row r="322" spans="2:15" x14ac:dyDescent="0.25">
      <c r="B322" s="62">
        <v>295</v>
      </c>
      <c r="C322" s="229" t="s">
        <v>642</v>
      </c>
      <c r="D322" s="229"/>
      <c r="E322" s="229"/>
      <c r="F322" s="229"/>
      <c r="G322" s="229"/>
      <c r="H322" s="229"/>
      <c r="I322" s="229"/>
      <c r="J322" s="11">
        <v>3990000</v>
      </c>
      <c r="K322" s="12">
        <v>43776</v>
      </c>
      <c r="L322" s="59"/>
      <c r="M322" s="64"/>
      <c r="N322" s="64" t="s">
        <v>212</v>
      </c>
      <c r="O322" s="64"/>
    </row>
    <row r="323" spans="2:15" x14ac:dyDescent="0.25">
      <c r="B323" s="62">
        <v>296</v>
      </c>
      <c r="C323" s="229" t="s">
        <v>643</v>
      </c>
      <c r="D323" s="229"/>
      <c r="E323" s="229"/>
      <c r="F323" s="229"/>
      <c r="G323" s="229"/>
      <c r="H323" s="229"/>
      <c r="I323" s="229"/>
      <c r="J323" s="11">
        <v>9415000</v>
      </c>
      <c r="K323" s="12">
        <v>43776</v>
      </c>
      <c r="L323" s="59"/>
      <c r="M323" s="64"/>
      <c r="N323" s="64" t="s">
        <v>644</v>
      </c>
      <c r="O323" s="64"/>
    </row>
    <row r="324" spans="2:15" x14ac:dyDescent="0.25">
      <c r="B324" s="62">
        <v>297</v>
      </c>
      <c r="C324" s="229" t="s">
        <v>645</v>
      </c>
      <c r="D324" s="229"/>
      <c r="E324" s="229"/>
      <c r="F324" s="229"/>
      <c r="G324" s="229"/>
      <c r="H324" s="229"/>
      <c r="I324" s="229"/>
      <c r="J324" s="11">
        <v>17908000</v>
      </c>
      <c r="K324" s="12">
        <v>43776</v>
      </c>
      <c r="L324" s="59"/>
      <c r="M324" s="64"/>
      <c r="N324" s="64" t="s">
        <v>646</v>
      </c>
      <c r="O324" s="64"/>
    </row>
    <row r="325" spans="2:15" x14ac:dyDescent="0.25">
      <c r="B325" s="62">
        <v>298</v>
      </c>
      <c r="C325" s="229" t="s">
        <v>647</v>
      </c>
      <c r="D325" s="229"/>
      <c r="E325" s="229"/>
      <c r="F325" s="229"/>
      <c r="G325" s="229"/>
      <c r="H325" s="229"/>
      <c r="I325" s="229"/>
      <c r="J325" s="11">
        <v>765000</v>
      </c>
      <c r="K325" s="12">
        <v>43781</v>
      </c>
      <c r="L325" s="59"/>
      <c r="M325" s="64"/>
      <c r="N325" s="64" t="s">
        <v>192</v>
      </c>
      <c r="O325" s="64"/>
    </row>
    <row r="326" spans="2:15" x14ac:dyDescent="0.25">
      <c r="B326" s="62">
        <v>299</v>
      </c>
      <c r="C326" s="229" t="s">
        <v>648</v>
      </c>
      <c r="D326" s="229"/>
      <c r="E326" s="229"/>
      <c r="F326" s="229"/>
      <c r="G326" s="229"/>
      <c r="H326" s="229"/>
      <c r="I326" s="229"/>
      <c r="J326" s="11">
        <v>2990000</v>
      </c>
      <c r="K326" s="12">
        <v>43787</v>
      </c>
      <c r="L326" s="59"/>
      <c r="M326" s="64"/>
      <c r="N326" s="64" t="s">
        <v>649</v>
      </c>
      <c r="O326" s="64"/>
    </row>
    <row r="327" spans="2:15" x14ac:dyDescent="0.25">
      <c r="B327" s="62">
        <v>300</v>
      </c>
      <c r="C327" s="229" t="s">
        <v>650</v>
      </c>
      <c r="D327" s="229"/>
      <c r="E327" s="229"/>
      <c r="F327" s="229"/>
      <c r="G327" s="229"/>
      <c r="H327" s="229"/>
      <c r="I327" s="229"/>
      <c r="J327" s="11">
        <v>815000</v>
      </c>
      <c r="K327" s="12">
        <v>43787</v>
      </c>
      <c r="L327" s="59"/>
      <c r="M327" s="64"/>
      <c r="N327" s="64" t="s">
        <v>651</v>
      </c>
      <c r="O327" s="64"/>
    </row>
    <row r="328" spans="2:15" x14ac:dyDescent="0.25">
      <c r="B328" s="62">
        <v>301</v>
      </c>
      <c r="C328" s="229" t="s">
        <v>652</v>
      </c>
      <c r="D328" s="229"/>
      <c r="E328" s="229"/>
      <c r="F328" s="229"/>
      <c r="G328" s="229"/>
      <c r="H328" s="229"/>
      <c r="I328" s="229"/>
      <c r="J328" s="11">
        <v>2200000</v>
      </c>
      <c r="K328" s="12">
        <v>43787</v>
      </c>
      <c r="L328" s="59"/>
      <c r="M328" s="64"/>
      <c r="N328" s="64" t="s">
        <v>651</v>
      </c>
      <c r="O328" s="64"/>
    </row>
    <row r="329" spans="2:15" x14ac:dyDescent="0.25">
      <c r="B329" s="62">
        <v>302</v>
      </c>
      <c r="C329" s="229" t="s">
        <v>653</v>
      </c>
      <c r="D329" s="229"/>
      <c r="E329" s="229"/>
      <c r="F329" s="229"/>
      <c r="G329" s="229"/>
      <c r="H329" s="229"/>
      <c r="I329" s="229"/>
      <c r="J329" s="11">
        <v>2700000</v>
      </c>
      <c r="K329" s="12">
        <v>43788</v>
      </c>
      <c r="L329" s="59"/>
      <c r="M329" s="64"/>
      <c r="N329" s="64" t="s">
        <v>272</v>
      </c>
      <c r="O329" s="64"/>
    </row>
    <row r="330" spans="2:15" x14ac:dyDescent="0.25">
      <c r="B330" s="62">
        <v>303</v>
      </c>
      <c r="C330" s="229" t="s">
        <v>654</v>
      </c>
      <c r="D330" s="229"/>
      <c r="E330" s="229"/>
      <c r="F330" s="229"/>
      <c r="G330" s="229"/>
      <c r="H330" s="229"/>
      <c r="I330" s="229"/>
      <c r="J330" s="11">
        <v>11915000</v>
      </c>
      <c r="K330" s="12">
        <v>43790</v>
      </c>
      <c r="L330" s="59"/>
      <c r="M330" s="64"/>
      <c r="N330" s="64" t="s">
        <v>655</v>
      </c>
      <c r="O330" s="64"/>
    </row>
    <row r="331" spans="2:15" x14ac:dyDescent="0.25">
      <c r="B331" s="62">
        <v>304</v>
      </c>
      <c r="C331" s="229" t="s">
        <v>656</v>
      </c>
      <c r="D331" s="229"/>
      <c r="E331" s="229"/>
      <c r="F331" s="229"/>
      <c r="G331" s="229"/>
      <c r="H331" s="229"/>
      <c r="I331" s="229"/>
      <c r="J331" s="11">
        <v>14425000</v>
      </c>
      <c r="K331" s="12">
        <v>43790</v>
      </c>
      <c r="L331" s="59"/>
      <c r="M331" s="64"/>
      <c r="N331" s="64" t="s">
        <v>657</v>
      </c>
      <c r="O331" s="64"/>
    </row>
    <row r="332" spans="2:15" x14ac:dyDescent="0.25">
      <c r="B332" s="62">
        <v>305</v>
      </c>
      <c r="C332" s="229" t="s">
        <v>658</v>
      </c>
      <c r="D332" s="229"/>
      <c r="E332" s="229"/>
      <c r="F332" s="229"/>
      <c r="G332" s="229"/>
      <c r="H332" s="229"/>
      <c r="I332" s="229"/>
      <c r="J332" s="11">
        <v>2650000</v>
      </c>
      <c r="K332" s="12">
        <v>43790</v>
      </c>
      <c r="L332" s="59"/>
      <c r="M332" s="64"/>
      <c r="N332" s="64" t="s">
        <v>229</v>
      </c>
      <c r="O332" s="64"/>
    </row>
    <row r="333" spans="2:15" x14ac:dyDescent="0.25">
      <c r="B333" s="61">
        <v>306</v>
      </c>
      <c r="C333" s="228" t="s">
        <v>659</v>
      </c>
      <c r="D333" s="228"/>
      <c r="E333" s="228"/>
      <c r="F333" s="228"/>
      <c r="G333" s="228"/>
      <c r="H333" s="228"/>
      <c r="I333" s="228"/>
      <c r="J333" s="27">
        <v>1150000</v>
      </c>
      <c r="K333" s="28">
        <v>43790</v>
      </c>
      <c r="L333" s="61"/>
      <c r="M333" s="25"/>
      <c r="N333" s="25"/>
      <c r="O333" s="25"/>
    </row>
    <row r="334" spans="2:15" x14ac:dyDescent="0.25">
      <c r="B334" s="62">
        <v>307</v>
      </c>
      <c r="C334" s="256" t="s">
        <v>660</v>
      </c>
      <c r="D334" s="256"/>
      <c r="E334" s="256"/>
      <c r="F334" s="256"/>
      <c r="G334" s="256"/>
      <c r="H334" s="256"/>
      <c r="I334" s="256"/>
      <c r="J334" s="11">
        <v>3760000</v>
      </c>
      <c r="K334" s="12">
        <v>43790</v>
      </c>
      <c r="L334" s="59"/>
      <c r="M334" s="64"/>
      <c r="N334" s="64" t="s">
        <v>212</v>
      </c>
      <c r="O334" s="64"/>
    </row>
    <row r="335" spans="2:15" x14ac:dyDescent="0.25">
      <c r="B335" s="62">
        <v>308</v>
      </c>
      <c r="C335" s="256" t="s">
        <v>661</v>
      </c>
      <c r="D335" s="256"/>
      <c r="E335" s="256"/>
      <c r="F335" s="256"/>
      <c r="G335" s="256"/>
      <c r="H335" s="256"/>
      <c r="I335" s="256"/>
      <c r="J335" s="20">
        <v>2300000</v>
      </c>
      <c r="K335" s="12">
        <v>43790</v>
      </c>
      <c r="L335" s="59"/>
      <c r="M335" s="64"/>
      <c r="N335" s="64" t="s">
        <v>662</v>
      </c>
      <c r="O335" s="64"/>
    </row>
    <row r="336" spans="2:15" x14ac:dyDescent="0.25">
      <c r="B336" s="62">
        <v>309</v>
      </c>
      <c r="C336" s="256" t="s">
        <v>663</v>
      </c>
      <c r="D336" s="256"/>
      <c r="E336" s="256"/>
      <c r="F336" s="256"/>
      <c r="G336" s="256"/>
      <c r="H336" s="256"/>
      <c r="I336" s="256"/>
      <c r="J336" s="11">
        <v>11920000</v>
      </c>
      <c r="K336" s="12">
        <v>43791</v>
      </c>
      <c r="L336" s="59"/>
      <c r="M336" s="64"/>
      <c r="N336" s="64" t="s">
        <v>646</v>
      </c>
      <c r="O336" s="64"/>
    </row>
    <row r="337" spans="1:15" x14ac:dyDescent="0.25">
      <c r="B337" s="62">
        <v>310</v>
      </c>
      <c r="C337" s="256" t="s">
        <v>664</v>
      </c>
      <c r="D337" s="256"/>
      <c r="E337" s="256"/>
      <c r="F337" s="256"/>
      <c r="G337" s="256"/>
      <c r="H337" s="256"/>
      <c r="I337" s="256"/>
      <c r="J337" s="11">
        <v>1317000</v>
      </c>
      <c r="K337" s="12">
        <v>43794</v>
      </c>
      <c r="L337" s="12">
        <v>43925</v>
      </c>
      <c r="M337" s="64" t="s">
        <v>617</v>
      </c>
      <c r="N337" s="64" t="s">
        <v>212</v>
      </c>
      <c r="O337" s="64"/>
    </row>
    <row r="338" spans="1:15" x14ac:dyDescent="0.25">
      <c r="B338" s="62">
        <v>311</v>
      </c>
      <c r="C338" s="256" t="s">
        <v>665</v>
      </c>
      <c r="D338" s="256"/>
      <c r="E338" s="256"/>
      <c r="F338" s="256"/>
      <c r="G338" s="256"/>
      <c r="H338" s="256"/>
      <c r="I338" s="256"/>
      <c r="J338" s="11">
        <v>1000000</v>
      </c>
      <c r="K338" s="12">
        <v>43799</v>
      </c>
      <c r="L338" s="59"/>
      <c r="M338" s="64"/>
      <c r="N338" s="64" t="s">
        <v>662</v>
      </c>
      <c r="O338" s="64"/>
    </row>
    <row r="339" spans="1:15" x14ac:dyDescent="0.25">
      <c r="B339" s="62">
        <v>312</v>
      </c>
      <c r="C339" s="256" t="s">
        <v>666</v>
      </c>
      <c r="D339" s="256"/>
      <c r="E339" s="256"/>
      <c r="F339" s="256"/>
      <c r="G339" s="256"/>
      <c r="H339" s="256"/>
      <c r="I339" s="256"/>
      <c r="J339" s="11">
        <v>2300000</v>
      </c>
      <c r="K339" s="12">
        <v>43799</v>
      </c>
      <c r="L339" s="59"/>
      <c r="M339" s="64"/>
      <c r="N339" s="64" t="s">
        <v>651</v>
      </c>
      <c r="O339" s="64"/>
    </row>
    <row r="340" spans="1:15" x14ac:dyDescent="0.25">
      <c r="B340" s="61">
        <v>313</v>
      </c>
      <c r="C340" s="228" t="s">
        <v>667</v>
      </c>
      <c r="D340" s="228"/>
      <c r="E340" s="228"/>
      <c r="F340" s="228"/>
      <c r="G340" s="228"/>
      <c r="H340" s="228"/>
      <c r="I340" s="228"/>
      <c r="J340" s="27">
        <v>2700000</v>
      </c>
      <c r="K340" s="28">
        <v>43799</v>
      </c>
      <c r="L340" s="61"/>
      <c r="M340" s="25"/>
      <c r="N340" s="25"/>
      <c r="O340" s="25"/>
    </row>
    <row r="341" spans="1:15" x14ac:dyDescent="0.25">
      <c r="B341" s="62">
        <v>314</v>
      </c>
      <c r="C341" s="229" t="s">
        <v>668</v>
      </c>
      <c r="D341" s="229"/>
      <c r="E341" s="229"/>
      <c r="F341" s="229"/>
      <c r="G341" s="229"/>
      <c r="H341" s="229"/>
      <c r="I341" s="229"/>
      <c r="J341" s="11">
        <v>2510000</v>
      </c>
      <c r="K341" s="12">
        <v>43803</v>
      </c>
      <c r="L341" s="59"/>
      <c r="M341" s="64"/>
      <c r="N341" s="64" t="s">
        <v>496</v>
      </c>
      <c r="O341" s="64"/>
    </row>
    <row r="342" spans="1:15" x14ac:dyDescent="0.25">
      <c r="B342" s="62">
        <v>315</v>
      </c>
      <c r="C342" s="229" t="s">
        <v>669</v>
      </c>
      <c r="D342" s="229"/>
      <c r="E342" s="229"/>
      <c r="F342" s="229"/>
      <c r="G342" s="229"/>
      <c r="H342" s="229"/>
      <c r="I342" s="229"/>
      <c r="J342" s="11">
        <v>7600000</v>
      </c>
      <c r="K342" s="12">
        <v>43803</v>
      </c>
      <c r="L342" s="59"/>
      <c r="M342" s="64"/>
      <c r="N342" s="64" t="s">
        <v>670</v>
      </c>
      <c r="O342" s="64"/>
    </row>
    <row r="343" spans="1:15" x14ac:dyDescent="0.25">
      <c r="B343" s="62">
        <v>316</v>
      </c>
      <c r="C343" s="229" t="s">
        <v>671</v>
      </c>
      <c r="D343" s="229"/>
      <c r="E343" s="229"/>
      <c r="F343" s="229"/>
      <c r="G343" s="229"/>
      <c r="H343" s="229"/>
      <c r="I343" s="229"/>
      <c r="J343" s="11">
        <v>14990000</v>
      </c>
      <c r="K343" s="12">
        <v>43803</v>
      </c>
      <c r="L343" s="12">
        <v>43872</v>
      </c>
      <c r="M343" s="64" t="s">
        <v>617</v>
      </c>
      <c r="N343" s="64" t="s">
        <v>212</v>
      </c>
      <c r="O343" s="64"/>
    </row>
    <row r="344" spans="1:15" x14ac:dyDescent="0.25">
      <c r="A344" s="7" t="s">
        <v>237</v>
      </c>
      <c r="B344" s="13">
        <v>317</v>
      </c>
      <c r="C344" s="229" t="s">
        <v>672</v>
      </c>
      <c r="D344" s="229"/>
      <c r="E344" s="229"/>
      <c r="F344" s="229"/>
      <c r="G344" s="229"/>
      <c r="H344" s="229"/>
      <c r="I344" s="229"/>
      <c r="J344" s="11" t="s">
        <v>150</v>
      </c>
      <c r="K344" s="12">
        <v>43808</v>
      </c>
      <c r="L344" s="59"/>
      <c r="M344" s="64"/>
      <c r="N344" s="64" t="s">
        <v>673</v>
      </c>
      <c r="O344" s="64"/>
    </row>
    <row r="345" spans="1:15" x14ac:dyDescent="0.25">
      <c r="A345" s="7" t="s">
        <v>237</v>
      </c>
      <c r="B345" s="13">
        <v>317</v>
      </c>
      <c r="C345" s="230" t="s">
        <v>674</v>
      </c>
      <c r="D345" s="231"/>
      <c r="E345" s="231"/>
      <c r="F345" s="231"/>
      <c r="G345" s="231"/>
      <c r="H345" s="231"/>
      <c r="I345" s="232"/>
      <c r="J345" s="11" t="s">
        <v>150</v>
      </c>
      <c r="K345" s="12">
        <v>43809</v>
      </c>
      <c r="L345" s="59"/>
      <c r="M345" s="64"/>
      <c r="N345" s="64" t="s">
        <v>675</v>
      </c>
      <c r="O345" s="64"/>
    </row>
    <row r="346" spans="1:15" x14ac:dyDescent="0.25">
      <c r="B346" s="61">
        <v>318</v>
      </c>
      <c r="C346" s="228" t="s">
        <v>676</v>
      </c>
      <c r="D346" s="228"/>
      <c r="E346" s="228"/>
      <c r="F346" s="228"/>
      <c r="G346" s="228"/>
      <c r="H346" s="228"/>
      <c r="I346" s="228"/>
      <c r="J346" s="27">
        <v>14430000</v>
      </c>
      <c r="K346" s="28">
        <v>43810</v>
      </c>
      <c r="L346" s="61"/>
      <c r="M346" s="25"/>
      <c r="N346" s="25"/>
      <c r="O346" s="25"/>
    </row>
    <row r="347" spans="1:15" x14ac:dyDescent="0.25">
      <c r="B347" s="62">
        <v>319</v>
      </c>
      <c r="C347" s="229" t="s">
        <v>677</v>
      </c>
      <c r="D347" s="229"/>
      <c r="E347" s="229"/>
      <c r="F347" s="229"/>
      <c r="G347" s="229"/>
      <c r="H347" s="229"/>
      <c r="I347" s="229"/>
      <c r="J347" s="11">
        <v>23029000</v>
      </c>
      <c r="K347" s="12">
        <v>43810</v>
      </c>
      <c r="L347" s="59"/>
      <c r="M347" s="64"/>
      <c r="N347" s="64" t="s">
        <v>400</v>
      </c>
      <c r="O347" s="64"/>
    </row>
    <row r="348" spans="1:15" x14ac:dyDescent="0.25">
      <c r="B348" s="62">
        <v>320</v>
      </c>
      <c r="C348" s="229" t="s">
        <v>678</v>
      </c>
      <c r="D348" s="229"/>
      <c r="E348" s="229"/>
      <c r="F348" s="229"/>
      <c r="G348" s="229"/>
      <c r="H348" s="229"/>
      <c r="I348" s="229"/>
      <c r="J348" s="11">
        <v>700000</v>
      </c>
      <c r="K348" s="12">
        <v>43810</v>
      </c>
      <c r="L348" s="59"/>
      <c r="M348" s="64"/>
      <c r="N348" s="64" t="s">
        <v>662</v>
      </c>
      <c r="O348" s="64"/>
    </row>
    <row r="349" spans="1:15" x14ac:dyDescent="0.25">
      <c r="B349" s="62">
        <v>321</v>
      </c>
      <c r="C349" s="229" t="s">
        <v>679</v>
      </c>
      <c r="D349" s="229"/>
      <c r="E349" s="229"/>
      <c r="F349" s="229"/>
      <c r="G349" s="229"/>
      <c r="H349" s="229"/>
      <c r="I349" s="229"/>
      <c r="J349" s="11">
        <v>19870000</v>
      </c>
      <c r="K349" s="12">
        <v>43811</v>
      </c>
      <c r="L349" s="59"/>
      <c r="M349" s="64"/>
      <c r="N349" s="64" t="s">
        <v>680</v>
      </c>
      <c r="O349" s="64"/>
    </row>
    <row r="350" spans="1:15" x14ac:dyDescent="0.25">
      <c r="B350" s="62">
        <v>322</v>
      </c>
      <c r="C350" s="229" t="s">
        <v>681</v>
      </c>
      <c r="D350" s="229"/>
      <c r="E350" s="229"/>
      <c r="F350" s="229"/>
      <c r="G350" s="229"/>
      <c r="H350" s="229"/>
      <c r="I350" s="229"/>
      <c r="J350" s="11">
        <v>3500000</v>
      </c>
      <c r="K350" s="12">
        <v>43811</v>
      </c>
      <c r="L350" s="59"/>
      <c r="M350" s="64"/>
      <c r="N350" s="64" t="s">
        <v>651</v>
      </c>
      <c r="O350" s="64"/>
    </row>
    <row r="351" spans="1:15" x14ac:dyDescent="0.25">
      <c r="B351" s="62">
        <v>323</v>
      </c>
      <c r="C351" s="229" t="s">
        <v>682</v>
      </c>
      <c r="D351" s="229"/>
      <c r="E351" s="229"/>
      <c r="F351" s="229"/>
      <c r="G351" s="229"/>
      <c r="H351" s="229"/>
      <c r="I351" s="229"/>
      <c r="J351" s="11">
        <v>1800000</v>
      </c>
      <c r="K351" s="12">
        <v>43816</v>
      </c>
      <c r="L351" s="59"/>
      <c r="M351" s="64"/>
      <c r="N351" s="64" t="s">
        <v>683</v>
      </c>
      <c r="O351" s="64"/>
    </row>
    <row r="352" spans="1:15" x14ac:dyDescent="0.25">
      <c r="B352" s="62">
        <v>324</v>
      </c>
      <c r="C352" s="229" t="s">
        <v>684</v>
      </c>
      <c r="D352" s="229"/>
      <c r="E352" s="229"/>
      <c r="F352" s="229"/>
      <c r="G352" s="229"/>
      <c r="H352" s="229"/>
      <c r="I352" s="229"/>
      <c r="J352" s="11" t="s">
        <v>150</v>
      </c>
      <c r="K352" s="12">
        <v>43816</v>
      </c>
      <c r="L352" s="59"/>
      <c r="M352" s="64"/>
      <c r="N352" s="64" t="s">
        <v>242</v>
      </c>
      <c r="O352" s="64"/>
    </row>
    <row r="353" spans="2:15" x14ac:dyDescent="0.25">
      <c r="B353" s="62">
        <v>325</v>
      </c>
      <c r="C353" s="229" t="s">
        <v>685</v>
      </c>
      <c r="D353" s="229"/>
      <c r="E353" s="229"/>
      <c r="F353" s="229"/>
      <c r="G353" s="229"/>
      <c r="H353" s="229"/>
      <c r="I353" s="229"/>
      <c r="J353" s="11">
        <v>5270000</v>
      </c>
      <c r="K353" s="12">
        <v>43816</v>
      </c>
      <c r="L353" s="59"/>
      <c r="M353" s="64"/>
      <c r="N353" s="64" t="s">
        <v>644</v>
      </c>
      <c r="O353" s="64"/>
    </row>
    <row r="354" spans="2:15" x14ac:dyDescent="0.25">
      <c r="B354" s="62">
        <v>326</v>
      </c>
      <c r="C354" s="229" t="s">
        <v>686</v>
      </c>
      <c r="D354" s="229"/>
      <c r="E354" s="229"/>
      <c r="F354" s="229"/>
      <c r="G354" s="229"/>
      <c r="H354" s="229"/>
      <c r="I354" s="229"/>
      <c r="J354" s="11">
        <v>23840000</v>
      </c>
      <c r="K354" s="12">
        <v>43816</v>
      </c>
      <c r="L354" s="12">
        <v>44018</v>
      </c>
      <c r="M354" s="64"/>
      <c r="N354" s="64" t="s">
        <v>687</v>
      </c>
      <c r="O354" s="64"/>
    </row>
    <row r="355" spans="2:15" x14ac:dyDescent="0.25">
      <c r="B355" s="62">
        <v>327</v>
      </c>
      <c r="C355" s="229" t="s">
        <v>688</v>
      </c>
      <c r="D355" s="229"/>
      <c r="E355" s="229"/>
      <c r="F355" s="229"/>
      <c r="G355" s="229"/>
      <c r="H355" s="229"/>
      <c r="I355" s="229"/>
      <c r="J355" s="11">
        <v>3500000</v>
      </c>
      <c r="K355" s="12">
        <v>43819</v>
      </c>
      <c r="L355" s="59"/>
      <c r="M355" s="64"/>
      <c r="N355" s="64" t="s">
        <v>689</v>
      </c>
      <c r="O355" s="64"/>
    </row>
    <row r="356" spans="2:15" x14ac:dyDescent="0.25">
      <c r="B356" s="62">
        <v>327</v>
      </c>
      <c r="C356" s="230" t="s">
        <v>690</v>
      </c>
      <c r="D356" s="231"/>
      <c r="E356" s="231"/>
      <c r="F356" s="231"/>
      <c r="G356" s="231"/>
      <c r="H356" s="231"/>
      <c r="I356" s="232"/>
      <c r="J356" s="11">
        <v>1200000</v>
      </c>
      <c r="K356" s="12">
        <v>44182</v>
      </c>
      <c r="L356" s="59"/>
      <c r="M356" s="64"/>
      <c r="N356" s="64" t="s">
        <v>691</v>
      </c>
      <c r="O356" s="64"/>
    </row>
    <row r="357" spans="2:15" x14ac:dyDescent="0.25">
      <c r="B357" s="62">
        <v>328</v>
      </c>
      <c r="C357" s="229" t="s">
        <v>692</v>
      </c>
      <c r="D357" s="229"/>
      <c r="E357" s="229"/>
      <c r="F357" s="229"/>
      <c r="G357" s="229"/>
      <c r="H357" s="229"/>
      <c r="I357" s="229"/>
      <c r="J357" s="11">
        <v>3000000</v>
      </c>
      <c r="K357" s="12">
        <v>43818</v>
      </c>
      <c r="L357" s="59"/>
      <c r="M357" s="64"/>
      <c r="N357" s="64" t="s">
        <v>693</v>
      </c>
      <c r="O357" s="64"/>
    </row>
    <row r="358" spans="2:15" x14ac:dyDescent="0.25">
      <c r="B358" s="61">
        <v>329</v>
      </c>
      <c r="C358" s="228" t="s">
        <v>694</v>
      </c>
      <c r="D358" s="228"/>
      <c r="E358" s="228"/>
      <c r="F358" s="228"/>
      <c r="G358" s="228"/>
      <c r="H358" s="228"/>
      <c r="I358" s="228"/>
      <c r="J358" s="27">
        <v>2800000</v>
      </c>
      <c r="K358" s="28">
        <v>43826</v>
      </c>
      <c r="L358" s="61"/>
      <c r="M358" s="25"/>
      <c r="N358" s="25"/>
      <c r="O358" s="25"/>
    </row>
    <row r="359" spans="2:15" x14ac:dyDescent="0.25">
      <c r="B359" s="59">
        <v>330</v>
      </c>
      <c r="C359" s="229"/>
      <c r="D359" s="229"/>
      <c r="E359" s="229"/>
      <c r="F359" s="229"/>
      <c r="G359" s="229"/>
      <c r="H359" s="229"/>
      <c r="I359" s="229"/>
      <c r="J359" s="11"/>
      <c r="K359" s="59"/>
      <c r="L359" s="59"/>
      <c r="M359" s="64"/>
      <c r="N359" s="64"/>
      <c r="O359" s="64"/>
    </row>
    <row r="360" spans="2:15" x14ac:dyDescent="0.25">
      <c r="B360" s="59">
        <v>331</v>
      </c>
      <c r="C360" s="229"/>
      <c r="D360" s="229"/>
      <c r="E360" s="229"/>
      <c r="F360" s="229"/>
      <c r="G360" s="229"/>
      <c r="H360" s="229"/>
      <c r="I360" s="229"/>
      <c r="J360" s="11"/>
      <c r="K360" s="59"/>
      <c r="L360" s="59"/>
      <c r="M360" s="64"/>
      <c r="N360" s="64"/>
      <c r="O360" s="64"/>
    </row>
    <row r="361" spans="2:15" x14ac:dyDescent="0.25">
      <c r="B361" s="59">
        <v>332</v>
      </c>
      <c r="C361" s="229"/>
      <c r="D361" s="229"/>
      <c r="E361" s="229"/>
      <c r="F361" s="229"/>
      <c r="G361" s="229"/>
      <c r="H361" s="229"/>
      <c r="I361" s="229"/>
      <c r="J361" s="11"/>
      <c r="K361" s="59"/>
      <c r="L361" s="59"/>
      <c r="M361" s="64"/>
      <c r="N361" s="64"/>
      <c r="O361" s="64"/>
    </row>
    <row r="362" spans="2:15" x14ac:dyDescent="0.25">
      <c r="B362" s="59">
        <v>333</v>
      </c>
      <c r="C362" s="229"/>
      <c r="D362" s="229"/>
      <c r="E362" s="229"/>
      <c r="F362" s="229"/>
      <c r="G362" s="229"/>
      <c r="H362" s="229"/>
      <c r="I362" s="229"/>
      <c r="J362" s="11"/>
      <c r="K362" s="59"/>
      <c r="L362" s="59"/>
      <c r="M362" s="64"/>
      <c r="N362" s="64"/>
      <c r="O362" s="64"/>
    </row>
    <row r="363" spans="2:15" x14ac:dyDescent="0.25">
      <c r="B363" s="59">
        <v>334</v>
      </c>
      <c r="C363" s="229"/>
      <c r="D363" s="229"/>
      <c r="E363" s="229"/>
      <c r="F363" s="229"/>
      <c r="G363" s="229"/>
      <c r="H363" s="229"/>
      <c r="I363" s="229"/>
      <c r="J363" s="11"/>
      <c r="K363" s="59"/>
      <c r="L363" s="59"/>
      <c r="M363" s="64"/>
      <c r="N363" s="64"/>
      <c r="O363" s="64"/>
    </row>
    <row r="364" spans="2:15" x14ac:dyDescent="0.25">
      <c r="B364" s="59">
        <v>335</v>
      </c>
      <c r="C364" s="229"/>
      <c r="D364" s="229"/>
      <c r="E364" s="229"/>
      <c r="F364" s="229"/>
      <c r="G364" s="229"/>
      <c r="H364" s="229"/>
      <c r="I364" s="229"/>
      <c r="J364" s="11"/>
      <c r="K364" s="59"/>
      <c r="L364" s="59"/>
      <c r="M364" s="64"/>
      <c r="N364" s="64"/>
      <c r="O364" s="64"/>
    </row>
    <row r="365" spans="2:15" x14ac:dyDescent="0.25">
      <c r="B365" s="59">
        <v>336</v>
      </c>
      <c r="C365" s="229"/>
      <c r="D365" s="229"/>
      <c r="E365" s="229"/>
      <c r="F365" s="229"/>
      <c r="G365" s="229"/>
      <c r="H365" s="229"/>
      <c r="I365" s="229"/>
      <c r="J365" s="11"/>
      <c r="K365" s="59"/>
      <c r="L365" s="59"/>
      <c r="M365" s="64"/>
      <c r="N365" s="64"/>
      <c r="O365" s="64"/>
    </row>
    <row r="366" spans="2:15" x14ac:dyDescent="0.25">
      <c r="B366" s="59">
        <v>337</v>
      </c>
      <c r="C366" s="229"/>
      <c r="D366" s="229"/>
      <c r="E366" s="229"/>
      <c r="F366" s="229"/>
      <c r="G366" s="229"/>
      <c r="H366" s="229"/>
      <c r="I366" s="229"/>
      <c r="J366" s="11"/>
      <c r="K366" s="59"/>
      <c r="L366" s="59"/>
      <c r="M366" s="64"/>
      <c r="N366" s="64"/>
      <c r="O366" s="64"/>
    </row>
    <row r="367" spans="2:15" x14ac:dyDescent="0.25">
      <c r="B367" s="59">
        <v>338</v>
      </c>
      <c r="C367" s="229"/>
      <c r="D367" s="229"/>
      <c r="E367" s="229"/>
      <c r="F367" s="229"/>
      <c r="G367" s="229"/>
      <c r="H367" s="229"/>
      <c r="I367" s="229"/>
      <c r="J367" s="11"/>
      <c r="K367" s="59"/>
      <c r="L367" s="59"/>
      <c r="M367" s="64"/>
      <c r="N367" s="64"/>
      <c r="O367" s="64"/>
    </row>
    <row r="368" spans="2:15" x14ac:dyDescent="0.25">
      <c r="B368" s="59">
        <v>339</v>
      </c>
      <c r="C368" s="229"/>
      <c r="D368" s="229"/>
      <c r="E368" s="229"/>
      <c r="F368" s="229"/>
      <c r="G368" s="229"/>
      <c r="H368" s="229"/>
      <c r="I368" s="229"/>
      <c r="J368" s="11"/>
      <c r="K368" s="59"/>
      <c r="L368" s="59"/>
      <c r="M368" s="64"/>
      <c r="N368" s="64"/>
      <c r="O368" s="64"/>
    </row>
    <row r="369" spans="2:15" x14ac:dyDescent="0.25">
      <c r="B369" s="59">
        <v>340</v>
      </c>
      <c r="C369" s="229"/>
      <c r="D369" s="229"/>
      <c r="E369" s="229"/>
      <c r="F369" s="229"/>
      <c r="G369" s="229"/>
      <c r="H369" s="229"/>
      <c r="I369" s="229"/>
      <c r="J369" s="11"/>
      <c r="K369" s="59"/>
      <c r="L369" s="59"/>
      <c r="M369" s="64"/>
      <c r="N369" s="64"/>
      <c r="O369" s="64"/>
    </row>
    <row r="370" spans="2:15" x14ac:dyDescent="0.25">
      <c r="B370" s="59">
        <v>341</v>
      </c>
      <c r="C370" s="229"/>
      <c r="D370" s="229"/>
      <c r="E370" s="229"/>
      <c r="F370" s="229"/>
      <c r="G370" s="229"/>
      <c r="H370" s="229"/>
      <c r="I370" s="229"/>
      <c r="J370" s="11"/>
      <c r="K370" s="59"/>
      <c r="L370" s="59"/>
      <c r="M370" s="64"/>
      <c r="N370" s="64"/>
      <c r="O370" s="64"/>
    </row>
    <row r="371" spans="2:15" x14ac:dyDescent="0.25">
      <c r="B371" s="59">
        <v>342</v>
      </c>
      <c r="C371" s="229"/>
      <c r="D371" s="229"/>
      <c r="E371" s="229"/>
      <c r="F371" s="229"/>
      <c r="G371" s="229"/>
      <c r="H371" s="229"/>
      <c r="I371" s="229"/>
      <c r="J371" s="11"/>
      <c r="K371" s="59"/>
      <c r="L371" s="59"/>
      <c r="M371" s="64"/>
      <c r="N371" s="64"/>
      <c r="O371" s="64"/>
    </row>
    <row r="372" spans="2:15" x14ac:dyDescent="0.25">
      <c r="B372" s="59">
        <v>343</v>
      </c>
      <c r="C372" s="229"/>
      <c r="D372" s="229"/>
      <c r="E372" s="229"/>
      <c r="F372" s="229"/>
      <c r="G372" s="229"/>
      <c r="H372" s="229"/>
      <c r="I372" s="229"/>
      <c r="J372" s="11"/>
      <c r="K372" s="59"/>
      <c r="L372" s="59"/>
      <c r="M372" s="64"/>
      <c r="N372" s="64"/>
      <c r="O372" s="64"/>
    </row>
    <row r="373" spans="2:15" x14ac:dyDescent="0.25">
      <c r="B373" s="59">
        <v>344</v>
      </c>
      <c r="C373" s="229"/>
      <c r="D373" s="229"/>
      <c r="E373" s="229"/>
      <c r="F373" s="229"/>
      <c r="G373" s="229"/>
      <c r="H373" s="229"/>
      <c r="I373" s="229"/>
      <c r="J373" s="11"/>
      <c r="K373" s="59"/>
      <c r="L373" s="59"/>
      <c r="M373" s="64"/>
      <c r="N373" s="64"/>
      <c r="O373" s="64"/>
    </row>
    <row r="374" spans="2:15" x14ac:dyDescent="0.25">
      <c r="B374" s="59">
        <v>345</v>
      </c>
      <c r="C374" s="229"/>
      <c r="D374" s="229"/>
      <c r="E374" s="229"/>
      <c r="F374" s="229"/>
      <c r="G374" s="229"/>
      <c r="H374" s="229"/>
      <c r="I374" s="229"/>
      <c r="J374" s="11"/>
      <c r="K374" s="59"/>
      <c r="L374" s="59"/>
      <c r="M374" s="64"/>
      <c r="N374" s="64"/>
      <c r="O374" s="64"/>
    </row>
    <row r="375" spans="2:15" x14ac:dyDescent="0.25">
      <c r="B375" s="59">
        <v>346</v>
      </c>
      <c r="C375" s="229"/>
      <c r="D375" s="229"/>
      <c r="E375" s="229"/>
      <c r="F375" s="229"/>
      <c r="G375" s="229"/>
      <c r="H375" s="229"/>
      <c r="I375" s="229"/>
      <c r="J375" s="11"/>
      <c r="K375" s="59"/>
      <c r="L375" s="59"/>
      <c r="M375" s="64"/>
      <c r="N375" s="64"/>
      <c r="O375" s="64"/>
    </row>
    <row r="376" spans="2:15" x14ac:dyDescent="0.25">
      <c r="B376" s="59">
        <v>347</v>
      </c>
      <c r="C376" s="229"/>
      <c r="D376" s="229"/>
      <c r="E376" s="229"/>
      <c r="F376" s="229"/>
      <c r="G376" s="229"/>
      <c r="H376" s="229"/>
      <c r="I376" s="229"/>
      <c r="J376" s="11"/>
      <c r="K376" s="59"/>
      <c r="L376" s="59"/>
      <c r="M376" s="64"/>
      <c r="N376" s="64"/>
      <c r="O376" s="64"/>
    </row>
    <row r="377" spans="2:15" x14ac:dyDescent="0.25">
      <c r="B377" s="59">
        <v>348</v>
      </c>
      <c r="C377" s="229"/>
      <c r="D377" s="229"/>
      <c r="E377" s="229"/>
      <c r="F377" s="229"/>
      <c r="G377" s="229"/>
      <c r="H377" s="229"/>
      <c r="I377" s="229"/>
      <c r="J377" s="11"/>
      <c r="K377" s="59"/>
      <c r="L377" s="59"/>
      <c r="M377" s="64"/>
      <c r="N377" s="64"/>
      <c r="O377" s="64"/>
    </row>
    <row r="378" spans="2:15" x14ac:dyDescent="0.25">
      <c r="B378" s="59">
        <v>349</v>
      </c>
      <c r="C378" s="229"/>
      <c r="D378" s="229"/>
      <c r="E378" s="229"/>
      <c r="F378" s="229"/>
      <c r="G378" s="229"/>
      <c r="H378" s="229"/>
      <c r="I378" s="229"/>
      <c r="J378" s="11"/>
      <c r="K378" s="59"/>
      <c r="L378" s="59"/>
      <c r="M378" s="64"/>
      <c r="N378" s="64"/>
      <c r="O378" s="64"/>
    </row>
    <row r="379" spans="2:15" x14ac:dyDescent="0.25">
      <c r="B379" s="59">
        <v>350</v>
      </c>
      <c r="C379" s="229"/>
      <c r="D379" s="229"/>
      <c r="E379" s="229"/>
      <c r="F379" s="229"/>
      <c r="G379" s="229"/>
      <c r="H379" s="229"/>
      <c r="I379" s="229"/>
      <c r="J379" s="11"/>
      <c r="K379" s="59"/>
      <c r="L379" s="59"/>
      <c r="M379" s="64"/>
      <c r="N379" s="64"/>
      <c r="O379" s="64"/>
    </row>
    <row r="380" spans="2:15" x14ac:dyDescent="0.25">
      <c r="B380" s="59">
        <v>351</v>
      </c>
      <c r="C380" s="229"/>
      <c r="D380" s="229"/>
      <c r="E380" s="229"/>
      <c r="F380" s="229"/>
      <c r="G380" s="229"/>
      <c r="H380" s="229"/>
      <c r="I380" s="229"/>
      <c r="J380" s="11"/>
      <c r="K380" s="59"/>
      <c r="L380" s="59"/>
      <c r="M380" s="64"/>
      <c r="N380" s="64"/>
      <c r="O380" s="64"/>
    </row>
    <row r="381" spans="2:15" x14ac:dyDescent="0.25">
      <c r="B381" s="59">
        <v>352</v>
      </c>
      <c r="C381" s="229"/>
      <c r="D381" s="229"/>
      <c r="E381" s="229"/>
      <c r="F381" s="229"/>
      <c r="G381" s="229"/>
      <c r="H381" s="229"/>
      <c r="I381" s="229"/>
      <c r="J381" s="11"/>
      <c r="K381" s="59"/>
      <c r="L381" s="59"/>
      <c r="M381" s="64"/>
      <c r="N381" s="64"/>
      <c r="O381" s="64"/>
    </row>
    <row r="382" spans="2:15" x14ac:dyDescent="0.25">
      <c r="B382" s="59">
        <v>353</v>
      </c>
      <c r="C382" s="229"/>
      <c r="D382" s="229"/>
      <c r="E382" s="229"/>
      <c r="F382" s="229"/>
      <c r="G382" s="229"/>
      <c r="H382" s="229"/>
      <c r="I382" s="229"/>
      <c r="J382" s="11"/>
      <c r="K382" s="59"/>
      <c r="L382" s="59"/>
      <c r="M382" s="64"/>
      <c r="N382" s="64"/>
      <c r="O382" s="64"/>
    </row>
    <row r="383" spans="2:15" x14ac:dyDescent="0.25">
      <c r="B383" s="59">
        <v>354</v>
      </c>
      <c r="C383" s="229"/>
      <c r="D383" s="229"/>
      <c r="E383" s="229"/>
      <c r="F383" s="229"/>
      <c r="G383" s="229"/>
      <c r="H383" s="229"/>
      <c r="I383" s="229"/>
      <c r="J383" s="11"/>
      <c r="K383" s="59"/>
      <c r="L383" s="59"/>
      <c r="M383" s="64"/>
      <c r="N383" s="64"/>
      <c r="O383" s="64"/>
    </row>
    <row r="384" spans="2:15" x14ac:dyDescent="0.25">
      <c r="B384" s="59">
        <v>355</v>
      </c>
      <c r="C384" s="229"/>
      <c r="D384" s="229"/>
      <c r="E384" s="229"/>
      <c r="F384" s="229"/>
      <c r="G384" s="229"/>
      <c r="H384" s="229"/>
      <c r="I384" s="229"/>
      <c r="J384" s="11"/>
      <c r="K384" s="59"/>
      <c r="L384" s="59"/>
      <c r="M384" s="64"/>
      <c r="N384" s="64"/>
      <c r="O384" s="64"/>
    </row>
    <row r="385" spans="2:15" x14ac:dyDescent="0.25">
      <c r="B385" s="59">
        <v>356</v>
      </c>
      <c r="C385" s="229"/>
      <c r="D385" s="229"/>
      <c r="E385" s="229"/>
      <c r="F385" s="229"/>
      <c r="G385" s="229"/>
      <c r="H385" s="229"/>
      <c r="I385" s="229"/>
      <c r="J385" s="11"/>
      <c r="K385" s="59"/>
      <c r="L385" s="59"/>
      <c r="M385" s="64"/>
      <c r="N385" s="64"/>
      <c r="O385" s="64"/>
    </row>
    <row r="386" spans="2:15" x14ac:dyDescent="0.25">
      <c r="B386" s="59">
        <v>357</v>
      </c>
      <c r="C386" s="229"/>
      <c r="D386" s="229"/>
      <c r="E386" s="229"/>
      <c r="F386" s="229"/>
      <c r="G386" s="229"/>
      <c r="H386" s="229"/>
      <c r="I386" s="229"/>
      <c r="J386" s="11"/>
      <c r="K386" s="59"/>
      <c r="L386" s="59"/>
      <c r="M386" s="64"/>
      <c r="N386" s="64"/>
      <c r="O386" s="64"/>
    </row>
    <row r="387" spans="2:15" x14ac:dyDescent="0.25">
      <c r="B387" s="59">
        <v>358</v>
      </c>
      <c r="C387" s="229"/>
      <c r="D387" s="229"/>
      <c r="E387" s="229"/>
      <c r="F387" s="229"/>
      <c r="G387" s="229"/>
      <c r="H387" s="229"/>
      <c r="I387" s="229"/>
      <c r="J387" s="11"/>
      <c r="K387" s="59"/>
      <c r="L387" s="59"/>
      <c r="M387" s="64"/>
      <c r="N387" s="64"/>
      <c r="O387" s="64"/>
    </row>
    <row r="388" spans="2:15" x14ac:dyDescent="0.25">
      <c r="B388" s="59">
        <v>359</v>
      </c>
      <c r="C388" s="229"/>
      <c r="D388" s="229"/>
      <c r="E388" s="229"/>
      <c r="F388" s="229"/>
      <c r="G388" s="229"/>
      <c r="H388" s="229"/>
      <c r="I388" s="229"/>
      <c r="J388" s="11"/>
      <c r="K388" s="59"/>
      <c r="L388" s="59"/>
      <c r="M388" s="64"/>
      <c r="N388" s="64"/>
      <c r="O388" s="64"/>
    </row>
    <row r="389" spans="2:15" x14ac:dyDescent="0.25">
      <c r="B389" s="59">
        <v>360</v>
      </c>
      <c r="C389" s="229"/>
      <c r="D389" s="229"/>
      <c r="E389" s="229"/>
      <c r="F389" s="229"/>
      <c r="G389" s="229"/>
      <c r="H389" s="229"/>
      <c r="I389" s="229"/>
      <c r="J389" s="11"/>
      <c r="K389" s="59"/>
      <c r="L389" s="59"/>
      <c r="M389" s="64"/>
      <c r="N389" s="64"/>
      <c r="O389" s="64"/>
    </row>
    <row r="390" spans="2:15" x14ac:dyDescent="0.25">
      <c r="B390" s="59">
        <v>361</v>
      </c>
      <c r="C390" s="229"/>
      <c r="D390" s="229"/>
      <c r="E390" s="229"/>
      <c r="F390" s="229"/>
      <c r="G390" s="229"/>
      <c r="H390" s="229"/>
      <c r="I390" s="229"/>
      <c r="J390" s="11"/>
      <c r="K390" s="59"/>
      <c r="L390" s="59"/>
      <c r="M390" s="64"/>
      <c r="N390" s="64"/>
      <c r="O390" s="64"/>
    </row>
    <row r="391" spans="2:15" x14ac:dyDescent="0.25">
      <c r="B391" s="59">
        <v>362</v>
      </c>
      <c r="C391" s="229"/>
      <c r="D391" s="229"/>
      <c r="E391" s="229"/>
      <c r="F391" s="229"/>
      <c r="G391" s="229"/>
      <c r="H391" s="229"/>
      <c r="I391" s="229"/>
      <c r="J391" s="11"/>
      <c r="K391" s="59"/>
      <c r="L391" s="59"/>
      <c r="M391" s="64"/>
      <c r="N391" s="64"/>
      <c r="O391" s="64"/>
    </row>
    <row r="392" spans="2:15" x14ac:dyDescent="0.25">
      <c r="B392" s="59">
        <v>363</v>
      </c>
      <c r="C392" s="229"/>
      <c r="D392" s="229"/>
      <c r="E392" s="229"/>
      <c r="F392" s="229"/>
      <c r="G392" s="229"/>
      <c r="H392" s="229"/>
      <c r="I392" s="229"/>
      <c r="J392" s="11"/>
      <c r="K392" s="59"/>
      <c r="L392" s="59"/>
      <c r="M392" s="64"/>
      <c r="N392" s="64"/>
      <c r="O392" s="64"/>
    </row>
    <row r="393" spans="2:15" x14ac:dyDescent="0.25">
      <c r="B393" s="59">
        <v>364</v>
      </c>
      <c r="C393" s="229"/>
      <c r="D393" s="229"/>
      <c r="E393" s="229"/>
      <c r="F393" s="229"/>
      <c r="G393" s="229"/>
      <c r="H393" s="229"/>
      <c r="I393" s="229"/>
      <c r="J393" s="11"/>
      <c r="K393" s="59"/>
      <c r="L393" s="59"/>
      <c r="M393" s="64"/>
      <c r="N393" s="64"/>
      <c r="O393" s="64"/>
    </row>
    <row r="394" spans="2:15" x14ac:dyDescent="0.25">
      <c r="B394" s="59">
        <v>365</v>
      </c>
      <c r="C394" s="229"/>
      <c r="D394" s="229"/>
      <c r="E394" s="229"/>
      <c r="F394" s="229"/>
      <c r="G394" s="229"/>
      <c r="H394" s="229"/>
      <c r="I394" s="229"/>
      <c r="J394" s="11"/>
      <c r="K394" s="59"/>
      <c r="L394" s="59"/>
      <c r="M394" s="64"/>
      <c r="N394" s="64"/>
      <c r="O394" s="64"/>
    </row>
    <row r="395" spans="2:15" x14ac:dyDescent="0.25">
      <c r="B395" s="59">
        <v>366</v>
      </c>
      <c r="C395" s="229"/>
      <c r="D395" s="229"/>
      <c r="E395" s="229"/>
      <c r="F395" s="229"/>
      <c r="G395" s="229"/>
      <c r="H395" s="229"/>
      <c r="I395" s="229"/>
      <c r="J395" s="11"/>
      <c r="K395" s="59"/>
      <c r="L395" s="59"/>
      <c r="M395" s="64"/>
      <c r="N395" s="64"/>
      <c r="O395" s="64"/>
    </row>
    <row r="396" spans="2:15" x14ac:dyDescent="0.25">
      <c r="B396" s="59">
        <v>367</v>
      </c>
      <c r="C396" s="229"/>
      <c r="D396" s="229"/>
      <c r="E396" s="229"/>
      <c r="F396" s="229"/>
      <c r="G396" s="229"/>
      <c r="H396" s="229"/>
      <c r="I396" s="229"/>
      <c r="J396" s="11"/>
      <c r="K396" s="59"/>
      <c r="L396" s="59"/>
      <c r="M396" s="64"/>
      <c r="N396" s="64"/>
      <c r="O396" s="64"/>
    </row>
    <row r="397" spans="2:15" x14ac:dyDescent="0.25">
      <c r="B397" s="59">
        <v>368</v>
      </c>
      <c r="C397" s="229"/>
      <c r="D397" s="229"/>
      <c r="E397" s="229"/>
      <c r="F397" s="229"/>
      <c r="G397" s="229"/>
      <c r="H397" s="229"/>
      <c r="I397" s="229"/>
      <c r="J397" s="11"/>
      <c r="K397" s="59"/>
      <c r="L397" s="59"/>
      <c r="M397" s="64"/>
      <c r="N397" s="64"/>
      <c r="O397" s="64"/>
    </row>
    <row r="398" spans="2:15" x14ac:dyDescent="0.25">
      <c r="B398" s="59">
        <v>369</v>
      </c>
      <c r="C398" s="229"/>
      <c r="D398" s="229"/>
      <c r="E398" s="229"/>
      <c r="F398" s="229"/>
      <c r="G398" s="229"/>
      <c r="H398" s="229"/>
      <c r="I398" s="229"/>
      <c r="J398" s="11"/>
      <c r="K398" s="59"/>
      <c r="L398" s="59"/>
      <c r="M398" s="64"/>
      <c r="N398" s="64"/>
      <c r="O398" s="64"/>
    </row>
    <row r="399" spans="2:15" x14ac:dyDescent="0.25">
      <c r="B399" s="59">
        <v>370</v>
      </c>
      <c r="C399" s="229"/>
      <c r="D399" s="229"/>
      <c r="E399" s="229"/>
      <c r="F399" s="229"/>
      <c r="G399" s="229"/>
      <c r="H399" s="229"/>
      <c r="I399" s="229"/>
      <c r="J399" s="11"/>
      <c r="K399" s="59"/>
      <c r="L399" s="59"/>
      <c r="M399" s="64"/>
      <c r="N399" s="64"/>
      <c r="O399" s="64"/>
    </row>
    <row r="400" spans="2:15" x14ac:dyDescent="0.25">
      <c r="B400" s="59">
        <v>371</v>
      </c>
      <c r="C400" s="229"/>
      <c r="D400" s="229"/>
      <c r="E400" s="229"/>
      <c r="F400" s="229"/>
      <c r="G400" s="229"/>
      <c r="H400" s="229"/>
      <c r="I400" s="229"/>
      <c r="J400" s="11"/>
      <c r="K400" s="59"/>
      <c r="L400" s="59"/>
      <c r="M400" s="64"/>
      <c r="N400" s="64"/>
      <c r="O400" s="64"/>
    </row>
    <row r="401" spans="2:15" x14ac:dyDescent="0.25">
      <c r="B401" s="59">
        <v>372</v>
      </c>
      <c r="C401" s="229"/>
      <c r="D401" s="229"/>
      <c r="E401" s="229"/>
      <c r="F401" s="229"/>
      <c r="G401" s="229"/>
      <c r="H401" s="229"/>
      <c r="I401" s="229"/>
      <c r="J401" s="11"/>
      <c r="K401" s="59"/>
      <c r="L401" s="59"/>
      <c r="M401" s="64"/>
      <c r="N401" s="64"/>
      <c r="O401" s="64"/>
    </row>
    <row r="402" spans="2:15" x14ac:dyDescent="0.25">
      <c r="B402" s="59">
        <v>373</v>
      </c>
      <c r="C402" s="229"/>
      <c r="D402" s="229"/>
      <c r="E402" s="229"/>
      <c r="F402" s="229"/>
      <c r="G402" s="229"/>
      <c r="H402" s="229"/>
      <c r="I402" s="229"/>
      <c r="J402" s="11"/>
      <c r="K402" s="59"/>
      <c r="L402" s="59"/>
      <c r="M402" s="64"/>
      <c r="N402" s="64"/>
      <c r="O402" s="64"/>
    </row>
    <row r="403" spans="2:15" x14ac:dyDescent="0.25">
      <c r="B403" s="59">
        <v>374</v>
      </c>
      <c r="C403" s="229"/>
      <c r="D403" s="229"/>
      <c r="E403" s="229"/>
      <c r="F403" s="229"/>
      <c r="G403" s="229"/>
      <c r="H403" s="229"/>
      <c r="I403" s="229"/>
      <c r="J403" s="11"/>
      <c r="K403" s="59"/>
      <c r="L403" s="59"/>
      <c r="M403" s="64"/>
      <c r="N403" s="64"/>
      <c r="O403" s="64"/>
    </row>
    <row r="404" spans="2:15" x14ac:dyDescent="0.25">
      <c r="B404" s="59">
        <v>375</v>
      </c>
      <c r="C404" s="229"/>
      <c r="D404" s="229"/>
      <c r="E404" s="229"/>
      <c r="F404" s="229"/>
      <c r="G404" s="229"/>
      <c r="H404" s="229"/>
      <c r="I404" s="229"/>
      <c r="J404" s="11"/>
      <c r="K404" s="59"/>
      <c r="L404" s="59"/>
      <c r="M404" s="64"/>
      <c r="N404" s="64"/>
      <c r="O404" s="64"/>
    </row>
    <row r="405" spans="2:15" x14ac:dyDescent="0.25">
      <c r="B405" s="59">
        <v>376</v>
      </c>
      <c r="C405" s="229"/>
      <c r="D405" s="229"/>
      <c r="E405" s="229"/>
      <c r="F405" s="229"/>
      <c r="G405" s="229"/>
      <c r="H405" s="229"/>
      <c r="I405" s="229"/>
      <c r="J405" s="11"/>
      <c r="K405" s="59"/>
      <c r="L405" s="59"/>
      <c r="M405" s="64"/>
      <c r="N405" s="64"/>
      <c r="O405" s="64"/>
    </row>
    <row r="406" spans="2:15" x14ac:dyDescent="0.25">
      <c r="B406" s="59">
        <v>377</v>
      </c>
      <c r="C406" s="229"/>
      <c r="D406" s="229"/>
      <c r="E406" s="229"/>
      <c r="F406" s="229"/>
      <c r="G406" s="229"/>
      <c r="H406" s="229"/>
      <c r="I406" s="229"/>
      <c r="J406" s="11"/>
      <c r="K406" s="59"/>
      <c r="L406" s="59"/>
      <c r="M406" s="64"/>
      <c r="N406" s="64"/>
      <c r="O406" s="64"/>
    </row>
    <row r="407" spans="2:15" x14ac:dyDescent="0.25">
      <c r="B407" s="59">
        <v>378</v>
      </c>
      <c r="C407" s="229"/>
      <c r="D407" s="229"/>
      <c r="E407" s="229"/>
      <c r="F407" s="229"/>
      <c r="G407" s="229"/>
      <c r="H407" s="229"/>
      <c r="I407" s="229"/>
      <c r="J407" s="11"/>
      <c r="K407" s="59"/>
      <c r="L407" s="59"/>
      <c r="M407" s="64"/>
      <c r="N407" s="64"/>
      <c r="O407" s="64"/>
    </row>
    <row r="408" spans="2:15" x14ac:dyDescent="0.25">
      <c r="B408" s="59">
        <v>379</v>
      </c>
      <c r="C408" s="229"/>
      <c r="D408" s="229"/>
      <c r="E408" s="229"/>
      <c r="F408" s="229"/>
      <c r="G408" s="229"/>
      <c r="H408" s="229"/>
      <c r="I408" s="229"/>
      <c r="J408" s="11"/>
      <c r="K408" s="59"/>
      <c r="L408" s="59"/>
      <c r="M408" s="64"/>
      <c r="N408" s="64"/>
      <c r="O408" s="64"/>
    </row>
    <row r="409" spans="2:15" x14ac:dyDescent="0.25">
      <c r="B409" s="59">
        <v>380</v>
      </c>
      <c r="C409" s="229"/>
      <c r="D409" s="229"/>
      <c r="E409" s="229"/>
      <c r="F409" s="229"/>
      <c r="G409" s="229"/>
      <c r="H409" s="229"/>
      <c r="I409" s="229"/>
      <c r="J409" s="11"/>
      <c r="K409" s="59"/>
      <c r="L409" s="59"/>
      <c r="M409" s="64"/>
      <c r="N409" s="64"/>
      <c r="O409" s="64"/>
    </row>
    <row r="410" spans="2:15" x14ac:dyDescent="0.25">
      <c r="B410" s="59">
        <v>381</v>
      </c>
      <c r="C410" s="229"/>
      <c r="D410" s="229"/>
      <c r="E410" s="229"/>
      <c r="F410" s="229"/>
      <c r="G410" s="229"/>
      <c r="H410" s="229"/>
      <c r="I410" s="229"/>
      <c r="J410" s="11"/>
      <c r="K410" s="59"/>
      <c r="L410" s="59"/>
      <c r="M410" s="64"/>
      <c r="N410" s="64"/>
      <c r="O410" s="64"/>
    </row>
    <row r="411" spans="2:15" x14ac:dyDescent="0.25">
      <c r="B411" s="59">
        <v>382</v>
      </c>
      <c r="C411" s="229"/>
      <c r="D411" s="229"/>
      <c r="E411" s="229"/>
      <c r="F411" s="229"/>
      <c r="G411" s="229"/>
      <c r="H411" s="229"/>
      <c r="I411" s="229"/>
      <c r="J411" s="11"/>
      <c r="K411" s="59"/>
      <c r="L411" s="59"/>
      <c r="M411" s="64"/>
      <c r="N411" s="64"/>
      <c r="O411" s="64"/>
    </row>
    <row r="412" spans="2:15" x14ac:dyDescent="0.25">
      <c r="B412" s="59">
        <v>383</v>
      </c>
      <c r="C412" s="229"/>
      <c r="D412" s="229"/>
      <c r="E412" s="229"/>
      <c r="F412" s="229"/>
      <c r="G412" s="229"/>
      <c r="H412" s="229"/>
      <c r="I412" s="229"/>
      <c r="J412" s="11"/>
      <c r="K412" s="59"/>
      <c r="L412" s="59"/>
      <c r="M412" s="64"/>
      <c r="N412" s="64"/>
      <c r="O412" s="64"/>
    </row>
    <row r="413" spans="2:15" x14ac:dyDescent="0.25">
      <c r="B413" s="59">
        <v>384</v>
      </c>
      <c r="C413" s="229"/>
      <c r="D413" s="229"/>
      <c r="E413" s="229"/>
      <c r="F413" s="229"/>
      <c r="G413" s="229"/>
      <c r="H413" s="229"/>
      <c r="I413" s="229"/>
      <c r="J413" s="11"/>
      <c r="K413" s="59"/>
      <c r="L413" s="59"/>
      <c r="M413" s="64"/>
      <c r="N413" s="64"/>
      <c r="O413" s="64"/>
    </row>
    <row r="414" spans="2:15" x14ac:dyDescent="0.25">
      <c r="B414" s="59">
        <v>385</v>
      </c>
      <c r="C414" s="229"/>
      <c r="D414" s="229"/>
      <c r="E414" s="229"/>
      <c r="F414" s="229"/>
      <c r="G414" s="229"/>
      <c r="H414" s="229"/>
      <c r="I414" s="229"/>
      <c r="J414" s="11"/>
      <c r="K414" s="59"/>
      <c r="L414" s="59"/>
      <c r="M414" s="64"/>
      <c r="N414" s="64"/>
      <c r="O414" s="64"/>
    </row>
    <row r="415" spans="2:15" x14ac:dyDescent="0.25">
      <c r="B415" s="59">
        <v>386</v>
      </c>
      <c r="C415" s="229"/>
      <c r="D415" s="229"/>
      <c r="E415" s="229"/>
      <c r="F415" s="229"/>
      <c r="G415" s="229"/>
      <c r="H415" s="229"/>
      <c r="I415" s="229"/>
      <c r="J415" s="11"/>
      <c r="K415" s="59"/>
      <c r="L415" s="59"/>
      <c r="M415" s="64"/>
      <c r="N415" s="64"/>
      <c r="O415" s="64"/>
    </row>
    <row r="416" spans="2:15" x14ac:dyDescent="0.25">
      <c r="B416" s="59">
        <v>387</v>
      </c>
      <c r="C416" s="229"/>
      <c r="D416" s="229"/>
      <c r="E416" s="229"/>
      <c r="F416" s="229"/>
      <c r="G416" s="229"/>
      <c r="H416" s="229"/>
      <c r="I416" s="229"/>
      <c r="J416" s="11"/>
      <c r="K416" s="59"/>
      <c r="L416" s="59"/>
      <c r="M416" s="64"/>
      <c r="N416" s="64"/>
      <c r="O416" s="64"/>
    </row>
    <row r="417" spans="2:15" x14ac:dyDescent="0.25">
      <c r="B417" s="59">
        <v>388</v>
      </c>
      <c r="C417" s="229"/>
      <c r="D417" s="229"/>
      <c r="E417" s="229"/>
      <c r="F417" s="229"/>
      <c r="G417" s="229"/>
      <c r="H417" s="229"/>
      <c r="I417" s="229"/>
      <c r="J417" s="11"/>
      <c r="K417" s="59"/>
      <c r="L417" s="59"/>
      <c r="M417" s="64"/>
      <c r="N417" s="64"/>
      <c r="O417" s="64"/>
    </row>
    <row r="418" spans="2:15" x14ac:dyDescent="0.25">
      <c r="B418" s="59">
        <v>389</v>
      </c>
      <c r="C418" s="229"/>
      <c r="D418" s="229"/>
      <c r="E418" s="229"/>
      <c r="F418" s="229"/>
      <c r="G418" s="229"/>
      <c r="H418" s="229"/>
      <c r="I418" s="229"/>
      <c r="J418" s="11"/>
      <c r="K418" s="59"/>
      <c r="L418" s="59"/>
      <c r="M418" s="64"/>
      <c r="N418" s="64"/>
      <c r="O418" s="64"/>
    </row>
    <row r="419" spans="2:15" x14ac:dyDescent="0.25">
      <c r="B419" s="59">
        <v>390</v>
      </c>
      <c r="C419" s="229"/>
      <c r="D419" s="229"/>
      <c r="E419" s="229"/>
      <c r="F419" s="229"/>
      <c r="G419" s="229"/>
      <c r="H419" s="229"/>
      <c r="I419" s="229"/>
      <c r="J419" s="11"/>
      <c r="K419" s="59"/>
      <c r="L419" s="59"/>
      <c r="M419" s="64"/>
      <c r="N419" s="64"/>
      <c r="O419" s="64"/>
    </row>
    <row r="420" spans="2:15" x14ac:dyDescent="0.25">
      <c r="B420" s="59">
        <v>391</v>
      </c>
      <c r="C420" s="229"/>
      <c r="D420" s="229"/>
      <c r="E420" s="229"/>
      <c r="F420" s="229"/>
      <c r="G420" s="229"/>
      <c r="H420" s="229"/>
      <c r="I420" s="229"/>
      <c r="J420" s="11"/>
      <c r="K420" s="59"/>
      <c r="L420" s="59"/>
      <c r="M420" s="64"/>
      <c r="N420" s="64"/>
      <c r="O420" s="64"/>
    </row>
    <row r="421" spans="2:15" x14ac:dyDescent="0.25">
      <c r="B421" s="59">
        <v>392</v>
      </c>
      <c r="C421" s="229"/>
      <c r="D421" s="229"/>
      <c r="E421" s="229"/>
      <c r="F421" s="229"/>
      <c r="G421" s="229"/>
      <c r="H421" s="229"/>
      <c r="I421" s="229"/>
      <c r="J421" s="11"/>
      <c r="K421" s="59"/>
      <c r="L421" s="59"/>
      <c r="M421" s="64"/>
      <c r="N421" s="64"/>
      <c r="O421" s="64"/>
    </row>
    <row r="422" spans="2:15" x14ac:dyDescent="0.25">
      <c r="B422" s="59">
        <v>393</v>
      </c>
      <c r="C422" s="229"/>
      <c r="D422" s="229"/>
      <c r="E422" s="229"/>
      <c r="F422" s="229"/>
      <c r="G422" s="229"/>
      <c r="H422" s="229"/>
      <c r="I422" s="229"/>
      <c r="J422" s="11"/>
      <c r="K422" s="59"/>
      <c r="L422" s="59"/>
      <c r="M422" s="64"/>
      <c r="N422" s="64"/>
      <c r="O422" s="64"/>
    </row>
    <row r="423" spans="2:15" x14ac:dyDescent="0.25">
      <c r="B423" s="59">
        <v>394</v>
      </c>
      <c r="C423" s="229"/>
      <c r="D423" s="229"/>
      <c r="E423" s="229"/>
      <c r="F423" s="229"/>
      <c r="G423" s="229"/>
      <c r="H423" s="229"/>
      <c r="I423" s="229"/>
      <c r="J423" s="11"/>
      <c r="K423" s="59"/>
      <c r="L423" s="59"/>
      <c r="M423" s="64"/>
      <c r="N423" s="64"/>
      <c r="O423" s="64"/>
    </row>
    <row r="424" spans="2:15" x14ac:dyDescent="0.25">
      <c r="B424" s="59">
        <v>395</v>
      </c>
      <c r="C424" s="229"/>
      <c r="D424" s="229"/>
      <c r="E424" s="229"/>
      <c r="F424" s="229"/>
      <c r="G424" s="229"/>
      <c r="H424" s="229"/>
      <c r="I424" s="229"/>
      <c r="J424" s="11"/>
      <c r="K424" s="59"/>
      <c r="L424" s="59"/>
      <c r="M424" s="64"/>
      <c r="N424" s="64"/>
      <c r="O424" s="64"/>
    </row>
    <row r="425" spans="2:15" x14ac:dyDescent="0.25">
      <c r="B425" s="59">
        <v>396</v>
      </c>
      <c r="C425" s="229"/>
      <c r="D425" s="229"/>
      <c r="E425" s="229"/>
      <c r="F425" s="229"/>
      <c r="G425" s="229"/>
      <c r="H425" s="229"/>
      <c r="I425" s="229"/>
      <c r="J425" s="11"/>
      <c r="K425" s="59"/>
      <c r="L425" s="59"/>
      <c r="M425" s="64"/>
      <c r="N425" s="64"/>
      <c r="O425" s="64"/>
    </row>
    <row r="426" spans="2:15" x14ac:dyDescent="0.25">
      <c r="B426" s="59">
        <v>397</v>
      </c>
      <c r="C426" s="229"/>
      <c r="D426" s="229"/>
      <c r="E426" s="229"/>
      <c r="F426" s="229"/>
      <c r="G426" s="229"/>
      <c r="H426" s="229"/>
      <c r="I426" s="229"/>
      <c r="J426" s="11"/>
      <c r="K426" s="59"/>
      <c r="L426" s="59"/>
      <c r="M426" s="64"/>
      <c r="N426" s="64"/>
      <c r="O426" s="64"/>
    </row>
    <row r="427" spans="2:15" x14ac:dyDescent="0.25">
      <c r="B427" s="59">
        <v>398</v>
      </c>
      <c r="C427" s="229"/>
      <c r="D427" s="229"/>
      <c r="E427" s="229"/>
      <c r="F427" s="229"/>
      <c r="G427" s="229"/>
      <c r="H427" s="229"/>
      <c r="I427" s="229"/>
      <c r="J427" s="11"/>
      <c r="K427" s="59"/>
      <c r="L427" s="59"/>
      <c r="M427" s="64"/>
      <c r="N427" s="64"/>
      <c r="O427" s="64"/>
    </row>
    <row r="428" spans="2:15" x14ac:dyDescent="0.25">
      <c r="B428" s="59">
        <v>399</v>
      </c>
      <c r="C428" s="229"/>
      <c r="D428" s="229"/>
      <c r="E428" s="229"/>
      <c r="F428" s="229"/>
      <c r="G428" s="229"/>
      <c r="H428" s="229"/>
      <c r="I428" s="229"/>
      <c r="J428" s="11"/>
      <c r="K428" s="59"/>
      <c r="L428" s="59"/>
      <c r="M428" s="64"/>
      <c r="N428" s="64"/>
      <c r="O428" s="64"/>
    </row>
    <row r="429" spans="2:15" x14ac:dyDescent="0.25">
      <c r="B429" s="59">
        <v>400</v>
      </c>
      <c r="C429" s="229"/>
      <c r="D429" s="229"/>
      <c r="E429" s="229"/>
      <c r="F429" s="229"/>
      <c r="G429" s="229"/>
      <c r="H429" s="229"/>
      <c r="I429" s="229"/>
      <c r="J429" s="11"/>
      <c r="K429" s="59"/>
      <c r="L429" s="59"/>
      <c r="M429" s="64"/>
      <c r="N429" s="64"/>
      <c r="O429" s="64"/>
    </row>
    <row r="430" spans="2:15" x14ac:dyDescent="0.25">
      <c r="B430" s="59">
        <v>401</v>
      </c>
      <c r="C430" s="229"/>
      <c r="D430" s="229"/>
      <c r="E430" s="229"/>
      <c r="F430" s="229"/>
      <c r="G430" s="229"/>
      <c r="H430" s="229"/>
      <c r="I430" s="229"/>
      <c r="J430" s="11"/>
      <c r="K430" s="59"/>
      <c r="L430" s="59"/>
      <c r="M430" s="64"/>
      <c r="N430" s="64"/>
      <c r="O430" s="64"/>
    </row>
    <row r="431" spans="2:15" x14ac:dyDescent="0.25">
      <c r="B431" s="59">
        <v>402</v>
      </c>
      <c r="C431" s="229"/>
      <c r="D431" s="229"/>
      <c r="E431" s="229"/>
      <c r="F431" s="229"/>
      <c r="G431" s="229"/>
      <c r="H431" s="229"/>
      <c r="I431" s="229"/>
      <c r="J431" s="11"/>
      <c r="K431" s="59"/>
      <c r="L431" s="59"/>
      <c r="M431" s="64"/>
      <c r="N431" s="64"/>
      <c r="O431" s="64"/>
    </row>
    <row r="432" spans="2:15" x14ac:dyDescent="0.25">
      <c r="B432" s="59">
        <v>403</v>
      </c>
      <c r="C432" s="229"/>
      <c r="D432" s="229"/>
      <c r="E432" s="229"/>
      <c r="F432" s="229"/>
      <c r="G432" s="229"/>
      <c r="H432" s="229"/>
      <c r="I432" s="229"/>
      <c r="J432" s="11"/>
      <c r="K432" s="59"/>
      <c r="L432" s="59"/>
      <c r="M432" s="64"/>
      <c r="N432" s="64"/>
      <c r="O432" s="64"/>
    </row>
    <row r="433" spans="2:15" x14ac:dyDescent="0.25">
      <c r="B433" s="59">
        <v>404</v>
      </c>
      <c r="C433" s="229"/>
      <c r="D433" s="229"/>
      <c r="E433" s="229"/>
      <c r="F433" s="229"/>
      <c r="G433" s="229"/>
      <c r="H433" s="229"/>
      <c r="I433" s="229"/>
      <c r="J433" s="11"/>
      <c r="K433" s="59"/>
      <c r="L433" s="59"/>
      <c r="M433" s="64"/>
      <c r="N433" s="64"/>
      <c r="O433" s="64"/>
    </row>
    <row r="434" spans="2:15" x14ac:dyDescent="0.25">
      <c r="B434" s="59">
        <v>405</v>
      </c>
      <c r="C434" s="229"/>
      <c r="D434" s="229"/>
      <c r="E434" s="229"/>
      <c r="F434" s="229"/>
      <c r="G434" s="229"/>
      <c r="H434" s="229"/>
      <c r="I434" s="229"/>
      <c r="J434" s="11"/>
      <c r="K434" s="59"/>
      <c r="L434" s="59"/>
      <c r="M434" s="64"/>
      <c r="N434" s="64"/>
      <c r="O434" s="64"/>
    </row>
    <row r="435" spans="2:15" x14ac:dyDescent="0.25">
      <c r="B435" s="59">
        <v>406</v>
      </c>
      <c r="C435" s="229"/>
      <c r="D435" s="229"/>
      <c r="E435" s="229"/>
      <c r="F435" s="229"/>
      <c r="G435" s="229"/>
      <c r="H435" s="229"/>
      <c r="I435" s="229"/>
      <c r="J435" s="11"/>
      <c r="K435" s="59"/>
      <c r="L435" s="59"/>
      <c r="M435" s="64"/>
      <c r="N435" s="64"/>
      <c r="O435" s="64"/>
    </row>
    <row r="436" spans="2:15" x14ac:dyDescent="0.25">
      <c r="B436" s="59">
        <v>407</v>
      </c>
      <c r="C436" s="229"/>
      <c r="D436" s="229"/>
      <c r="E436" s="229"/>
      <c r="F436" s="229"/>
      <c r="G436" s="229"/>
      <c r="H436" s="229"/>
      <c r="I436" s="229"/>
      <c r="J436" s="11"/>
      <c r="K436" s="59"/>
      <c r="L436" s="59"/>
      <c r="M436" s="64"/>
      <c r="N436" s="64"/>
      <c r="O436" s="64"/>
    </row>
    <row r="437" spans="2:15" x14ac:dyDescent="0.25">
      <c r="B437" s="59">
        <v>408</v>
      </c>
      <c r="C437" s="229"/>
      <c r="D437" s="229"/>
      <c r="E437" s="229"/>
      <c r="F437" s="229"/>
      <c r="G437" s="229"/>
      <c r="H437" s="229"/>
      <c r="I437" s="229"/>
      <c r="J437" s="11"/>
      <c r="K437" s="59"/>
      <c r="L437" s="59"/>
      <c r="M437" s="64"/>
      <c r="N437" s="64"/>
      <c r="O437" s="64"/>
    </row>
    <row r="438" spans="2:15" x14ac:dyDescent="0.25">
      <c r="B438" s="59">
        <v>409</v>
      </c>
      <c r="C438" s="229"/>
      <c r="D438" s="229"/>
      <c r="E438" s="229"/>
      <c r="F438" s="229"/>
      <c r="G438" s="229"/>
      <c r="H438" s="229"/>
      <c r="I438" s="229"/>
      <c r="J438" s="11"/>
      <c r="K438" s="59"/>
      <c r="L438" s="59"/>
      <c r="M438" s="64"/>
      <c r="N438" s="64"/>
      <c r="O438" s="64"/>
    </row>
    <row r="439" spans="2:15" x14ac:dyDescent="0.25">
      <c r="B439" s="59">
        <v>410</v>
      </c>
      <c r="C439" s="229"/>
      <c r="D439" s="229"/>
      <c r="E439" s="229"/>
      <c r="F439" s="229"/>
      <c r="G439" s="229"/>
      <c r="H439" s="229"/>
      <c r="I439" s="229"/>
      <c r="J439" s="11"/>
      <c r="K439" s="59"/>
      <c r="L439" s="59"/>
      <c r="M439" s="64"/>
      <c r="N439" s="64"/>
      <c r="O439" s="64"/>
    </row>
    <row r="440" spans="2:15" x14ac:dyDescent="0.25">
      <c r="B440" s="59">
        <v>411</v>
      </c>
      <c r="C440" s="229"/>
      <c r="D440" s="229"/>
      <c r="E440" s="229"/>
      <c r="F440" s="229"/>
      <c r="G440" s="229"/>
      <c r="H440" s="229"/>
      <c r="I440" s="229"/>
      <c r="J440" s="11"/>
      <c r="K440" s="59"/>
      <c r="L440" s="59"/>
      <c r="M440" s="64"/>
      <c r="N440" s="64"/>
      <c r="O440" s="64"/>
    </row>
    <row r="441" spans="2:15" x14ac:dyDescent="0.25">
      <c r="B441" s="59">
        <v>412</v>
      </c>
      <c r="C441" s="229"/>
      <c r="D441" s="229"/>
      <c r="E441" s="229"/>
      <c r="F441" s="229"/>
      <c r="G441" s="229"/>
      <c r="H441" s="229"/>
      <c r="I441" s="229"/>
      <c r="J441" s="11"/>
      <c r="K441" s="59"/>
      <c r="L441" s="59"/>
      <c r="M441" s="64"/>
      <c r="N441" s="64"/>
      <c r="O441" s="64"/>
    </row>
    <row r="442" spans="2:15" x14ac:dyDescent="0.25">
      <c r="B442" s="59">
        <v>413</v>
      </c>
      <c r="C442" s="229"/>
      <c r="D442" s="229"/>
      <c r="E442" s="229"/>
      <c r="F442" s="229"/>
      <c r="G442" s="229"/>
      <c r="H442" s="229"/>
      <c r="I442" s="229"/>
      <c r="J442" s="11"/>
      <c r="K442" s="59"/>
      <c r="L442" s="59"/>
      <c r="M442" s="64"/>
      <c r="N442" s="64"/>
      <c r="O442" s="64"/>
    </row>
    <row r="443" spans="2:15" x14ac:dyDescent="0.25">
      <c r="B443" s="59">
        <v>414</v>
      </c>
      <c r="C443" s="229"/>
      <c r="D443" s="229"/>
      <c r="E443" s="229"/>
      <c r="F443" s="229"/>
      <c r="G443" s="229"/>
      <c r="H443" s="229"/>
      <c r="I443" s="229"/>
      <c r="J443" s="11"/>
      <c r="K443" s="59"/>
      <c r="L443" s="59"/>
      <c r="M443" s="64"/>
      <c r="N443" s="64"/>
      <c r="O443" s="64"/>
    </row>
    <row r="444" spans="2:15" x14ac:dyDescent="0.25">
      <c r="B444" s="59">
        <v>415</v>
      </c>
      <c r="C444" s="229"/>
      <c r="D444" s="229"/>
      <c r="E444" s="229"/>
      <c r="F444" s="229"/>
      <c r="G444" s="229"/>
      <c r="H444" s="229"/>
      <c r="I444" s="229"/>
      <c r="J444" s="11"/>
      <c r="K444" s="59"/>
      <c r="L444" s="59"/>
      <c r="M444" s="64"/>
      <c r="N444" s="64"/>
      <c r="O444" s="64"/>
    </row>
    <row r="445" spans="2:15" x14ac:dyDescent="0.25">
      <c r="B445" s="59">
        <v>416</v>
      </c>
      <c r="C445" s="229"/>
      <c r="D445" s="229"/>
      <c r="E445" s="229"/>
      <c r="F445" s="229"/>
      <c r="G445" s="229"/>
      <c r="H445" s="229"/>
      <c r="I445" s="229"/>
      <c r="J445" s="11"/>
      <c r="K445" s="59"/>
      <c r="L445" s="59"/>
      <c r="M445" s="64"/>
      <c r="N445" s="64"/>
      <c r="O445" s="64"/>
    </row>
    <row r="446" spans="2:15" x14ac:dyDescent="0.25">
      <c r="B446" s="59">
        <v>417</v>
      </c>
      <c r="C446" s="229"/>
      <c r="D446" s="229"/>
      <c r="E446" s="229"/>
      <c r="F446" s="229"/>
      <c r="G446" s="229"/>
      <c r="H446" s="229"/>
      <c r="I446" s="229"/>
      <c r="J446" s="11"/>
      <c r="K446" s="59"/>
      <c r="L446" s="59"/>
      <c r="M446" s="64"/>
      <c r="N446" s="64"/>
      <c r="O446" s="64"/>
    </row>
    <row r="447" spans="2:15" x14ac:dyDescent="0.25">
      <c r="B447" s="59">
        <v>418</v>
      </c>
      <c r="C447" s="229"/>
      <c r="D447" s="229"/>
      <c r="E447" s="229"/>
      <c r="F447" s="229"/>
      <c r="G447" s="229"/>
      <c r="H447" s="229"/>
      <c r="I447" s="229"/>
      <c r="J447" s="11"/>
      <c r="K447" s="59"/>
      <c r="L447" s="59"/>
      <c r="M447" s="64"/>
      <c r="N447" s="64"/>
      <c r="O447" s="64"/>
    </row>
    <row r="448" spans="2:15" x14ac:dyDescent="0.25">
      <c r="B448" s="59">
        <v>419</v>
      </c>
      <c r="C448" s="229"/>
      <c r="D448" s="229"/>
      <c r="E448" s="229"/>
      <c r="F448" s="229"/>
      <c r="G448" s="229"/>
      <c r="H448" s="229"/>
      <c r="I448" s="229"/>
      <c r="J448" s="11"/>
      <c r="K448" s="59"/>
      <c r="L448" s="59"/>
      <c r="M448" s="64"/>
      <c r="N448" s="64"/>
      <c r="O448" s="64"/>
    </row>
    <row r="449" spans="2:15" x14ac:dyDescent="0.25">
      <c r="B449" s="59">
        <v>420</v>
      </c>
      <c r="C449" s="229"/>
      <c r="D449" s="229"/>
      <c r="E449" s="229"/>
      <c r="F449" s="229"/>
      <c r="G449" s="229"/>
      <c r="H449" s="229"/>
      <c r="I449" s="229"/>
      <c r="J449" s="11"/>
      <c r="K449" s="59"/>
      <c r="L449" s="59"/>
      <c r="M449" s="64"/>
      <c r="N449" s="64"/>
      <c r="O449" s="64"/>
    </row>
    <row r="450" spans="2:15" x14ac:dyDescent="0.25">
      <c r="B450" s="59">
        <v>421</v>
      </c>
      <c r="C450" s="229"/>
      <c r="D450" s="229"/>
      <c r="E450" s="229"/>
      <c r="F450" s="229"/>
      <c r="G450" s="229"/>
      <c r="H450" s="229"/>
      <c r="I450" s="229"/>
      <c r="J450" s="11"/>
      <c r="K450" s="59"/>
      <c r="L450" s="59"/>
      <c r="M450" s="64"/>
      <c r="N450" s="64"/>
      <c r="O450" s="64"/>
    </row>
    <row r="451" spans="2:15" x14ac:dyDescent="0.25">
      <c r="B451" s="59">
        <v>422</v>
      </c>
      <c r="C451" s="229"/>
      <c r="D451" s="229"/>
      <c r="E451" s="229"/>
      <c r="F451" s="229"/>
      <c r="G451" s="229"/>
      <c r="H451" s="229"/>
      <c r="I451" s="229"/>
      <c r="J451" s="11"/>
      <c r="K451" s="59"/>
      <c r="L451" s="59"/>
      <c r="M451" s="64"/>
      <c r="N451" s="64"/>
      <c r="O451" s="64"/>
    </row>
    <row r="452" spans="2:15" x14ac:dyDescent="0.25">
      <c r="B452" s="59">
        <v>423</v>
      </c>
      <c r="C452" s="229"/>
      <c r="D452" s="229"/>
      <c r="E452" s="229"/>
      <c r="F452" s="229"/>
      <c r="G452" s="229"/>
      <c r="H452" s="229"/>
      <c r="I452" s="229"/>
      <c r="J452" s="11"/>
      <c r="K452" s="59"/>
      <c r="L452" s="59"/>
      <c r="M452" s="64"/>
      <c r="N452" s="64"/>
      <c r="O452" s="64"/>
    </row>
    <row r="453" spans="2:15" x14ac:dyDescent="0.25">
      <c r="B453" s="59">
        <v>424</v>
      </c>
      <c r="C453" s="229"/>
      <c r="D453" s="229"/>
      <c r="E453" s="229"/>
      <c r="F453" s="229"/>
      <c r="G453" s="229"/>
      <c r="H453" s="229"/>
      <c r="I453" s="229"/>
      <c r="J453" s="11"/>
      <c r="K453" s="59"/>
      <c r="L453" s="59"/>
      <c r="M453" s="64"/>
      <c r="N453" s="64"/>
      <c r="O453" s="64"/>
    </row>
    <row r="454" spans="2:15" x14ac:dyDescent="0.25">
      <c r="B454" s="59">
        <v>425</v>
      </c>
      <c r="C454" s="229"/>
      <c r="D454" s="229"/>
      <c r="E454" s="229"/>
      <c r="F454" s="229"/>
      <c r="G454" s="229"/>
      <c r="H454" s="229"/>
      <c r="I454" s="229"/>
      <c r="J454" s="11"/>
      <c r="K454" s="59"/>
      <c r="L454" s="59"/>
      <c r="M454" s="64"/>
      <c r="N454" s="64"/>
      <c r="O454" s="64"/>
    </row>
    <row r="455" spans="2:15" x14ac:dyDescent="0.25">
      <c r="B455" s="59">
        <v>426</v>
      </c>
      <c r="C455" s="229"/>
      <c r="D455" s="229"/>
      <c r="E455" s="229"/>
      <c r="F455" s="229"/>
      <c r="G455" s="229"/>
      <c r="H455" s="229"/>
      <c r="I455" s="229"/>
      <c r="J455" s="11"/>
      <c r="K455" s="59"/>
      <c r="L455" s="59"/>
      <c r="M455" s="64"/>
      <c r="N455" s="64"/>
      <c r="O455" s="64"/>
    </row>
    <row r="456" spans="2:15" x14ac:dyDescent="0.25">
      <c r="B456" s="59">
        <v>427</v>
      </c>
      <c r="C456" s="229"/>
      <c r="D456" s="229"/>
      <c r="E456" s="229"/>
      <c r="F456" s="229"/>
      <c r="G456" s="229"/>
      <c r="H456" s="229"/>
      <c r="I456" s="229"/>
      <c r="J456" s="11"/>
      <c r="K456" s="59"/>
      <c r="L456" s="59"/>
      <c r="M456" s="64"/>
      <c r="N456" s="64"/>
      <c r="O456" s="64"/>
    </row>
    <row r="457" spans="2:15" x14ac:dyDescent="0.25">
      <c r="B457" s="59">
        <v>428</v>
      </c>
      <c r="C457" s="229"/>
      <c r="D457" s="229"/>
      <c r="E457" s="229"/>
      <c r="F457" s="229"/>
      <c r="G457" s="229"/>
      <c r="H457" s="229"/>
      <c r="I457" s="229"/>
      <c r="J457" s="11"/>
      <c r="K457" s="59"/>
      <c r="L457" s="59"/>
      <c r="M457" s="64"/>
      <c r="N457" s="64"/>
      <c r="O457" s="64"/>
    </row>
    <row r="458" spans="2:15" x14ac:dyDescent="0.25">
      <c r="B458" s="59">
        <v>429</v>
      </c>
      <c r="C458" s="229"/>
      <c r="D458" s="229"/>
      <c r="E458" s="229"/>
      <c r="F458" s="229"/>
      <c r="G458" s="229"/>
      <c r="H458" s="229"/>
      <c r="I458" s="229"/>
      <c r="J458" s="11"/>
      <c r="K458" s="59"/>
      <c r="L458" s="59"/>
      <c r="M458" s="64"/>
      <c r="N458" s="64"/>
      <c r="O458" s="64"/>
    </row>
    <row r="459" spans="2:15" x14ac:dyDescent="0.25">
      <c r="B459" s="59">
        <v>430</v>
      </c>
      <c r="C459" s="229"/>
      <c r="D459" s="229"/>
      <c r="E459" s="229"/>
      <c r="F459" s="229"/>
      <c r="G459" s="229"/>
      <c r="H459" s="229"/>
      <c r="I459" s="229"/>
      <c r="J459" s="11"/>
      <c r="K459" s="59"/>
      <c r="L459" s="59"/>
      <c r="M459" s="64"/>
      <c r="N459" s="64"/>
      <c r="O459" s="64"/>
    </row>
    <row r="460" spans="2:15" x14ac:dyDescent="0.25">
      <c r="B460" s="59">
        <v>431</v>
      </c>
      <c r="C460" s="229"/>
      <c r="D460" s="229"/>
      <c r="E460" s="229"/>
      <c r="F460" s="229"/>
      <c r="G460" s="229"/>
      <c r="H460" s="229"/>
      <c r="I460" s="229"/>
      <c r="J460" s="11"/>
      <c r="K460" s="59"/>
      <c r="L460" s="59"/>
      <c r="M460" s="64"/>
      <c r="N460" s="64"/>
      <c r="O460" s="64"/>
    </row>
    <row r="461" spans="2:15" x14ac:dyDescent="0.25">
      <c r="B461" s="59">
        <v>432</v>
      </c>
      <c r="C461" s="229"/>
      <c r="D461" s="229"/>
      <c r="E461" s="229"/>
      <c r="F461" s="229"/>
      <c r="G461" s="229"/>
      <c r="H461" s="229"/>
      <c r="I461" s="229"/>
      <c r="J461" s="11"/>
      <c r="K461" s="59"/>
      <c r="L461" s="59"/>
      <c r="M461" s="64"/>
      <c r="N461" s="64"/>
      <c r="O461" s="64"/>
    </row>
    <row r="462" spans="2:15" x14ac:dyDescent="0.25">
      <c r="B462" s="59">
        <v>433</v>
      </c>
      <c r="C462" s="229"/>
      <c r="D462" s="229"/>
      <c r="E462" s="229"/>
      <c r="F462" s="229"/>
      <c r="G462" s="229"/>
      <c r="H462" s="229"/>
      <c r="I462" s="229"/>
      <c r="J462" s="11"/>
      <c r="K462" s="59"/>
      <c r="L462" s="59"/>
      <c r="M462" s="64"/>
      <c r="N462" s="64"/>
      <c r="O462" s="64"/>
    </row>
    <row r="463" spans="2:15" x14ac:dyDescent="0.25">
      <c r="B463" s="59">
        <v>434</v>
      </c>
      <c r="C463" s="229"/>
      <c r="D463" s="229"/>
      <c r="E463" s="229"/>
      <c r="F463" s="229"/>
      <c r="G463" s="229"/>
      <c r="H463" s="229"/>
      <c r="I463" s="229"/>
      <c r="J463" s="11"/>
      <c r="K463" s="59"/>
      <c r="L463" s="59"/>
      <c r="M463" s="64"/>
      <c r="N463" s="64"/>
      <c r="O463" s="64"/>
    </row>
    <row r="464" spans="2:15" x14ac:dyDescent="0.25">
      <c r="B464" s="59">
        <v>435</v>
      </c>
      <c r="C464" s="229"/>
      <c r="D464" s="229"/>
      <c r="E464" s="229"/>
      <c r="F464" s="229"/>
      <c r="G464" s="229"/>
      <c r="H464" s="229"/>
      <c r="I464" s="229"/>
      <c r="J464" s="11"/>
      <c r="K464" s="59"/>
      <c r="L464" s="59"/>
      <c r="M464" s="64"/>
      <c r="N464" s="64"/>
      <c r="O464" s="64"/>
    </row>
    <row r="465" spans="2:15" x14ac:dyDescent="0.25">
      <c r="B465" s="59">
        <v>436</v>
      </c>
      <c r="C465" s="229"/>
      <c r="D465" s="229"/>
      <c r="E465" s="229"/>
      <c r="F465" s="229"/>
      <c r="G465" s="229"/>
      <c r="H465" s="229"/>
      <c r="I465" s="229"/>
      <c r="J465" s="11"/>
      <c r="K465" s="59"/>
      <c r="L465" s="59"/>
      <c r="M465" s="64"/>
      <c r="N465" s="64"/>
      <c r="O465" s="64"/>
    </row>
    <row r="466" spans="2:15" x14ac:dyDescent="0.25">
      <c r="B466" s="59">
        <v>437</v>
      </c>
      <c r="C466" s="229"/>
      <c r="D466" s="229"/>
      <c r="E466" s="229"/>
      <c r="F466" s="229"/>
      <c r="G466" s="229"/>
      <c r="H466" s="229"/>
      <c r="I466" s="229"/>
      <c r="J466" s="11"/>
      <c r="K466" s="59"/>
      <c r="L466" s="59"/>
      <c r="M466" s="64"/>
      <c r="N466" s="64"/>
      <c r="O466" s="64"/>
    </row>
    <row r="467" spans="2:15" x14ac:dyDescent="0.25">
      <c r="B467" s="59">
        <v>438</v>
      </c>
      <c r="C467" s="229"/>
      <c r="D467" s="229"/>
      <c r="E467" s="229"/>
      <c r="F467" s="229"/>
      <c r="G467" s="229"/>
      <c r="H467" s="229"/>
      <c r="I467" s="229"/>
      <c r="J467" s="11"/>
      <c r="K467" s="59"/>
      <c r="L467" s="59"/>
      <c r="M467" s="64"/>
      <c r="N467" s="64"/>
      <c r="O467" s="64"/>
    </row>
    <row r="468" spans="2:15" x14ac:dyDescent="0.25">
      <c r="B468" s="59">
        <v>439</v>
      </c>
      <c r="C468" s="229"/>
      <c r="D468" s="229"/>
      <c r="E468" s="229"/>
      <c r="F468" s="229"/>
      <c r="G468" s="229"/>
      <c r="H468" s="229"/>
      <c r="I468" s="229"/>
      <c r="J468" s="11"/>
      <c r="K468" s="59"/>
      <c r="L468" s="59"/>
      <c r="M468" s="64"/>
      <c r="N468" s="64"/>
      <c r="O468" s="64"/>
    </row>
    <row r="469" spans="2:15" x14ac:dyDescent="0.25">
      <c r="B469" s="59">
        <v>440</v>
      </c>
      <c r="C469" s="229"/>
      <c r="D469" s="229"/>
      <c r="E469" s="229"/>
      <c r="F469" s="229"/>
      <c r="G469" s="229"/>
      <c r="H469" s="229"/>
      <c r="I469" s="229"/>
      <c r="J469" s="11"/>
      <c r="K469" s="59"/>
      <c r="L469" s="59"/>
      <c r="M469" s="64"/>
      <c r="N469" s="64"/>
      <c r="O469" s="64"/>
    </row>
    <row r="470" spans="2:15" x14ac:dyDescent="0.25">
      <c r="B470" s="59">
        <v>441</v>
      </c>
      <c r="C470" s="229"/>
      <c r="D470" s="229"/>
      <c r="E470" s="229"/>
      <c r="F470" s="229"/>
      <c r="G470" s="229"/>
      <c r="H470" s="229"/>
      <c r="I470" s="229"/>
      <c r="J470" s="11"/>
      <c r="K470" s="59"/>
      <c r="L470" s="59"/>
      <c r="M470" s="64"/>
      <c r="N470" s="64"/>
      <c r="O470" s="64"/>
    </row>
    <row r="471" spans="2:15" x14ac:dyDescent="0.25">
      <c r="B471" s="59">
        <v>442</v>
      </c>
      <c r="C471" s="229"/>
      <c r="D471" s="229"/>
      <c r="E471" s="229"/>
      <c r="F471" s="229"/>
      <c r="G471" s="229"/>
      <c r="H471" s="229"/>
      <c r="I471" s="229"/>
      <c r="J471" s="11"/>
      <c r="K471" s="59"/>
      <c r="L471" s="59"/>
      <c r="M471" s="64"/>
      <c r="N471" s="64"/>
      <c r="O471" s="64"/>
    </row>
    <row r="472" spans="2:15" x14ac:dyDescent="0.25">
      <c r="B472" s="59">
        <v>443</v>
      </c>
      <c r="C472" s="229"/>
      <c r="D472" s="229"/>
      <c r="E472" s="229"/>
      <c r="F472" s="229"/>
      <c r="G472" s="229"/>
      <c r="H472" s="229"/>
      <c r="I472" s="229"/>
      <c r="J472" s="11"/>
      <c r="K472" s="59"/>
      <c r="L472" s="59"/>
      <c r="M472" s="64"/>
      <c r="N472" s="64"/>
      <c r="O472" s="64"/>
    </row>
    <row r="473" spans="2:15" x14ac:dyDescent="0.25">
      <c r="B473" s="59">
        <v>444</v>
      </c>
      <c r="C473" s="229"/>
      <c r="D473" s="229"/>
      <c r="E473" s="229"/>
      <c r="F473" s="229"/>
      <c r="G473" s="229"/>
      <c r="H473" s="229"/>
      <c r="I473" s="229"/>
      <c r="J473" s="11"/>
      <c r="K473" s="59"/>
      <c r="L473" s="59"/>
      <c r="M473" s="64"/>
      <c r="N473" s="64"/>
      <c r="O473" s="64"/>
    </row>
    <row r="474" spans="2:15" x14ac:dyDescent="0.25">
      <c r="B474" s="59">
        <v>445</v>
      </c>
      <c r="C474" s="229"/>
      <c r="D474" s="229"/>
      <c r="E474" s="229"/>
      <c r="F474" s="229"/>
      <c r="G474" s="229"/>
      <c r="H474" s="229"/>
      <c r="I474" s="229"/>
      <c r="J474" s="11"/>
      <c r="K474" s="59"/>
      <c r="L474" s="59"/>
      <c r="M474" s="64"/>
      <c r="N474" s="64"/>
      <c r="O474" s="64"/>
    </row>
    <row r="475" spans="2:15" x14ac:dyDescent="0.25">
      <c r="B475" s="59">
        <v>446</v>
      </c>
      <c r="C475" s="229"/>
      <c r="D475" s="229"/>
      <c r="E475" s="229"/>
      <c r="F475" s="229"/>
      <c r="G475" s="229"/>
      <c r="H475" s="229"/>
      <c r="I475" s="229"/>
      <c r="J475" s="11"/>
      <c r="K475" s="59"/>
      <c r="L475" s="59"/>
      <c r="M475" s="64"/>
      <c r="N475" s="64"/>
      <c r="O475" s="64"/>
    </row>
    <row r="476" spans="2:15" x14ac:dyDescent="0.25">
      <c r="B476" s="59">
        <v>447</v>
      </c>
      <c r="C476" s="229"/>
      <c r="D476" s="229"/>
      <c r="E476" s="229"/>
      <c r="F476" s="229"/>
      <c r="G476" s="229"/>
      <c r="H476" s="229"/>
      <c r="I476" s="229"/>
      <c r="J476" s="11"/>
      <c r="K476" s="59"/>
      <c r="L476" s="59"/>
      <c r="M476" s="64"/>
      <c r="N476" s="64"/>
      <c r="O476" s="64"/>
    </row>
    <row r="477" spans="2:15" x14ac:dyDescent="0.25">
      <c r="B477" s="59">
        <v>448</v>
      </c>
      <c r="C477" s="229"/>
      <c r="D477" s="229"/>
      <c r="E477" s="229"/>
      <c r="F477" s="229"/>
      <c r="G477" s="229"/>
      <c r="H477" s="229"/>
      <c r="I477" s="229"/>
      <c r="J477" s="11"/>
      <c r="K477" s="59"/>
      <c r="L477" s="59"/>
      <c r="M477" s="64"/>
      <c r="N477" s="64"/>
      <c r="O477" s="64"/>
    </row>
    <row r="478" spans="2:15" x14ac:dyDescent="0.25">
      <c r="B478" s="59">
        <v>449</v>
      </c>
      <c r="C478" s="229"/>
      <c r="D478" s="229"/>
      <c r="E478" s="229"/>
      <c r="F478" s="229"/>
      <c r="G478" s="229"/>
      <c r="H478" s="229"/>
      <c r="I478" s="229"/>
      <c r="J478" s="11"/>
      <c r="K478" s="59"/>
      <c r="L478" s="59"/>
      <c r="M478" s="64"/>
      <c r="N478" s="64"/>
      <c r="O478" s="64"/>
    </row>
    <row r="479" spans="2:15" x14ac:dyDescent="0.25">
      <c r="B479" s="59">
        <v>450</v>
      </c>
      <c r="C479" s="229"/>
      <c r="D479" s="229"/>
      <c r="E479" s="229"/>
      <c r="F479" s="229"/>
      <c r="G479" s="229"/>
      <c r="H479" s="229"/>
      <c r="I479" s="229"/>
      <c r="J479" s="11"/>
      <c r="K479" s="59"/>
      <c r="L479" s="59"/>
      <c r="M479" s="64"/>
      <c r="N479" s="64"/>
      <c r="O479" s="64"/>
    </row>
    <row r="480" spans="2:15" x14ac:dyDescent="0.25">
      <c r="B480" s="59">
        <v>451</v>
      </c>
      <c r="C480" s="229"/>
      <c r="D480" s="229"/>
      <c r="E480" s="229"/>
      <c r="F480" s="229"/>
      <c r="G480" s="229"/>
      <c r="H480" s="229"/>
      <c r="I480" s="229"/>
      <c r="J480" s="11"/>
      <c r="K480" s="59"/>
      <c r="L480" s="59"/>
      <c r="M480" s="64"/>
      <c r="N480" s="64"/>
      <c r="O480" s="64"/>
    </row>
    <row r="481" spans="2:15" x14ac:dyDescent="0.25">
      <c r="B481" s="59">
        <v>452</v>
      </c>
      <c r="C481" s="229"/>
      <c r="D481" s="229"/>
      <c r="E481" s="229"/>
      <c r="F481" s="229"/>
      <c r="G481" s="229"/>
      <c r="H481" s="229"/>
      <c r="I481" s="229"/>
      <c r="J481" s="11"/>
      <c r="K481" s="59"/>
      <c r="L481" s="59"/>
      <c r="M481" s="64"/>
      <c r="N481" s="64"/>
      <c r="O481" s="64"/>
    </row>
    <row r="482" spans="2:15" x14ac:dyDescent="0.25">
      <c r="B482" s="59">
        <v>453</v>
      </c>
      <c r="C482" s="229"/>
      <c r="D482" s="229"/>
      <c r="E482" s="229"/>
      <c r="F482" s="229"/>
      <c r="G482" s="229"/>
      <c r="H482" s="229"/>
      <c r="I482" s="229"/>
      <c r="J482" s="11"/>
      <c r="K482" s="59"/>
      <c r="L482" s="59"/>
      <c r="M482" s="64"/>
      <c r="N482" s="64"/>
      <c r="O482" s="64"/>
    </row>
    <row r="483" spans="2:15" x14ac:dyDescent="0.25">
      <c r="B483" s="59">
        <v>454</v>
      </c>
      <c r="C483" s="229"/>
      <c r="D483" s="229"/>
      <c r="E483" s="229"/>
      <c r="F483" s="229"/>
      <c r="G483" s="229"/>
      <c r="H483" s="229"/>
      <c r="I483" s="229"/>
      <c r="J483" s="11"/>
      <c r="K483" s="59"/>
      <c r="L483" s="59"/>
      <c r="M483" s="64"/>
      <c r="N483" s="64"/>
      <c r="O483" s="64"/>
    </row>
    <row r="484" spans="2:15" x14ac:dyDescent="0.25">
      <c r="B484" s="59">
        <v>455</v>
      </c>
      <c r="C484" s="229"/>
      <c r="D484" s="229"/>
      <c r="E484" s="229"/>
      <c r="F484" s="229"/>
      <c r="G484" s="229"/>
      <c r="H484" s="229"/>
      <c r="I484" s="229"/>
      <c r="J484" s="11"/>
      <c r="K484" s="59"/>
      <c r="L484" s="59"/>
      <c r="M484" s="64"/>
      <c r="N484" s="64"/>
      <c r="O484" s="64"/>
    </row>
    <row r="485" spans="2:15" x14ac:dyDescent="0.25">
      <c r="B485" s="59">
        <v>456</v>
      </c>
      <c r="C485" s="229"/>
      <c r="D485" s="229"/>
      <c r="E485" s="229"/>
      <c r="F485" s="229"/>
      <c r="G485" s="229"/>
      <c r="H485" s="229"/>
      <c r="I485" s="229"/>
      <c r="J485" s="11"/>
      <c r="K485" s="59"/>
      <c r="L485" s="59"/>
      <c r="M485" s="64"/>
      <c r="N485" s="64"/>
      <c r="O485" s="64"/>
    </row>
    <row r="486" spans="2:15" x14ac:dyDescent="0.25">
      <c r="B486" s="59">
        <v>457</v>
      </c>
      <c r="C486" s="229"/>
      <c r="D486" s="229"/>
      <c r="E486" s="229"/>
      <c r="F486" s="229"/>
      <c r="G486" s="229"/>
      <c r="H486" s="229"/>
      <c r="I486" s="229"/>
      <c r="J486" s="11"/>
      <c r="K486" s="59"/>
      <c r="L486" s="59"/>
      <c r="M486" s="64"/>
      <c r="N486" s="64"/>
      <c r="O486" s="64"/>
    </row>
    <row r="487" spans="2:15" x14ac:dyDescent="0.25">
      <c r="B487" s="59">
        <v>458</v>
      </c>
      <c r="C487" s="229"/>
      <c r="D487" s="229"/>
      <c r="E487" s="229"/>
      <c r="F487" s="229"/>
      <c r="G487" s="229"/>
      <c r="H487" s="229"/>
      <c r="I487" s="229"/>
      <c r="J487" s="11"/>
      <c r="K487" s="59"/>
      <c r="L487" s="59"/>
      <c r="M487" s="64"/>
      <c r="N487" s="64"/>
      <c r="O487" s="64"/>
    </row>
    <row r="488" spans="2:15" x14ac:dyDescent="0.25">
      <c r="B488" s="59">
        <v>459</v>
      </c>
      <c r="C488" s="229"/>
      <c r="D488" s="229"/>
      <c r="E488" s="229"/>
      <c r="F488" s="229"/>
      <c r="G488" s="229"/>
      <c r="H488" s="229"/>
      <c r="I488" s="229"/>
      <c r="J488" s="11"/>
      <c r="K488" s="59"/>
      <c r="L488" s="59"/>
      <c r="M488" s="64"/>
      <c r="N488" s="64"/>
      <c r="O488" s="64"/>
    </row>
    <row r="489" spans="2:15" x14ac:dyDescent="0.25">
      <c r="B489" s="59">
        <v>460</v>
      </c>
      <c r="C489" s="229"/>
      <c r="D489" s="229"/>
      <c r="E489" s="229"/>
      <c r="F489" s="229"/>
      <c r="G489" s="229"/>
      <c r="H489" s="229"/>
      <c r="I489" s="229"/>
      <c r="J489" s="11"/>
      <c r="K489" s="59"/>
      <c r="L489" s="59"/>
      <c r="M489" s="64"/>
      <c r="N489" s="64"/>
      <c r="O489" s="64"/>
    </row>
    <row r="490" spans="2:15" x14ac:dyDescent="0.25">
      <c r="B490" s="59">
        <v>461</v>
      </c>
      <c r="C490" s="229"/>
      <c r="D490" s="229"/>
      <c r="E490" s="229"/>
      <c r="F490" s="229"/>
      <c r="G490" s="229"/>
      <c r="H490" s="229"/>
      <c r="I490" s="229"/>
      <c r="J490" s="11"/>
      <c r="K490" s="59"/>
      <c r="L490" s="59"/>
      <c r="M490" s="64"/>
      <c r="N490" s="64"/>
      <c r="O490" s="64"/>
    </row>
    <row r="491" spans="2:15" x14ac:dyDescent="0.25">
      <c r="B491" s="59">
        <v>462</v>
      </c>
      <c r="C491" s="229"/>
      <c r="D491" s="229"/>
      <c r="E491" s="229"/>
      <c r="F491" s="229"/>
      <c r="G491" s="229"/>
      <c r="H491" s="229"/>
      <c r="I491" s="229"/>
      <c r="J491" s="11"/>
      <c r="K491" s="59"/>
      <c r="L491" s="59"/>
      <c r="M491" s="64"/>
      <c r="N491" s="64"/>
      <c r="O491" s="64"/>
    </row>
    <row r="492" spans="2:15" x14ac:dyDescent="0.25">
      <c r="B492" s="59">
        <v>463</v>
      </c>
      <c r="C492" s="229"/>
      <c r="D492" s="229"/>
      <c r="E492" s="229"/>
      <c r="F492" s="229"/>
      <c r="G492" s="229"/>
      <c r="H492" s="229"/>
      <c r="I492" s="229"/>
      <c r="J492" s="11"/>
      <c r="K492" s="59"/>
      <c r="L492" s="59"/>
      <c r="M492" s="64"/>
      <c r="N492" s="64"/>
      <c r="O492" s="64"/>
    </row>
    <row r="493" spans="2:15" x14ac:dyDescent="0.25">
      <c r="B493" s="59">
        <v>464</v>
      </c>
      <c r="C493" s="229"/>
      <c r="D493" s="229"/>
      <c r="E493" s="229"/>
      <c r="F493" s="229"/>
      <c r="G493" s="229"/>
      <c r="H493" s="229"/>
      <c r="I493" s="229"/>
      <c r="J493" s="11"/>
      <c r="K493" s="59"/>
      <c r="L493" s="59"/>
      <c r="M493" s="64"/>
      <c r="N493" s="64"/>
      <c r="O493" s="64"/>
    </row>
    <row r="494" spans="2:15" x14ac:dyDescent="0.25">
      <c r="B494" s="59">
        <v>465</v>
      </c>
      <c r="C494" s="229"/>
      <c r="D494" s="229"/>
      <c r="E494" s="229"/>
      <c r="F494" s="229"/>
      <c r="G494" s="229"/>
      <c r="H494" s="229"/>
      <c r="I494" s="229"/>
      <c r="J494" s="11"/>
      <c r="K494" s="59"/>
      <c r="L494" s="59"/>
      <c r="M494" s="64"/>
      <c r="N494" s="64"/>
      <c r="O494" s="64"/>
    </row>
    <row r="495" spans="2:15" x14ac:dyDescent="0.25">
      <c r="B495" s="59">
        <v>466</v>
      </c>
      <c r="C495" s="229"/>
      <c r="D495" s="229"/>
      <c r="E495" s="229"/>
      <c r="F495" s="229"/>
      <c r="G495" s="229"/>
      <c r="H495" s="229"/>
      <c r="I495" s="229"/>
      <c r="J495" s="11"/>
      <c r="K495" s="59"/>
      <c r="L495" s="59"/>
      <c r="M495" s="64"/>
      <c r="N495" s="64"/>
      <c r="O495" s="64"/>
    </row>
    <row r="496" spans="2:15" x14ac:dyDescent="0.25">
      <c r="B496" s="59">
        <v>467</v>
      </c>
      <c r="C496" s="229"/>
      <c r="D496" s="229"/>
      <c r="E496" s="229"/>
      <c r="F496" s="229"/>
      <c r="G496" s="229"/>
      <c r="H496" s="229"/>
      <c r="I496" s="229"/>
      <c r="J496" s="11"/>
      <c r="K496" s="59"/>
      <c r="L496" s="59"/>
      <c r="M496" s="64"/>
      <c r="N496" s="64"/>
      <c r="O496" s="64"/>
    </row>
    <row r="497" spans="2:15" x14ac:dyDescent="0.25">
      <c r="B497" s="59">
        <v>468</v>
      </c>
      <c r="C497" s="229"/>
      <c r="D497" s="229"/>
      <c r="E497" s="229"/>
      <c r="F497" s="229"/>
      <c r="G497" s="229"/>
      <c r="H497" s="229"/>
      <c r="I497" s="229"/>
      <c r="J497" s="11"/>
      <c r="K497" s="59"/>
      <c r="L497" s="59"/>
      <c r="M497" s="64"/>
      <c r="N497" s="64"/>
      <c r="O497" s="64"/>
    </row>
    <row r="498" spans="2:15" x14ac:dyDescent="0.25">
      <c r="B498" s="59">
        <v>469</v>
      </c>
      <c r="C498" s="229"/>
      <c r="D498" s="229"/>
      <c r="E498" s="229"/>
      <c r="F498" s="229"/>
      <c r="G498" s="229"/>
      <c r="H498" s="229"/>
      <c r="I498" s="229"/>
      <c r="J498" s="11"/>
      <c r="K498" s="59"/>
      <c r="L498" s="59"/>
      <c r="M498" s="64"/>
      <c r="N498" s="64"/>
      <c r="O498" s="64"/>
    </row>
    <row r="499" spans="2:15" x14ac:dyDescent="0.25">
      <c r="B499" s="59">
        <v>470</v>
      </c>
      <c r="C499" s="229"/>
      <c r="D499" s="229"/>
      <c r="E499" s="229"/>
      <c r="F499" s="229"/>
      <c r="G499" s="229"/>
      <c r="H499" s="229"/>
      <c r="I499" s="229"/>
      <c r="J499" s="11"/>
      <c r="K499" s="59"/>
      <c r="L499" s="59"/>
      <c r="M499" s="64"/>
      <c r="N499" s="64"/>
      <c r="O499" s="64"/>
    </row>
    <row r="500" spans="2:15" x14ac:dyDescent="0.25">
      <c r="B500" s="59">
        <v>471</v>
      </c>
      <c r="C500" s="229"/>
      <c r="D500" s="229"/>
      <c r="E500" s="229"/>
      <c r="F500" s="229"/>
      <c r="G500" s="229"/>
      <c r="H500" s="229"/>
      <c r="I500" s="229"/>
      <c r="J500" s="11"/>
      <c r="K500" s="59"/>
      <c r="L500" s="59"/>
      <c r="M500" s="64"/>
      <c r="N500" s="64"/>
      <c r="O500" s="64"/>
    </row>
    <row r="501" spans="2:15" x14ac:dyDescent="0.25">
      <c r="B501" s="59">
        <v>472</v>
      </c>
      <c r="C501" s="229"/>
      <c r="D501" s="229"/>
      <c r="E501" s="229"/>
      <c r="F501" s="229"/>
      <c r="G501" s="229"/>
      <c r="H501" s="229"/>
      <c r="I501" s="229"/>
      <c r="J501" s="11"/>
      <c r="K501" s="59"/>
      <c r="L501" s="59"/>
      <c r="M501" s="64"/>
      <c r="N501" s="64"/>
      <c r="O501" s="64"/>
    </row>
    <row r="502" spans="2:15" x14ac:dyDescent="0.25">
      <c r="B502" s="59">
        <v>473</v>
      </c>
      <c r="C502" s="229"/>
      <c r="D502" s="229"/>
      <c r="E502" s="229"/>
      <c r="F502" s="229"/>
      <c r="G502" s="229"/>
      <c r="H502" s="229"/>
      <c r="I502" s="229"/>
      <c r="J502" s="11"/>
      <c r="K502" s="59"/>
      <c r="L502" s="59"/>
      <c r="M502" s="64"/>
      <c r="N502" s="64"/>
      <c r="O502" s="64"/>
    </row>
    <row r="503" spans="2:15" x14ac:dyDescent="0.25">
      <c r="B503" s="59">
        <v>474</v>
      </c>
      <c r="C503" s="229"/>
      <c r="D503" s="229"/>
      <c r="E503" s="229"/>
      <c r="F503" s="229"/>
      <c r="G503" s="229"/>
      <c r="H503" s="229"/>
      <c r="I503" s="229"/>
      <c r="J503" s="11"/>
      <c r="K503" s="59"/>
      <c r="L503" s="59"/>
      <c r="M503" s="64"/>
      <c r="N503" s="64"/>
      <c r="O503" s="64"/>
    </row>
    <row r="504" spans="2:15" x14ac:dyDescent="0.25">
      <c r="B504" s="59">
        <v>475</v>
      </c>
      <c r="C504" s="229"/>
      <c r="D504" s="229"/>
      <c r="E504" s="229"/>
      <c r="F504" s="229"/>
      <c r="G504" s="229"/>
      <c r="H504" s="229"/>
      <c r="I504" s="229"/>
      <c r="J504" s="11"/>
      <c r="K504" s="59"/>
      <c r="L504" s="59"/>
      <c r="M504" s="64"/>
      <c r="N504" s="64"/>
      <c r="O504" s="64"/>
    </row>
    <row r="505" spans="2:15" x14ac:dyDescent="0.25">
      <c r="B505" s="59">
        <v>476</v>
      </c>
      <c r="C505" s="229"/>
      <c r="D505" s="229"/>
      <c r="E505" s="229"/>
      <c r="F505" s="229"/>
      <c r="G505" s="229"/>
      <c r="H505" s="229"/>
      <c r="I505" s="229"/>
      <c r="J505" s="11"/>
      <c r="K505" s="59"/>
      <c r="L505" s="59"/>
      <c r="M505" s="64"/>
      <c r="N505" s="64"/>
      <c r="O505" s="64"/>
    </row>
    <row r="506" spans="2:15" x14ac:dyDescent="0.25">
      <c r="B506" s="59">
        <v>477</v>
      </c>
      <c r="C506" s="229"/>
      <c r="D506" s="229"/>
      <c r="E506" s="229"/>
      <c r="F506" s="229"/>
      <c r="G506" s="229"/>
      <c r="H506" s="229"/>
      <c r="I506" s="229"/>
      <c r="J506" s="11"/>
      <c r="K506" s="59"/>
      <c r="L506" s="59"/>
      <c r="M506" s="64"/>
      <c r="N506" s="64"/>
      <c r="O506" s="64"/>
    </row>
    <row r="507" spans="2:15" x14ac:dyDescent="0.25">
      <c r="B507" s="59">
        <v>478</v>
      </c>
      <c r="C507" s="229"/>
      <c r="D507" s="229"/>
      <c r="E507" s="229"/>
      <c r="F507" s="229"/>
      <c r="G507" s="229"/>
      <c r="H507" s="229"/>
      <c r="I507" s="229"/>
      <c r="J507" s="11"/>
      <c r="K507" s="59"/>
      <c r="L507" s="59"/>
      <c r="M507" s="64"/>
      <c r="N507" s="64"/>
      <c r="O507" s="64"/>
    </row>
    <row r="508" spans="2:15" x14ac:dyDescent="0.25">
      <c r="B508" s="59">
        <v>479</v>
      </c>
      <c r="C508" s="229"/>
      <c r="D508" s="229"/>
      <c r="E508" s="229"/>
      <c r="F508" s="229"/>
      <c r="G508" s="229"/>
      <c r="H508" s="229"/>
      <c r="I508" s="229"/>
      <c r="J508" s="11"/>
      <c r="K508" s="59"/>
      <c r="L508" s="59"/>
      <c r="M508" s="64"/>
      <c r="N508" s="64"/>
      <c r="O508" s="64"/>
    </row>
    <row r="509" spans="2:15" x14ac:dyDescent="0.25">
      <c r="B509" s="59">
        <v>480</v>
      </c>
      <c r="C509" s="229"/>
      <c r="D509" s="229"/>
      <c r="E509" s="229"/>
      <c r="F509" s="229"/>
      <c r="G509" s="229"/>
      <c r="H509" s="229"/>
      <c r="I509" s="229"/>
      <c r="J509" s="11"/>
      <c r="K509" s="59"/>
      <c r="L509" s="59"/>
      <c r="M509" s="64"/>
      <c r="N509" s="64"/>
      <c r="O509" s="64"/>
    </row>
    <row r="510" spans="2:15" x14ac:dyDescent="0.25">
      <c r="B510" s="59">
        <v>481</v>
      </c>
      <c r="C510" s="229"/>
      <c r="D510" s="229"/>
      <c r="E510" s="229"/>
      <c r="F510" s="229"/>
      <c r="G510" s="229"/>
      <c r="H510" s="229"/>
      <c r="I510" s="229"/>
      <c r="J510" s="11"/>
      <c r="K510" s="59"/>
      <c r="L510" s="59"/>
      <c r="M510" s="64"/>
      <c r="N510" s="64"/>
      <c r="O510" s="64"/>
    </row>
    <row r="511" spans="2:15" x14ac:dyDescent="0.25">
      <c r="B511" s="59">
        <v>482</v>
      </c>
      <c r="C511" s="229"/>
      <c r="D511" s="229"/>
      <c r="E511" s="229"/>
      <c r="F511" s="229"/>
      <c r="G511" s="229"/>
      <c r="H511" s="229"/>
      <c r="I511" s="229"/>
      <c r="J511" s="11"/>
      <c r="K511" s="59"/>
      <c r="L511" s="59"/>
      <c r="M511" s="64"/>
      <c r="N511" s="64"/>
      <c r="O511" s="64"/>
    </row>
    <row r="512" spans="2:15" x14ac:dyDescent="0.25">
      <c r="B512" s="59">
        <v>483</v>
      </c>
      <c r="C512" s="229"/>
      <c r="D512" s="229"/>
      <c r="E512" s="229"/>
      <c r="F512" s="229"/>
      <c r="G512" s="229"/>
      <c r="H512" s="229"/>
      <c r="I512" s="229"/>
      <c r="J512" s="11"/>
      <c r="K512" s="59"/>
      <c r="L512" s="59"/>
      <c r="M512" s="64"/>
      <c r="N512" s="64"/>
      <c r="O512" s="64"/>
    </row>
    <row r="513" spans="2:15" x14ac:dyDescent="0.25">
      <c r="B513" s="59">
        <v>484</v>
      </c>
      <c r="C513" s="229"/>
      <c r="D513" s="229"/>
      <c r="E513" s="229"/>
      <c r="F513" s="229"/>
      <c r="G513" s="229"/>
      <c r="H513" s="229"/>
      <c r="I513" s="229"/>
      <c r="J513" s="11"/>
      <c r="K513" s="59"/>
      <c r="L513" s="59"/>
      <c r="M513" s="64"/>
      <c r="N513" s="64"/>
      <c r="O513" s="64"/>
    </row>
    <row r="514" spans="2:15" x14ac:dyDescent="0.25">
      <c r="B514" s="59">
        <v>485</v>
      </c>
      <c r="C514" s="229"/>
      <c r="D514" s="229"/>
      <c r="E514" s="229"/>
      <c r="F514" s="229"/>
      <c r="G514" s="229"/>
      <c r="H514" s="229"/>
      <c r="I514" s="229"/>
      <c r="J514" s="11"/>
      <c r="K514" s="59"/>
      <c r="L514" s="59"/>
      <c r="M514" s="64"/>
      <c r="N514" s="64"/>
      <c r="O514" s="64"/>
    </row>
    <row r="515" spans="2:15" x14ac:dyDescent="0.25">
      <c r="B515" s="59">
        <v>486</v>
      </c>
      <c r="C515" s="229"/>
      <c r="D515" s="229"/>
      <c r="E515" s="229"/>
      <c r="F515" s="229"/>
      <c r="G515" s="229"/>
      <c r="H515" s="229"/>
      <c r="I515" s="229"/>
      <c r="J515" s="11"/>
      <c r="K515" s="59"/>
      <c r="L515" s="59"/>
      <c r="M515" s="64"/>
      <c r="N515" s="64"/>
      <c r="O515" s="64"/>
    </row>
    <row r="516" spans="2:15" x14ac:dyDescent="0.25">
      <c r="B516" s="59">
        <v>487</v>
      </c>
      <c r="C516" s="229"/>
      <c r="D516" s="229"/>
      <c r="E516" s="229"/>
      <c r="F516" s="229"/>
      <c r="G516" s="229"/>
      <c r="H516" s="229"/>
      <c r="I516" s="229"/>
      <c r="J516" s="11"/>
      <c r="K516" s="59"/>
      <c r="L516" s="59"/>
      <c r="M516" s="64"/>
      <c r="N516" s="64"/>
      <c r="O516" s="64"/>
    </row>
    <row r="517" spans="2:15" x14ac:dyDescent="0.25">
      <c r="B517" s="59">
        <v>488</v>
      </c>
      <c r="C517" s="229"/>
      <c r="D517" s="229"/>
      <c r="E517" s="229"/>
      <c r="F517" s="229"/>
      <c r="G517" s="229"/>
      <c r="H517" s="229"/>
      <c r="I517" s="229"/>
      <c r="J517" s="11"/>
      <c r="K517" s="59"/>
      <c r="L517" s="59"/>
      <c r="M517" s="64"/>
      <c r="N517" s="64"/>
      <c r="O517" s="64"/>
    </row>
    <row r="518" spans="2:15" x14ac:dyDescent="0.25">
      <c r="B518" s="59">
        <v>489</v>
      </c>
      <c r="C518" s="229"/>
      <c r="D518" s="229"/>
      <c r="E518" s="229"/>
      <c r="F518" s="229"/>
      <c r="G518" s="229"/>
      <c r="H518" s="229"/>
      <c r="I518" s="229"/>
      <c r="J518" s="11"/>
      <c r="K518" s="59"/>
      <c r="L518" s="59"/>
      <c r="M518" s="64"/>
      <c r="N518" s="64"/>
      <c r="O518" s="64"/>
    </row>
    <row r="519" spans="2:15" x14ac:dyDescent="0.25">
      <c r="B519" s="59">
        <v>490</v>
      </c>
      <c r="C519" s="229"/>
      <c r="D519" s="229"/>
      <c r="E519" s="229"/>
      <c r="F519" s="229"/>
      <c r="G519" s="229"/>
      <c r="H519" s="229"/>
      <c r="I519" s="229"/>
      <c r="J519" s="11"/>
      <c r="K519" s="59"/>
      <c r="L519" s="59"/>
      <c r="M519" s="64"/>
      <c r="N519" s="64"/>
      <c r="O519" s="64"/>
    </row>
    <row r="520" spans="2:15" x14ac:dyDescent="0.25">
      <c r="B520" s="59">
        <v>491</v>
      </c>
      <c r="C520" s="229"/>
      <c r="D520" s="229"/>
      <c r="E520" s="229"/>
      <c r="F520" s="229"/>
      <c r="G520" s="229"/>
      <c r="H520" s="229"/>
      <c r="I520" s="229"/>
      <c r="J520" s="11"/>
      <c r="K520" s="59"/>
      <c r="L520" s="59"/>
      <c r="M520" s="64"/>
      <c r="N520" s="64"/>
      <c r="O520" s="64"/>
    </row>
    <row r="521" spans="2:15" x14ac:dyDescent="0.25">
      <c r="B521" s="59">
        <v>492</v>
      </c>
      <c r="C521" s="229"/>
      <c r="D521" s="229"/>
      <c r="E521" s="229"/>
      <c r="F521" s="229"/>
      <c r="G521" s="229"/>
      <c r="H521" s="229"/>
      <c r="I521" s="229"/>
      <c r="J521" s="11"/>
      <c r="K521" s="59"/>
      <c r="L521" s="59"/>
      <c r="M521" s="64"/>
      <c r="N521" s="64"/>
      <c r="O521" s="64"/>
    </row>
    <row r="522" spans="2:15" x14ac:dyDescent="0.25">
      <c r="B522" s="59">
        <v>493</v>
      </c>
      <c r="C522" s="229"/>
      <c r="D522" s="229"/>
      <c r="E522" s="229"/>
      <c r="F522" s="229"/>
      <c r="G522" s="229"/>
      <c r="H522" s="229"/>
      <c r="I522" s="229"/>
      <c r="J522" s="11"/>
      <c r="K522" s="59"/>
      <c r="L522" s="59"/>
      <c r="M522" s="64"/>
      <c r="N522" s="64"/>
      <c r="O522" s="64"/>
    </row>
    <row r="523" spans="2:15" x14ac:dyDescent="0.25">
      <c r="B523" s="59">
        <v>494</v>
      </c>
      <c r="C523" s="229"/>
      <c r="D523" s="229"/>
      <c r="E523" s="229"/>
      <c r="F523" s="229"/>
      <c r="G523" s="229"/>
      <c r="H523" s="229"/>
      <c r="I523" s="229"/>
      <c r="J523" s="11"/>
      <c r="K523" s="59"/>
      <c r="L523" s="59"/>
      <c r="M523" s="64"/>
      <c r="N523" s="64"/>
      <c r="O523" s="64"/>
    </row>
    <row r="524" spans="2:15" x14ac:dyDescent="0.25">
      <c r="B524" s="59">
        <v>495</v>
      </c>
      <c r="C524" s="229"/>
      <c r="D524" s="229"/>
      <c r="E524" s="229"/>
      <c r="F524" s="229"/>
      <c r="G524" s="229"/>
      <c r="H524" s="229"/>
      <c r="I524" s="229"/>
      <c r="J524" s="11"/>
      <c r="K524" s="59"/>
      <c r="L524" s="59"/>
      <c r="M524" s="64"/>
      <c r="N524" s="64"/>
      <c r="O524" s="64"/>
    </row>
    <row r="525" spans="2:15" x14ac:dyDescent="0.25">
      <c r="B525" s="59">
        <v>496</v>
      </c>
      <c r="C525" s="229"/>
      <c r="D525" s="229"/>
      <c r="E525" s="229"/>
      <c r="F525" s="229"/>
      <c r="G525" s="229"/>
      <c r="H525" s="229"/>
      <c r="I525" s="229"/>
      <c r="J525" s="11"/>
      <c r="K525" s="59"/>
      <c r="L525" s="59"/>
      <c r="M525" s="64"/>
      <c r="N525" s="64"/>
      <c r="O525" s="64"/>
    </row>
    <row r="526" spans="2:15" x14ac:dyDescent="0.25">
      <c r="B526" s="59">
        <v>497</v>
      </c>
      <c r="C526" s="229"/>
      <c r="D526" s="229"/>
      <c r="E526" s="229"/>
      <c r="F526" s="229"/>
      <c r="G526" s="229"/>
      <c r="H526" s="229"/>
      <c r="I526" s="229"/>
      <c r="J526" s="11"/>
      <c r="K526" s="59"/>
      <c r="L526" s="59"/>
      <c r="M526" s="64"/>
      <c r="N526" s="64"/>
      <c r="O526" s="64"/>
    </row>
    <row r="527" spans="2:15" x14ac:dyDescent="0.25">
      <c r="B527" s="59">
        <v>498</v>
      </c>
      <c r="C527" s="229"/>
      <c r="D527" s="229"/>
      <c r="E527" s="229"/>
      <c r="F527" s="229"/>
      <c r="G527" s="229"/>
      <c r="H527" s="229"/>
      <c r="I527" s="229"/>
      <c r="J527" s="11"/>
      <c r="K527" s="59"/>
      <c r="L527" s="59"/>
      <c r="M527" s="64"/>
      <c r="N527" s="64"/>
      <c r="O527" s="64"/>
    </row>
    <row r="528" spans="2:15" x14ac:dyDescent="0.25">
      <c r="B528" s="59">
        <v>499</v>
      </c>
      <c r="C528" s="229"/>
      <c r="D528" s="229"/>
      <c r="E528" s="229"/>
      <c r="F528" s="229"/>
      <c r="G528" s="229"/>
      <c r="H528" s="229"/>
      <c r="I528" s="229"/>
      <c r="J528" s="11"/>
      <c r="K528" s="59"/>
      <c r="L528" s="59"/>
      <c r="M528" s="64"/>
      <c r="N528" s="64"/>
      <c r="O528" s="64"/>
    </row>
    <row r="529" spans="2:15" x14ac:dyDescent="0.25">
      <c r="B529" s="59">
        <v>500</v>
      </c>
      <c r="C529" s="229"/>
      <c r="D529" s="229"/>
      <c r="E529" s="229"/>
      <c r="F529" s="229"/>
      <c r="G529" s="229"/>
      <c r="H529" s="229"/>
      <c r="I529" s="229"/>
      <c r="J529" s="11"/>
      <c r="K529" s="59"/>
      <c r="L529" s="59"/>
      <c r="M529" s="64"/>
      <c r="N529" s="64"/>
      <c r="O529" s="64"/>
    </row>
    <row r="530" spans="2:15" x14ac:dyDescent="0.25">
      <c r="B530" s="59">
        <v>501</v>
      </c>
      <c r="C530" s="229"/>
      <c r="D530" s="229"/>
      <c r="E530" s="229"/>
      <c r="F530" s="229"/>
      <c r="G530" s="229"/>
      <c r="H530" s="229"/>
      <c r="I530" s="229"/>
      <c r="J530" s="11"/>
      <c r="K530" s="59"/>
      <c r="L530" s="59"/>
      <c r="M530" s="64"/>
      <c r="N530" s="64"/>
      <c r="O530" s="64"/>
    </row>
    <row r="531" spans="2:15" x14ac:dyDescent="0.25">
      <c r="B531" s="59">
        <v>502</v>
      </c>
      <c r="C531" s="229"/>
      <c r="D531" s="229"/>
      <c r="E531" s="229"/>
      <c r="F531" s="229"/>
      <c r="G531" s="229"/>
      <c r="H531" s="229"/>
      <c r="I531" s="229"/>
      <c r="J531" s="11"/>
      <c r="K531" s="59"/>
      <c r="L531" s="59"/>
      <c r="M531" s="64"/>
      <c r="N531" s="64"/>
      <c r="O531" s="64"/>
    </row>
    <row r="532" spans="2:15" x14ac:dyDescent="0.25">
      <c r="B532" s="59">
        <v>503</v>
      </c>
      <c r="C532" s="229"/>
      <c r="D532" s="229"/>
      <c r="E532" s="229"/>
      <c r="F532" s="229"/>
      <c r="G532" s="229"/>
      <c r="H532" s="229"/>
      <c r="I532" s="229"/>
      <c r="J532" s="11"/>
      <c r="K532" s="59"/>
      <c r="L532" s="59"/>
      <c r="M532" s="64"/>
      <c r="N532" s="64"/>
      <c r="O532" s="64"/>
    </row>
    <row r="533" spans="2:15" x14ac:dyDescent="0.25">
      <c r="B533" s="59">
        <v>504</v>
      </c>
      <c r="C533" s="229"/>
      <c r="D533" s="229"/>
      <c r="E533" s="229"/>
      <c r="F533" s="229"/>
      <c r="G533" s="229"/>
      <c r="H533" s="229"/>
      <c r="I533" s="229"/>
      <c r="J533" s="11"/>
      <c r="K533" s="59"/>
      <c r="L533" s="59"/>
      <c r="M533" s="64"/>
      <c r="N533" s="64"/>
      <c r="O533" s="64"/>
    </row>
    <row r="534" spans="2:15" x14ac:dyDescent="0.25">
      <c r="B534" s="59">
        <v>505</v>
      </c>
      <c r="C534" s="229"/>
      <c r="D534" s="229"/>
      <c r="E534" s="229"/>
      <c r="F534" s="229"/>
      <c r="G534" s="229"/>
      <c r="H534" s="229"/>
      <c r="I534" s="229"/>
      <c r="J534" s="11"/>
      <c r="K534" s="59"/>
      <c r="L534" s="59"/>
      <c r="M534" s="64"/>
      <c r="N534" s="64"/>
      <c r="O534" s="64"/>
    </row>
    <row r="535" spans="2:15" x14ac:dyDescent="0.25">
      <c r="B535" s="59">
        <v>506</v>
      </c>
      <c r="C535" s="229"/>
      <c r="D535" s="229"/>
      <c r="E535" s="229"/>
      <c r="F535" s="229"/>
      <c r="G535" s="229"/>
      <c r="H535" s="229"/>
      <c r="I535" s="229"/>
      <c r="J535" s="11"/>
      <c r="K535" s="59"/>
      <c r="L535" s="59"/>
      <c r="M535" s="64"/>
      <c r="N535" s="64"/>
      <c r="O535" s="64"/>
    </row>
    <row r="536" spans="2:15" x14ac:dyDescent="0.25">
      <c r="B536" s="59">
        <v>507</v>
      </c>
      <c r="C536" s="229"/>
      <c r="D536" s="229"/>
      <c r="E536" s="229"/>
      <c r="F536" s="229"/>
      <c r="G536" s="229"/>
      <c r="H536" s="229"/>
      <c r="I536" s="229"/>
      <c r="J536" s="11"/>
      <c r="K536" s="59"/>
      <c r="L536" s="59"/>
      <c r="M536" s="64"/>
      <c r="N536" s="64"/>
      <c r="O536" s="64"/>
    </row>
    <row r="537" spans="2:15" x14ac:dyDescent="0.25">
      <c r="B537" s="59">
        <v>508</v>
      </c>
      <c r="C537" s="229"/>
      <c r="D537" s="229"/>
      <c r="E537" s="229"/>
      <c r="F537" s="229"/>
      <c r="G537" s="229"/>
      <c r="H537" s="229"/>
      <c r="I537" s="229"/>
      <c r="J537" s="11"/>
      <c r="K537" s="59"/>
      <c r="L537" s="59"/>
      <c r="M537" s="64"/>
      <c r="N537" s="64"/>
      <c r="O537" s="64"/>
    </row>
    <row r="538" spans="2:15" x14ac:dyDescent="0.25">
      <c r="B538" s="59">
        <v>509</v>
      </c>
      <c r="C538" s="229"/>
      <c r="D538" s="229"/>
      <c r="E538" s="229"/>
      <c r="F538" s="229"/>
      <c r="G538" s="229"/>
      <c r="H538" s="229"/>
      <c r="I538" s="229"/>
      <c r="J538" s="11"/>
      <c r="K538" s="59"/>
      <c r="L538" s="59"/>
      <c r="M538" s="64"/>
      <c r="N538" s="64"/>
      <c r="O538" s="64"/>
    </row>
    <row r="539" spans="2:15" x14ac:dyDescent="0.25">
      <c r="B539" s="59">
        <v>510</v>
      </c>
      <c r="C539" s="229"/>
      <c r="D539" s="229"/>
      <c r="E539" s="229"/>
      <c r="F539" s="229"/>
      <c r="G539" s="229"/>
      <c r="H539" s="229"/>
      <c r="I539" s="229"/>
      <c r="J539" s="11"/>
      <c r="K539" s="59"/>
      <c r="L539" s="59"/>
      <c r="M539" s="64"/>
      <c r="N539" s="64"/>
      <c r="O539" s="64"/>
    </row>
    <row r="540" spans="2:15" x14ac:dyDescent="0.25">
      <c r="B540" s="59">
        <v>511</v>
      </c>
      <c r="C540" s="229"/>
      <c r="D540" s="229"/>
      <c r="E540" s="229"/>
      <c r="F540" s="229"/>
      <c r="G540" s="229"/>
      <c r="H540" s="229"/>
      <c r="I540" s="229"/>
      <c r="J540" s="11"/>
      <c r="K540" s="59"/>
      <c r="L540" s="59"/>
      <c r="M540" s="64"/>
      <c r="N540" s="64"/>
      <c r="O540" s="64"/>
    </row>
    <row r="541" spans="2:15" x14ac:dyDescent="0.25">
      <c r="B541" s="59">
        <v>512</v>
      </c>
      <c r="C541" s="229"/>
      <c r="D541" s="229"/>
      <c r="E541" s="229"/>
      <c r="F541" s="229"/>
      <c r="G541" s="229"/>
      <c r="H541" s="229"/>
      <c r="I541" s="229"/>
      <c r="J541" s="11"/>
      <c r="K541" s="59"/>
      <c r="L541" s="59"/>
      <c r="M541" s="64"/>
      <c r="N541" s="64"/>
      <c r="O541" s="64"/>
    </row>
    <row r="542" spans="2:15" x14ac:dyDescent="0.25">
      <c r="B542" s="59">
        <v>513</v>
      </c>
      <c r="C542" s="229"/>
      <c r="D542" s="229"/>
      <c r="E542" s="229"/>
      <c r="F542" s="229"/>
      <c r="G542" s="229"/>
      <c r="H542" s="229"/>
      <c r="I542" s="229"/>
      <c r="J542" s="11"/>
      <c r="K542" s="59"/>
      <c r="L542" s="59"/>
      <c r="M542" s="64"/>
      <c r="N542" s="64"/>
      <c r="O542" s="64"/>
    </row>
    <row r="543" spans="2:15" x14ac:dyDescent="0.25">
      <c r="B543" s="59">
        <v>514</v>
      </c>
      <c r="C543" s="229"/>
      <c r="D543" s="229"/>
      <c r="E543" s="229"/>
      <c r="F543" s="229"/>
      <c r="G543" s="229"/>
      <c r="H543" s="229"/>
      <c r="I543" s="229"/>
      <c r="J543" s="11"/>
      <c r="K543" s="59"/>
      <c r="L543" s="59"/>
      <c r="M543" s="64"/>
      <c r="N543" s="64"/>
      <c r="O543" s="64"/>
    </row>
    <row r="544" spans="2:15" x14ac:dyDescent="0.25">
      <c r="B544" s="59">
        <v>515</v>
      </c>
      <c r="C544" s="229"/>
      <c r="D544" s="229"/>
      <c r="E544" s="229"/>
      <c r="F544" s="229"/>
      <c r="G544" s="229"/>
      <c r="H544" s="229"/>
      <c r="I544" s="229"/>
      <c r="J544" s="11"/>
      <c r="K544" s="59"/>
      <c r="L544" s="59"/>
      <c r="M544" s="64"/>
      <c r="N544" s="64"/>
      <c r="O544" s="64"/>
    </row>
    <row r="545" spans="2:15" x14ac:dyDescent="0.25">
      <c r="B545" s="59">
        <v>516</v>
      </c>
      <c r="C545" s="229"/>
      <c r="D545" s="229"/>
      <c r="E545" s="229"/>
      <c r="F545" s="229"/>
      <c r="G545" s="229"/>
      <c r="H545" s="229"/>
      <c r="I545" s="229"/>
      <c r="J545" s="11"/>
      <c r="K545" s="59"/>
      <c r="L545" s="59"/>
      <c r="M545" s="64"/>
      <c r="N545" s="64"/>
      <c r="O545" s="64"/>
    </row>
    <row r="546" spans="2:15" x14ac:dyDescent="0.25">
      <c r="B546" s="59">
        <v>517</v>
      </c>
      <c r="C546" s="229"/>
      <c r="D546" s="229"/>
      <c r="E546" s="229"/>
      <c r="F546" s="229"/>
      <c r="G546" s="229"/>
      <c r="H546" s="229"/>
      <c r="I546" s="229"/>
      <c r="J546" s="11"/>
      <c r="K546" s="59"/>
      <c r="L546" s="59"/>
      <c r="M546" s="64"/>
      <c r="N546" s="64"/>
      <c r="O546" s="64"/>
    </row>
    <row r="547" spans="2:15" x14ac:dyDescent="0.25">
      <c r="B547" s="59">
        <v>518</v>
      </c>
      <c r="C547" s="229"/>
      <c r="D547" s="229"/>
      <c r="E547" s="229"/>
      <c r="F547" s="229"/>
      <c r="G547" s="229"/>
      <c r="H547" s="229"/>
      <c r="I547" s="229"/>
      <c r="J547" s="11"/>
      <c r="K547" s="59"/>
      <c r="L547" s="59"/>
      <c r="M547" s="64"/>
      <c r="N547" s="64"/>
      <c r="O547" s="64"/>
    </row>
    <row r="548" spans="2:15" x14ac:dyDescent="0.25">
      <c r="B548" s="59">
        <v>519</v>
      </c>
      <c r="C548" s="229"/>
      <c r="D548" s="229"/>
      <c r="E548" s="229"/>
      <c r="F548" s="229"/>
      <c r="G548" s="229"/>
      <c r="H548" s="229"/>
      <c r="I548" s="229"/>
      <c r="J548" s="11"/>
      <c r="K548" s="59"/>
      <c r="L548" s="59"/>
      <c r="M548" s="64"/>
      <c r="N548" s="64"/>
      <c r="O548" s="64"/>
    </row>
    <row r="549" spans="2:15" x14ac:dyDescent="0.25">
      <c r="B549" s="59">
        <v>520</v>
      </c>
      <c r="C549" s="229"/>
      <c r="D549" s="229"/>
      <c r="E549" s="229"/>
      <c r="F549" s="229"/>
      <c r="G549" s="229"/>
      <c r="H549" s="229"/>
      <c r="I549" s="229"/>
      <c r="J549" s="11"/>
      <c r="K549" s="59"/>
      <c r="L549" s="59"/>
      <c r="M549" s="64"/>
      <c r="N549" s="64"/>
      <c r="O549" s="64"/>
    </row>
    <row r="550" spans="2:15" x14ac:dyDescent="0.25">
      <c r="B550" s="59">
        <v>521</v>
      </c>
      <c r="C550" s="229"/>
      <c r="D550" s="229"/>
      <c r="E550" s="229"/>
      <c r="F550" s="229"/>
      <c r="G550" s="229"/>
      <c r="H550" s="229"/>
      <c r="I550" s="229"/>
      <c r="J550" s="11"/>
      <c r="K550" s="59"/>
      <c r="L550" s="59"/>
      <c r="M550" s="64"/>
      <c r="N550" s="64"/>
      <c r="O550" s="64"/>
    </row>
    <row r="551" spans="2:15" x14ac:dyDescent="0.25">
      <c r="B551" s="59">
        <v>522</v>
      </c>
      <c r="C551" s="229"/>
      <c r="D551" s="229"/>
      <c r="E551" s="229"/>
      <c r="F551" s="229"/>
      <c r="G551" s="229"/>
      <c r="H551" s="229"/>
      <c r="I551" s="229"/>
      <c r="J551" s="11"/>
      <c r="K551" s="59"/>
      <c r="L551" s="59"/>
      <c r="M551" s="64"/>
      <c r="N551" s="64"/>
      <c r="O551" s="64"/>
    </row>
    <row r="552" spans="2:15" x14ac:dyDescent="0.25">
      <c r="B552" s="59">
        <v>523</v>
      </c>
      <c r="C552" s="229"/>
      <c r="D552" s="229"/>
      <c r="E552" s="229"/>
      <c r="F552" s="229"/>
      <c r="G552" s="229"/>
      <c r="H552" s="229"/>
      <c r="I552" s="229"/>
      <c r="J552" s="11"/>
      <c r="K552" s="59"/>
      <c r="L552" s="59"/>
      <c r="M552" s="64"/>
      <c r="N552" s="64"/>
      <c r="O552" s="64"/>
    </row>
    <row r="553" spans="2:15" x14ac:dyDescent="0.25">
      <c r="B553" s="59">
        <v>524</v>
      </c>
      <c r="C553" s="229"/>
      <c r="D553" s="229"/>
      <c r="E553" s="229"/>
      <c r="F553" s="229"/>
      <c r="G553" s="229"/>
      <c r="H553" s="229"/>
      <c r="I553" s="229"/>
      <c r="J553" s="11"/>
      <c r="K553" s="59"/>
      <c r="L553" s="59"/>
      <c r="M553" s="64"/>
      <c r="N553" s="64"/>
      <c r="O553" s="64"/>
    </row>
    <row r="554" spans="2:15" x14ac:dyDescent="0.25">
      <c r="B554" s="59">
        <v>525</v>
      </c>
      <c r="C554" s="229"/>
      <c r="D554" s="229"/>
      <c r="E554" s="229"/>
      <c r="F554" s="229"/>
      <c r="G554" s="229"/>
      <c r="H554" s="229"/>
      <c r="I554" s="229"/>
      <c r="J554" s="11"/>
      <c r="K554" s="59"/>
      <c r="L554" s="59"/>
      <c r="M554" s="64"/>
      <c r="N554" s="64"/>
      <c r="O554" s="64"/>
    </row>
    <row r="555" spans="2:15" x14ac:dyDescent="0.25">
      <c r="B555" s="59">
        <v>526</v>
      </c>
      <c r="C555" s="229"/>
      <c r="D555" s="229"/>
      <c r="E555" s="229"/>
      <c r="F555" s="229"/>
      <c r="G555" s="229"/>
      <c r="H555" s="229"/>
      <c r="I555" s="229"/>
      <c r="J555" s="11"/>
      <c r="K555" s="59"/>
      <c r="L555" s="59"/>
      <c r="M555" s="64"/>
      <c r="N555" s="64"/>
      <c r="O555" s="64"/>
    </row>
    <row r="556" spans="2:15" x14ac:dyDescent="0.25">
      <c r="B556" s="59">
        <v>527</v>
      </c>
      <c r="C556" s="229"/>
      <c r="D556" s="229"/>
      <c r="E556" s="229"/>
      <c r="F556" s="229"/>
      <c r="G556" s="229"/>
      <c r="H556" s="229"/>
      <c r="I556" s="229"/>
      <c r="J556" s="11"/>
      <c r="K556" s="59"/>
      <c r="L556" s="59"/>
      <c r="M556" s="64"/>
      <c r="N556" s="64"/>
      <c r="O556" s="64"/>
    </row>
    <row r="557" spans="2:15" x14ac:dyDescent="0.25">
      <c r="B557" s="59">
        <v>528</v>
      </c>
      <c r="C557" s="229"/>
      <c r="D557" s="229"/>
      <c r="E557" s="229"/>
      <c r="F557" s="229"/>
      <c r="G557" s="229"/>
      <c r="H557" s="229"/>
      <c r="I557" s="229"/>
      <c r="J557" s="11"/>
      <c r="K557" s="59"/>
      <c r="L557" s="59"/>
      <c r="M557" s="64"/>
      <c r="N557" s="64"/>
      <c r="O557" s="64"/>
    </row>
    <row r="558" spans="2:15" x14ac:dyDescent="0.25">
      <c r="B558" s="59">
        <v>529</v>
      </c>
      <c r="C558" s="229"/>
      <c r="D558" s="229"/>
      <c r="E558" s="229"/>
      <c r="F558" s="229"/>
      <c r="G558" s="229"/>
      <c r="H558" s="229"/>
      <c r="I558" s="229"/>
      <c r="J558" s="11"/>
      <c r="K558" s="59"/>
      <c r="L558" s="59"/>
      <c r="M558" s="64"/>
      <c r="N558" s="64"/>
      <c r="O558" s="64"/>
    </row>
    <row r="559" spans="2:15" x14ac:dyDescent="0.25">
      <c r="B559" s="59">
        <v>530</v>
      </c>
      <c r="C559" s="229"/>
      <c r="D559" s="229"/>
      <c r="E559" s="229"/>
      <c r="F559" s="229"/>
      <c r="G559" s="229"/>
      <c r="H559" s="229"/>
      <c r="I559" s="229"/>
      <c r="J559" s="11"/>
      <c r="K559" s="59"/>
      <c r="L559" s="59"/>
      <c r="M559" s="64"/>
      <c r="N559" s="64"/>
      <c r="O559" s="64"/>
    </row>
    <row r="560" spans="2:15" x14ac:dyDescent="0.25">
      <c r="B560" s="59">
        <v>531</v>
      </c>
      <c r="C560" s="229"/>
      <c r="D560" s="229"/>
      <c r="E560" s="229"/>
      <c r="F560" s="229"/>
      <c r="G560" s="229"/>
      <c r="H560" s="229"/>
      <c r="I560" s="229"/>
      <c r="J560" s="11"/>
      <c r="K560" s="59"/>
      <c r="L560" s="59"/>
      <c r="M560" s="64"/>
      <c r="N560" s="64"/>
      <c r="O560" s="64"/>
    </row>
    <row r="561" spans="2:15" x14ac:dyDescent="0.25">
      <c r="B561" s="59">
        <v>532</v>
      </c>
      <c r="C561" s="229"/>
      <c r="D561" s="229"/>
      <c r="E561" s="229"/>
      <c r="F561" s="229"/>
      <c r="G561" s="229"/>
      <c r="H561" s="229"/>
      <c r="I561" s="229"/>
      <c r="J561" s="11"/>
      <c r="K561" s="59"/>
      <c r="L561" s="59"/>
      <c r="M561" s="64"/>
      <c r="N561" s="64"/>
      <c r="O561" s="64"/>
    </row>
    <row r="562" spans="2:15" x14ac:dyDescent="0.25">
      <c r="B562" s="59">
        <v>533</v>
      </c>
      <c r="C562" s="229"/>
      <c r="D562" s="229"/>
      <c r="E562" s="229"/>
      <c r="F562" s="229"/>
      <c r="G562" s="229"/>
      <c r="H562" s="229"/>
      <c r="I562" s="229"/>
      <c r="J562" s="11"/>
      <c r="K562" s="59"/>
      <c r="L562" s="59"/>
      <c r="M562" s="64"/>
      <c r="N562" s="64"/>
      <c r="O562" s="64"/>
    </row>
    <row r="563" spans="2:15" x14ac:dyDescent="0.25">
      <c r="B563" s="59">
        <v>534</v>
      </c>
      <c r="C563" s="229"/>
      <c r="D563" s="229"/>
      <c r="E563" s="229"/>
      <c r="F563" s="229"/>
      <c r="G563" s="229"/>
      <c r="H563" s="229"/>
      <c r="I563" s="229"/>
      <c r="J563" s="11"/>
      <c r="K563" s="59"/>
      <c r="L563" s="59"/>
      <c r="M563" s="64"/>
      <c r="N563" s="64"/>
      <c r="O563" s="64"/>
    </row>
    <row r="564" spans="2:15" x14ac:dyDescent="0.25">
      <c r="B564" s="59">
        <v>535</v>
      </c>
      <c r="C564" s="229"/>
      <c r="D564" s="229"/>
      <c r="E564" s="229"/>
      <c r="F564" s="229"/>
      <c r="G564" s="229"/>
      <c r="H564" s="229"/>
      <c r="I564" s="229"/>
      <c r="J564" s="11"/>
      <c r="K564" s="59"/>
      <c r="L564" s="59"/>
      <c r="M564" s="64"/>
      <c r="N564" s="64"/>
      <c r="O564" s="64"/>
    </row>
    <row r="565" spans="2:15" x14ac:dyDescent="0.25">
      <c r="B565" s="59">
        <v>536</v>
      </c>
      <c r="C565" s="229"/>
      <c r="D565" s="229"/>
      <c r="E565" s="229"/>
      <c r="F565" s="229"/>
      <c r="G565" s="229"/>
      <c r="H565" s="229"/>
      <c r="I565" s="229"/>
      <c r="J565" s="11"/>
      <c r="K565" s="59"/>
      <c r="L565" s="59"/>
      <c r="M565" s="64"/>
      <c r="N565" s="64"/>
      <c r="O565" s="64"/>
    </row>
    <row r="566" spans="2:15" x14ac:dyDescent="0.25">
      <c r="B566" s="59">
        <v>537</v>
      </c>
      <c r="C566" s="229"/>
      <c r="D566" s="229"/>
      <c r="E566" s="229"/>
      <c r="F566" s="229"/>
      <c r="G566" s="229"/>
      <c r="H566" s="229"/>
      <c r="I566" s="229"/>
      <c r="J566" s="11"/>
      <c r="K566" s="59"/>
      <c r="L566" s="59"/>
      <c r="M566" s="64"/>
      <c r="N566" s="64"/>
      <c r="O566" s="64"/>
    </row>
    <row r="567" spans="2:15" x14ac:dyDescent="0.25">
      <c r="B567" s="59">
        <v>538</v>
      </c>
      <c r="C567" s="229"/>
      <c r="D567" s="229"/>
      <c r="E567" s="229"/>
      <c r="F567" s="229"/>
      <c r="G567" s="229"/>
      <c r="H567" s="229"/>
      <c r="I567" s="229"/>
      <c r="J567" s="11"/>
      <c r="K567" s="59"/>
      <c r="L567" s="59"/>
      <c r="M567" s="64"/>
      <c r="N567" s="64"/>
      <c r="O567" s="64"/>
    </row>
    <row r="568" spans="2:15" x14ac:dyDescent="0.25">
      <c r="B568" s="59">
        <v>539</v>
      </c>
      <c r="C568" s="229"/>
      <c r="D568" s="229"/>
      <c r="E568" s="229"/>
      <c r="F568" s="229"/>
      <c r="G568" s="229"/>
      <c r="H568" s="229"/>
      <c r="I568" s="229"/>
      <c r="J568" s="11"/>
      <c r="K568" s="59"/>
      <c r="L568" s="59"/>
      <c r="M568" s="64"/>
      <c r="N568" s="64"/>
      <c r="O568" s="64"/>
    </row>
    <row r="569" spans="2:15" x14ac:dyDescent="0.25">
      <c r="B569" s="59">
        <v>540</v>
      </c>
      <c r="C569" s="229"/>
      <c r="D569" s="229"/>
      <c r="E569" s="229"/>
      <c r="F569" s="229"/>
      <c r="G569" s="229"/>
      <c r="H569" s="229"/>
      <c r="I569" s="229"/>
      <c r="J569" s="11"/>
      <c r="K569" s="59"/>
      <c r="L569" s="59"/>
      <c r="M569" s="64"/>
      <c r="N569" s="64"/>
      <c r="O569" s="64"/>
    </row>
    <row r="570" spans="2:15" x14ac:dyDescent="0.25">
      <c r="B570" s="59">
        <v>541</v>
      </c>
      <c r="C570" s="229"/>
      <c r="D570" s="229"/>
      <c r="E570" s="229"/>
      <c r="F570" s="229"/>
      <c r="G570" s="229"/>
      <c r="H570" s="229"/>
      <c r="I570" s="229"/>
      <c r="J570" s="11"/>
      <c r="K570" s="59"/>
      <c r="L570" s="59"/>
      <c r="M570" s="64"/>
      <c r="N570" s="64"/>
      <c r="O570" s="64"/>
    </row>
    <row r="571" spans="2:15" x14ac:dyDescent="0.25">
      <c r="B571" s="59">
        <v>542</v>
      </c>
      <c r="C571" s="229"/>
      <c r="D571" s="229"/>
      <c r="E571" s="229"/>
      <c r="F571" s="229"/>
      <c r="G571" s="229"/>
      <c r="H571" s="229"/>
      <c r="I571" s="229"/>
      <c r="J571" s="11"/>
      <c r="K571" s="59"/>
      <c r="L571" s="59"/>
      <c r="M571" s="64"/>
      <c r="N571" s="64"/>
      <c r="O571" s="64"/>
    </row>
    <row r="572" spans="2:15" x14ac:dyDescent="0.25">
      <c r="B572" s="59">
        <v>543</v>
      </c>
      <c r="C572" s="229"/>
      <c r="D572" s="229"/>
      <c r="E572" s="229"/>
      <c r="F572" s="229"/>
      <c r="G572" s="229"/>
      <c r="H572" s="229"/>
      <c r="I572" s="229"/>
      <c r="J572" s="11"/>
      <c r="K572" s="59"/>
      <c r="L572" s="59"/>
      <c r="M572" s="64"/>
      <c r="N572" s="64"/>
      <c r="O572" s="64"/>
    </row>
    <row r="573" spans="2:15" x14ac:dyDescent="0.25">
      <c r="B573" s="59">
        <v>544</v>
      </c>
      <c r="C573" s="229"/>
      <c r="D573" s="229"/>
      <c r="E573" s="229"/>
      <c r="F573" s="229"/>
      <c r="G573" s="229"/>
      <c r="H573" s="229"/>
      <c r="I573" s="229"/>
      <c r="J573" s="11"/>
      <c r="K573" s="59"/>
      <c r="L573" s="59"/>
      <c r="M573" s="64"/>
      <c r="N573" s="64"/>
      <c r="O573" s="64"/>
    </row>
    <row r="574" spans="2:15" x14ac:dyDescent="0.25">
      <c r="B574" s="59">
        <v>545</v>
      </c>
      <c r="C574" s="229"/>
      <c r="D574" s="229"/>
      <c r="E574" s="229"/>
      <c r="F574" s="229"/>
      <c r="G574" s="229"/>
      <c r="H574" s="229"/>
      <c r="I574" s="229"/>
      <c r="J574" s="11"/>
      <c r="K574" s="59"/>
      <c r="L574" s="59"/>
      <c r="M574" s="64"/>
      <c r="N574" s="64"/>
      <c r="O574" s="64"/>
    </row>
    <row r="575" spans="2:15" x14ac:dyDescent="0.25">
      <c r="B575" s="59">
        <v>546</v>
      </c>
      <c r="C575" s="229"/>
      <c r="D575" s="229"/>
      <c r="E575" s="229"/>
      <c r="F575" s="229"/>
      <c r="G575" s="229"/>
      <c r="H575" s="229"/>
      <c r="I575" s="229"/>
      <c r="J575" s="11"/>
      <c r="K575" s="59"/>
      <c r="L575" s="59"/>
      <c r="M575" s="64"/>
      <c r="N575" s="64"/>
      <c r="O575" s="64"/>
    </row>
    <row r="576" spans="2:15" x14ac:dyDescent="0.25">
      <c r="B576" s="59">
        <v>547</v>
      </c>
      <c r="C576" s="229"/>
      <c r="D576" s="229"/>
      <c r="E576" s="229"/>
      <c r="F576" s="229"/>
      <c r="G576" s="229"/>
      <c r="H576" s="229"/>
      <c r="I576" s="229"/>
      <c r="J576" s="11"/>
      <c r="K576" s="59"/>
      <c r="L576" s="59"/>
      <c r="M576" s="64"/>
      <c r="N576" s="64"/>
      <c r="O576" s="64"/>
    </row>
    <row r="577" spans="2:15" x14ac:dyDescent="0.25">
      <c r="B577" s="59">
        <v>548</v>
      </c>
      <c r="C577" s="229"/>
      <c r="D577" s="229"/>
      <c r="E577" s="229"/>
      <c r="F577" s="229"/>
      <c r="G577" s="229"/>
      <c r="H577" s="229"/>
      <c r="I577" s="229"/>
      <c r="J577" s="11"/>
      <c r="K577" s="59"/>
      <c r="L577" s="59"/>
      <c r="M577" s="64"/>
      <c r="N577" s="64"/>
      <c r="O577" s="64"/>
    </row>
    <row r="578" spans="2:15" x14ac:dyDescent="0.25">
      <c r="B578" s="59">
        <v>549</v>
      </c>
      <c r="C578" s="229"/>
      <c r="D578" s="229"/>
      <c r="E578" s="229"/>
      <c r="F578" s="229"/>
      <c r="G578" s="229"/>
      <c r="H578" s="229"/>
      <c r="I578" s="229"/>
      <c r="J578" s="11"/>
      <c r="K578" s="59"/>
      <c r="L578" s="59"/>
      <c r="M578" s="64"/>
      <c r="N578" s="64"/>
      <c r="O578" s="64"/>
    </row>
    <row r="579" spans="2:15" x14ac:dyDescent="0.25">
      <c r="B579" s="59">
        <v>550</v>
      </c>
      <c r="C579" s="229"/>
      <c r="D579" s="229"/>
      <c r="E579" s="229"/>
      <c r="F579" s="229"/>
      <c r="G579" s="229"/>
      <c r="H579" s="229"/>
      <c r="I579" s="229"/>
      <c r="J579" s="11"/>
      <c r="K579" s="59"/>
      <c r="L579" s="59"/>
      <c r="M579" s="64"/>
      <c r="N579" s="64"/>
      <c r="O579" s="64"/>
    </row>
    <row r="580" spans="2:15" x14ac:dyDescent="0.25">
      <c r="B580" s="59">
        <v>551</v>
      </c>
      <c r="C580" s="229"/>
      <c r="D580" s="229"/>
      <c r="E580" s="229"/>
      <c r="F580" s="229"/>
      <c r="G580" s="229"/>
      <c r="H580" s="229"/>
      <c r="I580" s="229"/>
      <c r="J580" s="11"/>
      <c r="K580" s="59"/>
      <c r="L580" s="59"/>
      <c r="M580" s="64"/>
      <c r="N580" s="64"/>
      <c r="O580" s="64"/>
    </row>
    <row r="581" spans="2:15" x14ac:dyDescent="0.25">
      <c r="B581" s="59">
        <v>552</v>
      </c>
      <c r="C581" s="229"/>
      <c r="D581" s="229"/>
      <c r="E581" s="229"/>
      <c r="F581" s="229"/>
      <c r="G581" s="229"/>
      <c r="H581" s="229"/>
      <c r="I581" s="229"/>
      <c r="J581" s="11"/>
      <c r="K581" s="59"/>
      <c r="L581" s="59"/>
      <c r="M581" s="64"/>
      <c r="N581" s="64"/>
      <c r="O581" s="64"/>
    </row>
    <row r="582" spans="2:15" x14ac:dyDescent="0.25">
      <c r="B582" s="59">
        <v>553</v>
      </c>
      <c r="C582" s="229"/>
      <c r="D582" s="229"/>
      <c r="E582" s="229"/>
      <c r="F582" s="229"/>
      <c r="G582" s="229"/>
      <c r="H582" s="229"/>
      <c r="I582" s="229"/>
      <c r="J582" s="11"/>
      <c r="K582" s="59"/>
      <c r="L582" s="59"/>
      <c r="M582" s="64"/>
      <c r="N582" s="64"/>
      <c r="O582" s="64"/>
    </row>
    <row r="583" spans="2:15" x14ac:dyDescent="0.25">
      <c r="B583" s="59">
        <v>554</v>
      </c>
      <c r="C583" s="229"/>
      <c r="D583" s="229"/>
      <c r="E583" s="229"/>
      <c r="F583" s="229"/>
      <c r="G583" s="229"/>
      <c r="H583" s="229"/>
      <c r="I583" s="229"/>
      <c r="J583" s="11"/>
      <c r="K583" s="59"/>
      <c r="L583" s="59"/>
      <c r="M583" s="64"/>
      <c r="N583" s="64"/>
      <c r="O583" s="64"/>
    </row>
    <row r="584" spans="2:15" x14ac:dyDescent="0.25">
      <c r="B584" s="59">
        <v>555</v>
      </c>
      <c r="C584" s="229"/>
      <c r="D584" s="229"/>
      <c r="E584" s="229"/>
      <c r="F584" s="229"/>
      <c r="G584" s="229"/>
      <c r="H584" s="229"/>
      <c r="I584" s="229"/>
      <c r="J584" s="11"/>
      <c r="K584" s="59"/>
      <c r="L584" s="59"/>
      <c r="M584" s="64"/>
      <c r="N584" s="64"/>
      <c r="O584" s="64"/>
    </row>
    <row r="585" spans="2:15" x14ac:dyDescent="0.25">
      <c r="B585" s="59">
        <v>556</v>
      </c>
      <c r="C585" s="229"/>
      <c r="D585" s="229"/>
      <c r="E585" s="229"/>
      <c r="F585" s="229"/>
      <c r="G585" s="229"/>
      <c r="H585" s="229"/>
      <c r="I585" s="229"/>
      <c r="J585" s="11"/>
      <c r="K585" s="59"/>
      <c r="L585" s="59"/>
      <c r="M585" s="64"/>
      <c r="N585" s="64"/>
      <c r="O585" s="64"/>
    </row>
    <row r="586" spans="2:15" x14ac:dyDescent="0.25">
      <c r="B586" s="59">
        <v>557</v>
      </c>
      <c r="C586" s="229"/>
      <c r="D586" s="229"/>
      <c r="E586" s="229"/>
      <c r="F586" s="229"/>
      <c r="G586" s="229"/>
      <c r="H586" s="229"/>
      <c r="I586" s="229"/>
      <c r="J586" s="11"/>
      <c r="K586" s="59"/>
      <c r="L586" s="59"/>
      <c r="M586" s="64"/>
      <c r="N586" s="64"/>
      <c r="O586" s="64"/>
    </row>
    <row r="587" spans="2:15" x14ac:dyDescent="0.25">
      <c r="B587" s="59">
        <v>558</v>
      </c>
      <c r="C587" s="229"/>
      <c r="D587" s="229"/>
      <c r="E587" s="229"/>
      <c r="F587" s="229"/>
      <c r="G587" s="229"/>
      <c r="H587" s="229"/>
      <c r="I587" s="229"/>
      <c r="J587" s="11"/>
      <c r="K587" s="59"/>
      <c r="L587" s="59"/>
      <c r="M587" s="64"/>
      <c r="N587" s="64"/>
      <c r="O587" s="64"/>
    </row>
    <row r="588" spans="2:15" x14ac:dyDescent="0.25">
      <c r="B588" s="59">
        <v>559</v>
      </c>
      <c r="C588" s="229"/>
      <c r="D588" s="229"/>
      <c r="E588" s="229"/>
      <c r="F588" s="229"/>
      <c r="G588" s="229"/>
      <c r="H588" s="229"/>
      <c r="I588" s="229"/>
      <c r="J588" s="11"/>
      <c r="K588" s="59"/>
      <c r="L588" s="59"/>
      <c r="M588" s="64"/>
      <c r="N588" s="64"/>
      <c r="O588" s="64"/>
    </row>
    <row r="589" spans="2:15" x14ac:dyDescent="0.25">
      <c r="B589" s="59">
        <v>560</v>
      </c>
      <c r="C589" s="229"/>
      <c r="D589" s="229"/>
      <c r="E589" s="229"/>
      <c r="F589" s="229"/>
      <c r="G589" s="229"/>
      <c r="H589" s="229"/>
      <c r="I589" s="229"/>
      <c r="J589" s="11"/>
      <c r="K589" s="59"/>
      <c r="L589" s="59"/>
      <c r="M589" s="64"/>
      <c r="N589" s="64"/>
      <c r="O589" s="64"/>
    </row>
    <row r="590" spans="2:15" x14ac:dyDescent="0.25">
      <c r="B590" s="59">
        <v>561</v>
      </c>
      <c r="C590" s="229"/>
      <c r="D590" s="229"/>
      <c r="E590" s="229"/>
      <c r="F590" s="229"/>
      <c r="G590" s="229"/>
      <c r="H590" s="229"/>
      <c r="I590" s="229"/>
      <c r="J590" s="11"/>
      <c r="K590" s="59"/>
      <c r="L590" s="59"/>
      <c r="M590" s="64"/>
      <c r="N590" s="64"/>
      <c r="O590" s="64"/>
    </row>
    <row r="591" spans="2:15" x14ac:dyDescent="0.25">
      <c r="B591" s="59">
        <v>562</v>
      </c>
      <c r="C591" s="229"/>
      <c r="D591" s="229"/>
      <c r="E591" s="229"/>
      <c r="F591" s="229"/>
      <c r="G591" s="229"/>
      <c r="H591" s="229"/>
      <c r="I591" s="229"/>
      <c r="J591" s="11"/>
      <c r="K591" s="59"/>
      <c r="L591" s="59"/>
      <c r="M591" s="64"/>
      <c r="N591" s="64"/>
      <c r="O591" s="64"/>
    </row>
    <row r="592" spans="2:15" x14ac:dyDescent="0.25">
      <c r="B592" s="59">
        <v>563</v>
      </c>
      <c r="C592" s="229"/>
      <c r="D592" s="229"/>
      <c r="E592" s="229"/>
      <c r="F592" s="229"/>
      <c r="G592" s="229"/>
      <c r="H592" s="229"/>
      <c r="I592" s="229"/>
      <c r="J592" s="11"/>
      <c r="K592" s="59"/>
      <c r="L592" s="59"/>
      <c r="M592" s="64"/>
      <c r="N592" s="64"/>
      <c r="O592" s="64"/>
    </row>
    <row r="593" spans="2:15" x14ac:dyDescent="0.25">
      <c r="B593" s="59">
        <v>564</v>
      </c>
      <c r="C593" s="229"/>
      <c r="D593" s="229"/>
      <c r="E593" s="229"/>
      <c r="F593" s="229"/>
      <c r="G593" s="229"/>
      <c r="H593" s="229"/>
      <c r="I593" s="229"/>
      <c r="J593" s="11"/>
      <c r="K593" s="59"/>
      <c r="L593" s="59"/>
      <c r="M593" s="64"/>
      <c r="N593" s="64"/>
      <c r="O593" s="64"/>
    </row>
    <row r="594" spans="2:15" x14ac:dyDescent="0.25">
      <c r="B594" s="59">
        <v>565</v>
      </c>
      <c r="C594" s="229"/>
      <c r="D594" s="229"/>
      <c r="E594" s="229"/>
      <c r="F594" s="229"/>
      <c r="G594" s="229"/>
      <c r="H594" s="229"/>
      <c r="I594" s="229"/>
      <c r="J594" s="11"/>
      <c r="K594" s="59"/>
      <c r="L594" s="59"/>
      <c r="M594" s="64"/>
      <c r="N594" s="64"/>
      <c r="O594" s="64"/>
    </row>
    <row r="595" spans="2:15" x14ac:dyDescent="0.25">
      <c r="B595" s="59">
        <v>566</v>
      </c>
      <c r="C595" s="229"/>
      <c r="D595" s="229"/>
      <c r="E595" s="229"/>
      <c r="F595" s="229"/>
      <c r="G595" s="229"/>
      <c r="H595" s="229"/>
      <c r="I595" s="229"/>
      <c r="J595" s="11"/>
      <c r="K595" s="59"/>
      <c r="L595" s="59"/>
      <c r="M595" s="64"/>
      <c r="N595" s="64"/>
      <c r="O595" s="64"/>
    </row>
    <row r="596" spans="2:15" x14ac:dyDescent="0.25">
      <c r="B596" s="59">
        <v>567</v>
      </c>
      <c r="C596" s="229"/>
      <c r="D596" s="229"/>
      <c r="E596" s="229"/>
      <c r="F596" s="229"/>
      <c r="G596" s="229"/>
      <c r="H596" s="229"/>
      <c r="I596" s="229"/>
      <c r="J596" s="11"/>
      <c r="K596" s="59"/>
      <c r="L596" s="59"/>
      <c r="M596" s="64"/>
      <c r="N596" s="64"/>
      <c r="O596" s="64"/>
    </row>
    <row r="597" spans="2:15" x14ac:dyDescent="0.25">
      <c r="B597" s="59">
        <v>568</v>
      </c>
      <c r="C597" s="229"/>
      <c r="D597" s="229"/>
      <c r="E597" s="229"/>
      <c r="F597" s="229"/>
      <c r="G597" s="229"/>
      <c r="H597" s="229"/>
      <c r="I597" s="229"/>
      <c r="J597" s="11"/>
      <c r="K597" s="59"/>
      <c r="L597" s="59"/>
      <c r="M597" s="64"/>
      <c r="N597" s="64"/>
      <c r="O597" s="64"/>
    </row>
    <row r="598" spans="2:15" x14ac:dyDescent="0.25">
      <c r="B598" s="59">
        <v>569</v>
      </c>
      <c r="C598" s="229"/>
      <c r="D598" s="229"/>
      <c r="E598" s="229"/>
      <c r="F598" s="229"/>
      <c r="G598" s="229"/>
      <c r="H598" s="229"/>
      <c r="I598" s="229"/>
      <c r="J598" s="11"/>
      <c r="K598" s="59"/>
      <c r="L598" s="59"/>
      <c r="M598" s="64"/>
      <c r="N598" s="64"/>
      <c r="O598" s="64"/>
    </row>
    <row r="599" spans="2:15" x14ac:dyDescent="0.25">
      <c r="B599" s="59">
        <v>570</v>
      </c>
      <c r="C599" s="229"/>
      <c r="D599" s="229"/>
      <c r="E599" s="229"/>
      <c r="F599" s="229"/>
      <c r="G599" s="229"/>
      <c r="H599" s="229"/>
      <c r="I599" s="229"/>
      <c r="J599" s="11"/>
      <c r="K599" s="59"/>
      <c r="L599" s="59"/>
      <c r="M599" s="64"/>
      <c r="N599" s="64"/>
      <c r="O599" s="64"/>
    </row>
    <row r="600" spans="2:15" x14ac:dyDescent="0.25">
      <c r="B600" s="59">
        <v>571</v>
      </c>
      <c r="C600" s="229"/>
      <c r="D600" s="229"/>
      <c r="E600" s="229"/>
      <c r="F600" s="229"/>
      <c r="G600" s="229"/>
      <c r="H600" s="229"/>
      <c r="I600" s="229"/>
      <c r="J600" s="11"/>
      <c r="K600" s="59"/>
      <c r="L600" s="59"/>
      <c r="M600" s="64"/>
      <c r="N600" s="64"/>
      <c r="O600" s="64"/>
    </row>
    <row r="601" spans="2:15" x14ac:dyDescent="0.25">
      <c r="B601" s="59">
        <v>572</v>
      </c>
      <c r="C601" s="229"/>
      <c r="D601" s="229"/>
      <c r="E601" s="229"/>
      <c r="F601" s="229"/>
      <c r="G601" s="229"/>
      <c r="H601" s="229"/>
      <c r="I601" s="229"/>
      <c r="J601" s="11"/>
      <c r="K601" s="59"/>
      <c r="L601" s="59"/>
      <c r="M601" s="64"/>
      <c r="N601" s="64"/>
      <c r="O601" s="64"/>
    </row>
    <row r="602" spans="2:15" x14ac:dyDescent="0.25">
      <c r="B602" s="59">
        <v>573</v>
      </c>
      <c r="C602" s="229"/>
      <c r="D602" s="229"/>
      <c r="E602" s="229"/>
      <c r="F602" s="229"/>
      <c r="G602" s="229"/>
      <c r="H602" s="229"/>
      <c r="I602" s="229"/>
      <c r="J602" s="11"/>
      <c r="K602" s="59"/>
      <c r="L602" s="59"/>
      <c r="M602" s="64"/>
      <c r="N602" s="64"/>
      <c r="O602" s="64"/>
    </row>
    <row r="603" spans="2:15" x14ac:dyDescent="0.25">
      <c r="B603" s="59">
        <v>574</v>
      </c>
      <c r="C603" s="229"/>
      <c r="D603" s="229"/>
      <c r="E603" s="229"/>
      <c r="F603" s="229"/>
      <c r="G603" s="229"/>
      <c r="H603" s="229"/>
      <c r="I603" s="229"/>
      <c r="J603" s="11"/>
      <c r="K603" s="59"/>
      <c r="L603" s="59"/>
      <c r="M603" s="64"/>
      <c r="N603" s="64"/>
      <c r="O603" s="64"/>
    </row>
    <row r="604" spans="2:15" x14ac:dyDescent="0.25">
      <c r="B604" s="59">
        <v>575</v>
      </c>
      <c r="C604" s="229"/>
      <c r="D604" s="229"/>
      <c r="E604" s="229"/>
      <c r="F604" s="229"/>
      <c r="G604" s="229"/>
      <c r="H604" s="229"/>
      <c r="I604" s="229"/>
      <c r="J604" s="11"/>
      <c r="K604" s="59"/>
      <c r="L604" s="59"/>
      <c r="M604" s="64"/>
      <c r="N604" s="64"/>
      <c r="O604" s="64"/>
    </row>
    <row r="605" spans="2:15" x14ac:dyDescent="0.25">
      <c r="B605" s="59">
        <v>576</v>
      </c>
      <c r="C605" s="229"/>
      <c r="D605" s="229"/>
      <c r="E605" s="229"/>
      <c r="F605" s="229"/>
      <c r="G605" s="229"/>
      <c r="H605" s="229"/>
      <c r="I605" s="229"/>
      <c r="J605" s="11"/>
      <c r="K605" s="59"/>
      <c r="L605" s="59"/>
      <c r="M605" s="64"/>
      <c r="N605" s="64"/>
      <c r="O605" s="64"/>
    </row>
    <row r="606" spans="2:15" x14ac:dyDescent="0.25">
      <c r="B606" s="59">
        <v>577</v>
      </c>
      <c r="C606" s="229"/>
      <c r="D606" s="229"/>
      <c r="E606" s="229"/>
      <c r="F606" s="229"/>
      <c r="G606" s="229"/>
      <c r="H606" s="229"/>
      <c r="I606" s="229"/>
      <c r="J606" s="11"/>
      <c r="K606" s="59"/>
      <c r="L606" s="59"/>
      <c r="M606" s="64"/>
      <c r="N606" s="64"/>
      <c r="O606" s="64"/>
    </row>
    <row r="607" spans="2:15" x14ac:dyDescent="0.25">
      <c r="B607" s="59">
        <v>578</v>
      </c>
      <c r="C607" s="229"/>
      <c r="D607" s="229"/>
      <c r="E607" s="229"/>
      <c r="F607" s="229"/>
      <c r="G607" s="229"/>
      <c r="H607" s="229"/>
      <c r="I607" s="229"/>
      <c r="J607" s="11"/>
      <c r="K607" s="59"/>
      <c r="L607" s="59"/>
      <c r="M607" s="64"/>
      <c r="N607" s="64"/>
      <c r="O607" s="64"/>
    </row>
    <row r="608" spans="2:15" x14ac:dyDescent="0.25">
      <c r="B608" s="59">
        <v>579</v>
      </c>
      <c r="C608" s="229"/>
      <c r="D608" s="229"/>
      <c r="E608" s="229"/>
      <c r="F608" s="229"/>
      <c r="G608" s="229"/>
      <c r="H608" s="229"/>
      <c r="I608" s="229"/>
      <c r="J608" s="11"/>
      <c r="K608" s="59"/>
      <c r="L608" s="59"/>
      <c r="M608" s="64"/>
      <c r="N608" s="64"/>
      <c r="O608" s="64"/>
    </row>
    <row r="609" spans="2:15" x14ac:dyDescent="0.25">
      <c r="B609" s="59">
        <v>580</v>
      </c>
      <c r="C609" s="229"/>
      <c r="D609" s="229"/>
      <c r="E609" s="229"/>
      <c r="F609" s="229"/>
      <c r="G609" s="229"/>
      <c r="H609" s="229"/>
      <c r="I609" s="229"/>
      <c r="J609" s="11"/>
      <c r="K609" s="59"/>
      <c r="L609" s="59"/>
      <c r="M609" s="64"/>
      <c r="N609" s="64"/>
      <c r="O609" s="64"/>
    </row>
    <row r="610" spans="2:15" x14ac:dyDescent="0.25">
      <c r="B610" s="59">
        <v>581</v>
      </c>
      <c r="C610" s="229"/>
      <c r="D610" s="229"/>
      <c r="E610" s="229"/>
      <c r="F610" s="229"/>
      <c r="G610" s="229"/>
      <c r="H610" s="229"/>
      <c r="I610" s="229"/>
      <c r="J610" s="11"/>
      <c r="K610" s="59"/>
      <c r="L610" s="59"/>
      <c r="M610" s="64"/>
      <c r="N610" s="64"/>
      <c r="O610" s="64"/>
    </row>
    <row r="611" spans="2:15" x14ac:dyDescent="0.25">
      <c r="B611" s="59">
        <v>582</v>
      </c>
      <c r="C611" s="229"/>
      <c r="D611" s="229"/>
      <c r="E611" s="229"/>
      <c r="F611" s="229"/>
      <c r="G611" s="229"/>
      <c r="H611" s="229"/>
      <c r="I611" s="229"/>
      <c r="J611" s="11"/>
      <c r="K611" s="59"/>
      <c r="L611" s="59"/>
      <c r="M611" s="64"/>
      <c r="N611" s="64"/>
      <c r="O611" s="64"/>
    </row>
    <row r="612" spans="2:15" x14ac:dyDescent="0.25">
      <c r="B612" s="59">
        <v>583</v>
      </c>
      <c r="C612" s="229"/>
      <c r="D612" s="229"/>
      <c r="E612" s="229"/>
      <c r="F612" s="229"/>
      <c r="G612" s="229"/>
      <c r="H612" s="229"/>
      <c r="I612" s="229"/>
      <c r="J612" s="11"/>
      <c r="K612" s="59"/>
      <c r="L612" s="59"/>
      <c r="M612" s="64"/>
      <c r="N612" s="64"/>
      <c r="O612" s="64"/>
    </row>
    <row r="613" spans="2:15" x14ac:dyDescent="0.25">
      <c r="B613" s="59">
        <v>584</v>
      </c>
      <c r="C613" s="229"/>
      <c r="D613" s="229"/>
      <c r="E613" s="229"/>
      <c r="F613" s="229"/>
      <c r="G613" s="229"/>
      <c r="H613" s="229"/>
      <c r="I613" s="229"/>
      <c r="J613" s="11"/>
      <c r="K613" s="59"/>
      <c r="L613" s="59"/>
      <c r="M613" s="64"/>
      <c r="N613" s="64"/>
      <c r="O613" s="64"/>
    </row>
    <row r="614" spans="2:15" x14ac:dyDescent="0.25">
      <c r="B614" s="59">
        <v>585</v>
      </c>
      <c r="C614" s="229"/>
      <c r="D614" s="229"/>
      <c r="E614" s="229"/>
      <c r="F614" s="229"/>
      <c r="G614" s="229"/>
      <c r="H614" s="229"/>
      <c r="I614" s="229"/>
      <c r="J614" s="11"/>
      <c r="K614" s="59"/>
      <c r="L614" s="59"/>
      <c r="M614" s="64"/>
      <c r="N614" s="64"/>
      <c r="O614" s="64"/>
    </row>
    <row r="615" spans="2:15" x14ac:dyDescent="0.25">
      <c r="B615" s="59">
        <v>586</v>
      </c>
      <c r="C615" s="229"/>
      <c r="D615" s="229"/>
      <c r="E615" s="229"/>
      <c r="F615" s="229"/>
      <c r="G615" s="229"/>
      <c r="H615" s="229"/>
      <c r="I615" s="229"/>
      <c r="J615" s="11"/>
      <c r="K615" s="59"/>
      <c r="L615" s="59"/>
      <c r="M615" s="64"/>
      <c r="N615" s="64"/>
      <c r="O615" s="64"/>
    </row>
    <row r="616" spans="2:15" x14ac:dyDescent="0.25">
      <c r="B616" s="59">
        <v>587</v>
      </c>
      <c r="C616" s="229"/>
      <c r="D616" s="229"/>
      <c r="E616" s="229"/>
      <c r="F616" s="229"/>
      <c r="G616" s="229"/>
      <c r="H616" s="229"/>
      <c r="I616" s="229"/>
      <c r="J616" s="11"/>
      <c r="K616" s="59"/>
      <c r="L616" s="59"/>
      <c r="M616" s="64"/>
      <c r="N616" s="64"/>
      <c r="O616" s="64"/>
    </row>
    <row r="617" spans="2:15" x14ac:dyDescent="0.25">
      <c r="B617" s="59">
        <v>588</v>
      </c>
      <c r="C617" s="229"/>
      <c r="D617" s="229"/>
      <c r="E617" s="229"/>
      <c r="F617" s="229"/>
      <c r="G617" s="229"/>
      <c r="H617" s="229"/>
      <c r="I617" s="229"/>
      <c r="J617" s="11"/>
      <c r="K617" s="59"/>
      <c r="L617" s="59"/>
      <c r="M617" s="64"/>
      <c r="N617" s="64"/>
      <c r="O617" s="64"/>
    </row>
    <row r="618" spans="2:15" x14ac:dyDescent="0.25">
      <c r="B618" s="59">
        <v>589</v>
      </c>
      <c r="C618" s="229"/>
      <c r="D618" s="229"/>
      <c r="E618" s="229"/>
      <c r="F618" s="229"/>
      <c r="G618" s="229"/>
      <c r="H618" s="229"/>
      <c r="I618" s="229"/>
      <c r="J618" s="11"/>
      <c r="K618" s="59"/>
      <c r="L618" s="59"/>
      <c r="M618" s="64"/>
      <c r="N618" s="64"/>
      <c r="O618" s="64"/>
    </row>
    <row r="619" spans="2:15" x14ac:dyDescent="0.25">
      <c r="B619" s="59">
        <v>590</v>
      </c>
      <c r="C619" s="229"/>
      <c r="D619" s="229"/>
      <c r="E619" s="229"/>
      <c r="F619" s="229"/>
      <c r="G619" s="229"/>
      <c r="H619" s="229"/>
      <c r="I619" s="229"/>
      <c r="J619" s="11"/>
      <c r="K619" s="59"/>
      <c r="L619" s="59"/>
      <c r="M619" s="64"/>
      <c r="N619" s="64"/>
      <c r="O619" s="64"/>
    </row>
    <row r="620" spans="2:15" x14ac:dyDescent="0.25">
      <c r="B620" s="59">
        <v>591</v>
      </c>
      <c r="C620" s="229"/>
      <c r="D620" s="229"/>
      <c r="E620" s="229"/>
      <c r="F620" s="229"/>
      <c r="G620" s="229"/>
      <c r="H620" s="229"/>
      <c r="I620" s="229"/>
      <c r="J620" s="11"/>
      <c r="K620" s="59"/>
      <c r="L620" s="59"/>
      <c r="M620" s="64"/>
      <c r="N620" s="64"/>
      <c r="O620" s="64"/>
    </row>
    <row r="621" spans="2:15" x14ac:dyDescent="0.25">
      <c r="B621" s="59">
        <v>592</v>
      </c>
      <c r="C621" s="229"/>
      <c r="D621" s="229"/>
      <c r="E621" s="229"/>
      <c r="F621" s="229"/>
      <c r="G621" s="229"/>
      <c r="H621" s="229"/>
      <c r="I621" s="229"/>
      <c r="J621" s="11"/>
      <c r="K621" s="59"/>
      <c r="L621" s="59"/>
      <c r="M621" s="64"/>
      <c r="N621" s="64"/>
      <c r="O621" s="64"/>
    </row>
    <row r="622" spans="2:15" x14ac:dyDescent="0.25">
      <c r="B622" s="59">
        <v>593</v>
      </c>
      <c r="C622" s="229"/>
      <c r="D622" s="229"/>
      <c r="E622" s="229"/>
      <c r="F622" s="229"/>
      <c r="G622" s="229"/>
      <c r="H622" s="229"/>
      <c r="I622" s="229"/>
      <c r="J622" s="11"/>
      <c r="K622" s="59"/>
      <c r="L622" s="59"/>
      <c r="M622" s="64"/>
      <c r="N622" s="64"/>
      <c r="O622" s="64"/>
    </row>
    <row r="623" spans="2:15" x14ac:dyDescent="0.25">
      <c r="B623" s="59">
        <v>594</v>
      </c>
      <c r="C623" s="229"/>
      <c r="D623" s="229"/>
      <c r="E623" s="229"/>
      <c r="F623" s="229"/>
      <c r="G623" s="229"/>
      <c r="H623" s="229"/>
      <c r="I623" s="229"/>
      <c r="J623" s="11"/>
      <c r="K623" s="59"/>
      <c r="L623" s="59"/>
      <c r="M623" s="64"/>
      <c r="N623" s="64"/>
      <c r="O623" s="64"/>
    </row>
    <row r="624" spans="2:15" x14ac:dyDescent="0.25">
      <c r="B624" s="59">
        <v>595</v>
      </c>
      <c r="C624" s="229"/>
      <c r="D624" s="229"/>
      <c r="E624" s="229"/>
      <c r="F624" s="229"/>
      <c r="G624" s="229"/>
      <c r="H624" s="229"/>
      <c r="I624" s="229"/>
      <c r="J624" s="11"/>
      <c r="K624" s="59"/>
      <c r="L624" s="59"/>
      <c r="M624" s="64"/>
      <c r="N624" s="64"/>
      <c r="O624" s="64"/>
    </row>
    <row r="625" spans="2:15" x14ac:dyDescent="0.25">
      <c r="B625" s="59">
        <v>596</v>
      </c>
      <c r="C625" s="229"/>
      <c r="D625" s="229"/>
      <c r="E625" s="229"/>
      <c r="F625" s="229"/>
      <c r="G625" s="229"/>
      <c r="H625" s="229"/>
      <c r="I625" s="229"/>
      <c r="J625" s="11"/>
      <c r="K625" s="59"/>
      <c r="L625" s="59"/>
      <c r="M625" s="64"/>
      <c r="N625" s="64"/>
      <c r="O625" s="64"/>
    </row>
    <row r="626" spans="2:15" x14ac:dyDescent="0.25">
      <c r="B626" s="59">
        <v>597</v>
      </c>
      <c r="C626" s="229"/>
      <c r="D626" s="229"/>
      <c r="E626" s="229"/>
      <c r="F626" s="229"/>
      <c r="G626" s="229"/>
      <c r="H626" s="229"/>
      <c r="I626" s="229"/>
      <c r="J626" s="11"/>
      <c r="K626" s="59"/>
      <c r="L626" s="59"/>
      <c r="M626" s="64"/>
      <c r="N626" s="64"/>
      <c r="O626" s="64"/>
    </row>
    <row r="627" spans="2:15" x14ac:dyDescent="0.25">
      <c r="B627" s="59">
        <v>598</v>
      </c>
      <c r="C627" s="229"/>
      <c r="D627" s="229"/>
      <c r="E627" s="229"/>
      <c r="F627" s="229"/>
      <c r="G627" s="229"/>
      <c r="H627" s="229"/>
      <c r="I627" s="229"/>
      <c r="J627" s="11"/>
      <c r="K627" s="59"/>
      <c r="L627" s="59"/>
      <c r="M627" s="64"/>
      <c r="N627" s="64"/>
      <c r="O627" s="64"/>
    </row>
    <row r="628" spans="2:15" x14ac:dyDescent="0.25">
      <c r="B628" s="59">
        <v>599</v>
      </c>
      <c r="C628" s="229"/>
      <c r="D628" s="229"/>
      <c r="E628" s="229"/>
      <c r="F628" s="229"/>
      <c r="G628" s="229"/>
      <c r="H628" s="229"/>
      <c r="I628" s="229"/>
      <c r="J628" s="11"/>
      <c r="K628" s="59"/>
      <c r="L628" s="59"/>
      <c r="M628" s="64"/>
      <c r="N628" s="64"/>
      <c r="O628" s="64"/>
    </row>
    <row r="629" spans="2:15" x14ac:dyDescent="0.25">
      <c r="B629" s="59">
        <v>600</v>
      </c>
      <c r="C629" s="229"/>
      <c r="D629" s="229"/>
      <c r="E629" s="229"/>
      <c r="F629" s="229"/>
      <c r="G629" s="229"/>
      <c r="H629" s="229"/>
      <c r="I629" s="229"/>
      <c r="J629" s="11"/>
      <c r="K629" s="59"/>
      <c r="L629" s="59"/>
      <c r="M629" s="64"/>
      <c r="N629" s="64"/>
      <c r="O629" s="64"/>
    </row>
    <row r="630" spans="2:15" x14ac:dyDescent="0.25">
      <c r="B630" s="59">
        <v>601</v>
      </c>
      <c r="C630" s="229"/>
      <c r="D630" s="229"/>
      <c r="E630" s="229"/>
      <c r="F630" s="229"/>
      <c r="G630" s="229"/>
      <c r="H630" s="229"/>
      <c r="I630" s="229"/>
      <c r="J630" s="11"/>
      <c r="K630" s="59"/>
      <c r="L630" s="59"/>
      <c r="M630" s="64"/>
      <c r="N630" s="64"/>
      <c r="O630" s="64"/>
    </row>
    <row r="631" spans="2:15" x14ac:dyDescent="0.25">
      <c r="B631" s="59">
        <v>602</v>
      </c>
      <c r="C631" s="229"/>
      <c r="D631" s="229"/>
      <c r="E631" s="229"/>
      <c r="F631" s="229"/>
      <c r="G631" s="229"/>
      <c r="H631" s="229"/>
      <c r="I631" s="229"/>
      <c r="J631" s="11"/>
      <c r="K631" s="59"/>
      <c r="L631" s="59"/>
      <c r="M631" s="64"/>
      <c r="N631" s="64"/>
      <c r="O631" s="64"/>
    </row>
    <row r="632" spans="2:15" x14ac:dyDescent="0.25">
      <c r="B632" s="59">
        <v>603</v>
      </c>
      <c r="C632" s="229"/>
      <c r="D632" s="229"/>
      <c r="E632" s="229"/>
      <c r="F632" s="229"/>
      <c r="G632" s="229"/>
      <c r="H632" s="229"/>
      <c r="I632" s="229"/>
      <c r="J632" s="11"/>
      <c r="K632" s="59"/>
      <c r="L632" s="59"/>
      <c r="M632" s="64"/>
      <c r="N632" s="64"/>
      <c r="O632" s="64"/>
    </row>
    <row r="633" spans="2:15" x14ac:dyDescent="0.25">
      <c r="B633" s="59">
        <v>604</v>
      </c>
      <c r="C633" s="229"/>
      <c r="D633" s="229"/>
      <c r="E633" s="229"/>
      <c r="F633" s="229"/>
      <c r="G633" s="229"/>
      <c r="H633" s="229"/>
      <c r="I633" s="229"/>
      <c r="J633" s="11"/>
      <c r="K633" s="59"/>
      <c r="L633" s="59"/>
      <c r="M633" s="64"/>
      <c r="N633" s="64"/>
      <c r="O633" s="64"/>
    </row>
    <row r="634" spans="2:15" x14ac:dyDescent="0.25">
      <c r="B634" s="59">
        <v>605</v>
      </c>
      <c r="C634" s="229"/>
      <c r="D634" s="229"/>
      <c r="E634" s="229"/>
      <c r="F634" s="229"/>
      <c r="G634" s="229"/>
      <c r="H634" s="229"/>
      <c r="I634" s="229"/>
      <c r="J634" s="11"/>
      <c r="K634" s="59"/>
      <c r="L634" s="59"/>
      <c r="M634" s="64"/>
      <c r="N634" s="64"/>
      <c r="O634" s="64"/>
    </row>
    <row r="635" spans="2:15" x14ac:dyDescent="0.25">
      <c r="B635" s="59">
        <v>606</v>
      </c>
      <c r="C635" s="229"/>
      <c r="D635" s="229"/>
      <c r="E635" s="229"/>
      <c r="F635" s="229"/>
      <c r="G635" s="229"/>
      <c r="H635" s="229"/>
      <c r="I635" s="229"/>
      <c r="J635" s="11"/>
      <c r="K635" s="59"/>
      <c r="L635" s="59"/>
      <c r="M635" s="64"/>
      <c r="N635" s="64"/>
      <c r="O635" s="64"/>
    </row>
    <row r="636" spans="2:15" x14ac:dyDescent="0.25">
      <c r="B636" s="59">
        <v>607</v>
      </c>
      <c r="C636" s="229"/>
      <c r="D636" s="229"/>
      <c r="E636" s="229"/>
      <c r="F636" s="229"/>
      <c r="G636" s="229"/>
      <c r="H636" s="229"/>
      <c r="I636" s="229"/>
      <c r="J636" s="11"/>
      <c r="K636" s="59"/>
      <c r="L636" s="59"/>
      <c r="M636" s="64"/>
      <c r="N636" s="64"/>
      <c r="O636" s="64"/>
    </row>
    <row r="637" spans="2:15" x14ac:dyDescent="0.25">
      <c r="B637" s="59">
        <v>608</v>
      </c>
      <c r="C637" s="229"/>
      <c r="D637" s="229"/>
      <c r="E637" s="229"/>
      <c r="F637" s="229"/>
      <c r="G637" s="229"/>
      <c r="H637" s="229"/>
      <c r="I637" s="229"/>
      <c r="J637" s="11"/>
      <c r="K637" s="59"/>
      <c r="L637" s="59"/>
      <c r="M637" s="64"/>
      <c r="N637" s="64"/>
      <c r="O637" s="64"/>
    </row>
    <row r="638" spans="2:15" x14ac:dyDescent="0.25">
      <c r="B638" s="59">
        <v>609</v>
      </c>
      <c r="C638" s="229"/>
      <c r="D638" s="229"/>
      <c r="E638" s="229"/>
      <c r="F638" s="229"/>
      <c r="G638" s="229"/>
      <c r="H638" s="229"/>
      <c r="I638" s="229"/>
      <c r="J638" s="11"/>
      <c r="K638" s="59"/>
      <c r="L638" s="59"/>
      <c r="M638" s="64"/>
      <c r="N638" s="64"/>
      <c r="O638" s="64"/>
    </row>
    <row r="639" spans="2:15" x14ac:dyDescent="0.25">
      <c r="B639" s="59">
        <v>610</v>
      </c>
      <c r="C639" s="229"/>
      <c r="D639" s="229"/>
      <c r="E639" s="229"/>
      <c r="F639" s="229"/>
      <c r="G639" s="229"/>
      <c r="H639" s="229"/>
      <c r="I639" s="229"/>
      <c r="J639" s="11"/>
      <c r="K639" s="59"/>
      <c r="L639" s="59"/>
      <c r="M639" s="64"/>
      <c r="N639" s="64"/>
      <c r="O639" s="64"/>
    </row>
    <row r="640" spans="2:15" x14ac:dyDescent="0.25">
      <c r="B640" s="59">
        <v>611</v>
      </c>
      <c r="C640" s="229"/>
      <c r="D640" s="229"/>
      <c r="E640" s="229"/>
      <c r="F640" s="229"/>
      <c r="G640" s="229"/>
      <c r="H640" s="229"/>
      <c r="I640" s="229"/>
      <c r="J640" s="11"/>
      <c r="K640" s="59"/>
      <c r="L640" s="59"/>
      <c r="M640" s="64"/>
      <c r="N640" s="64"/>
      <c r="O640" s="64"/>
    </row>
    <row r="641" spans="2:15" x14ac:dyDescent="0.25">
      <c r="B641" s="59">
        <v>612</v>
      </c>
      <c r="C641" s="229"/>
      <c r="D641" s="229"/>
      <c r="E641" s="229"/>
      <c r="F641" s="229"/>
      <c r="G641" s="229"/>
      <c r="H641" s="229"/>
      <c r="I641" s="229"/>
      <c r="J641" s="11"/>
      <c r="K641" s="59"/>
      <c r="L641" s="59"/>
      <c r="M641" s="64"/>
      <c r="N641" s="64"/>
      <c r="O641" s="64"/>
    </row>
    <row r="642" spans="2:15" x14ac:dyDescent="0.25">
      <c r="B642" s="59">
        <v>613</v>
      </c>
      <c r="C642" s="229"/>
      <c r="D642" s="229"/>
      <c r="E642" s="229"/>
      <c r="F642" s="229"/>
      <c r="G642" s="229"/>
      <c r="H642" s="229"/>
      <c r="I642" s="229"/>
      <c r="J642" s="11"/>
      <c r="K642" s="59"/>
      <c r="L642" s="59"/>
      <c r="M642" s="64"/>
      <c r="N642" s="64"/>
      <c r="O642" s="64"/>
    </row>
    <row r="643" spans="2:15" x14ac:dyDescent="0.25">
      <c r="B643" s="59">
        <v>614</v>
      </c>
      <c r="C643" s="229"/>
      <c r="D643" s="229"/>
      <c r="E643" s="229"/>
      <c r="F643" s="229"/>
      <c r="G643" s="229"/>
      <c r="H643" s="229"/>
      <c r="I643" s="229"/>
      <c r="J643" s="11"/>
      <c r="K643" s="59"/>
      <c r="L643" s="59"/>
      <c r="M643" s="64"/>
      <c r="N643" s="64"/>
      <c r="O643" s="64"/>
    </row>
    <row r="644" spans="2:15" x14ac:dyDescent="0.25">
      <c r="B644" s="59">
        <v>615</v>
      </c>
      <c r="C644" s="229"/>
      <c r="D644" s="229"/>
      <c r="E644" s="229"/>
      <c r="F644" s="229"/>
      <c r="G644" s="229"/>
      <c r="H644" s="229"/>
      <c r="I644" s="229"/>
      <c r="J644" s="11"/>
      <c r="K644" s="59"/>
      <c r="L644" s="59"/>
      <c r="M644" s="64"/>
      <c r="N644" s="64"/>
      <c r="O644" s="64"/>
    </row>
    <row r="645" spans="2:15" x14ac:dyDescent="0.25">
      <c r="B645" s="59">
        <v>616</v>
      </c>
      <c r="C645" s="229"/>
      <c r="D645" s="229"/>
      <c r="E645" s="229"/>
      <c r="F645" s="229"/>
      <c r="G645" s="229"/>
      <c r="H645" s="229"/>
      <c r="I645" s="229"/>
      <c r="J645" s="11"/>
      <c r="K645" s="59"/>
      <c r="L645" s="59"/>
      <c r="M645" s="64"/>
      <c r="N645" s="64"/>
      <c r="O645" s="64"/>
    </row>
    <row r="646" spans="2:15" x14ac:dyDescent="0.25">
      <c r="B646" s="59">
        <v>617</v>
      </c>
      <c r="C646" s="229"/>
      <c r="D646" s="229"/>
      <c r="E646" s="229"/>
      <c r="F646" s="229"/>
      <c r="G646" s="229"/>
      <c r="H646" s="229"/>
      <c r="I646" s="229"/>
      <c r="J646" s="11"/>
      <c r="K646" s="59"/>
      <c r="L646" s="59"/>
      <c r="M646" s="64"/>
      <c r="N646" s="64"/>
      <c r="O646" s="64"/>
    </row>
    <row r="647" spans="2:15" x14ac:dyDescent="0.25">
      <c r="B647" s="59">
        <v>618</v>
      </c>
      <c r="C647" s="229"/>
      <c r="D647" s="229"/>
      <c r="E647" s="229"/>
      <c r="F647" s="229"/>
      <c r="G647" s="229"/>
      <c r="H647" s="229"/>
      <c r="I647" s="229"/>
      <c r="J647" s="11"/>
      <c r="K647" s="59"/>
      <c r="L647" s="59"/>
      <c r="M647" s="64"/>
      <c r="N647" s="64"/>
      <c r="O647" s="64"/>
    </row>
    <row r="648" spans="2:15" x14ac:dyDescent="0.25">
      <c r="B648" s="59">
        <v>619</v>
      </c>
      <c r="C648" s="229"/>
      <c r="D648" s="229"/>
      <c r="E648" s="229"/>
      <c r="F648" s="229"/>
      <c r="G648" s="229"/>
      <c r="H648" s="229"/>
      <c r="I648" s="229"/>
      <c r="J648" s="11"/>
      <c r="K648" s="59"/>
      <c r="L648" s="59"/>
      <c r="M648" s="64"/>
      <c r="N648" s="64"/>
      <c r="O648" s="64"/>
    </row>
    <row r="649" spans="2:15" x14ac:dyDescent="0.25">
      <c r="B649" s="59">
        <v>620</v>
      </c>
      <c r="C649" s="229"/>
      <c r="D649" s="229"/>
      <c r="E649" s="229"/>
      <c r="F649" s="229"/>
      <c r="G649" s="229"/>
      <c r="H649" s="229"/>
      <c r="I649" s="229"/>
      <c r="J649" s="11"/>
      <c r="K649" s="59"/>
      <c r="L649" s="59"/>
      <c r="M649" s="64"/>
      <c r="N649" s="64"/>
      <c r="O649" s="64"/>
    </row>
    <row r="650" spans="2:15" x14ac:dyDescent="0.25">
      <c r="B650" s="59">
        <v>621</v>
      </c>
      <c r="C650" s="229"/>
      <c r="D650" s="229"/>
      <c r="E650" s="229"/>
      <c r="F650" s="229"/>
      <c r="G650" s="229"/>
      <c r="H650" s="229"/>
      <c r="I650" s="229"/>
      <c r="J650" s="11"/>
      <c r="K650" s="59"/>
      <c r="L650" s="59"/>
      <c r="M650" s="64"/>
      <c r="N650" s="64"/>
      <c r="O650" s="64"/>
    </row>
    <row r="651" spans="2:15" x14ac:dyDescent="0.25">
      <c r="B651" s="59">
        <v>622</v>
      </c>
      <c r="C651" s="229"/>
      <c r="D651" s="229"/>
      <c r="E651" s="229"/>
      <c r="F651" s="229"/>
      <c r="G651" s="229"/>
      <c r="H651" s="229"/>
      <c r="I651" s="229"/>
      <c r="J651" s="11"/>
      <c r="K651" s="59"/>
      <c r="L651" s="59"/>
      <c r="M651" s="64"/>
      <c r="N651" s="64"/>
      <c r="O651" s="64"/>
    </row>
    <row r="652" spans="2:15" x14ac:dyDescent="0.25">
      <c r="B652" s="59">
        <v>623</v>
      </c>
      <c r="C652" s="229"/>
      <c r="D652" s="229"/>
      <c r="E652" s="229"/>
      <c r="F652" s="229"/>
      <c r="G652" s="229"/>
      <c r="H652" s="229"/>
      <c r="I652" s="229"/>
      <c r="J652" s="11"/>
      <c r="K652" s="59"/>
      <c r="L652" s="59"/>
      <c r="M652" s="64"/>
      <c r="N652" s="64"/>
      <c r="O652" s="64"/>
    </row>
    <row r="653" spans="2:15" x14ac:dyDescent="0.25">
      <c r="B653" s="59">
        <v>624</v>
      </c>
      <c r="C653" s="229"/>
      <c r="D653" s="229"/>
      <c r="E653" s="229"/>
      <c r="F653" s="229"/>
      <c r="G653" s="229"/>
      <c r="H653" s="229"/>
      <c r="I653" s="229"/>
      <c r="J653" s="11"/>
      <c r="K653" s="59"/>
      <c r="L653" s="59"/>
      <c r="M653" s="64"/>
      <c r="N653" s="64"/>
      <c r="O653" s="64"/>
    </row>
    <row r="654" spans="2:15" x14ac:dyDescent="0.25">
      <c r="B654" s="59">
        <v>625</v>
      </c>
      <c r="C654" s="229"/>
      <c r="D654" s="229"/>
      <c r="E654" s="229"/>
      <c r="F654" s="229"/>
      <c r="G654" s="229"/>
      <c r="H654" s="229"/>
      <c r="I654" s="229"/>
      <c r="J654" s="11"/>
      <c r="K654" s="59"/>
      <c r="L654" s="59"/>
      <c r="M654" s="64"/>
      <c r="N654" s="64"/>
      <c r="O654" s="64"/>
    </row>
    <row r="655" spans="2:15" x14ac:dyDescent="0.25">
      <c r="B655" s="59">
        <v>626</v>
      </c>
      <c r="C655" s="229"/>
      <c r="D655" s="229"/>
      <c r="E655" s="229"/>
      <c r="F655" s="229"/>
      <c r="G655" s="229"/>
      <c r="H655" s="229"/>
      <c r="I655" s="229"/>
      <c r="J655" s="11"/>
      <c r="K655" s="59"/>
      <c r="L655" s="59"/>
      <c r="M655" s="64"/>
      <c r="N655" s="64"/>
      <c r="O655" s="64"/>
    </row>
    <row r="656" spans="2:15" x14ac:dyDescent="0.25">
      <c r="B656" s="59">
        <v>627</v>
      </c>
      <c r="C656" s="229"/>
      <c r="D656" s="229"/>
      <c r="E656" s="229"/>
      <c r="F656" s="229"/>
      <c r="G656" s="229"/>
      <c r="H656" s="229"/>
      <c r="I656" s="229"/>
      <c r="J656" s="11"/>
      <c r="K656" s="59"/>
      <c r="L656" s="59"/>
      <c r="M656" s="64"/>
      <c r="N656" s="64"/>
      <c r="O656" s="64"/>
    </row>
    <row r="657" spans="2:15" x14ac:dyDescent="0.25">
      <c r="B657" s="59">
        <v>628</v>
      </c>
      <c r="C657" s="229"/>
      <c r="D657" s="229"/>
      <c r="E657" s="229"/>
      <c r="F657" s="229"/>
      <c r="G657" s="229"/>
      <c r="H657" s="229"/>
      <c r="I657" s="229"/>
      <c r="J657" s="11"/>
      <c r="K657" s="59"/>
      <c r="L657" s="59"/>
      <c r="M657" s="64"/>
      <c r="N657" s="64"/>
      <c r="O657" s="64"/>
    </row>
    <row r="658" spans="2:15" x14ac:dyDescent="0.25">
      <c r="B658" s="59">
        <v>629</v>
      </c>
      <c r="C658" s="229"/>
      <c r="D658" s="229"/>
      <c r="E658" s="229"/>
      <c r="F658" s="229"/>
      <c r="G658" s="229"/>
      <c r="H658" s="229"/>
      <c r="I658" s="229"/>
      <c r="J658" s="11"/>
      <c r="K658" s="59"/>
      <c r="L658" s="59"/>
      <c r="M658" s="64"/>
      <c r="N658" s="64"/>
      <c r="O658" s="64"/>
    </row>
    <row r="659" spans="2:15" x14ac:dyDescent="0.25">
      <c r="B659" s="59">
        <v>630</v>
      </c>
      <c r="C659" s="229"/>
      <c r="D659" s="229"/>
      <c r="E659" s="229"/>
      <c r="F659" s="229"/>
      <c r="G659" s="229"/>
      <c r="H659" s="229"/>
      <c r="I659" s="229"/>
      <c r="J659" s="11"/>
      <c r="K659" s="59"/>
      <c r="L659" s="59"/>
      <c r="M659" s="64"/>
      <c r="N659" s="64"/>
      <c r="O659" s="64"/>
    </row>
    <row r="660" spans="2:15" x14ac:dyDescent="0.25">
      <c r="B660" s="59">
        <v>631</v>
      </c>
      <c r="C660" s="229"/>
      <c r="D660" s="229"/>
      <c r="E660" s="229"/>
      <c r="F660" s="229"/>
      <c r="G660" s="229"/>
      <c r="H660" s="229"/>
      <c r="I660" s="229"/>
      <c r="J660" s="11"/>
      <c r="K660" s="59"/>
      <c r="L660" s="59"/>
      <c r="M660" s="64"/>
      <c r="N660" s="64"/>
      <c r="O660" s="64"/>
    </row>
    <row r="661" spans="2:15" x14ac:dyDescent="0.25">
      <c r="B661" s="59">
        <v>632</v>
      </c>
      <c r="C661" s="229"/>
      <c r="D661" s="229"/>
      <c r="E661" s="229"/>
      <c r="F661" s="229"/>
      <c r="G661" s="229"/>
      <c r="H661" s="229"/>
      <c r="I661" s="229"/>
      <c r="J661" s="11"/>
      <c r="K661" s="59"/>
      <c r="L661" s="59"/>
      <c r="M661" s="64"/>
      <c r="N661" s="64"/>
      <c r="O661" s="64"/>
    </row>
    <row r="662" spans="2:15" x14ac:dyDescent="0.25">
      <c r="B662" s="59">
        <v>633</v>
      </c>
      <c r="C662" s="229"/>
      <c r="D662" s="229"/>
      <c r="E662" s="229"/>
      <c r="F662" s="229"/>
      <c r="G662" s="229"/>
      <c r="H662" s="229"/>
      <c r="I662" s="229"/>
      <c r="J662" s="11"/>
      <c r="K662" s="59"/>
      <c r="L662" s="59"/>
      <c r="M662" s="64"/>
      <c r="N662" s="64"/>
      <c r="O662" s="64"/>
    </row>
    <row r="663" spans="2:15" x14ac:dyDescent="0.25">
      <c r="B663" s="59">
        <v>634</v>
      </c>
      <c r="C663" s="229"/>
      <c r="D663" s="229"/>
      <c r="E663" s="229"/>
      <c r="F663" s="229"/>
      <c r="G663" s="229"/>
      <c r="H663" s="229"/>
      <c r="I663" s="229"/>
      <c r="J663" s="11"/>
      <c r="K663" s="59"/>
      <c r="L663" s="59"/>
      <c r="M663" s="64"/>
      <c r="N663" s="64"/>
      <c r="O663" s="64"/>
    </row>
    <row r="664" spans="2:15" x14ac:dyDescent="0.25">
      <c r="B664" s="59">
        <v>635</v>
      </c>
      <c r="C664" s="229"/>
      <c r="D664" s="229"/>
      <c r="E664" s="229"/>
      <c r="F664" s="229"/>
      <c r="G664" s="229"/>
      <c r="H664" s="229"/>
      <c r="I664" s="229"/>
      <c r="J664" s="11"/>
      <c r="K664" s="59"/>
      <c r="L664" s="59"/>
      <c r="M664" s="64"/>
      <c r="N664" s="64"/>
      <c r="O664" s="64"/>
    </row>
    <row r="665" spans="2:15" x14ac:dyDescent="0.25">
      <c r="B665" s="59">
        <v>636</v>
      </c>
      <c r="C665" s="229"/>
      <c r="D665" s="229"/>
      <c r="E665" s="229"/>
      <c r="F665" s="229"/>
      <c r="G665" s="229"/>
      <c r="H665" s="229"/>
      <c r="I665" s="229"/>
      <c r="J665" s="11"/>
      <c r="K665" s="59"/>
      <c r="L665" s="59"/>
      <c r="M665" s="64"/>
      <c r="N665" s="64"/>
      <c r="O665" s="64"/>
    </row>
    <row r="666" spans="2:15" x14ac:dyDescent="0.25">
      <c r="B666" s="59">
        <v>637</v>
      </c>
      <c r="C666" s="229"/>
      <c r="D666" s="229"/>
      <c r="E666" s="229"/>
      <c r="F666" s="229"/>
      <c r="G666" s="229"/>
      <c r="H666" s="229"/>
      <c r="I666" s="229"/>
      <c r="J666" s="11"/>
      <c r="K666" s="59"/>
      <c r="L666" s="59"/>
      <c r="M666" s="64"/>
      <c r="N666" s="64"/>
      <c r="O666" s="64"/>
    </row>
    <row r="667" spans="2:15" x14ac:dyDescent="0.25">
      <c r="B667" s="59">
        <v>638</v>
      </c>
      <c r="C667" s="229"/>
      <c r="D667" s="229"/>
      <c r="E667" s="229"/>
      <c r="F667" s="229"/>
      <c r="G667" s="229"/>
      <c r="H667" s="229"/>
      <c r="I667" s="229"/>
      <c r="J667" s="11"/>
      <c r="K667" s="59"/>
      <c r="L667" s="59"/>
      <c r="M667" s="64"/>
      <c r="N667" s="64"/>
      <c r="O667" s="64"/>
    </row>
    <row r="668" spans="2:15" x14ac:dyDescent="0.25">
      <c r="B668" s="59">
        <v>639</v>
      </c>
      <c r="C668" s="229"/>
      <c r="D668" s="229"/>
      <c r="E668" s="229"/>
      <c r="F668" s="229"/>
      <c r="G668" s="229"/>
      <c r="H668" s="229"/>
      <c r="I668" s="229"/>
      <c r="J668" s="11"/>
      <c r="K668" s="59"/>
      <c r="L668" s="59"/>
      <c r="M668" s="64"/>
      <c r="N668" s="64"/>
      <c r="O668" s="64"/>
    </row>
    <row r="669" spans="2:15" x14ac:dyDescent="0.25">
      <c r="B669" s="59">
        <v>640</v>
      </c>
      <c r="C669" s="229"/>
      <c r="D669" s="229"/>
      <c r="E669" s="229"/>
      <c r="F669" s="229"/>
      <c r="G669" s="229"/>
      <c r="H669" s="229"/>
      <c r="I669" s="229"/>
      <c r="J669" s="11"/>
      <c r="K669" s="59"/>
      <c r="L669" s="59"/>
      <c r="M669" s="64"/>
      <c r="N669" s="64"/>
      <c r="O669" s="64"/>
    </row>
    <row r="670" spans="2:15" x14ac:dyDescent="0.25">
      <c r="B670" s="59">
        <v>641</v>
      </c>
      <c r="C670" s="229"/>
      <c r="D670" s="229"/>
      <c r="E670" s="229"/>
      <c r="F670" s="229"/>
      <c r="G670" s="229"/>
      <c r="H670" s="229"/>
      <c r="I670" s="229"/>
      <c r="J670" s="11"/>
      <c r="K670" s="59"/>
      <c r="L670" s="59"/>
      <c r="M670" s="64"/>
      <c r="N670" s="64"/>
      <c r="O670" s="64"/>
    </row>
    <row r="671" spans="2:15" x14ac:dyDescent="0.25">
      <c r="B671" s="59">
        <v>642</v>
      </c>
      <c r="C671" s="229"/>
      <c r="D671" s="229"/>
      <c r="E671" s="229"/>
      <c r="F671" s="229"/>
      <c r="G671" s="229"/>
      <c r="H671" s="229"/>
      <c r="I671" s="229"/>
      <c r="J671" s="11"/>
      <c r="K671" s="59"/>
      <c r="L671" s="59"/>
      <c r="M671" s="64"/>
      <c r="N671" s="64"/>
      <c r="O671" s="64"/>
    </row>
    <row r="672" spans="2:15" x14ac:dyDescent="0.25">
      <c r="B672" s="59">
        <v>643</v>
      </c>
      <c r="C672" s="229"/>
      <c r="D672" s="229"/>
      <c r="E672" s="229"/>
      <c r="F672" s="229"/>
      <c r="G672" s="229"/>
      <c r="H672" s="229"/>
      <c r="I672" s="229"/>
      <c r="J672" s="11"/>
      <c r="K672" s="59"/>
      <c r="L672" s="59"/>
      <c r="M672" s="64"/>
      <c r="N672" s="64"/>
      <c r="O672" s="64"/>
    </row>
    <row r="673" spans="2:15" x14ac:dyDescent="0.25">
      <c r="B673" s="59">
        <v>644</v>
      </c>
      <c r="C673" s="229"/>
      <c r="D673" s="229"/>
      <c r="E673" s="229"/>
      <c r="F673" s="229"/>
      <c r="G673" s="229"/>
      <c r="H673" s="229"/>
      <c r="I673" s="229"/>
      <c r="J673" s="11"/>
      <c r="K673" s="59"/>
      <c r="L673" s="59"/>
      <c r="M673" s="64"/>
      <c r="N673" s="64"/>
      <c r="O673" s="64"/>
    </row>
    <row r="674" spans="2:15" x14ac:dyDescent="0.25">
      <c r="B674" s="59">
        <v>645</v>
      </c>
      <c r="C674" s="229"/>
      <c r="D674" s="229"/>
      <c r="E674" s="229"/>
      <c r="F674" s="229"/>
      <c r="G674" s="229"/>
      <c r="H674" s="229"/>
      <c r="I674" s="229"/>
      <c r="J674" s="11"/>
      <c r="K674" s="59"/>
      <c r="L674" s="59"/>
      <c r="M674" s="64"/>
      <c r="N674" s="64"/>
      <c r="O674" s="64"/>
    </row>
    <row r="675" spans="2:15" x14ac:dyDescent="0.25">
      <c r="B675" s="59">
        <v>646</v>
      </c>
      <c r="C675" s="229"/>
      <c r="D675" s="229"/>
      <c r="E675" s="229"/>
      <c r="F675" s="229"/>
      <c r="G675" s="229"/>
      <c r="H675" s="229"/>
      <c r="I675" s="229"/>
      <c r="J675" s="11"/>
      <c r="K675" s="59"/>
      <c r="L675" s="59"/>
      <c r="M675" s="64"/>
      <c r="N675" s="64"/>
      <c r="O675" s="64"/>
    </row>
    <row r="676" spans="2:15" x14ac:dyDescent="0.25">
      <c r="B676" s="59">
        <v>647</v>
      </c>
      <c r="C676" s="229"/>
      <c r="D676" s="229"/>
      <c r="E676" s="229"/>
      <c r="F676" s="229"/>
      <c r="G676" s="229"/>
      <c r="H676" s="229"/>
      <c r="I676" s="229"/>
      <c r="J676" s="11"/>
      <c r="K676" s="59"/>
      <c r="L676" s="59"/>
      <c r="M676" s="64"/>
      <c r="N676" s="64"/>
      <c r="O676" s="64"/>
    </row>
    <row r="677" spans="2:15" x14ac:dyDescent="0.25">
      <c r="B677" s="59">
        <v>648</v>
      </c>
      <c r="C677" s="229"/>
      <c r="D677" s="229"/>
      <c r="E677" s="229"/>
      <c r="F677" s="229"/>
      <c r="G677" s="229"/>
      <c r="H677" s="229"/>
      <c r="I677" s="229"/>
      <c r="J677" s="11"/>
      <c r="K677" s="59"/>
      <c r="L677" s="59"/>
      <c r="M677" s="64"/>
      <c r="N677" s="64"/>
      <c r="O677" s="64"/>
    </row>
    <row r="678" spans="2:15" x14ac:dyDescent="0.25">
      <c r="B678" s="59">
        <v>649</v>
      </c>
      <c r="C678" s="229"/>
      <c r="D678" s="229"/>
      <c r="E678" s="229"/>
      <c r="F678" s="229"/>
      <c r="G678" s="229"/>
      <c r="H678" s="229"/>
      <c r="I678" s="229"/>
      <c r="J678" s="11"/>
      <c r="K678" s="59"/>
      <c r="L678" s="59"/>
      <c r="M678" s="64"/>
      <c r="N678" s="64"/>
      <c r="O678" s="64"/>
    </row>
    <row r="679" spans="2:15" x14ac:dyDescent="0.25">
      <c r="B679" s="59">
        <v>650</v>
      </c>
      <c r="C679" s="229"/>
      <c r="D679" s="229"/>
      <c r="E679" s="229"/>
      <c r="F679" s="229"/>
      <c r="G679" s="229"/>
      <c r="H679" s="229"/>
      <c r="I679" s="229"/>
      <c r="J679" s="11"/>
      <c r="K679" s="59"/>
      <c r="L679" s="59"/>
      <c r="M679" s="64"/>
      <c r="N679" s="64"/>
      <c r="O679" s="64"/>
    </row>
    <row r="680" spans="2:15" x14ac:dyDescent="0.25">
      <c r="B680" s="59">
        <v>651</v>
      </c>
      <c r="C680" s="229"/>
      <c r="D680" s="229"/>
      <c r="E680" s="229"/>
      <c r="F680" s="229"/>
      <c r="G680" s="229"/>
      <c r="H680" s="229"/>
      <c r="I680" s="229"/>
      <c r="J680" s="11"/>
      <c r="K680" s="59"/>
      <c r="L680" s="59"/>
      <c r="M680" s="64"/>
      <c r="N680" s="64"/>
      <c r="O680" s="64"/>
    </row>
    <row r="681" spans="2:15" x14ac:dyDescent="0.25">
      <c r="B681" s="59">
        <v>652</v>
      </c>
      <c r="C681" s="229"/>
      <c r="D681" s="229"/>
      <c r="E681" s="229"/>
      <c r="F681" s="229"/>
      <c r="G681" s="229"/>
      <c r="H681" s="229"/>
      <c r="I681" s="229"/>
      <c r="J681" s="11"/>
      <c r="K681" s="59"/>
      <c r="L681" s="59"/>
      <c r="M681" s="64"/>
      <c r="N681" s="64"/>
      <c r="O681" s="64"/>
    </row>
    <row r="682" spans="2:15" x14ac:dyDescent="0.25">
      <c r="B682" s="59">
        <v>653</v>
      </c>
      <c r="C682" s="229"/>
      <c r="D682" s="229"/>
      <c r="E682" s="229"/>
      <c r="F682" s="229"/>
      <c r="G682" s="229"/>
      <c r="H682" s="229"/>
      <c r="I682" s="229"/>
      <c r="J682" s="11"/>
      <c r="K682" s="59"/>
      <c r="L682" s="59"/>
      <c r="M682" s="64"/>
      <c r="N682" s="64"/>
      <c r="O682" s="64"/>
    </row>
    <row r="683" spans="2:15" x14ac:dyDescent="0.25">
      <c r="B683" s="59">
        <v>654</v>
      </c>
      <c r="C683" s="229"/>
      <c r="D683" s="229"/>
      <c r="E683" s="229"/>
      <c r="F683" s="229"/>
      <c r="G683" s="229"/>
      <c r="H683" s="229"/>
      <c r="I683" s="229"/>
      <c r="J683" s="11"/>
      <c r="K683" s="59"/>
      <c r="L683" s="59"/>
      <c r="M683" s="64"/>
      <c r="N683" s="64"/>
      <c r="O683" s="64"/>
    </row>
    <row r="684" spans="2:15" x14ac:dyDescent="0.25">
      <c r="B684" s="59">
        <v>655</v>
      </c>
      <c r="C684" s="229"/>
      <c r="D684" s="229"/>
      <c r="E684" s="229"/>
      <c r="F684" s="229"/>
      <c r="G684" s="229"/>
      <c r="H684" s="229"/>
      <c r="I684" s="229"/>
      <c r="J684" s="11"/>
      <c r="K684" s="59"/>
      <c r="L684" s="59"/>
      <c r="M684" s="64"/>
      <c r="N684" s="64"/>
      <c r="O684" s="64"/>
    </row>
    <row r="685" spans="2:15" x14ac:dyDescent="0.25">
      <c r="B685" s="59">
        <v>656</v>
      </c>
      <c r="C685" s="229"/>
      <c r="D685" s="229"/>
      <c r="E685" s="229"/>
      <c r="F685" s="229"/>
      <c r="G685" s="229"/>
      <c r="H685" s="229"/>
      <c r="I685" s="229"/>
      <c r="J685" s="11"/>
      <c r="K685" s="59"/>
      <c r="L685" s="59"/>
      <c r="M685" s="64"/>
      <c r="N685" s="64"/>
      <c r="O685" s="64"/>
    </row>
    <row r="686" spans="2:15" x14ac:dyDescent="0.25">
      <c r="B686" s="59">
        <v>657</v>
      </c>
      <c r="C686" s="229"/>
      <c r="D686" s="229"/>
      <c r="E686" s="229"/>
      <c r="F686" s="229"/>
      <c r="G686" s="229"/>
      <c r="H686" s="229"/>
      <c r="I686" s="229"/>
      <c r="J686" s="11"/>
      <c r="K686" s="59"/>
      <c r="L686" s="59"/>
      <c r="M686" s="64"/>
      <c r="N686" s="64"/>
      <c r="O686" s="64"/>
    </row>
    <row r="687" spans="2:15" x14ac:dyDescent="0.25">
      <c r="B687" s="59">
        <v>658</v>
      </c>
      <c r="C687" s="229"/>
      <c r="D687" s="229"/>
      <c r="E687" s="229"/>
      <c r="F687" s="229"/>
      <c r="G687" s="229"/>
      <c r="H687" s="229"/>
      <c r="I687" s="229"/>
      <c r="J687" s="11"/>
      <c r="K687" s="59"/>
      <c r="L687" s="59"/>
      <c r="M687" s="64"/>
      <c r="N687" s="64"/>
      <c r="O687" s="64"/>
    </row>
    <row r="688" spans="2:15" x14ac:dyDescent="0.25">
      <c r="B688" s="59">
        <v>659</v>
      </c>
      <c r="C688" s="229"/>
      <c r="D688" s="229"/>
      <c r="E688" s="229"/>
      <c r="F688" s="229"/>
      <c r="G688" s="229"/>
      <c r="H688" s="229"/>
      <c r="I688" s="229"/>
      <c r="J688" s="11"/>
      <c r="K688" s="59"/>
      <c r="L688" s="59"/>
      <c r="M688" s="64"/>
      <c r="N688" s="64"/>
      <c r="O688" s="64"/>
    </row>
    <row r="689" spans="2:15" x14ac:dyDescent="0.25">
      <c r="B689" s="59">
        <v>660</v>
      </c>
      <c r="C689" s="229"/>
      <c r="D689" s="229"/>
      <c r="E689" s="229"/>
      <c r="F689" s="229"/>
      <c r="G689" s="229"/>
      <c r="H689" s="229"/>
      <c r="I689" s="229"/>
      <c r="J689" s="11"/>
      <c r="K689" s="59"/>
      <c r="L689" s="59"/>
      <c r="M689" s="64"/>
      <c r="N689" s="64"/>
      <c r="O689" s="64"/>
    </row>
    <row r="690" spans="2:15" x14ac:dyDescent="0.25">
      <c r="B690" s="59">
        <v>661</v>
      </c>
      <c r="C690" s="229"/>
      <c r="D690" s="229"/>
      <c r="E690" s="229"/>
      <c r="F690" s="229"/>
      <c r="G690" s="229"/>
      <c r="H690" s="229"/>
      <c r="I690" s="229"/>
      <c r="J690" s="11"/>
      <c r="K690" s="59"/>
      <c r="L690" s="59"/>
      <c r="M690" s="64"/>
      <c r="N690" s="64"/>
      <c r="O690" s="64"/>
    </row>
    <row r="691" spans="2:15" x14ac:dyDescent="0.25">
      <c r="B691" s="59">
        <v>662</v>
      </c>
      <c r="C691" s="229"/>
      <c r="D691" s="229"/>
      <c r="E691" s="229"/>
      <c r="F691" s="229"/>
      <c r="G691" s="229"/>
      <c r="H691" s="229"/>
      <c r="I691" s="229"/>
      <c r="J691" s="11"/>
      <c r="K691" s="59"/>
      <c r="L691" s="59"/>
      <c r="M691" s="64"/>
      <c r="N691" s="64"/>
      <c r="O691" s="64"/>
    </row>
    <row r="692" spans="2:15" x14ac:dyDescent="0.25">
      <c r="B692" s="59">
        <v>663</v>
      </c>
      <c r="C692" s="229"/>
      <c r="D692" s="229"/>
      <c r="E692" s="229"/>
      <c r="F692" s="229"/>
      <c r="G692" s="229"/>
      <c r="H692" s="229"/>
      <c r="I692" s="229"/>
      <c r="J692" s="11"/>
      <c r="K692" s="59"/>
      <c r="L692" s="59"/>
      <c r="M692" s="64"/>
      <c r="N692" s="64"/>
      <c r="O692" s="64"/>
    </row>
    <row r="693" spans="2:15" x14ac:dyDescent="0.25">
      <c r="B693" s="59">
        <v>664</v>
      </c>
      <c r="C693" s="229"/>
      <c r="D693" s="229"/>
      <c r="E693" s="229"/>
      <c r="F693" s="229"/>
      <c r="G693" s="229"/>
      <c r="H693" s="229"/>
      <c r="I693" s="229"/>
      <c r="J693" s="11"/>
      <c r="K693" s="59"/>
      <c r="L693" s="59"/>
      <c r="M693" s="64"/>
      <c r="N693" s="64"/>
      <c r="O693" s="64"/>
    </row>
    <row r="694" spans="2:15" x14ac:dyDescent="0.25">
      <c r="B694" s="59">
        <v>665</v>
      </c>
      <c r="C694" s="229"/>
      <c r="D694" s="229"/>
      <c r="E694" s="229"/>
      <c r="F694" s="229"/>
      <c r="G694" s="229"/>
      <c r="H694" s="229"/>
      <c r="I694" s="229"/>
      <c r="J694" s="11"/>
      <c r="K694" s="59"/>
      <c r="L694" s="59"/>
      <c r="M694" s="64"/>
      <c r="N694" s="64"/>
      <c r="O694" s="64"/>
    </row>
    <row r="695" spans="2:15" x14ac:dyDescent="0.25">
      <c r="B695" s="59">
        <v>666</v>
      </c>
      <c r="C695" s="229"/>
      <c r="D695" s="229"/>
      <c r="E695" s="229"/>
      <c r="F695" s="229"/>
      <c r="G695" s="229"/>
      <c r="H695" s="229"/>
      <c r="I695" s="229"/>
      <c r="J695" s="11"/>
      <c r="K695" s="59"/>
      <c r="L695" s="59"/>
      <c r="M695" s="64"/>
      <c r="N695" s="64"/>
      <c r="O695" s="64"/>
    </row>
    <row r="696" spans="2:15" x14ac:dyDescent="0.25">
      <c r="B696" s="59">
        <v>667</v>
      </c>
      <c r="C696" s="229"/>
      <c r="D696" s="229"/>
      <c r="E696" s="229"/>
      <c r="F696" s="229"/>
      <c r="G696" s="229"/>
      <c r="H696" s="229"/>
      <c r="I696" s="229"/>
      <c r="J696" s="11"/>
      <c r="K696" s="59"/>
      <c r="L696" s="59"/>
      <c r="M696" s="64"/>
      <c r="N696" s="64"/>
      <c r="O696" s="64"/>
    </row>
    <row r="697" spans="2:15" x14ac:dyDescent="0.25">
      <c r="B697" s="59">
        <v>668</v>
      </c>
      <c r="C697" s="229"/>
      <c r="D697" s="229"/>
      <c r="E697" s="229"/>
      <c r="F697" s="229"/>
      <c r="G697" s="229"/>
      <c r="H697" s="229"/>
      <c r="I697" s="229"/>
      <c r="J697" s="11"/>
      <c r="K697" s="59"/>
      <c r="L697" s="59"/>
      <c r="M697" s="64"/>
      <c r="N697" s="64"/>
      <c r="O697" s="64"/>
    </row>
    <row r="698" spans="2:15" x14ac:dyDescent="0.25">
      <c r="B698" s="59">
        <v>669</v>
      </c>
      <c r="C698" s="229"/>
      <c r="D698" s="229"/>
      <c r="E698" s="229"/>
      <c r="F698" s="229"/>
      <c r="G698" s="229"/>
      <c r="H698" s="229"/>
      <c r="I698" s="229"/>
      <c r="J698" s="11"/>
      <c r="K698" s="59"/>
      <c r="L698" s="59"/>
      <c r="M698" s="64"/>
      <c r="N698" s="64"/>
      <c r="O698" s="64"/>
    </row>
    <row r="699" spans="2:15" x14ac:dyDescent="0.25">
      <c r="B699" s="59">
        <v>670</v>
      </c>
      <c r="C699" s="229"/>
      <c r="D699" s="229"/>
      <c r="E699" s="229"/>
      <c r="F699" s="229"/>
      <c r="G699" s="229"/>
      <c r="H699" s="229"/>
      <c r="I699" s="229"/>
      <c r="J699" s="11"/>
      <c r="K699" s="59"/>
      <c r="L699" s="59"/>
      <c r="M699" s="64"/>
      <c r="N699" s="64"/>
      <c r="O699" s="64"/>
    </row>
    <row r="700" spans="2:15" x14ac:dyDescent="0.25">
      <c r="B700" s="59">
        <v>671</v>
      </c>
      <c r="C700" s="229"/>
      <c r="D700" s="229"/>
      <c r="E700" s="229"/>
      <c r="F700" s="229"/>
      <c r="G700" s="229"/>
      <c r="H700" s="229"/>
      <c r="I700" s="229"/>
      <c r="J700" s="11"/>
      <c r="K700" s="59"/>
      <c r="L700" s="59"/>
      <c r="M700" s="64"/>
      <c r="N700" s="64"/>
      <c r="O700" s="64"/>
    </row>
    <row r="701" spans="2:15" x14ac:dyDescent="0.25">
      <c r="B701" s="59">
        <v>672</v>
      </c>
      <c r="C701" s="229"/>
      <c r="D701" s="229"/>
      <c r="E701" s="229"/>
      <c r="F701" s="229"/>
      <c r="G701" s="229"/>
      <c r="H701" s="229"/>
      <c r="I701" s="229"/>
      <c r="J701" s="11"/>
      <c r="K701" s="59"/>
      <c r="L701" s="59"/>
      <c r="M701" s="64"/>
      <c r="N701" s="64"/>
      <c r="O701" s="64"/>
    </row>
    <row r="702" spans="2:15" x14ac:dyDescent="0.25">
      <c r="B702" s="59">
        <v>673</v>
      </c>
      <c r="C702" s="229"/>
      <c r="D702" s="229"/>
      <c r="E702" s="229"/>
      <c r="F702" s="229"/>
      <c r="G702" s="229"/>
      <c r="H702" s="229"/>
      <c r="I702" s="229"/>
      <c r="J702" s="11"/>
      <c r="K702" s="59"/>
      <c r="L702" s="59"/>
      <c r="M702" s="64"/>
      <c r="N702" s="64"/>
      <c r="O702" s="64"/>
    </row>
    <row r="703" spans="2:15" x14ac:dyDescent="0.25">
      <c r="B703" s="59">
        <v>674</v>
      </c>
      <c r="C703" s="229"/>
      <c r="D703" s="229"/>
      <c r="E703" s="229"/>
      <c r="F703" s="229"/>
      <c r="G703" s="229"/>
      <c r="H703" s="229"/>
      <c r="I703" s="229"/>
      <c r="J703" s="11"/>
      <c r="K703" s="59"/>
      <c r="L703" s="59"/>
      <c r="M703" s="64"/>
      <c r="N703" s="64"/>
      <c r="O703" s="64"/>
    </row>
    <row r="704" spans="2:15" x14ac:dyDescent="0.25">
      <c r="B704" s="59">
        <v>675</v>
      </c>
      <c r="C704" s="229"/>
      <c r="D704" s="229"/>
      <c r="E704" s="229"/>
      <c r="F704" s="229"/>
      <c r="G704" s="229"/>
      <c r="H704" s="229"/>
      <c r="I704" s="229"/>
      <c r="J704" s="11"/>
      <c r="K704" s="59"/>
      <c r="L704" s="59"/>
      <c r="M704" s="64"/>
      <c r="N704" s="64"/>
      <c r="O704" s="64"/>
    </row>
    <row r="705" spans="2:15" x14ac:dyDescent="0.25">
      <c r="B705" s="59">
        <v>676</v>
      </c>
      <c r="C705" s="229"/>
      <c r="D705" s="229"/>
      <c r="E705" s="229"/>
      <c r="F705" s="229"/>
      <c r="G705" s="229"/>
      <c r="H705" s="229"/>
      <c r="I705" s="229"/>
      <c r="J705" s="11"/>
      <c r="K705" s="59"/>
      <c r="L705" s="59"/>
      <c r="M705" s="64"/>
      <c r="N705" s="64"/>
      <c r="O705" s="64"/>
    </row>
    <row r="706" spans="2:15" x14ac:dyDescent="0.25">
      <c r="B706" s="59">
        <v>677</v>
      </c>
      <c r="C706" s="229"/>
      <c r="D706" s="229"/>
      <c r="E706" s="229"/>
      <c r="F706" s="229"/>
      <c r="G706" s="229"/>
      <c r="H706" s="229"/>
      <c r="I706" s="229"/>
      <c r="J706" s="11"/>
      <c r="K706" s="59"/>
      <c r="L706" s="59"/>
      <c r="M706" s="64"/>
      <c r="N706" s="64"/>
      <c r="O706" s="64"/>
    </row>
    <row r="707" spans="2:15" x14ac:dyDescent="0.25">
      <c r="B707" s="59">
        <v>678</v>
      </c>
      <c r="C707" s="229"/>
      <c r="D707" s="229"/>
      <c r="E707" s="229"/>
      <c r="F707" s="229"/>
      <c r="G707" s="229"/>
      <c r="H707" s="229"/>
      <c r="I707" s="229"/>
      <c r="J707" s="11"/>
      <c r="K707" s="59"/>
      <c r="L707" s="59"/>
      <c r="M707" s="64"/>
      <c r="N707" s="64"/>
      <c r="O707" s="64"/>
    </row>
    <row r="708" spans="2:15" x14ac:dyDescent="0.25">
      <c r="B708" s="59">
        <v>679</v>
      </c>
      <c r="C708" s="229"/>
      <c r="D708" s="229"/>
      <c r="E708" s="229"/>
      <c r="F708" s="229"/>
      <c r="G708" s="229"/>
      <c r="H708" s="229"/>
      <c r="I708" s="229"/>
      <c r="J708" s="11"/>
      <c r="K708" s="59"/>
      <c r="L708" s="59"/>
      <c r="M708" s="64"/>
      <c r="N708" s="64"/>
      <c r="O708" s="64"/>
    </row>
    <row r="709" spans="2:15" x14ac:dyDescent="0.25">
      <c r="B709" s="59">
        <v>680</v>
      </c>
      <c r="C709" s="229"/>
      <c r="D709" s="229"/>
      <c r="E709" s="229"/>
      <c r="F709" s="229"/>
      <c r="G709" s="229"/>
      <c r="H709" s="229"/>
      <c r="I709" s="229"/>
      <c r="J709" s="11"/>
      <c r="K709" s="59"/>
      <c r="L709" s="59"/>
      <c r="M709" s="64"/>
      <c r="N709" s="64"/>
      <c r="O709" s="64"/>
    </row>
    <row r="710" spans="2:15" x14ac:dyDescent="0.25">
      <c r="B710" s="59">
        <v>681</v>
      </c>
      <c r="C710" s="229"/>
      <c r="D710" s="229"/>
      <c r="E710" s="229"/>
      <c r="F710" s="229"/>
      <c r="G710" s="229"/>
      <c r="H710" s="229"/>
      <c r="I710" s="229"/>
      <c r="J710" s="11"/>
      <c r="K710" s="59"/>
      <c r="L710" s="59"/>
      <c r="M710" s="64"/>
      <c r="N710" s="64"/>
      <c r="O710" s="64"/>
    </row>
    <row r="711" spans="2:15" x14ac:dyDescent="0.25">
      <c r="B711" s="59">
        <v>682</v>
      </c>
      <c r="C711" s="229"/>
      <c r="D711" s="229"/>
      <c r="E711" s="229"/>
      <c r="F711" s="229"/>
      <c r="G711" s="229"/>
      <c r="H711" s="229"/>
      <c r="I711" s="229"/>
      <c r="J711" s="11"/>
      <c r="K711" s="59"/>
      <c r="L711" s="59"/>
      <c r="M711" s="64"/>
      <c r="N711" s="64"/>
      <c r="O711" s="64"/>
    </row>
    <row r="712" spans="2:15" x14ac:dyDescent="0.25">
      <c r="B712" s="59">
        <v>683</v>
      </c>
      <c r="C712" s="229"/>
      <c r="D712" s="229"/>
      <c r="E712" s="229"/>
      <c r="F712" s="229"/>
      <c r="G712" s="229"/>
      <c r="H712" s="229"/>
      <c r="I712" s="229"/>
      <c r="J712" s="11"/>
      <c r="K712" s="59"/>
      <c r="L712" s="59"/>
      <c r="M712" s="64"/>
      <c r="N712" s="64"/>
      <c r="O712" s="64"/>
    </row>
    <row r="713" spans="2:15" x14ac:dyDescent="0.25">
      <c r="B713" s="59">
        <v>684</v>
      </c>
      <c r="C713" s="229"/>
      <c r="D713" s="229"/>
      <c r="E713" s="229"/>
      <c r="F713" s="229"/>
      <c r="G713" s="229"/>
      <c r="H713" s="229"/>
      <c r="I713" s="229"/>
      <c r="J713" s="11"/>
      <c r="K713" s="59"/>
      <c r="L713" s="59"/>
      <c r="M713" s="64"/>
      <c r="N713" s="64"/>
      <c r="O713" s="64"/>
    </row>
    <row r="714" spans="2:15" x14ac:dyDescent="0.25">
      <c r="B714" s="59">
        <v>685</v>
      </c>
      <c r="C714" s="229"/>
      <c r="D714" s="229"/>
      <c r="E714" s="229"/>
      <c r="F714" s="229"/>
      <c r="G714" s="229"/>
      <c r="H714" s="229"/>
      <c r="I714" s="229"/>
      <c r="J714" s="11"/>
      <c r="K714" s="59"/>
      <c r="L714" s="59"/>
      <c r="M714" s="64"/>
      <c r="N714" s="64"/>
      <c r="O714" s="64"/>
    </row>
    <row r="715" spans="2:15" x14ac:dyDescent="0.25">
      <c r="B715" s="59">
        <v>686</v>
      </c>
      <c r="C715" s="229"/>
      <c r="D715" s="229"/>
      <c r="E715" s="229"/>
      <c r="F715" s="229"/>
      <c r="G715" s="229"/>
      <c r="H715" s="229"/>
      <c r="I715" s="229"/>
      <c r="J715" s="11"/>
      <c r="K715" s="59"/>
      <c r="L715" s="59"/>
      <c r="M715" s="64"/>
      <c r="N715" s="64"/>
      <c r="O715" s="64"/>
    </row>
    <row r="716" spans="2:15" x14ac:dyDescent="0.25">
      <c r="B716" s="59">
        <v>687</v>
      </c>
      <c r="C716" s="229"/>
      <c r="D716" s="229"/>
      <c r="E716" s="229"/>
      <c r="F716" s="229"/>
      <c r="G716" s="229"/>
      <c r="H716" s="229"/>
      <c r="I716" s="229"/>
      <c r="J716" s="11"/>
      <c r="K716" s="59"/>
      <c r="L716" s="59"/>
      <c r="M716" s="64"/>
      <c r="N716" s="64"/>
      <c r="O716" s="64"/>
    </row>
    <row r="717" spans="2:15" x14ac:dyDescent="0.25">
      <c r="B717" s="59">
        <v>688</v>
      </c>
      <c r="C717" s="229"/>
      <c r="D717" s="229"/>
      <c r="E717" s="229"/>
      <c r="F717" s="229"/>
      <c r="G717" s="229"/>
      <c r="H717" s="229"/>
      <c r="I717" s="229"/>
      <c r="J717" s="11"/>
      <c r="K717" s="59"/>
      <c r="L717" s="59"/>
      <c r="M717" s="64"/>
      <c r="N717" s="64"/>
      <c r="O717" s="64"/>
    </row>
    <row r="718" spans="2:15" x14ac:dyDescent="0.25">
      <c r="B718" s="59">
        <v>689</v>
      </c>
      <c r="C718" s="229"/>
      <c r="D718" s="229"/>
      <c r="E718" s="229"/>
      <c r="F718" s="229"/>
      <c r="G718" s="229"/>
      <c r="H718" s="229"/>
      <c r="I718" s="229"/>
      <c r="J718" s="11"/>
      <c r="K718" s="59"/>
      <c r="L718" s="59"/>
      <c r="M718" s="64"/>
      <c r="N718" s="64"/>
      <c r="O718" s="64"/>
    </row>
    <row r="719" spans="2:15" x14ac:dyDescent="0.25">
      <c r="B719" s="59">
        <v>690</v>
      </c>
      <c r="C719" s="229"/>
      <c r="D719" s="229"/>
      <c r="E719" s="229"/>
      <c r="F719" s="229"/>
      <c r="G719" s="229"/>
      <c r="H719" s="229"/>
      <c r="I719" s="229"/>
      <c r="J719" s="11"/>
      <c r="K719" s="59"/>
      <c r="L719" s="59"/>
      <c r="M719" s="64"/>
      <c r="N719" s="64"/>
      <c r="O719" s="64"/>
    </row>
    <row r="720" spans="2:15" x14ac:dyDescent="0.25">
      <c r="B720" s="59">
        <v>691</v>
      </c>
      <c r="C720" s="229"/>
      <c r="D720" s="229"/>
      <c r="E720" s="229"/>
      <c r="F720" s="229"/>
      <c r="G720" s="229"/>
      <c r="H720" s="229"/>
      <c r="I720" s="229"/>
      <c r="J720" s="11"/>
      <c r="K720" s="59"/>
      <c r="L720" s="59"/>
      <c r="M720" s="64"/>
      <c r="N720" s="64"/>
      <c r="O720" s="64"/>
    </row>
    <row r="721" spans="2:15" x14ac:dyDescent="0.25">
      <c r="B721" s="59">
        <v>692</v>
      </c>
      <c r="C721" s="229"/>
      <c r="D721" s="229"/>
      <c r="E721" s="229"/>
      <c r="F721" s="229"/>
      <c r="G721" s="229"/>
      <c r="H721" s="229"/>
      <c r="I721" s="229"/>
      <c r="J721" s="11"/>
      <c r="K721" s="59"/>
      <c r="L721" s="59"/>
      <c r="M721" s="64"/>
      <c r="N721" s="64"/>
      <c r="O721" s="64"/>
    </row>
    <row r="722" spans="2:15" x14ac:dyDescent="0.25">
      <c r="B722" s="59">
        <v>693</v>
      </c>
      <c r="C722" s="229"/>
      <c r="D722" s="229"/>
      <c r="E722" s="229"/>
      <c r="F722" s="229"/>
      <c r="G722" s="229"/>
      <c r="H722" s="229"/>
      <c r="I722" s="229"/>
      <c r="J722" s="11"/>
      <c r="K722" s="59"/>
      <c r="L722" s="59"/>
      <c r="M722" s="64"/>
      <c r="N722" s="64"/>
      <c r="O722" s="64"/>
    </row>
    <row r="723" spans="2:15" x14ac:dyDescent="0.25">
      <c r="B723" s="59">
        <v>694</v>
      </c>
      <c r="C723" s="229"/>
      <c r="D723" s="229"/>
      <c r="E723" s="229"/>
      <c r="F723" s="229"/>
      <c r="G723" s="229"/>
      <c r="H723" s="229"/>
      <c r="I723" s="229"/>
      <c r="J723" s="11"/>
      <c r="K723" s="59"/>
      <c r="L723" s="59"/>
      <c r="M723" s="64"/>
      <c r="N723" s="64"/>
      <c r="O723" s="64"/>
    </row>
    <row r="724" spans="2:15" x14ac:dyDescent="0.25">
      <c r="B724" s="59">
        <v>695</v>
      </c>
      <c r="C724" s="229"/>
      <c r="D724" s="229"/>
      <c r="E724" s="229"/>
      <c r="F724" s="229"/>
      <c r="G724" s="229"/>
      <c r="H724" s="229"/>
      <c r="I724" s="229"/>
      <c r="J724" s="11"/>
      <c r="K724" s="59"/>
      <c r="L724" s="59"/>
      <c r="M724" s="64"/>
      <c r="N724" s="64"/>
      <c r="O724" s="64"/>
    </row>
    <row r="725" spans="2:15" x14ac:dyDescent="0.25">
      <c r="B725" s="59">
        <v>696</v>
      </c>
      <c r="C725" s="229"/>
      <c r="D725" s="229"/>
      <c r="E725" s="229"/>
      <c r="F725" s="229"/>
      <c r="G725" s="229"/>
      <c r="H725" s="229"/>
      <c r="I725" s="229"/>
      <c r="J725" s="11"/>
      <c r="K725" s="59"/>
      <c r="L725" s="59"/>
      <c r="M725" s="64"/>
      <c r="N725" s="64"/>
      <c r="O725" s="64"/>
    </row>
    <row r="726" spans="2:15" x14ac:dyDescent="0.25">
      <c r="B726" s="59">
        <v>697</v>
      </c>
      <c r="C726" s="229"/>
      <c r="D726" s="229"/>
      <c r="E726" s="229"/>
      <c r="F726" s="229"/>
      <c r="G726" s="229"/>
      <c r="H726" s="229"/>
      <c r="I726" s="229"/>
      <c r="J726" s="11"/>
      <c r="K726" s="59"/>
      <c r="L726" s="59"/>
      <c r="M726" s="64"/>
      <c r="N726" s="64"/>
      <c r="O726" s="64"/>
    </row>
    <row r="727" spans="2:15" x14ac:dyDescent="0.25">
      <c r="B727" s="59">
        <v>698</v>
      </c>
      <c r="C727" s="229"/>
      <c r="D727" s="229"/>
      <c r="E727" s="229"/>
      <c r="F727" s="229"/>
      <c r="G727" s="229"/>
      <c r="H727" s="229"/>
      <c r="I727" s="229"/>
      <c r="J727" s="11"/>
      <c r="K727" s="59"/>
      <c r="L727" s="59"/>
      <c r="M727" s="64"/>
      <c r="N727" s="64"/>
      <c r="O727" s="64"/>
    </row>
    <row r="728" spans="2:15" x14ac:dyDescent="0.25">
      <c r="B728" s="59">
        <v>699</v>
      </c>
      <c r="C728" s="229"/>
      <c r="D728" s="229"/>
      <c r="E728" s="229"/>
      <c r="F728" s="229"/>
      <c r="G728" s="229"/>
      <c r="H728" s="229"/>
      <c r="I728" s="229"/>
      <c r="J728" s="11"/>
      <c r="K728" s="59"/>
      <c r="L728" s="59"/>
      <c r="M728" s="64"/>
      <c r="N728" s="64"/>
      <c r="O728" s="64"/>
    </row>
    <row r="729" spans="2:15" x14ac:dyDescent="0.25">
      <c r="B729" s="59">
        <v>700</v>
      </c>
      <c r="C729" s="229"/>
      <c r="D729" s="229"/>
      <c r="E729" s="229"/>
      <c r="F729" s="229"/>
      <c r="G729" s="229"/>
      <c r="H729" s="229"/>
      <c r="I729" s="229"/>
      <c r="J729" s="11"/>
      <c r="K729" s="59"/>
      <c r="L729" s="59"/>
      <c r="M729" s="64"/>
      <c r="N729" s="64"/>
      <c r="O729" s="64"/>
    </row>
    <row r="730" spans="2:15" x14ac:dyDescent="0.25">
      <c r="B730" s="59">
        <v>701</v>
      </c>
      <c r="C730" s="229"/>
      <c r="D730" s="229"/>
      <c r="E730" s="229"/>
      <c r="F730" s="229"/>
      <c r="G730" s="229"/>
      <c r="H730" s="229"/>
      <c r="I730" s="229"/>
      <c r="J730" s="11"/>
      <c r="K730" s="59"/>
      <c r="L730" s="59"/>
      <c r="M730" s="64"/>
      <c r="N730" s="64"/>
      <c r="O730" s="64"/>
    </row>
    <row r="731" spans="2:15" x14ac:dyDescent="0.25">
      <c r="B731" s="59">
        <v>702</v>
      </c>
      <c r="C731" s="229"/>
      <c r="D731" s="229"/>
      <c r="E731" s="229"/>
      <c r="F731" s="229"/>
      <c r="G731" s="229"/>
      <c r="H731" s="229"/>
      <c r="I731" s="229"/>
      <c r="J731" s="11"/>
      <c r="K731" s="59"/>
      <c r="L731" s="59"/>
      <c r="M731" s="64"/>
      <c r="N731" s="64"/>
      <c r="O731" s="64"/>
    </row>
    <row r="732" spans="2:15" x14ac:dyDescent="0.25">
      <c r="B732" s="59">
        <v>703</v>
      </c>
      <c r="C732" s="229"/>
      <c r="D732" s="229"/>
      <c r="E732" s="229"/>
      <c r="F732" s="229"/>
      <c r="G732" s="229"/>
      <c r="H732" s="229"/>
      <c r="I732" s="229"/>
      <c r="J732" s="11"/>
      <c r="K732" s="59"/>
      <c r="L732" s="59"/>
      <c r="M732" s="64"/>
      <c r="N732" s="64"/>
      <c r="O732" s="64"/>
    </row>
    <row r="733" spans="2:15" x14ac:dyDescent="0.25">
      <c r="B733" s="59">
        <v>704</v>
      </c>
      <c r="C733" s="229"/>
      <c r="D733" s="229"/>
      <c r="E733" s="229"/>
      <c r="F733" s="229"/>
      <c r="G733" s="229"/>
      <c r="H733" s="229"/>
      <c r="I733" s="229"/>
      <c r="J733" s="11"/>
      <c r="K733" s="59"/>
      <c r="L733" s="59"/>
      <c r="M733" s="64"/>
      <c r="N733" s="64"/>
      <c r="O733" s="64"/>
    </row>
    <row r="734" spans="2:15" x14ac:dyDescent="0.25">
      <c r="B734" s="59">
        <v>705</v>
      </c>
      <c r="C734" s="229"/>
      <c r="D734" s="229"/>
      <c r="E734" s="229"/>
      <c r="F734" s="229"/>
      <c r="G734" s="229"/>
      <c r="H734" s="229"/>
      <c r="I734" s="229"/>
      <c r="J734" s="11"/>
      <c r="K734" s="59"/>
      <c r="L734" s="59"/>
      <c r="M734" s="64"/>
      <c r="N734" s="64"/>
      <c r="O734" s="64"/>
    </row>
    <row r="735" spans="2:15" x14ac:dyDescent="0.25">
      <c r="B735" s="59">
        <v>706</v>
      </c>
      <c r="C735" s="229"/>
      <c r="D735" s="229"/>
      <c r="E735" s="229"/>
      <c r="F735" s="229"/>
      <c r="G735" s="229"/>
      <c r="H735" s="229"/>
      <c r="I735" s="229"/>
      <c r="J735" s="11"/>
      <c r="K735" s="59"/>
      <c r="L735" s="59"/>
      <c r="M735" s="64"/>
      <c r="N735" s="64"/>
      <c r="O735" s="64"/>
    </row>
    <row r="736" spans="2:15" x14ac:dyDescent="0.25">
      <c r="B736" s="59">
        <v>707</v>
      </c>
      <c r="C736" s="229"/>
      <c r="D736" s="229"/>
      <c r="E736" s="229"/>
      <c r="F736" s="229"/>
      <c r="G736" s="229"/>
      <c r="H736" s="229"/>
      <c r="I736" s="229"/>
      <c r="J736" s="11"/>
      <c r="K736" s="59"/>
      <c r="L736" s="59"/>
      <c r="M736" s="64"/>
      <c r="N736" s="64"/>
      <c r="O736" s="64"/>
    </row>
    <row r="737" spans="2:15" x14ac:dyDescent="0.25">
      <c r="B737" s="59">
        <v>708</v>
      </c>
      <c r="C737" s="229"/>
      <c r="D737" s="229"/>
      <c r="E737" s="229"/>
      <c r="F737" s="229"/>
      <c r="G737" s="229"/>
      <c r="H737" s="229"/>
      <c r="I737" s="229"/>
      <c r="J737" s="11"/>
      <c r="K737" s="59"/>
      <c r="L737" s="59"/>
      <c r="M737" s="64"/>
      <c r="N737" s="64"/>
      <c r="O737" s="64"/>
    </row>
    <row r="738" spans="2:15" x14ac:dyDescent="0.25">
      <c r="B738" s="59">
        <v>709</v>
      </c>
      <c r="C738" s="229"/>
      <c r="D738" s="229"/>
      <c r="E738" s="229"/>
      <c r="F738" s="229"/>
      <c r="G738" s="229"/>
      <c r="H738" s="229"/>
      <c r="I738" s="229"/>
      <c r="J738" s="11"/>
      <c r="K738" s="59"/>
      <c r="L738" s="59"/>
      <c r="M738" s="64"/>
      <c r="N738" s="64"/>
      <c r="O738" s="64"/>
    </row>
    <row r="739" spans="2:15" x14ac:dyDescent="0.25">
      <c r="B739" s="59">
        <v>710</v>
      </c>
      <c r="C739" s="229"/>
      <c r="D739" s="229"/>
      <c r="E739" s="229"/>
      <c r="F739" s="229"/>
      <c r="G739" s="229"/>
      <c r="H739" s="229"/>
      <c r="I739" s="229"/>
      <c r="J739" s="11"/>
      <c r="K739" s="59"/>
      <c r="L739" s="59"/>
      <c r="M739" s="64"/>
      <c r="N739" s="64"/>
      <c r="O739" s="64"/>
    </row>
    <row r="740" spans="2:15" x14ac:dyDescent="0.25">
      <c r="B740" s="59">
        <v>711</v>
      </c>
      <c r="C740" s="229"/>
      <c r="D740" s="229"/>
      <c r="E740" s="229"/>
      <c r="F740" s="229"/>
      <c r="G740" s="229"/>
      <c r="H740" s="229"/>
      <c r="I740" s="229"/>
      <c r="J740" s="11"/>
      <c r="K740" s="59"/>
      <c r="L740" s="59"/>
      <c r="M740" s="64"/>
      <c r="N740" s="64"/>
      <c r="O740" s="64"/>
    </row>
    <row r="741" spans="2:15" x14ac:dyDescent="0.25">
      <c r="B741" s="59">
        <v>712</v>
      </c>
      <c r="C741" s="229"/>
      <c r="D741" s="229"/>
      <c r="E741" s="229"/>
      <c r="F741" s="229"/>
      <c r="G741" s="229"/>
      <c r="H741" s="229"/>
      <c r="I741" s="229"/>
      <c r="J741" s="11"/>
      <c r="K741" s="59"/>
      <c r="L741" s="59"/>
      <c r="M741" s="64"/>
      <c r="N741" s="64"/>
      <c r="O741" s="64"/>
    </row>
    <row r="742" spans="2:15" x14ac:dyDescent="0.25">
      <c r="B742" s="59">
        <v>713</v>
      </c>
      <c r="C742" s="229"/>
      <c r="D742" s="229"/>
      <c r="E742" s="229"/>
      <c r="F742" s="229"/>
      <c r="G742" s="229"/>
      <c r="H742" s="229"/>
      <c r="I742" s="229"/>
      <c r="J742" s="11"/>
      <c r="K742" s="59"/>
      <c r="L742" s="59"/>
      <c r="M742" s="64"/>
      <c r="N742" s="64"/>
      <c r="O742" s="64"/>
    </row>
    <row r="743" spans="2:15" x14ac:dyDescent="0.25">
      <c r="B743" s="59">
        <v>714</v>
      </c>
      <c r="C743" s="229"/>
      <c r="D743" s="229"/>
      <c r="E743" s="229"/>
      <c r="F743" s="229"/>
      <c r="G743" s="229"/>
      <c r="H743" s="229"/>
      <c r="I743" s="229"/>
      <c r="J743" s="11"/>
      <c r="K743" s="59"/>
      <c r="L743" s="59"/>
      <c r="M743" s="64"/>
      <c r="N743" s="64"/>
      <c r="O743" s="64"/>
    </row>
    <row r="744" spans="2:15" x14ac:dyDescent="0.25">
      <c r="B744" s="59">
        <v>715</v>
      </c>
      <c r="C744" s="229"/>
      <c r="D744" s="229"/>
      <c r="E744" s="229"/>
      <c r="F744" s="229"/>
      <c r="G744" s="229"/>
      <c r="H744" s="229"/>
      <c r="I744" s="229"/>
      <c r="J744" s="11"/>
      <c r="K744" s="59"/>
      <c r="L744" s="59"/>
      <c r="M744" s="64"/>
      <c r="N744" s="64"/>
      <c r="O744" s="64"/>
    </row>
    <row r="745" spans="2:15" x14ac:dyDescent="0.25">
      <c r="B745" s="59">
        <v>716</v>
      </c>
      <c r="C745" s="229"/>
      <c r="D745" s="229"/>
      <c r="E745" s="229"/>
      <c r="F745" s="229"/>
      <c r="G745" s="229"/>
      <c r="H745" s="229"/>
      <c r="I745" s="229"/>
      <c r="J745" s="11"/>
      <c r="K745" s="59"/>
      <c r="L745" s="59"/>
      <c r="M745" s="64"/>
      <c r="N745" s="64"/>
      <c r="O745" s="64"/>
    </row>
    <row r="746" spans="2:15" x14ac:dyDescent="0.25">
      <c r="B746" s="59">
        <v>717</v>
      </c>
      <c r="C746" s="229"/>
      <c r="D746" s="229"/>
      <c r="E746" s="229"/>
      <c r="F746" s="229"/>
      <c r="G746" s="229"/>
      <c r="H746" s="229"/>
      <c r="I746" s="229"/>
      <c r="J746" s="11"/>
      <c r="K746" s="59"/>
      <c r="L746" s="59"/>
      <c r="M746" s="64"/>
      <c r="N746" s="64"/>
      <c r="O746" s="64"/>
    </row>
    <row r="747" spans="2:15" x14ac:dyDescent="0.25">
      <c r="B747" s="59">
        <v>718</v>
      </c>
      <c r="C747" s="229"/>
      <c r="D747" s="229"/>
      <c r="E747" s="229"/>
      <c r="F747" s="229"/>
      <c r="G747" s="229"/>
      <c r="H747" s="229"/>
      <c r="I747" s="229"/>
      <c r="J747" s="11"/>
      <c r="K747" s="59"/>
      <c r="L747" s="59"/>
      <c r="M747" s="64"/>
      <c r="N747" s="64"/>
      <c r="O747" s="64"/>
    </row>
    <row r="748" spans="2:15" x14ac:dyDescent="0.25">
      <c r="B748" s="59">
        <v>719</v>
      </c>
      <c r="C748" s="229"/>
      <c r="D748" s="229"/>
      <c r="E748" s="229"/>
      <c r="F748" s="229"/>
      <c r="G748" s="229"/>
      <c r="H748" s="229"/>
      <c r="I748" s="229"/>
      <c r="J748" s="11"/>
      <c r="K748" s="59"/>
      <c r="L748" s="59"/>
      <c r="M748" s="64"/>
      <c r="N748" s="64"/>
      <c r="O748" s="64"/>
    </row>
    <row r="749" spans="2:15" x14ac:dyDescent="0.25">
      <c r="B749" s="59">
        <v>720</v>
      </c>
      <c r="C749" s="229"/>
      <c r="D749" s="229"/>
      <c r="E749" s="229"/>
      <c r="F749" s="229"/>
      <c r="G749" s="229"/>
      <c r="H749" s="229"/>
      <c r="I749" s="229"/>
      <c r="J749" s="11"/>
      <c r="K749" s="59"/>
      <c r="L749" s="59"/>
      <c r="M749" s="64"/>
      <c r="N749" s="64"/>
      <c r="O749" s="64"/>
    </row>
    <row r="750" spans="2:15" x14ac:dyDescent="0.25">
      <c r="B750" s="59">
        <v>721</v>
      </c>
      <c r="C750" s="229"/>
      <c r="D750" s="229"/>
      <c r="E750" s="229"/>
      <c r="F750" s="229"/>
      <c r="G750" s="229"/>
      <c r="H750" s="229"/>
      <c r="I750" s="229"/>
      <c r="J750" s="11"/>
      <c r="K750" s="59"/>
      <c r="L750" s="59"/>
      <c r="M750" s="64"/>
      <c r="N750" s="64"/>
      <c r="O750" s="64"/>
    </row>
    <row r="751" spans="2:15" x14ac:dyDescent="0.25">
      <c r="B751" s="59">
        <v>722</v>
      </c>
      <c r="C751" s="229"/>
      <c r="D751" s="229"/>
      <c r="E751" s="229"/>
      <c r="F751" s="229"/>
      <c r="G751" s="229"/>
      <c r="H751" s="229"/>
      <c r="I751" s="229"/>
      <c r="J751" s="11"/>
      <c r="K751" s="59"/>
      <c r="L751" s="59"/>
      <c r="M751" s="64"/>
      <c r="N751" s="64"/>
      <c r="O751" s="64"/>
    </row>
    <row r="752" spans="2:15" x14ac:dyDescent="0.25">
      <c r="B752" s="59">
        <v>723</v>
      </c>
      <c r="C752" s="229"/>
      <c r="D752" s="229"/>
      <c r="E752" s="229"/>
      <c r="F752" s="229"/>
      <c r="G752" s="229"/>
      <c r="H752" s="229"/>
      <c r="I752" s="229"/>
      <c r="J752" s="11"/>
      <c r="K752" s="59"/>
      <c r="L752" s="59"/>
      <c r="M752" s="64"/>
      <c r="N752" s="64"/>
      <c r="O752" s="64"/>
    </row>
    <row r="753" spans="2:15" x14ac:dyDescent="0.25">
      <c r="B753" s="59">
        <v>724</v>
      </c>
      <c r="C753" s="229"/>
      <c r="D753" s="229"/>
      <c r="E753" s="229"/>
      <c r="F753" s="229"/>
      <c r="G753" s="229"/>
      <c r="H753" s="229"/>
      <c r="I753" s="229"/>
      <c r="J753" s="11"/>
      <c r="K753" s="59"/>
      <c r="L753" s="59"/>
      <c r="M753" s="64"/>
      <c r="N753" s="64"/>
      <c r="O753" s="64"/>
    </row>
    <row r="754" spans="2:15" x14ac:dyDescent="0.25">
      <c r="B754" s="59">
        <v>725</v>
      </c>
      <c r="C754" s="229"/>
      <c r="D754" s="229"/>
      <c r="E754" s="229"/>
      <c r="F754" s="229"/>
      <c r="G754" s="229"/>
      <c r="H754" s="229"/>
      <c r="I754" s="229"/>
      <c r="J754" s="11"/>
      <c r="K754" s="59"/>
      <c r="L754" s="59"/>
      <c r="M754" s="64"/>
      <c r="N754" s="64"/>
      <c r="O754" s="64"/>
    </row>
    <row r="755" spans="2:15" x14ac:dyDescent="0.25">
      <c r="B755" s="59">
        <v>726</v>
      </c>
      <c r="C755" s="229"/>
      <c r="D755" s="229"/>
      <c r="E755" s="229"/>
      <c r="F755" s="229"/>
      <c r="G755" s="229"/>
      <c r="H755" s="229"/>
      <c r="I755" s="229"/>
      <c r="J755" s="11"/>
      <c r="K755" s="59"/>
      <c r="L755" s="59"/>
      <c r="M755" s="64"/>
      <c r="N755" s="64"/>
      <c r="O755" s="64"/>
    </row>
    <row r="756" spans="2:15" x14ac:dyDescent="0.25">
      <c r="B756" s="59">
        <v>727</v>
      </c>
      <c r="C756" s="229"/>
      <c r="D756" s="229"/>
      <c r="E756" s="229"/>
      <c r="F756" s="229"/>
      <c r="G756" s="229"/>
      <c r="H756" s="229"/>
      <c r="I756" s="229"/>
      <c r="J756" s="11"/>
      <c r="K756" s="59"/>
      <c r="L756" s="59"/>
      <c r="M756" s="64"/>
      <c r="N756" s="64"/>
      <c r="O756" s="64"/>
    </row>
    <row r="757" spans="2:15" x14ac:dyDescent="0.25">
      <c r="B757" s="59">
        <v>728</v>
      </c>
      <c r="C757" s="229"/>
      <c r="D757" s="229"/>
      <c r="E757" s="229"/>
      <c r="F757" s="229"/>
      <c r="G757" s="229"/>
      <c r="H757" s="229"/>
      <c r="I757" s="229"/>
      <c r="J757" s="11"/>
      <c r="K757" s="59"/>
      <c r="L757" s="59"/>
      <c r="M757" s="64"/>
      <c r="N757" s="64"/>
      <c r="O757" s="64"/>
    </row>
    <row r="758" spans="2:15" x14ac:dyDescent="0.25">
      <c r="B758" s="59">
        <v>729</v>
      </c>
      <c r="C758" s="229"/>
      <c r="D758" s="229"/>
      <c r="E758" s="229"/>
      <c r="F758" s="229"/>
      <c r="G758" s="229"/>
      <c r="H758" s="229"/>
      <c r="I758" s="229"/>
      <c r="J758" s="11"/>
      <c r="K758" s="59"/>
      <c r="L758" s="59"/>
      <c r="M758" s="64"/>
      <c r="N758" s="64"/>
      <c r="O758" s="64"/>
    </row>
    <row r="759" spans="2:15" x14ac:dyDescent="0.25">
      <c r="B759" s="59">
        <v>730</v>
      </c>
      <c r="C759" s="229"/>
      <c r="D759" s="229"/>
      <c r="E759" s="229"/>
      <c r="F759" s="229"/>
      <c r="G759" s="229"/>
      <c r="H759" s="229"/>
      <c r="I759" s="229"/>
      <c r="J759" s="11"/>
      <c r="K759" s="59"/>
      <c r="L759" s="59"/>
      <c r="M759" s="64"/>
      <c r="N759" s="64"/>
      <c r="O759" s="64"/>
    </row>
    <row r="760" spans="2:15" x14ac:dyDescent="0.25">
      <c r="B760" s="59">
        <v>731</v>
      </c>
      <c r="C760" s="229"/>
      <c r="D760" s="229"/>
      <c r="E760" s="229"/>
      <c r="F760" s="229"/>
      <c r="G760" s="229"/>
      <c r="H760" s="229"/>
      <c r="I760" s="229"/>
      <c r="J760" s="11"/>
      <c r="K760" s="59"/>
      <c r="L760" s="59"/>
      <c r="M760" s="64"/>
      <c r="N760" s="64"/>
      <c r="O760" s="64"/>
    </row>
    <row r="761" spans="2:15" x14ac:dyDescent="0.25">
      <c r="B761" s="59">
        <v>732</v>
      </c>
      <c r="C761" s="229"/>
      <c r="D761" s="229"/>
      <c r="E761" s="229"/>
      <c r="F761" s="229"/>
      <c r="G761" s="229"/>
      <c r="H761" s="229"/>
      <c r="I761" s="229"/>
      <c r="J761" s="11"/>
      <c r="K761" s="59"/>
      <c r="L761" s="59"/>
      <c r="M761" s="64"/>
      <c r="N761" s="64"/>
      <c r="O761" s="64"/>
    </row>
    <row r="762" spans="2:15" x14ac:dyDescent="0.25">
      <c r="B762" s="59">
        <v>733</v>
      </c>
      <c r="C762" s="229"/>
      <c r="D762" s="229"/>
      <c r="E762" s="229"/>
      <c r="F762" s="229"/>
      <c r="G762" s="229"/>
      <c r="H762" s="229"/>
      <c r="I762" s="229"/>
      <c r="J762" s="11"/>
      <c r="K762" s="59"/>
      <c r="L762" s="59"/>
      <c r="M762" s="64"/>
      <c r="N762" s="64"/>
      <c r="O762" s="64"/>
    </row>
    <row r="763" spans="2:15" x14ac:dyDescent="0.25">
      <c r="B763" s="59">
        <v>734</v>
      </c>
      <c r="C763" s="229"/>
      <c r="D763" s="229"/>
      <c r="E763" s="229"/>
      <c r="F763" s="229"/>
      <c r="G763" s="229"/>
      <c r="H763" s="229"/>
      <c r="I763" s="229"/>
      <c r="J763" s="11"/>
      <c r="K763" s="59"/>
      <c r="L763" s="59"/>
      <c r="M763" s="64"/>
      <c r="N763" s="64"/>
      <c r="O763" s="64"/>
    </row>
    <row r="764" spans="2:15" x14ac:dyDescent="0.25">
      <c r="B764" s="59">
        <v>735</v>
      </c>
      <c r="C764" s="229"/>
      <c r="D764" s="229"/>
      <c r="E764" s="229"/>
      <c r="F764" s="229"/>
      <c r="G764" s="229"/>
      <c r="H764" s="229"/>
      <c r="I764" s="229"/>
      <c r="J764" s="11"/>
      <c r="K764" s="59"/>
      <c r="L764" s="59"/>
      <c r="M764" s="64"/>
      <c r="N764" s="64"/>
      <c r="O764" s="64"/>
    </row>
    <row r="765" spans="2:15" x14ac:dyDescent="0.25">
      <c r="B765" s="59">
        <v>736</v>
      </c>
      <c r="C765" s="229"/>
      <c r="D765" s="229"/>
      <c r="E765" s="229"/>
      <c r="F765" s="229"/>
      <c r="G765" s="229"/>
      <c r="H765" s="229"/>
      <c r="I765" s="229"/>
      <c r="J765" s="11"/>
      <c r="K765" s="59"/>
      <c r="L765" s="59"/>
      <c r="M765" s="64"/>
      <c r="N765" s="64"/>
      <c r="O765" s="64"/>
    </row>
    <row r="766" spans="2:15" x14ac:dyDescent="0.25">
      <c r="B766" s="59">
        <v>737</v>
      </c>
      <c r="C766" s="229"/>
      <c r="D766" s="229"/>
      <c r="E766" s="229"/>
      <c r="F766" s="229"/>
      <c r="G766" s="229"/>
      <c r="H766" s="229"/>
      <c r="I766" s="229"/>
      <c r="J766" s="11"/>
      <c r="K766" s="59"/>
      <c r="L766" s="59"/>
      <c r="M766" s="64"/>
      <c r="N766" s="64"/>
      <c r="O766" s="64"/>
    </row>
    <row r="767" spans="2:15" x14ac:dyDescent="0.25">
      <c r="B767" s="59">
        <v>738</v>
      </c>
      <c r="C767" s="229"/>
      <c r="D767" s="229"/>
      <c r="E767" s="229"/>
      <c r="F767" s="229"/>
      <c r="G767" s="229"/>
      <c r="H767" s="229"/>
      <c r="I767" s="229"/>
      <c r="J767" s="11"/>
      <c r="K767" s="59"/>
      <c r="L767" s="59"/>
      <c r="M767" s="64"/>
      <c r="N767" s="64"/>
      <c r="O767" s="64"/>
    </row>
    <row r="768" spans="2:15" x14ac:dyDescent="0.25">
      <c r="B768" s="59">
        <v>739</v>
      </c>
      <c r="C768" s="229"/>
      <c r="D768" s="229"/>
      <c r="E768" s="229"/>
      <c r="F768" s="229"/>
      <c r="G768" s="229"/>
      <c r="H768" s="229"/>
      <c r="I768" s="229"/>
      <c r="J768" s="11"/>
      <c r="K768" s="59"/>
      <c r="L768" s="59"/>
      <c r="M768" s="64"/>
      <c r="N768" s="64"/>
      <c r="O768" s="64"/>
    </row>
    <row r="769" spans="2:15" x14ac:dyDescent="0.25">
      <c r="B769" s="59">
        <v>740</v>
      </c>
      <c r="C769" s="229"/>
      <c r="D769" s="229"/>
      <c r="E769" s="229"/>
      <c r="F769" s="229"/>
      <c r="G769" s="229"/>
      <c r="H769" s="229"/>
      <c r="I769" s="229"/>
      <c r="J769" s="11"/>
      <c r="K769" s="59"/>
      <c r="L769" s="59"/>
      <c r="M769" s="64"/>
      <c r="N769" s="64"/>
      <c r="O769" s="64"/>
    </row>
    <row r="770" spans="2:15" x14ac:dyDescent="0.25">
      <c r="B770" s="59">
        <v>741</v>
      </c>
      <c r="C770" s="229"/>
      <c r="D770" s="229"/>
      <c r="E770" s="229"/>
      <c r="F770" s="229"/>
      <c r="G770" s="229"/>
      <c r="H770" s="229"/>
      <c r="I770" s="229"/>
      <c r="J770" s="11"/>
      <c r="K770" s="59"/>
      <c r="L770" s="59"/>
      <c r="M770" s="64"/>
      <c r="N770" s="64"/>
      <c r="O770" s="64"/>
    </row>
    <row r="771" spans="2:15" x14ac:dyDescent="0.25">
      <c r="B771" s="59">
        <v>742</v>
      </c>
      <c r="C771" s="229"/>
      <c r="D771" s="229"/>
      <c r="E771" s="229"/>
      <c r="F771" s="229"/>
      <c r="G771" s="229"/>
      <c r="H771" s="229"/>
      <c r="I771" s="229"/>
      <c r="J771" s="11"/>
      <c r="K771" s="59"/>
      <c r="L771" s="59"/>
      <c r="M771" s="64"/>
      <c r="N771" s="64"/>
      <c r="O771" s="64"/>
    </row>
    <row r="772" spans="2:15" x14ac:dyDescent="0.25">
      <c r="B772" s="59">
        <v>743</v>
      </c>
      <c r="C772" s="229"/>
      <c r="D772" s="229"/>
      <c r="E772" s="229"/>
      <c r="F772" s="229"/>
      <c r="G772" s="229"/>
      <c r="H772" s="229"/>
      <c r="I772" s="229"/>
      <c r="J772" s="11"/>
      <c r="K772" s="59"/>
      <c r="L772" s="59"/>
      <c r="M772" s="64"/>
      <c r="N772" s="64"/>
      <c r="O772" s="64"/>
    </row>
    <row r="773" spans="2:15" x14ac:dyDescent="0.25">
      <c r="B773" s="59">
        <v>744</v>
      </c>
      <c r="C773" s="229"/>
      <c r="D773" s="229"/>
      <c r="E773" s="229"/>
      <c r="F773" s="229"/>
      <c r="G773" s="229"/>
      <c r="H773" s="229"/>
      <c r="I773" s="229"/>
      <c r="J773" s="11"/>
      <c r="K773" s="59"/>
      <c r="L773" s="59"/>
      <c r="M773" s="64"/>
      <c r="N773" s="64"/>
      <c r="O773" s="64"/>
    </row>
    <row r="774" spans="2:15" x14ac:dyDescent="0.25">
      <c r="B774" s="59">
        <v>745</v>
      </c>
      <c r="C774" s="229"/>
      <c r="D774" s="229"/>
      <c r="E774" s="229"/>
      <c r="F774" s="229"/>
      <c r="G774" s="229"/>
      <c r="H774" s="229"/>
      <c r="I774" s="229"/>
      <c r="J774" s="11"/>
      <c r="K774" s="59"/>
      <c r="L774" s="59"/>
      <c r="M774" s="64"/>
      <c r="N774" s="64"/>
      <c r="O774" s="64"/>
    </row>
    <row r="775" spans="2:15" x14ac:dyDescent="0.25">
      <c r="B775" s="59">
        <v>746</v>
      </c>
      <c r="C775" s="229"/>
      <c r="D775" s="229"/>
      <c r="E775" s="229"/>
      <c r="F775" s="229"/>
      <c r="G775" s="229"/>
      <c r="H775" s="229"/>
      <c r="I775" s="229"/>
      <c r="J775" s="11"/>
      <c r="K775" s="59"/>
      <c r="L775" s="59"/>
      <c r="M775" s="64"/>
      <c r="N775" s="64"/>
      <c r="O775" s="64"/>
    </row>
    <row r="776" spans="2:15" x14ac:dyDescent="0.25">
      <c r="B776" s="59">
        <v>747</v>
      </c>
      <c r="C776" s="229"/>
      <c r="D776" s="229"/>
      <c r="E776" s="229"/>
      <c r="F776" s="229"/>
      <c r="G776" s="229"/>
      <c r="H776" s="229"/>
      <c r="I776" s="229"/>
      <c r="J776" s="11"/>
      <c r="K776" s="59"/>
      <c r="L776" s="59"/>
      <c r="M776" s="64"/>
      <c r="N776" s="64"/>
      <c r="O776" s="64"/>
    </row>
    <row r="777" spans="2:15" x14ac:dyDescent="0.25">
      <c r="B777" s="59">
        <v>748</v>
      </c>
      <c r="C777" s="229"/>
      <c r="D777" s="229"/>
      <c r="E777" s="229"/>
      <c r="F777" s="229"/>
      <c r="G777" s="229"/>
      <c r="H777" s="229"/>
      <c r="I777" s="229"/>
      <c r="J777" s="11"/>
      <c r="K777" s="59"/>
      <c r="L777" s="59"/>
      <c r="M777" s="64"/>
      <c r="N777" s="64"/>
      <c r="O777" s="64"/>
    </row>
    <row r="778" spans="2:15" x14ac:dyDescent="0.25">
      <c r="B778" s="59">
        <v>749</v>
      </c>
      <c r="C778" s="229"/>
      <c r="D778" s="229"/>
      <c r="E778" s="229"/>
      <c r="F778" s="229"/>
      <c r="G778" s="229"/>
      <c r="H778" s="229"/>
      <c r="I778" s="229"/>
      <c r="J778" s="11"/>
      <c r="K778" s="59"/>
      <c r="L778" s="59"/>
      <c r="M778" s="64"/>
      <c r="N778" s="64"/>
      <c r="O778" s="64"/>
    </row>
    <row r="779" spans="2:15" x14ac:dyDescent="0.25">
      <c r="B779" s="59">
        <v>750</v>
      </c>
      <c r="C779" s="229"/>
      <c r="D779" s="229"/>
      <c r="E779" s="229"/>
      <c r="F779" s="229"/>
      <c r="G779" s="229"/>
      <c r="H779" s="229"/>
      <c r="I779" s="229"/>
      <c r="J779" s="11"/>
      <c r="K779" s="59"/>
      <c r="L779" s="59"/>
      <c r="M779" s="64"/>
      <c r="N779" s="64"/>
      <c r="O779" s="64"/>
    </row>
    <row r="780" spans="2:15" x14ac:dyDescent="0.25">
      <c r="B780" s="59">
        <v>751</v>
      </c>
      <c r="C780" s="229"/>
      <c r="D780" s="229"/>
      <c r="E780" s="229"/>
      <c r="F780" s="229"/>
      <c r="G780" s="229"/>
      <c r="H780" s="229"/>
      <c r="I780" s="229"/>
      <c r="J780" s="11"/>
      <c r="K780" s="59"/>
      <c r="L780" s="59"/>
      <c r="M780" s="64"/>
      <c r="N780" s="64"/>
      <c r="O780" s="64"/>
    </row>
    <row r="781" spans="2:15" x14ac:dyDescent="0.25">
      <c r="B781" s="59">
        <v>752</v>
      </c>
      <c r="C781" s="229"/>
      <c r="D781" s="229"/>
      <c r="E781" s="229"/>
      <c r="F781" s="229"/>
      <c r="G781" s="229"/>
      <c r="H781" s="229"/>
      <c r="I781" s="229"/>
      <c r="J781" s="11"/>
      <c r="K781" s="59"/>
      <c r="L781" s="59"/>
      <c r="M781" s="64"/>
      <c r="N781" s="64"/>
      <c r="O781" s="64"/>
    </row>
    <row r="782" spans="2:15" x14ac:dyDescent="0.25">
      <c r="B782" s="59">
        <v>753</v>
      </c>
      <c r="C782" s="229"/>
      <c r="D782" s="229"/>
      <c r="E782" s="229"/>
      <c r="F782" s="229"/>
      <c r="G782" s="229"/>
      <c r="H782" s="229"/>
      <c r="I782" s="229"/>
      <c r="J782" s="11"/>
      <c r="K782" s="59"/>
      <c r="L782" s="59"/>
      <c r="M782" s="64"/>
      <c r="N782" s="64"/>
      <c r="O782" s="64"/>
    </row>
    <row r="783" spans="2:15" x14ac:dyDescent="0.25">
      <c r="B783" s="59">
        <v>754</v>
      </c>
      <c r="C783" s="229"/>
      <c r="D783" s="229"/>
      <c r="E783" s="229"/>
      <c r="F783" s="229"/>
      <c r="G783" s="229"/>
      <c r="H783" s="229"/>
      <c r="I783" s="229"/>
      <c r="J783" s="11"/>
      <c r="K783" s="59"/>
      <c r="L783" s="59"/>
      <c r="M783" s="64"/>
      <c r="N783" s="64"/>
      <c r="O783" s="64"/>
    </row>
    <row r="784" spans="2:15" x14ac:dyDescent="0.25">
      <c r="B784" s="59">
        <v>755</v>
      </c>
      <c r="C784" s="229"/>
      <c r="D784" s="229"/>
      <c r="E784" s="229"/>
      <c r="F784" s="229"/>
      <c r="G784" s="229"/>
      <c r="H784" s="229"/>
      <c r="I784" s="229"/>
      <c r="J784" s="11"/>
      <c r="K784" s="59"/>
      <c r="L784" s="59"/>
      <c r="M784" s="64"/>
      <c r="N784" s="64"/>
      <c r="O784" s="64"/>
    </row>
    <row r="785" spans="2:15" x14ac:dyDescent="0.25">
      <c r="B785" s="59">
        <v>756</v>
      </c>
      <c r="C785" s="229"/>
      <c r="D785" s="229"/>
      <c r="E785" s="229"/>
      <c r="F785" s="229"/>
      <c r="G785" s="229"/>
      <c r="H785" s="229"/>
      <c r="I785" s="229"/>
      <c r="J785" s="11"/>
      <c r="K785" s="59"/>
      <c r="L785" s="59"/>
      <c r="M785" s="64"/>
      <c r="N785" s="64"/>
      <c r="O785" s="64"/>
    </row>
    <row r="786" spans="2:15" x14ac:dyDescent="0.25">
      <c r="B786" s="59">
        <v>757</v>
      </c>
      <c r="C786" s="229"/>
      <c r="D786" s="229"/>
      <c r="E786" s="229"/>
      <c r="F786" s="229"/>
      <c r="G786" s="229"/>
      <c r="H786" s="229"/>
      <c r="I786" s="229"/>
      <c r="J786" s="11"/>
      <c r="K786" s="59"/>
      <c r="L786" s="59"/>
      <c r="M786" s="64"/>
      <c r="N786" s="64"/>
      <c r="O786" s="64"/>
    </row>
    <row r="787" spans="2:15" x14ac:dyDescent="0.25">
      <c r="B787" s="59">
        <v>758</v>
      </c>
      <c r="C787" s="229"/>
      <c r="D787" s="229"/>
      <c r="E787" s="229"/>
      <c r="F787" s="229"/>
      <c r="G787" s="229"/>
      <c r="H787" s="229"/>
      <c r="I787" s="229"/>
      <c r="J787" s="11"/>
      <c r="K787" s="59"/>
      <c r="L787" s="59"/>
      <c r="M787" s="64"/>
      <c r="N787" s="64"/>
      <c r="O787" s="64"/>
    </row>
    <row r="788" spans="2:15" x14ac:dyDescent="0.25">
      <c r="B788" s="59">
        <v>759</v>
      </c>
      <c r="C788" s="229"/>
      <c r="D788" s="229"/>
      <c r="E788" s="229"/>
      <c r="F788" s="229"/>
      <c r="G788" s="229"/>
      <c r="H788" s="229"/>
      <c r="I788" s="229"/>
      <c r="J788" s="11"/>
      <c r="K788" s="59"/>
      <c r="L788" s="59"/>
      <c r="M788" s="64"/>
      <c r="N788" s="64"/>
      <c r="O788" s="64"/>
    </row>
    <row r="789" spans="2:15" x14ac:dyDescent="0.25">
      <c r="B789" s="59">
        <v>760</v>
      </c>
      <c r="C789" s="229"/>
      <c r="D789" s="229"/>
      <c r="E789" s="229"/>
      <c r="F789" s="229"/>
      <c r="G789" s="229"/>
      <c r="H789" s="229"/>
      <c r="I789" s="229"/>
      <c r="J789" s="11"/>
      <c r="K789" s="59"/>
      <c r="L789" s="59"/>
      <c r="M789" s="64"/>
      <c r="N789" s="64"/>
      <c r="O789" s="64"/>
    </row>
    <row r="790" spans="2:15" x14ac:dyDescent="0.25">
      <c r="B790" s="59">
        <v>761</v>
      </c>
      <c r="C790" s="229"/>
      <c r="D790" s="229"/>
      <c r="E790" s="229"/>
      <c r="F790" s="229"/>
      <c r="G790" s="229"/>
      <c r="H790" s="229"/>
      <c r="I790" s="229"/>
      <c r="J790" s="11"/>
      <c r="K790" s="59"/>
      <c r="L790" s="59"/>
      <c r="M790" s="64"/>
      <c r="N790" s="64"/>
      <c r="O790" s="64"/>
    </row>
    <row r="791" spans="2:15" x14ac:dyDescent="0.25">
      <c r="B791" s="59">
        <v>762</v>
      </c>
      <c r="C791" s="229"/>
      <c r="D791" s="229"/>
      <c r="E791" s="229"/>
      <c r="F791" s="229"/>
      <c r="G791" s="229"/>
      <c r="H791" s="229"/>
      <c r="I791" s="229"/>
      <c r="J791" s="11"/>
      <c r="K791" s="59"/>
      <c r="L791" s="59"/>
      <c r="M791" s="64"/>
      <c r="N791" s="64"/>
      <c r="O791" s="64"/>
    </row>
    <row r="792" spans="2:15" x14ac:dyDescent="0.25">
      <c r="B792" s="59">
        <v>763</v>
      </c>
      <c r="C792" s="229"/>
      <c r="D792" s="229"/>
      <c r="E792" s="229"/>
      <c r="F792" s="229"/>
      <c r="G792" s="229"/>
      <c r="H792" s="229"/>
      <c r="I792" s="229"/>
      <c r="J792" s="11"/>
      <c r="K792" s="59"/>
      <c r="L792" s="59"/>
      <c r="M792" s="64"/>
      <c r="N792" s="64"/>
      <c r="O792" s="64"/>
    </row>
    <row r="793" spans="2:15" x14ac:dyDescent="0.25">
      <c r="B793" s="59">
        <v>764</v>
      </c>
      <c r="C793" s="229"/>
      <c r="D793" s="229"/>
      <c r="E793" s="229"/>
      <c r="F793" s="229"/>
      <c r="G793" s="229"/>
      <c r="H793" s="229"/>
      <c r="I793" s="229"/>
      <c r="J793" s="11"/>
      <c r="K793" s="59"/>
      <c r="L793" s="59"/>
      <c r="M793" s="64"/>
      <c r="N793" s="64"/>
      <c r="O793" s="64"/>
    </row>
    <row r="794" spans="2:15" x14ac:dyDescent="0.25">
      <c r="B794" s="59">
        <v>765</v>
      </c>
      <c r="C794" s="229"/>
      <c r="D794" s="229"/>
      <c r="E794" s="229"/>
      <c r="F794" s="229"/>
      <c r="G794" s="229"/>
      <c r="H794" s="229"/>
      <c r="I794" s="229"/>
      <c r="J794" s="11"/>
      <c r="K794" s="59"/>
      <c r="L794" s="59"/>
      <c r="M794" s="64"/>
      <c r="N794" s="64"/>
      <c r="O794" s="64"/>
    </row>
    <row r="795" spans="2:15" x14ac:dyDescent="0.25">
      <c r="B795" s="59">
        <v>766</v>
      </c>
      <c r="C795" s="229"/>
      <c r="D795" s="229"/>
      <c r="E795" s="229"/>
      <c r="F795" s="229"/>
      <c r="G795" s="229"/>
      <c r="H795" s="229"/>
      <c r="I795" s="229"/>
      <c r="J795" s="11"/>
      <c r="K795" s="59"/>
      <c r="L795" s="59"/>
      <c r="M795" s="64"/>
      <c r="N795" s="64"/>
      <c r="O795" s="64"/>
    </row>
    <row r="796" spans="2:15" x14ac:dyDescent="0.25">
      <c r="B796" s="59">
        <v>767</v>
      </c>
      <c r="C796" s="229"/>
      <c r="D796" s="229"/>
      <c r="E796" s="229"/>
      <c r="F796" s="229"/>
      <c r="G796" s="229"/>
      <c r="H796" s="229"/>
      <c r="I796" s="229"/>
      <c r="J796" s="11"/>
      <c r="K796" s="59"/>
      <c r="L796" s="59"/>
      <c r="M796" s="64"/>
      <c r="N796" s="64"/>
      <c r="O796" s="64"/>
    </row>
    <row r="797" spans="2:15" x14ac:dyDescent="0.25">
      <c r="B797" s="59">
        <v>768</v>
      </c>
      <c r="C797" s="229"/>
      <c r="D797" s="229"/>
      <c r="E797" s="229"/>
      <c r="F797" s="229"/>
      <c r="G797" s="229"/>
      <c r="H797" s="229"/>
      <c r="I797" s="229"/>
      <c r="J797" s="11"/>
      <c r="K797" s="59"/>
      <c r="L797" s="59"/>
      <c r="M797" s="64"/>
      <c r="N797" s="64"/>
      <c r="O797" s="64"/>
    </row>
    <row r="798" spans="2:15" x14ac:dyDescent="0.25">
      <c r="B798" s="59">
        <v>769</v>
      </c>
      <c r="C798" s="229"/>
      <c r="D798" s="229"/>
      <c r="E798" s="229"/>
      <c r="F798" s="229"/>
      <c r="G798" s="229"/>
      <c r="H798" s="229"/>
      <c r="I798" s="229"/>
      <c r="J798" s="11"/>
      <c r="K798" s="59"/>
      <c r="L798" s="59"/>
      <c r="M798" s="64"/>
      <c r="N798" s="64"/>
      <c r="O798" s="64"/>
    </row>
    <row r="799" spans="2:15" x14ac:dyDescent="0.25">
      <c r="B799" s="59">
        <v>770</v>
      </c>
      <c r="C799" s="229"/>
      <c r="D799" s="229"/>
      <c r="E799" s="229"/>
      <c r="F799" s="229"/>
      <c r="G799" s="229"/>
      <c r="H799" s="229"/>
      <c r="I799" s="229"/>
      <c r="J799" s="11"/>
      <c r="K799" s="59"/>
      <c r="L799" s="59"/>
      <c r="M799" s="64"/>
      <c r="N799" s="64"/>
      <c r="O799" s="64"/>
    </row>
    <row r="800" spans="2:15" x14ac:dyDescent="0.25">
      <c r="B800" s="59">
        <v>771</v>
      </c>
      <c r="C800" s="229"/>
      <c r="D800" s="229"/>
      <c r="E800" s="229"/>
      <c r="F800" s="229"/>
      <c r="G800" s="229"/>
      <c r="H800" s="229"/>
      <c r="I800" s="229"/>
      <c r="J800" s="11"/>
      <c r="K800" s="59"/>
      <c r="L800" s="59"/>
      <c r="M800" s="64"/>
      <c r="N800" s="64"/>
      <c r="O800" s="64"/>
    </row>
    <row r="801" spans="2:15" x14ac:dyDescent="0.25">
      <c r="B801" s="59">
        <v>772</v>
      </c>
      <c r="C801" s="229"/>
      <c r="D801" s="229"/>
      <c r="E801" s="229"/>
      <c r="F801" s="229"/>
      <c r="G801" s="229"/>
      <c r="H801" s="229"/>
      <c r="I801" s="229"/>
      <c r="J801" s="11"/>
      <c r="K801" s="59"/>
      <c r="L801" s="59"/>
      <c r="M801" s="64"/>
      <c r="N801" s="64"/>
      <c r="O801" s="64"/>
    </row>
    <row r="802" spans="2:15" x14ac:dyDescent="0.25">
      <c r="B802" s="59">
        <v>773</v>
      </c>
      <c r="C802" s="229"/>
      <c r="D802" s="229"/>
      <c r="E802" s="229"/>
      <c r="F802" s="229"/>
      <c r="G802" s="229"/>
      <c r="H802" s="229"/>
      <c r="I802" s="229"/>
      <c r="J802" s="11"/>
      <c r="K802" s="59"/>
      <c r="L802" s="59"/>
      <c r="M802" s="64"/>
      <c r="N802" s="64"/>
      <c r="O802" s="64"/>
    </row>
    <row r="803" spans="2:15" x14ac:dyDescent="0.25">
      <c r="B803" s="59">
        <v>774</v>
      </c>
      <c r="C803" s="229"/>
      <c r="D803" s="229"/>
      <c r="E803" s="229"/>
      <c r="F803" s="229"/>
      <c r="G803" s="229"/>
      <c r="H803" s="229"/>
      <c r="I803" s="229"/>
      <c r="J803" s="11"/>
      <c r="K803" s="59"/>
      <c r="L803" s="59"/>
      <c r="M803" s="64"/>
      <c r="N803" s="64"/>
      <c r="O803" s="64"/>
    </row>
    <row r="804" spans="2:15" x14ac:dyDescent="0.25">
      <c r="B804" s="59">
        <v>775</v>
      </c>
      <c r="C804" s="229"/>
      <c r="D804" s="229"/>
      <c r="E804" s="229"/>
      <c r="F804" s="229"/>
      <c r="G804" s="229"/>
      <c r="H804" s="229"/>
      <c r="I804" s="229"/>
      <c r="J804" s="11"/>
      <c r="K804" s="59"/>
      <c r="L804" s="59"/>
      <c r="M804" s="64"/>
      <c r="N804" s="64"/>
      <c r="O804" s="64"/>
    </row>
    <row r="805" spans="2:15" x14ac:dyDescent="0.25">
      <c r="B805" s="59">
        <v>776</v>
      </c>
      <c r="C805" s="229"/>
      <c r="D805" s="229"/>
      <c r="E805" s="229"/>
      <c r="F805" s="229"/>
      <c r="G805" s="229"/>
      <c r="H805" s="229"/>
      <c r="I805" s="229"/>
      <c r="J805" s="11"/>
      <c r="K805" s="59"/>
      <c r="L805" s="59"/>
      <c r="M805" s="64"/>
      <c r="N805" s="64"/>
      <c r="O805" s="64"/>
    </row>
    <row r="806" spans="2:15" x14ac:dyDescent="0.25">
      <c r="B806" s="59">
        <v>777</v>
      </c>
      <c r="C806" s="229"/>
      <c r="D806" s="229"/>
      <c r="E806" s="229"/>
      <c r="F806" s="229"/>
      <c r="G806" s="229"/>
      <c r="H806" s="229"/>
      <c r="I806" s="229"/>
      <c r="J806" s="11"/>
      <c r="K806" s="59"/>
      <c r="L806" s="59"/>
      <c r="M806" s="64"/>
      <c r="N806" s="64"/>
      <c r="O806" s="64"/>
    </row>
    <row r="807" spans="2:15" x14ac:dyDescent="0.25">
      <c r="B807" s="59">
        <v>778</v>
      </c>
      <c r="C807" s="229"/>
      <c r="D807" s="229"/>
      <c r="E807" s="229"/>
      <c r="F807" s="229"/>
      <c r="G807" s="229"/>
      <c r="H807" s="229"/>
      <c r="I807" s="229"/>
      <c r="J807" s="11"/>
      <c r="K807" s="59"/>
      <c r="L807" s="59"/>
      <c r="M807" s="64"/>
      <c r="N807" s="64"/>
      <c r="O807" s="64"/>
    </row>
    <row r="808" spans="2:15" x14ac:dyDescent="0.25">
      <c r="B808" s="59">
        <v>779</v>
      </c>
      <c r="C808" s="229"/>
      <c r="D808" s="229"/>
      <c r="E808" s="229"/>
      <c r="F808" s="229"/>
      <c r="G808" s="229"/>
      <c r="H808" s="229"/>
      <c r="I808" s="229"/>
      <c r="J808" s="11"/>
      <c r="K808" s="59"/>
      <c r="L808" s="59"/>
      <c r="M808" s="64"/>
      <c r="N808" s="64"/>
      <c r="O808" s="64"/>
    </row>
    <row r="809" spans="2:15" x14ac:dyDescent="0.25">
      <c r="B809" s="59">
        <v>780</v>
      </c>
      <c r="C809" s="229"/>
      <c r="D809" s="229"/>
      <c r="E809" s="229"/>
      <c r="F809" s="229"/>
      <c r="G809" s="229"/>
      <c r="H809" s="229"/>
      <c r="I809" s="229"/>
      <c r="J809" s="11"/>
      <c r="K809" s="59"/>
      <c r="L809" s="59"/>
      <c r="M809" s="64"/>
      <c r="N809" s="64"/>
      <c r="O809" s="64"/>
    </row>
    <row r="810" spans="2:15" x14ac:dyDescent="0.25">
      <c r="B810" s="59">
        <v>781</v>
      </c>
      <c r="C810" s="229"/>
      <c r="D810" s="229"/>
      <c r="E810" s="229"/>
      <c r="F810" s="229"/>
      <c r="G810" s="229"/>
      <c r="H810" s="229"/>
      <c r="I810" s="229"/>
      <c r="J810" s="11"/>
      <c r="K810" s="59"/>
      <c r="L810" s="59"/>
      <c r="M810" s="64"/>
      <c r="N810" s="64"/>
      <c r="O810" s="64"/>
    </row>
    <row r="811" spans="2:15" x14ac:dyDescent="0.25">
      <c r="B811" s="59">
        <v>782</v>
      </c>
      <c r="C811" s="229"/>
      <c r="D811" s="229"/>
      <c r="E811" s="229"/>
      <c r="F811" s="229"/>
      <c r="G811" s="229"/>
      <c r="H811" s="229"/>
      <c r="I811" s="229"/>
      <c r="J811" s="11"/>
      <c r="K811" s="59"/>
      <c r="L811" s="59"/>
      <c r="M811" s="64"/>
      <c r="N811" s="64"/>
      <c r="O811" s="64"/>
    </row>
    <row r="812" spans="2:15" x14ac:dyDescent="0.25">
      <c r="B812" s="59">
        <v>783</v>
      </c>
      <c r="C812" s="229"/>
      <c r="D812" s="229"/>
      <c r="E812" s="229"/>
      <c r="F812" s="229"/>
      <c r="G812" s="229"/>
      <c r="H812" s="229"/>
      <c r="I812" s="229"/>
      <c r="J812" s="11"/>
      <c r="K812" s="59"/>
      <c r="L812" s="59"/>
      <c r="M812" s="64"/>
      <c r="N812" s="64"/>
      <c r="O812" s="64"/>
    </row>
    <row r="813" spans="2:15" x14ac:dyDescent="0.25">
      <c r="B813" s="59">
        <v>784</v>
      </c>
      <c r="C813" s="229"/>
      <c r="D813" s="229"/>
      <c r="E813" s="229"/>
      <c r="F813" s="229"/>
      <c r="G813" s="229"/>
      <c r="H813" s="229"/>
      <c r="I813" s="229"/>
      <c r="J813" s="11"/>
      <c r="K813" s="59"/>
      <c r="L813" s="59"/>
      <c r="M813" s="64"/>
      <c r="N813" s="64"/>
      <c r="O813" s="64"/>
    </row>
    <row r="814" spans="2:15" x14ac:dyDescent="0.25">
      <c r="B814" s="59">
        <v>785</v>
      </c>
      <c r="C814" s="229"/>
      <c r="D814" s="229"/>
      <c r="E814" s="229"/>
      <c r="F814" s="229"/>
      <c r="G814" s="229"/>
      <c r="H814" s="229"/>
      <c r="I814" s="229"/>
      <c r="J814" s="11"/>
      <c r="K814" s="59"/>
      <c r="L814" s="59"/>
      <c r="M814" s="64"/>
      <c r="N814" s="64"/>
      <c r="O814" s="64"/>
    </row>
    <row r="815" spans="2:15" x14ac:dyDescent="0.25">
      <c r="B815" s="59">
        <v>786</v>
      </c>
      <c r="C815" s="229"/>
      <c r="D815" s="229"/>
      <c r="E815" s="229"/>
      <c r="F815" s="229"/>
      <c r="G815" s="229"/>
      <c r="H815" s="229"/>
      <c r="I815" s="229"/>
      <c r="J815" s="11"/>
      <c r="K815" s="59"/>
      <c r="L815" s="59"/>
      <c r="M815" s="64"/>
      <c r="N815" s="64"/>
      <c r="O815" s="64"/>
    </row>
    <row r="816" spans="2:15" x14ac:dyDescent="0.25">
      <c r="B816" s="59">
        <v>787</v>
      </c>
      <c r="C816" s="229"/>
      <c r="D816" s="229"/>
      <c r="E816" s="229"/>
      <c r="F816" s="229"/>
      <c r="G816" s="229"/>
      <c r="H816" s="229"/>
      <c r="I816" s="229"/>
      <c r="J816" s="11"/>
      <c r="K816" s="59"/>
      <c r="L816" s="59"/>
      <c r="M816" s="64"/>
      <c r="N816" s="64"/>
      <c r="O816" s="64"/>
    </row>
    <row r="817" spans="2:15" x14ac:dyDescent="0.25">
      <c r="B817" s="59">
        <v>788</v>
      </c>
      <c r="C817" s="229"/>
      <c r="D817" s="229"/>
      <c r="E817" s="229"/>
      <c r="F817" s="229"/>
      <c r="G817" s="229"/>
      <c r="H817" s="229"/>
      <c r="I817" s="229"/>
      <c r="J817" s="11"/>
      <c r="K817" s="59"/>
      <c r="L817" s="59"/>
      <c r="M817" s="64"/>
      <c r="N817" s="64"/>
      <c r="O817" s="64"/>
    </row>
    <row r="818" spans="2:15" x14ac:dyDescent="0.25">
      <c r="B818" s="59">
        <v>789</v>
      </c>
      <c r="C818" s="229"/>
      <c r="D818" s="229"/>
      <c r="E818" s="229"/>
      <c r="F818" s="229"/>
      <c r="G818" s="229"/>
      <c r="H818" s="229"/>
      <c r="I818" s="229"/>
      <c r="J818" s="11"/>
      <c r="K818" s="59"/>
      <c r="L818" s="59"/>
      <c r="M818" s="64"/>
      <c r="N818" s="64"/>
      <c r="O818" s="64"/>
    </row>
    <row r="819" spans="2:15" x14ac:dyDescent="0.25">
      <c r="B819" s="59">
        <v>790</v>
      </c>
      <c r="C819" s="229"/>
      <c r="D819" s="229"/>
      <c r="E819" s="229"/>
      <c r="F819" s="229"/>
      <c r="G819" s="229"/>
      <c r="H819" s="229"/>
      <c r="I819" s="229"/>
      <c r="J819" s="11"/>
      <c r="K819" s="59"/>
      <c r="L819" s="59"/>
      <c r="M819" s="64"/>
      <c r="N819" s="64"/>
      <c r="O819" s="64"/>
    </row>
    <row r="820" spans="2:15" x14ac:dyDescent="0.25">
      <c r="B820" s="59">
        <v>791</v>
      </c>
      <c r="C820" s="229"/>
      <c r="D820" s="229"/>
      <c r="E820" s="229"/>
      <c r="F820" s="229"/>
      <c r="G820" s="229"/>
      <c r="H820" s="229"/>
      <c r="I820" s="229"/>
      <c r="J820" s="11"/>
      <c r="K820" s="59"/>
      <c r="L820" s="59"/>
      <c r="M820" s="64"/>
      <c r="N820" s="64"/>
      <c r="O820" s="64"/>
    </row>
    <row r="821" spans="2:15" x14ac:dyDescent="0.25">
      <c r="B821" s="59">
        <v>792</v>
      </c>
      <c r="C821" s="229"/>
      <c r="D821" s="229"/>
      <c r="E821" s="229"/>
      <c r="F821" s="229"/>
      <c r="G821" s="229"/>
      <c r="H821" s="229"/>
      <c r="I821" s="229"/>
      <c r="J821" s="11"/>
      <c r="K821" s="59"/>
      <c r="L821" s="59"/>
      <c r="M821" s="64"/>
      <c r="N821" s="64"/>
      <c r="O821" s="64"/>
    </row>
    <row r="822" spans="2:15" x14ac:dyDescent="0.25">
      <c r="B822" s="59">
        <v>793</v>
      </c>
      <c r="C822" s="229"/>
      <c r="D822" s="229"/>
      <c r="E822" s="229"/>
      <c r="F822" s="229"/>
      <c r="G822" s="229"/>
      <c r="H822" s="229"/>
      <c r="I822" s="229"/>
      <c r="J822" s="11"/>
      <c r="K822" s="59"/>
      <c r="L822" s="59"/>
      <c r="M822" s="64"/>
      <c r="N822" s="64"/>
      <c r="O822" s="64"/>
    </row>
    <row r="823" spans="2:15" x14ac:dyDescent="0.25">
      <c r="B823" s="59">
        <v>794</v>
      </c>
      <c r="C823" s="229"/>
      <c r="D823" s="229"/>
      <c r="E823" s="229"/>
      <c r="F823" s="229"/>
      <c r="G823" s="229"/>
      <c r="H823" s="229"/>
      <c r="I823" s="229"/>
      <c r="J823" s="11"/>
      <c r="K823" s="59"/>
      <c r="L823" s="59"/>
      <c r="M823" s="64"/>
      <c r="N823" s="64"/>
      <c r="O823" s="64"/>
    </row>
    <row r="824" spans="2:15" x14ac:dyDescent="0.25">
      <c r="B824" s="59">
        <v>795</v>
      </c>
      <c r="C824" s="229"/>
      <c r="D824" s="229"/>
      <c r="E824" s="229"/>
      <c r="F824" s="229"/>
      <c r="G824" s="229"/>
      <c r="H824" s="229"/>
      <c r="I824" s="229"/>
      <c r="J824" s="11"/>
      <c r="K824" s="59"/>
      <c r="L824" s="59"/>
      <c r="M824" s="64"/>
      <c r="N824" s="64"/>
      <c r="O824" s="64"/>
    </row>
    <row r="825" spans="2:15" x14ac:dyDescent="0.25">
      <c r="B825" s="59">
        <v>796</v>
      </c>
      <c r="C825" s="229"/>
      <c r="D825" s="229"/>
      <c r="E825" s="229"/>
      <c r="F825" s="229"/>
      <c r="G825" s="229"/>
      <c r="H825" s="229"/>
      <c r="I825" s="229"/>
      <c r="J825" s="11"/>
      <c r="K825" s="59"/>
      <c r="L825" s="59"/>
      <c r="M825" s="64"/>
      <c r="N825" s="64"/>
      <c r="O825" s="64"/>
    </row>
    <row r="826" spans="2:15" x14ac:dyDescent="0.25">
      <c r="B826" s="59">
        <v>797</v>
      </c>
      <c r="C826" s="229"/>
      <c r="D826" s="229"/>
      <c r="E826" s="229"/>
      <c r="F826" s="229"/>
      <c r="G826" s="229"/>
      <c r="H826" s="229"/>
      <c r="I826" s="229"/>
      <c r="J826" s="11"/>
      <c r="K826" s="59"/>
      <c r="L826" s="59"/>
      <c r="M826" s="64"/>
      <c r="N826" s="64"/>
      <c r="O826" s="64"/>
    </row>
    <row r="827" spans="2:15" x14ac:dyDescent="0.25">
      <c r="B827" s="59">
        <v>798</v>
      </c>
      <c r="C827" s="229"/>
      <c r="D827" s="229"/>
      <c r="E827" s="229"/>
      <c r="F827" s="229"/>
      <c r="G827" s="229"/>
      <c r="H827" s="229"/>
      <c r="I827" s="229"/>
      <c r="J827" s="11"/>
      <c r="K827" s="59"/>
      <c r="L827" s="59"/>
      <c r="M827" s="64"/>
      <c r="N827" s="64"/>
      <c r="O827" s="64"/>
    </row>
    <row r="828" spans="2:15" x14ac:dyDescent="0.25">
      <c r="B828" s="59">
        <v>799</v>
      </c>
      <c r="C828" s="229"/>
      <c r="D828" s="229"/>
      <c r="E828" s="229"/>
      <c r="F828" s="229"/>
      <c r="G828" s="229"/>
      <c r="H828" s="229"/>
      <c r="I828" s="229"/>
      <c r="J828" s="11"/>
      <c r="K828" s="59"/>
      <c r="L828" s="59"/>
      <c r="M828" s="64"/>
      <c r="N828" s="64"/>
      <c r="O828" s="64"/>
    </row>
    <row r="829" spans="2:15" x14ac:dyDescent="0.25">
      <c r="B829" s="59">
        <v>800</v>
      </c>
      <c r="C829" s="229"/>
      <c r="D829" s="229"/>
      <c r="E829" s="229"/>
      <c r="F829" s="229"/>
      <c r="G829" s="229"/>
      <c r="H829" s="229"/>
      <c r="I829" s="229"/>
      <c r="J829" s="11"/>
      <c r="K829" s="59"/>
      <c r="L829" s="59"/>
      <c r="M829" s="64"/>
      <c r="N829" s="64"/>
      <c r="O829" s="64"/>
    </row>
    <row r="830" spans="2:15" x14ac:dyDescent="0.25">
      <c r="B830" s="59">
        <v>801</v>
      </c>
      <c r="C830" s="229"/>
      <c r="D830" s="229"/>
      <c r="E830" s="229"/>
      <c r="F830" s="229"/>
      <c r="G830" s="229"/>
      <c r="H830" s="229"/>
      <c r="I830" s="229"/>
      <c r="J830" s="11"/>
      <c r="K830" s="59"/>
      <c r="L830" s="59"/>
      <c r="M830" s="64"/>
      <c r="N830" s="64"/>
      <c r="O830" s="64"/>
    </row>
    <row r="831" spans="2:15" x14ac:dyDescent="0.25">
      <c r="B831" s="59">
        <v>802</v>
      </c>
      <c r="C831" s="229"/>
      <c r="D831" s="229"/>
      <c r="E831" s="229"/>
      <c r="F831" s="229"/>
      <c r="G831" s="229"/>
      <c r="H831" s="229"/>
      <c r="I831" s="229"/>
      <c r="J831" s="11"/>
      <c r="K831" s="59"/>
      <c r="L831" s="59"/>
      <c r="M831" s="64"/>
      <c r="N831" s="64"/>
      <c r="O831" s="64"/>
    </row>
    <row r="832" spans="2:15" x14ac:dyDescent="0.25">
      <c r="B832" s="59">
        <v>803</v>
      </c>
      <c r="C832" s="229"/>
      <c r="D832" s="229"/>
      <c r="E832" s="229"/>
      <c r="F832" s="229"/>
      <c r="G832" s="229"/>
      <c r="H832" s="229"/>
      <c r="I832" s="229"/>
      <c r="J832" s="11"/>
      <c r="K832" s="59"/>
      <c r="L832" s="59"/>
      <c r="M832" s="64"/>
      <c r="N832" s="64"/>
      <c r="O832" s="64"/>
    </row>
    <row r="833" spans="2:15" x14ac:dyDescent="0.25">
      <c r="B833" s="59">
        <v>804</v>
      </c>
      <c r="C833" s="229"/>
      <c r="D833" s="229"/>
      <c r="E833" s="229"/>
      <c r="F833" s="229"/>
      <c r="G833" s="229"/>
      <c r="H833" s="229"/>
      <c r="I833" s="229"/>
      <c r="J833" s="11"/>
      <c r="K833" s="59"/>
      <c r="L833" s="59"/>
      <c r="M833" s="64"/>
      <c r="N833" s="64"/>
      <c r="O833" s="64"/>
    </row>
    <row r="834" spans="2:15" x14ac:dyDescent="0.25">
      <c r="B834" s="59">
        <v>805</v>
      </c>
      <c r="C834" s="229"/>
      <c r="D834" s="229"/>
      <c r="E834" s="229"/>
      <c r="F834" s="229"/>
      <c r="G834" s="229"/>
      <c r="H834" s="229"/>
      <c r="I834" s="229"/>
      <c r="J834" s="11"/>
      <c r="K834" s="59"/>
      <c r="L834" s="59"/>
      <c r="M834" s="64"/>
      <c r="N834" s="64"/>
      <c r="O834" s="64"/>
    </row>
    <row r="835" spans="2:15" x14ac:dyDescent="0.25">
      <c r="B835" s="59">
        <v>806</v>
      </c>
      <c r="C835" s="229"/>
      <c r="D835" s="229"/>
      <c r="E835" s="229"/>
      <c r="F835" s="229"/>
      <c r="G835" s="229"/>
      <c r="H835" s="229"/>
      <c r="I835" s="229"/>
      <c r="J835" s="11"/>
      <c r="K835" s="59"/>
      <c r="L835" s="59"/>
      <c r="M835" s="64"/>
      <c r="N835" s="64"/>
      <c r="O835" s="64"/>
    </row>
    <row r="836" spans="2:15" x14ac:dyDescent="0.25">
      <c r="B836" s="59">
        <v>807</v>
      </c>
      <c r="C836" s="229"/>
      <c r="D836" s="229"/>
      <c r="E836" s="229"/>
      <c r="F836" s="229"/>
      <c r="G836" s="229"/>
      <c r="H836" s="229"/>
      <c r="I836" s="229"/>
      <c r="J836" s="11"/>
      <c r="K836" s="59"/>
      <c r="L836" s="59"/>
      <c r="M836" s="64"/>
      <c r="N836" s="64"/>
      <c r="O836" s="64"/>
    </row>
    <row r="837" spans="2:15" x14ac:dyDescent="0.25">
      <c r="B837" s="59">
        <v>808</v>
      </c>
      <c r="C837" s="229"/>
      <c r="D837" s="229"/>
      <c r="E837" s="229"/>
      <c r="F837" s="229"/>
      <c r="G837" s="229"/>
      <c r="H837" s="229"/>
      <c r="I837" s="229"/>
      <c r="J837" s="11"/>
      <c r="K837" s="59"/>
      <c r="L837" s="59"/>
      <c r="M837" s="64"/>
      <c r="N837" s="64"/>
      <c r="O837" s="64"/>
    </row>
    <row r="838" spans="2:15" x14ac:dyDescent="0.25">
      <c r="B838" s="59">
        <v>809</v>
      </c>
      <c r="C838" s="229"/>
      <c r="D838" s="229"/>
      <c r="E838" s="229"/>
      <c r="F838" s="229"/>
      <c r="G838" s="229"/>
      <c r="H838" s="229"/>
      <c r="I838" s="229"/>
      <c r="J838" s="11"/>
      <c r="K838" s="59"/>
      <c r="L838" s="59"/>
      <c r="M838" s="64"/>
      <c r="N838" s="64"/>
      <c r="O838" s="64"/>
    </row>
    <row r="839" spans="2:15" x14ac:dyDescent="0.25">
      <c r="B839" s="59">
        <v>810</v>
      </c>
      <c r="C839" s="229"/>
      <c r="D839" s="229"/>
      <c r="E839" s="229"/>
      <c r="F839" s="229"/>
      <c r="G839" s="229"/>
      <c r="H839" s="229"/>
      <c r="I839" s="229"/>
      <c r="J839" s="11"/>
      <c r="K839" s="59"/>
      <c r="L839" s="59"/>
      <c r="M839" s="64"/>
      <c r="N839" s="64"/>
      <c r="O839" s="64"/>
    </row>
    <row r="840" spans="2:15" x14ac:dyDescent="0.25">
      <c r="B840" s="59">
        <v>811</v>
      </c>
      <c r="C840" s="229"/>
      <c r="D840" s="229"/>
      <c r="E840" s="229"/>
      <c r="F840" s="229"/>
      <c r="G840" s="229"/>
      <c r="H840" s="229"/>
      <c r="I840" s="229"/>
      <c r="J840" s="11"/>
      <c r="K840" s="59"/>
      <c r="L840" s="59"/>
      <c r="M840" s="64"/>
      <c r="N840" s="64"/>
      <c r="O840" s="64"/>
    </row>
    <row r="841" spans="2:15" x14ac:dyDescent="0.25">
      <c r="B841" s="59">
        <v>812</v>
      </c>
      <c r="C841" s="229"/>
      <c r="D841" s="229"/>
      <c r="E841" s="229"/>
      <c r="F841" s="229"/>
      <c r="G841" s="229"/>
      <c r="H841" s="229"/>
      <c r="I841" s="229"/>
      <c r="J841" s="11"/>
      <c r="K841" s="59"/>
      <c r="L841" s="59"/>
      <c r="M841" s="64"/>
      <c r="N841" s="64"/>
      <c r="O841" s="64"/>
    </row>
    <row r="842" spans="2:15" x14ac:dyDescent="0.25">
      <c r="B842" s="59">
        <v>813</v>
      </c>
      <c r="C842" s="229"/>
      <c r="D842" s="229"/>
      <c r="E842" s="229"/>
      <c r="F842" s="229"/>
      <c r="G842" s="229"/>
      <c r="H842" s="229"/>
      <c r="I842" s="229"/>
      <c r="J842" s="11"/>
      <c r="K842" s="59"/>
      <c r="L842" s="59"/>
      <c r="M842" s="64"/>
      <c r="N842" s="64"/>
      <c r="O842" s="64"/>
    </row>
    <row r="843" spans="2:15" x14ac:dyDescent="0.25">
      <c r="B843" s="59">
        <v>814</v>
      </c>
      <c r="C843" s="229"/>
      <c r="D843" s="229"/>
      <c r="E843" s="229"/>
      <c r="F843" s="229"/>
      <c r="G843" s="229"/>
      <c r="H843" s="229"/>
      <c r="I843" s="229"/>
      <c r="J843" s="11"/>
      <c r="K843" s="59"/>
      <c r="L843" s="59"/>
      <c r="M843" s="64"/>
      <c r="N843" s="64"/>
      <c r="O843" s="64"/>
    </row>
    <row r="844" spans="2:15" x14ac:dyDescent="0.25">
      <c r="B844" s="59">
        <v>815</v>
      </c>
      <c r="C844" s="229"/>
      <c r="D844" s="229"/>
      <c r="E844" s="229"/>
      <c r="F844" s="229"/>
      <c r="G844" s="229"/>
      <c r="H844" s="229"/>
      <c r="I844" s="229"/>
      <c r="J844" s="11"/>
      <c r="K844" s="59"/>
      <c r="L844" s="59"/>
      <c r="M844" s="64"/>
      <c r="N844" s="64"/>
      <c r="O844" s="64"/>
    </row>
    <row r="845" spans="2:15" x14ac:dyDescent="0.25">
      <c r="B845" s="59">
        <v>816</v>
      </c>
      <c r="C845" s="229"/>
      <c r="D845" s="229"/>
      <c r="E845" s="229"/>
      <c r="F845" s="229"/>
      <c r="G845" s="229"/>
      <c r="H845" s="229"/>
      <c r="I845" s="229"/>
      <c r="J845" s="11"/>
      <c r="K845" s="59"/>
      <c r="L845" s="59"/>
      <c r="M845" s="64"/>
      <c r="N845" s="64"/>
      <c r="O845" s="64"/>
    </row>
    <row r="846" spans="2:15" x14ac:dyDescent="0.25">
      <c r="B846" s="59">
        <v>817</v>
      </c>
      <c r="C846" s="229"/>
      <c r="D846" s="229"/>
      <c r="E846" s="229"/>
      <c r="F846" s="229"/>
      <c r="G846" s="229"/>
      <c r="H846" s="229"/>
      <c r="I846" s="229"/>
      <c r="J846" s="11"/>
      <c r="K846" s="59"/>
      <c r="L846" s="59"/>
      <c r="M846" s="64"/>
      <c r="N846" s="64"/>
      <c r="O846" s="64"/>
    </row>
    <row r="847" spans="2:15" x14ac:dyDescent="0.25">
      <c r="B847" s="59">
        <v>818</v>
      </c>
      <c r="C847" s="229"/>
      <c r="D847" s="229"/>
      <c r="E847" s="229"/>
      <c r="F847" s="229"/>
      <c r="G847" s="229"/>
      <c r="H847" s="229"/>
      <c r="I847" s="229"/>
      <c r="J847" s="11"/>
      <c r="K847" s="59"/>
      <c r="L847" s="59"/>
      <c r="M847" s="64"/>
      <c r="N847" s="64"/>
      <c r="O847" s="64"/>
    </row>
    <row r="848" spans="2:15" x14ac:dyDescent="0.25">
      <c r="B848" s="59">
        <v>819</v>
      </c>
      <c r="C848" s="229"/>
      <c r="D848" s="229"/>
      <c r="E848" s="229"/>
      <c r="F848" s="229"/>
      <c r="G848" s="229"/>
      <c r="H848" s="229"/>
      <c r="I848" s="229"/>
      <c r="J848" s="11"/>
      <c r="K848" s="59"/>
      <c r="L848" s="59"/>
      <c r="M848" s="64"/>
      <c r="N848" s="64"/>
      <c r="O848" s="64"/>
    </row>
    <row r="849" spans="2:15" x14ac:dyDescent="0.25">
      <c r="B849" s="59">
        <v>820</v>
      </c>
      <c r="C849" s="229"/>
      <c r="D849" s="229"/>
      <c r="E849" s="229"/>
      <c r="F849" s="229"/>
      <c r="G849" s="229"/>
      <c r="H849" s="229"/>
      <c r="I849" s="229"/>
      <c r="J849" s="11"/>
      <c r="K849" s="59"/>
      <c r="L849" s="59"/>
      <c r="M849" s="64"/>
      <c r="N849" s="64"/>
      <c r="O849" s="64"/>
    </row>
    <row r="850" spans="2:15" x14ac:dyDescent="0.25">
      <c r="B850" s="59">
        <v>821</v>
      </c>
      <c r="C850" s="229"/>
      <c r="D850" s="229"/>
      <c r="E850" s="229"/>
      <c r="F850" s="229"/>
      <c r="G850" s="229"/>
      <c r="H850" s="229"/>
      <c r="I850" s="229"/>
      <c r="J850" s="11"/>
      <c r="K850" s="59"/>
      <c r="L850" s="59"/>
      <c r="M850" s="64"/>
      <c r="N850" s="64"/>
      <c r="O850" s="64"/>
    </row>
    <row r="851" spans="2:15" x14ac:dyDescent="0.25">
      <c r="B851" s="59">
        <v>822</v>
      </c>
      <c r="C851" s="229"/>
      <c r="D851" s="229"/>
      <c r="E851" s="229"/>
      <c r="F851" s="229"/>
      <c r="G851" s="229"/>
      <c r="H851" s="229"/>
      <c r="I851" s="229"/>
      <c r="J851" s="11"/>
      <c r="K851" s="59"/>
      <c r="L851" s="59"/>
      <c r="M851" s="64"/>
      <c r="N851" s="64"/>
      <c r="O851" s="64"/>
    </row>
    <row r="852" spans="2:15" x14ac:dyDescent="0.25">
      <c r="B852" s="59">
        <v>823</v>
      </c>
      <c r="C852" s="229"/>
      <c r="D852" s="229"/>
      <c r="E852" s="229"/>
      <c r="F852" s="229"/>
      <c r="G852" s="229"/>
      <c r="H852" s="229"/>
      <c r="I852" s="229"/>
      <c r="J852" s="11"/>
      <c r="K852" s="59"/>
      <c r="L852" s="59"/>
      <c r="M852" s="64"/>
      <c r="N852" s="64"/>
      <c r="O852" s="64"/>
    </row>
    <row r="853" spans="2:15" x14ac:dyDescent="0.25">
      <c r="B853" s="59">
        <v>824</v>
      </c>
      <c r="C853" s="229"/>
      <c r="D853" s="229"/>
      <c r="E853" s="229"/>
      <c r="F853" s="229"/>
      <c r="G853" s="229"/>
      <c r="H853" s="229"/>
      <c r="I853" s="229"/>
      <c r="J853" s="11"/>
      <c r="K853" s="59"/>
      <c r="L853" s="59"/>
      <c r="M853" s="64"/>
      <c r="N853" s="64"/>
      <c r="O853" s="64"/>
    </row>
    <row r="854" spans="2:15" x14ac:dyDescent="0.25">
      <c r="B854" s="59">
        <v>825</v>
      </c>
      <c r="C854" s="229"/>
      <c r="D854" s="229"/>
      <c r="E854" s="229"/>
      <c r="F854" s="229"/>
      <c r="G854" s="229"/>
      <c r="H854" s="229"/>
      <c r="I854" s="229"/>
      <c r="J854" s="11"/>
      <c r="K854" s="59"/>
      <c r="L854" s="59"/>
      <c r="M854" s="64"/>
      <c r="N854" s="64"/>
      <c r="O854" s="64"/>
    </row>
    <row r="855" spans="2:15" x14ac:dyDescent="0.25">
      <c r="B855" s="59">
        <v>826</v>
      </c>
      <c r="C855" s="229"/>
      <c r="D855" s="229"/>
      <c r="E855" s="229"/>
      <c r="F855" s="229"/>
      <c r="G855" s="229"/>
      <c r="H855" s="229"/>
      <c r="I855" s="229"/>
      <c r="J855" s="11"/>
      <c r="K855" s="59"/>
      <c r="L855" s="59"/>
      <c r="M855" s="64"/>
      <c r="N855" s="64"/>
      <c r="O855" s="64"/>
    </row>
    <row r="856" spans="2:15" x14ac:dyDescent="0.25">
      <c r="B856" s="59">
        <v>827</v>
      </c>
      <c r="C856" s="229"/>
      <c r="D856" s="229"/>
      <c r="E856" s="229"/>
      <c r="F856" s="229"/>
      <c r="G856" s="229"/>
      <c r="H856" s="229"/>
      <c r="I856" s="229"/>
      <c r="J856" s="11"/>
      <c r="K856" s="59"/>
      <c r="L856" s="59"/>
      <c r="M856" s="64"/>
      <c r="N856" s="64"/>
      <c r="O856" s="64"/>
    </row>
    <row r="857" spans="2:15" x14ac:dyDescent="0.25">
      <c r="B857" s="59">
        <v>828</v>
      </c>
      <c r="C857" s="229"/>
      <c r="D857" s="229"/>
      <c r="E857" s="229"/>
      <c r="F857" s="229"/>
      <c r="G857" s="229"/>
      <c r="H857" s="229"/>
      <c r="I857" s="229"/>
      <c r="J857" s="11"/>
      <c r="K857" s="59"/>
      <c r="L857" s="59"/>
      <c r="M857" s="64"/>
      <c r="N857" s="64"/>
      <c r="O857" s="64"/>
    </row>
    <row r="858" spans="2:15" x14ac:dyDescent="0.25">
      <c r="B858" s="59">
        <v>829</v>
      </c>
      <c r="C858" s="229"/>
      <c r="D858" s="229"/>
      <c r="E858" s="229"/>
      <c r="F858" s="229"/>
      <c r="G858" s="229"/>
      <c r="H858" s="229"/>
      <c r="I858" s="229"/>
      <c r="J858" s="11"/>
      <c r="K858" s="59"/>
      <c r="L858" s="59"/>
      <c r="M858" s="64"/>
      <c r="N858" s="64"/>
      <c r="O858" s="64"/>
    </row>
    <row r="859" spans="2:15" x14ac:dyDescent="0.25">
      <c r="B859" s="59">
        <v>830</v>
      </c>
      <c r="C859" s="229"/>
      <c r="D859" s="229"/>
      <c r="E859" s="229"/>
      <c r="F859" s="229"/>
      <c r="G859" s="229"/>
      <c r="H859" s="229"/>
      <c r="I859" s="229"/>
      <c r="J859" s="11"/>
      <c r="K859" s="59"/>
      <c r="L859" s="59"/>
      <c r="M859" s="64"/>
      <c r="N859" s="64"/>
      <c r="O859" s="64"/>
    </row>
    <row r="860" spans="2:15" x14ac:dyDescent="0.25">
      <c r="B860" s="59">
        <v>831</v>
      </c>
      <c r="C860" s="229"/>
      <c r="D860" s="229"/>
      <c r="E860" s="229"/>
      <c r="F860" s="229"/>
      <c r="G860" s="229"/>
      <c r="H860" s="229"/>
      <c r="I860" s="229"/>
      <c r="J860" s="11"/>
      <c r="K860" s="59"/>
      <c r="L860" s="59"/>
      <c r="M860" s="64"/>
      <c r="N860" s="64"/>
      <c r="O860" s="64"/>
    </row>
    <row r="861" spans="2:15" x14ac:dyDescent="0.25">
      <c r="B861" s="59">
        <v>832</v>
      </c>
      <c r="C861" s="229"/>
      <c r="D861" s="229"/>
      <c r="E861" s="229"/>
      <c r="F861" s="229"/>
      <c r="G861" s="229"/>
      <c r="H861" s="229"/>
      <c r="I861" s="229"/>
      <c r="J861" s="11"/>
      <c r="K861" s="59"/>
      <c r="L861" s="59"/>
      <c r="M861" s="64"/>
      <c r="N861" s="64"/>
      <c r="O861" s="64"/>
    </row>
    <row r="862" spans="2:15" x14ac:dyDescent="0.25">
      <c r="B862" s="59">
        <v>833</v>
      </c>
      <c r="C862" s="229"/>
      <c r="D862" s="229"/>
      <c r="E862" s="229"/>
      <c r="F862" s="229"/>
      <c r="G862" s="229"/>
      <c r="H862" s="229"/>
      <c r="I862" s="229"/>
      <c r="J862" s="11"/>
      <c r="K862" s="59"/>
      <c r="L862" s="59"/>
      <c r="M862" s="64"/>
      <c r="N862" s="64"/>
      <c r="O862" s="64"/>
    </row>
    <row r="863" spans="2:15" x14ac:dyDescent="0.25">
      <c r="B863" s="59">
        <v>834</v>
      </c>
      <c r="C863" s="229"/>
      <c r="D863" s="229"/>
      <c r="E863" s="229"/>
      <c r="F863" s="229"/>
      <c r="G863" s="229"/>
      <c r="H863" s="229"/>
      <c r="I863" s="229"/>
      <c r="J863" s="11"/>
      <c r="K863" s="59"/>
      <c r="L863" s="59"/>
      <c r="M863" s="64"/>
      <c r="N863" s="64"/>
      <c r="O863" s="64"/>
    </row>
    <row r="864" spans="2:15" x14ac:dyDescent="0.25">
      <c r="B864" s="59">
        <v>835</v>
      </c>
      <c r="C864" s="229"/>
      <c r="D864" s="229"/>
      <c r="E864" s="229"/>
      <c r="F864" s="229"/>
      <c r="G864" s="229"/>
      <c r="H864" s="229"/>
      <c r="I864" s="229"/>
      <c r="J864" s="11"/>
      <c r="K864" s="59"/>
      <c r="L864" s="59"/>
      <c r="M864" s="64"/>
      <c r="N864" s="64"/>
      <c r="O864" s="64"/>
    </row>
    <row r="865" spans="2:15" x14ac:dyDescent="0.25">
      <c r="B865" s="59">
        <v>836</v>
      </c>
      <c r="C865" s="229"/>
      <c r="D865" s="229"/>
      <c r="E865" s="229"/>
      <c r="F865" s="229"/>
      <c r="G865" s="229"/>
      <c r="H865" s="229"/>
      <c r="I865" s="229"/>
      <c r="J865" s="11"/>
      <c r="K865" s="59"/>
      <c r="L865" s="59"/>
      <c r="M865" s="64"/>
      <c r="N865" s="64"/>
      <c r="O865" s="64"/>
    </row>
    <row r="866" spans="2:15" x14ac:dyDescent="0.25">
      <c r="B866" s="59">
        <v>837</v>
      </c>
      <c r="C866" s="229"/>
      <c r="D866" s="229"/>
      <c r="E866" s="229"/>
      <c r="F866" s="229"/>
      <c r="G866" s="229"/>
      <c r="H866" s="229"/>
      <c r="I866" s="229"/>
      <c r="J866" s="11"/>
      <c r="K866" s="59"/>
      <c r="L866" s="59"/>
      <c r="M866" s="64"/>
      <c r="N866" s="64"/>
      <c r="O866" s="64"/>
    </row>
    <row r="867" spans="2:15" x14ac:dyDescent="0.25">
      <c r="B867" s="59">
        <v>838</v>
      </c>
      <c r="C867" s="229"/>
      <c r="D867" s="229"/>
      <c r="E867" s="229"/>
      <c r="F867" s="229"/>
      <c r="G867" s="229"/>
      <c r="H867" s="229"/>
      <c r="I867" s="229"/>
      <c r="J867" s="11"/>
      <c r="K867" s="59"/>
      <c r="L867" s="59"/>
      <c r="M867" s="64"/>
      <c r="N867" s="64"/>
      <c r="O867" s="64"/>
    </row>
    <row r="868" spans="2:15" x14ac:dyDescent="0.25">
      <c r="B868" s="59">
        <v>839</v>
      </c>
      <c r="C868" s="229"/>
      <c r="D868" s="229"/>
      <c r="E868" s="229"/>
      <c r="F868" s="229"/>
      <c r="G868" s="229"/>
      <c r="H868" s="229"/>
      <c r="I868" s="229"/>
      <c r="J868" s="11"/>
      <c r="K868" s="59"/>
      <c r="L868" s="59"/>
      <c r="M868" s="64"/>
      <c r="N868" s="64"/>
      <c r="O868" s="64"/>
    </row>
    <row r="869" spans="2:15" x14ac:dyDescent="0.25">
      <c r="B869" s="59">
        <v>840</v>
      </c>
      <c r="C869" s="229"/>
      <c r="D869" s="229"/>
      <c r="E869" s="229"/>
      <c r="F869" s="229"/>
      <c r="G869" s="229"/>
      <c r="H869" s="229"/>
      <c r="I869" s="229"/>
      <c r="J869" s="11"/>
      <c r="K869" s="59"/>
      <c r="L869" s="59"/>
      <c r="M869" s="64"/>
      <c r="N869" s="64"/>
      <c r="O869" s="64"/>
    </row>
    <row r="870" spans="2:15" x14ac:dyDescent="0.25">
      <c r="B870" s="59">
        <v>841</v>
      </c>
      <c r="C870" s="229"/>
      <c r="D870" s="229"/>
      <c r="E870" s="229"/>
      <c r="F870" s="229"/>
      <c r="G870" s="229"/>
      <c r="H870" s="229"/>
      <c r="I870" s="229"/>
      <c r="J870" s="11"/>
      <c r="K870" s="59"/>
      <c r="L870" s="59"/>
      <c r="M870" s="64"/>
      <c r="N870" s="64"/>
      <c r="O870" s="64"/>
    </row>
    <row r="871" spans="2:15" x14ac:dyDescent="0.25">
      <c r="B871" s="59">
        <v>842</v>
      </c>
      <c r="C871" s="229"/>
      <c r="D871" s="229"/>
      <c r="E871" s="229"/>
      <c r="F871" s="229"/>
      <c r="G871" s="229"/>
      <c r="H871" s="229"/>
      <c r="I871" s="229"/>
      <c r="J871" s="11"/>
      <c r="K871" s="59"/>
      <c r="L871" s="59"/>
      <c r="M871" s="64"/>
      <c r="N871" s="64"/>
      <c r="O871" s="64"/>
    </row>
    <row r="872" spans="2:15" x14ac:dyDescent="0.25">
      <c r="B872" s="59">
        <v>843</v>
      </c>
      <c r="C872" s="229"/>
      <c r="D872" s="229"/>
      <c r="E872" s="229"/>
      <c r="F872" s="229"/>
      <c r="G872" s="229"/>
      <c r="H872" s="229"/>
      <c r="I872" s="229"/>
      <c r="J872" s="11"/>
      <c r="K872" s="59"/>
      <c r="L872" s="59"/>
      <c r="M872" s="64"/>
      <c r="N872" s="64"/>
      <c r="O872" s="64"/>
    </row>
    <row r="873" spans="2:15" x14ac:dyDescent="0.25">
      <c r="B873" s="59">
        <v>844</v>
      </c>
      <c r="C873" s="229"/>
      <c r="D873" s="229"/>
      <c r="E873" s="229"/>
      <c r="F873" s="229"/>
      <c r="G873" s="229"/>
      <c r="H873" s="229"/>
      <c r="I873" s="229"/>
      <c r="J873" s="11"/>
      <c r="K873" s="59"/>
      <c r="L873" s="59"/>
      <c r="M873" s="64"/>
      <c r="N873" s="64"/>
      <c r="O873" s="64"/>
    </row>
    <row r="874" spans="2:15" x14ac:dyDescent="0.25">
      <c r="B874" s="59">
        <v>845</v>
      </c>
      <c r="C874" s="229"/>
      <c r="D874" s="229"/>
      <c r="E874" s="229"/>
      <c r="F874" s="229"/>
      <c r="G874" s="229"/>
      <c r="H874" s="229"/>
      <c r="I874" s="229"/>
      <c r="J874" s="11"/>
      <c r="K874" s="59"/>
      <c r="L874" s="59"/>
      <c r="M874" s="64"/>
      <c r="N874" s="64"/>
      <c r="O874" s="64"/>
    </row>
    <row r="875" spans="2:15" x14ac:dyDescent="0.25">
      <c r="B875" s="59">
        <v>846</v>
      </c>
      <c r="C875" s="229"/>
      <c r="D875" s="229"/>
      <c r="E875" s="229"/>
      <c r="F875" s="229"/>
      <c r="G875" s="229"/>
      <c r="H875" s="229"/>
      <c r="I875" s="229"/>
      <c r="J875" s="11"/>
      <c r="K875" s="59"/>
      <c r="L875" s="59"/>
      <c r="M875" s="64"/>
      <c r="N875" s="64"/>
      <c r="O875" s="64"/>
    </row>
    <row r="876" spans="2:15" x14ac:dyDescent="0.25">
      <c r="B876" s="59">
        <v>847</v>
      </c>
      <c r="C876" s="229"/>
      <c r="D876" s="229"/>
      <c r="E876" s="229"/>
      <c r="F876" s="229"/>
      <c r="G876" s="229"/>
      <c r="H876" s="229"/>
      <c r="I876" s="229"/>
      <c r="J876" s="11"/>
      <c r="K876" s="59"/>
      <c r="L876" s="59"/>
      <c r="M876" s="64"/>
      <c r="N876" s="64"/>
      <c r="O876" s="64"/>
    </row>
    <row r="877" spans="2:15" x14ac:dyDescent="0.25">
      <c r="B877" s="59">
        <v>848</v>
      </c>
      <c r="C877" s="229"/>
      <c r="D877" s="229"/>
      <c r="E877" s="229"/>
      <c r="F877" s="229"/>
      <c r="G877" s="229"/>
      <c r="H877" s="229"/>
      <c r="I877" s="229"/>
      <c r="J877" s="11"/>
      <c r="K877" s="59"/>
      <c r="L877" s="59"/>
      <c r="M877" s="64"/>
      <c r="N877" s="64"/>
      <c r="O877" s="64"/>
    </row>
    <row r="878" spans="2:15" x14ac:dyDescent="0.25">
      <c r="B878" s="59">
        <v>849</v>
      </c>
      <c r="C878" s="229"/>
      <c r="D878" s="229"/>
      <c r="E878" s="229"/>
      <c r="F878" s="229"/>
      <c r="G878" s="229"/>
      <c r="H878" s="229"/>
      <c r="I878" s="229"/>
      <c r="J878" s="11"/>
      <c r="K878" s="59"/>
      <c r="L878" s="59"/>
      <c r="M878" s="64"/>
      <c r="N878" s="64"/>
      <c r="O878" s="64"/>
    </row>
    <row r="879" spans="2:15" x14ac:dyDescent="0.25">
      <c r="B879" s="59">
        <v>850</v>
      </c>
      <c r="C879" s="229"/>
      <c r="D879" s="229"/>
      <c r="E879" s="229"/>
      <c r="F879" s="229"/>
      <c r="G879" s="229"/>
      <c r="H879" s="229"/>
      <c r="I879" s="229"/>
      <c r="J879" s="11"/>
      <c r="K879" s="59"/>
      <c r="L879" s="59"/>
      <c r="M879" s="64"/>
      <c r="N879" s="64"/>
      <c r="O879" s="64"/>
    </row>
    <row r="880" spans="2:15" x14ac:dyDescent="0.25">
      <c r="B880" s="59">
        <v>851</v>
      </c>
      <c r="C880" s="229"/>
      <c r="D880" s="229"/>
      <c r="E880" s="229"/>
      <c r="F880" s="229"/>
      <c r="G880" s="229"/>
      <c r="H880" s="229"/>
      <c r="I880" s="229"/>
      <c r="J880" s="11"/>
      <c r="K880" s="59"/>
      <c r="L880" s="59"/>
      <c r="M880" s="64"/>
      <c r="N880" s="64"/>
      <c r="O880" s="64"/>
    </row>
    <row r="881" spans="2:15" x14ac:dyDescent="0.25">
      <c r="B881" s="59">
        <v>852</v>
      </c>
      <c r="C881" s="229"/>
      <c r="D881" s="229"/>
      <c r="E881" s="229"/>
      <c r="F881" s="229"/>
      <c r="G881" s="229"/>
      <c r="H881" s="229"/>
      <c r="I881" s="229"/>
      <c r="J881" s="11"/>
      <c r="K881" s="59"/>
      <c r="L881" s="59"/>
      <c r="M881" s="64"/>
      <c r="N881" s="64"/>
      <c r="O881" s="64"/>
    </row>
    <row r="882" spans="2:15" x14ac:dyDescent="0.25">
      <c r="B882" s="59">
        <v>853</v>
      </c>
      <c r="C882" s="229"/>
      <c r="D882" s="229"/>
      <c r="E882" s="229"/>
      <c r="F882" s="229"/>
      <c r="G882" s="229"/>
      <c r="H882" s="229"/>
      <c r="I882" s="229"/>
      <c r="J882" s="11"/>
      <c r="K882" s="59"/>
      <c r="L882" s="59"/>
      <c r="M882" s="64"/>
      <c r="N882" s="64"/>
      <c r="O882" s="64"/>
    </row>
    <row r="883" spans="2:15" x14ac:dyDescent="0.25">
      <c r="B883" s="59">
        <v>854</v>
      </c>
      <c r="C883" s="229"/>
      <c r="D883" s="229"/>
      <c r="E883" s="229"/>
      <c r="F883" s="229"/>
      <c r="G883" s="229"/>
      <c r="H883" s="229"/>
      <c r="I883" s="229"/>
      <c r="J883" s="11"/>
      <c r="K883" s="59"/>
      <c r="L883" s="59"/>
      <c r="M883" s="64"/>
      <c r="N883" s="64"/>
      <c r="O883" s="64"/>
    </row>
    <row r="884" spans="2:15" x14ac:dyDescent="0.25">
      <c r="B884" s="59">
        <v>855</v>
      </c>
      <c r="C884" s="229"/>
      <c r="D884" s="229"/>
      <c r="E884" s="229"/>
      <c r="F884" s="229"/>
      <c r="G884" s="229"/>
      <c r="H884" s="229"/>
      <c r="I884" s="229"/>
      <c r="J884" s="11"/>
      <c r="K884" s="59"/>
      <c r="L884" s="59"/>
      <c r="M884" s="64"/>
      <c r="N884" s="64"/>
      <c r="O884" s="64"/>
    </row>
    <row r="885" spans="2:15" x14ac:dyDescent="0.25">
      <c r="B885" s="59">
        <v>856</v>
      </c>
      <c r="C885" s="229"/>
      <c r="D885" s="229"/>
      <c r="E885" s="229"/>
      <c r="F885" s="229"/>
      <c r="G885" s="229"/>
      <c r="H885" s="229"/>
      <c r="I885" s="229"/>
      <c r="J885" s="11"/>
      <c r="K885" s="59"/>
      <c r="L885" s="59"/>
      <c r="M885" s="64"/>
      <c r="N885" s="64"/>
      <c r="O885" s="64"/>
    </row>
    <row r="886" spans="2:15" x14ac:dyDescent="0.25">
      <c r="B886" s="59">
        <v>857</v>
      </c>
      <c r="C886" s="229"/>
      <c r="D886" s="229"/>
      <c r="E886" s="229"/>
      <c r="F886" s="229"/>
      <c r="G886" s="229"/>
      <c r="H886" s="229"/>
      <c r="I886" s="229"/>
      <c r="J886" s="11"/>
      <c r="K886" s="59"/>
      <c r="L886" s="59"/>
      <c r="M886" s="64"/>
      <c r="N886" s="64"/>
      <c r="O886" s="64"/>
    </row>
    <row r="887" spans="2:15" x14ac:dyDescent="0.25">
      <c r="B887" s="59">
        <v>858</v>
      </c>
      <c r="C887" s="229"/>
      <c r="D887" s="229"/>
      <c r="E887" s="229"/>
      <c r="F887" s="229"/>
      <c r="G887" s="229"/>
      <c r="H887" s="229"/>
      <c r="I887" s="229"/>
      <c r="J887" s="11"/>
      <c r="K887" s="59"/>
      <c r="L887" s="59"/>
      <c r="M887" s="64"/>
      <c r="N887" s="64"/>
      <c r="O887" s="64"/>
    </row>
    <row r="888" spans="2:15" x14ac:dyDescent="0.25">
      <c r="B888" s="59">
        <v>859</v>
      </c>
      <c r="C888" s="229"/>
      <c r="D888" s="229"/>
      <c r="E888" s="229"/>
      <c r="F888" s="229"/>
      <c r="G888" s="229"/>
      <c r="H888" s="229"/>
      <c r="I888" s="229"/>
      <c r="J888" s="11"/>
      <c r="K888" s="59"/>
      <c r="L888" s="59"/>
      <c r="M888" s="64"/>
      <c r="N888" s="64"/>
      <c r="O888" s="64"/>
    </row>
    <row r="889" spans="2:15" x14ac:dyDescent="0.25">
      <c r="B889" s="59">
        <v>860</v>
      </c>
      <c r="C889" s="229"/>
      <c r="D889" s="229"/>
      <c r="E889" s="229"/>
      <c r="F889" s="229"/>
      <c r="G889" s="229"/>
      <c r="H889" s="229"/>
      <c r="I889" s="229"/>
      <c r="J889" s="11"/>
      <c r="K889" s="59"/>
      <c r="L889" s="59"/>
      <c r="M889" s="64"/>
      <c r="N889" s="64"/>
      <c r="O889" s="64"/>
    </row>
    <row r="890" spans="2:15" x14ac:dyDescent="0.25">
      <c r="B890" s="59">
        <v>861</v>
      </c>
      <c r="C890" s="229"/>
      <c r="D890" s="229"/>
      <c r="E890" s="229"/>
      <c r="F890" s="229"/>
      <c r="G890" s="229"/>
      <c r="H890" s="229"/>
      <c r="I890" s="229"/>
      <c r="J890" s="11"/>
      <c r="K890" s="59"/>
      <c r="L890" s="59"/>
      <c r="M890" s="64"/>
      <c r="N890" s="64"/>
      <c r="O890" s="64"/>
    </row>
    <row r="891" spans="2:15" x14ac:dyDescent="0.25">
      <c r="B891" s="59">
        <v>862</v>
      </c>
      <c r="C891" s="229"/>
      <c r="D891" s="229"/>
      <c r="E891" s="229"/>
      <c r="F891" s="229"/>
      <c r="G891" s="229"/>
      <c r="H891" s="229"/>
      <c r="I891" s="229"/>
      <c r="J891" s="11"/>
      <c r="K891" s="59"/>
      <c r="L891" s="59"/>
      <c r="M891" s="64"/>
      <c r="N891" s="64"/>
      <c r="O891" s="64"/>
    </row>
    <row r="892" spans="2:15" x14ac:dyDescent="0.25">
      <c r="B892" s="59">
        <v>863</v>
      </c>
      <c r="C892" s="229"/>
      <c r="D892" s="229"/>
      <c r="E892" s="229"/>
      <c r="F892" s="229"/>
      <c r="G892" s="229"/>
      <c r="H892" s="229"/>
      <c r="I892" s="229"/>
      <c r="J892" s="11"/>
      <c r="K892" s="59"/>
      <c r="L892" s="59"/>
      <c r="M892" s="64"/>
      <c r="N892" s="64"/>
      <c r="O892" s="64"/>
    </row>
    <row r="893" spans="2:15" x14ac:dyDescent="0.25">
      <c r="B893" s="59">
        <v>864</v>
      </c>
      <c r="C893" s="229"/>
      <c r="D893" s="229"/>
      <c r="E893" s="229"/>
      <c r="F893" s="229"/>
      <c r="G893" s="229"/>
      <c r="H893" s="229"/>
      <c r="I893" s="229"/>
      <c r="J893" s="11"/>
      <c r="K893" s="59"/>
      <c r="L893" s="59"/>
      <c r="M893" s="64"/>
      <c r="N893" s="64"/>
      <c r="O893" s="64"/>
    </row>
    <row r="894" spans="2:15" x14ac:dyDescent="0.25">
      <c r="B894" s="59">
        <v>865</v>
      </c>
      <c r="C894" s="229"/>
      <c r="D894" s="229"/>
      <c r="E894" s="229"/>
      <c r="F894" s="229"/>
      <c r="G894" s="229"/>
      <c r="H894" s="229"/>
      <c r="I894" s="229"/>
      <c r="J894" s="11"/>
      <c r="K894" s="59"/>
      <c r="L894" s="59"/>
      <c r="M894" s="64"/>
      <c r="N894" s="64"/>
      <c r="O894" s="64"/>
    </row>
    <row r="895" spans="2:15" x14ac:dyDescent="0.25">
      <c r="B895" s="59">
        <v>866</v>
      </c>
      <c r="C895" s="229"/>
      <c r="D895" s="229"/>
      <c r="E895" s="229"/>
      <c r="F895" s="229"/>
      <c r="G895" s="229"/>
      <c r="H895" s="229"/>
      <c r="I895" s="229"/>
      <c r="J895" s="11"/>
      <c r="K895" s="59"/>
      <c r="L895" s="59"/>
      <c r="M895" s="64"/>
      <c r="N895" s="64"/>
      <c r="O895" s="64"/>
    </row>
    <row r="896" spans="2:15" x14ac:dyDescent="0.25">
      <c r="B896" s="59">
        <v>867</v>
      </c>
      <c r="C896" s="229"/>
      <c r="D896" s="229"/>
      <c r="E896" s="229"/>
      <c r="F896" s="229"/>
      <c r="G896" s="229"/>
      <c r="H896" s="229"/>
      <c r="I896" s="229"/>
      <c r="J896" s="11"/>
      <c r="K896" s="59"/>
      <c r="L896" s="59"/>
      <c r="M896" s="64"/>
      <c r="N896" s="64"/>
      <c r="O896" s="64"/>
    </row>
    <row r="897" spans="2:15" x14ac:dyDescent="0.25">
      <c r="B897" s="59">
        <v>868</v>
      </c>
      <c r="C897" s="229"/>
      <c r="D897" s="229"/>
      <c r="E897" s="229"/>
      <c r="F897" s="229"/>
      <c r="G897" s="229"/>
      <c r="H897" s="229"/>
      <c r="I897" s="229"/>
      <c r="J897" s="11"/>
      <c r="K897" s="59"/>
      <c r="L897" s="59"/>
      <c r="M897" s="64"/>
      <c r="N897" s="64"/>
      <c r="O897" s="64"/>
    </row>
    <row r="898" spans="2:15" x14ac:dyDescent="0.25">
      <c r="B898" s="59">
        <v>869</v>
      </c>
      <c r="C898" s="229"/>
      <c r="D898" s="229"/>
      <c r="E898" s="229"/>
      <c r="F898" s="229"/>
      <c r="G898" s="229"/>
      <c r="H898" s="229"/>
      <c r="I898" s="229"/>
      <c r="J898" s="11"/>
      <c r="K898" s="59"/>
      <c r="L898" s="59"/>
      <c r="M898" s="64"/>
      <c r="N898" s="64"/>
      <c r="O898" s="64"/>
    </row>
    <row r="899" spans="2:15" x14ac:dyDescent="0.25">
      <c r="B899" s="59">
        <v>870</v>
      </c>
      <c r="C899" s="229"/>
      <c r="D899" s="229"/>
      <c r="E899" s="229"/>
      <c r="F899" s="229"/>
      <c r="G899" s="229"/>
      <c r="H899" s="229"/>
      <c r="I899" s="229"/>
      <c r="J899" s="11"/>
      <c r="K899" s="59"/>
      <c r="L899" s="59"/>
      <c r="M899" s="64"/>
      <c r="N899" s="64"/>
      <c r="O899" s="64"/>
    </row>
    <row r="900" spans="2:15" x14ac:dyDescent="0.25">
      <c r="B900" s="59">
        <v>871</v>
      </c>
      <c r="C900" s="229"/>
      <c r="D900" s="229"/>
      <c r="E900" s="229"/>
      <c r="F900" s="229"/>
      <c r="G900" s="229"/>
      <c r="H900" s="229"/>
      <c r="I900" s="229"/>
      <c r="J900" s="11"/>
      <c r="K900" s="59"/>
      <c r="L900" s="59"/>
      <c r="M900" s="64"/>
      <c r="N900" s="64"/>
      <c r="O900" s="64"/>
    </row>
    <row r="901" spans="2:15" x14ac:dyDescent="0.25">
      <c r="B901" s="59">
        <v>872</v>
      </c>
      <c r="C901" s="229"/>
      <c r="D901" s="229"/>
      <c r="E901" s="229"/>
      <c r="F901" s="229"/>
      <c r="G901" s="229"/>
      <c r="H901" s="229"/>
      <c r="I901" s="229"/>
      <c r="J901" s="11"/>
      <c r="K901" s="59"/>
      <c r="L901" s="59"/>
      <c r="M901" s="64"/>
      <c r="N901" s="64"/>
      <c r="O901" s="64"/>
    </row>
    <row r="902" spans="2:15" x14ac:dyDescent="0.25">
      <c r="B902" s="59">
        <v>873</v>
      </c>
      <c r="C902" s="229"/>
      <c r="D902" s="229"/>
      <c r="E902" s="229"/>
      <c r="F902" s="229"/>
      <c r="G902" s="229"/>
      <c r="H902" s="229"/>
      <c r="I902" s="229"/>
      <c r="J902" s="11"/>
      <c r="K902" s="59"/>
      <c r="L902" s="59"/>
      <c r="M902" s="64"/>
      <c r="N902" s="64"/>
      <c r="O902" s="64"/>
    </row>
    <row r="903" spans="2:15" x14ac:dyDescent="0.25">
      <c r="B903" s="59">
        <v>874</v>
      </c>
      <c r="C903" s="229"/>
      <c r="D903" s="229"/>
      <c r="E903" s="229"/>
      <c r="F903" s="229"/>
      <c r="G903" s="229"/>
      <c r="H903" s="229"/>
      <c r="I903" s="229"/>
      <c r="J903" s="11"/>
      <c r="K903" s="59"/>
      <c r="L903" s="59"/>
      <c r="M903" s="64"/>
      <c r="N903" s="64"/>
      <c r="O903" s="64"/>
    </row>
    <row r="904" spans="2:15" x14ac:dyDescent="0.25">
      <c r="B904" s="59">
        <v>875</v>
      </c>
      <c r="C904" s="229"/>
      <c r="D904" s="229"/>
      <c r="E904" s="229"/>
      <c r="F904" s="229"/>
      <c r="G904" s="229"/>
      <c r="H904" s="229"/>
      <c r="I904" s="229"/>
      <c r="J904" s="11"/>
      <c r="K904" s="59"/>
      <c r="L904" s="59"/>
      <c r="M904" s="64"/>
      <c r="N904" s="64"/>
      <c r="O904" s="64"/>
    </row>
    <row r="905" spans="2:15" x14ac:dyDescent="0.25">
      <c r="B905" s="59">
        <v>876</v>
      </c>
      <c r="C905" s="229"/>
      <c r="D905" s="229"/>
      <c r="E905" s="229"/>
      <c r="F905" s="229"/>
      <c r="G905" s="229"/>
      <c r="H905" s="229"/>
      <c r="I905" s="229"/>
      <c r="J905" s="11"/>
      <c r="K905" s="59"/>
      <c r="L905" s="59"/>
      <c r="M905" s="64"/>
      <c r="N905" s="64"/>
      <c r="O905" s="64"/>
    </row>
    <row r="906" spans="2:15" x14ac:dyDescent="0.25">
      <c r="B906" s="59">
        <v>877</v>
      </c>
      <c r="C906" s="229"/>
      <c r="D906" s="229"/>
      <c r="E906" s="229"/>
      <c r="F906" s="229"/>
      <c r="G906" s="229"/>
      <c r="H906" s="229"/>
      <c r="I906" s="229"/>
      <c r="J906" s="11"/>
      <c r="K906" s="59"/>
      <c r="L906" s="59"/>
      <c r="M906" s="64"/>
      <c r="N906" s="64"/>
      <c r="O906" s="64"/>
    </row>
    <row r="907" spans="2:15" x14ac:dyDescent="0.25">
      <c r="B907" s="59">
        <v>878</v>
      </c>
      <c r="C907" s="229"/>
      <c r="D907" s="229"/>
      <c r="E907" s="229"/>
      <c r="F907" s="229"/>
      <c r="G907" s="229"/>
      <c r="H907" s="229"/>
      <c r="I907" s="229"/>
      <c r="J907" s="11"/>
      <c r="K907" s="59"/>
      <c r="L907" s="59"/>
      <c r="M907" s="64"/>
      <c r="N907" s="64"/>
      <c r="O907" s="64"/>
    </row>
    <row r="908" spans="2:15" x14ac:dyDescent="0.25">
      <c r="B908" s="59">
        <v>879</v>
      </c>
      <c r="C908" s="229"/>
      <c r="D908" s="229"/>
      <c r="E908" s="229"/>
      <c r="F908" s="229"/>
      <c r="G908" s="229"/>
      <c r="H908" s="229"/>
      <c r="I908" s="229"/>
      <c r="J908" s="11"/>
      <c r="K908" s="59"/>
      <c r="L908" s="59"/>
      <c r="M908" s="64"/>
      <c r="N908" s="64"/>
      <c r="O908" s="64"/>
    </row>
    <row r="909" spans="2:15" x14ac:dyDescent="0.25">
      <c r="B909" s="59">
        <v>880</v>
      </c>
      <c r="C909" s="229"/>
      <c r="D909" s="229"/>
      <c r="E909" s="229"/>
      <c r="F909" s="229"/>
      <c r="G909" s="229"/>
      <c r="H909" s="229"/>
      <c r="I909" s="229"/>
      <c r="J909" s="11"/>
      <c r="K909" s="59"/>
      <c r="L909" s="59"/>
      <c r="M909" s="64"/>
      <c r="N909" s="64"/>
      <c r="O909" s="64"/>
    </row>
    <row r="910" spans="2:15" x14ac:dyDescent="0.25">
      <c r="B910" s="59">
        <v>881</v>
      </c>
      <c r="C910" s="229"/>
      <c r="D910" s="229"/>
      <c r="E910" s="229"/>
      <c r="F910" s="229"/>
      <c r="G910" s="229"/>
      <c r="H910" s="229"/>
      <c r="I910" s="229"/>
      <c r="J910" s="11"/>
      <c r="K910" s="59"/>
      <c r="L910" s="59"/>
      <c r="M910" s="64"/>
      <c r="N910" s="64"/>
      <c r="O910" s="64"/>
    </row>
    <row r="911" spans="2:15" x14ac:dyDescent="0.25">
      <c r="B911" s="59">
        <v>882</v>
      </c>
      <c r="C911" s="229"/>
      <c r="D911" s="229"/>
      <c r="E911" s="229"/>
      <c r="F911" s="229"/>
      <c r="G911" s="229"/>
      <c r="H911" s="229"/>
      <c r="I911" s="229"/>
      <c r="J911" s="11"/>
      <c r="K911" s="59"/>
      <c r="L911" s="59"/>
      <c r="M911" s="64"/>
      <c r="N911" s="64"/>
      <c r="O911" s="64"/>
    </row>
    <row r="912" spans="2:15" x14ac:dyDescent="0.25">
      <c r="B912" s="59">
        <v>883</v>
      </c>
      <c r="C912" s="229"/>
      <c r="D912" s="229"/>
      <c r="E912" s="229"/>
      <c r="F912" s="229"/>
      <c r="G912" s="229"/>
      <c r="H912" s="229"/>
      <c r="I912" s="229"/>
      <c r="J912" s="11"/>
      <c r="K912" s="59"/>
      <c r="L912" s="59"/>
      <c r="M912" s="64"/>
      <c r="N912" s="64"/>
      <c r="O912" s="64"/>
    </row>
    <row r="913" spans="2:15" x14ac:dyDescent="0.25">
      <c r="B913" s="59">
        <v>884</v>
      </c>
      <c r="C913" s="229"/>
      <c r="D913" s="229"/>
      <c r="E913" s="229"/>
      <c r="F913" s="229"/>
      <c r="G913" s="229"/>
      <c r="H913" s="229"/>
      <c r="I913" s="229"/>
      <c r="J913" s="11"/>
      <c r="K913" s="59"/>
      <c r="L913" s="59"/>
      <c r="M913" s="64"/>
      <c r="N913" s="64"/>
      <c r="O913" s="64"/>
    </row>
    <row r="914" spans="2:15" x14ac:dyDescent="0.25">
      <c r="B914" s="59">
        <v>885</v>
      </c>
      <c r="C914" s="229"/>
      <c r="D914" s="229"/>
      <c r="E914" s="229"/>
      <c r="F914" s="229"/>
      <c r="G914" s="229"/>
      <c r="H914" s="229"/>
      <c r="I914" s="229"/>
      <c r="J914" s="11"/>
      <c r="K914" s="59"/>
      <c r="L914" s="59"/>
      <c r="M914" s="64"/>
      <c r="N914" s="64"/>
      <c r="O914" s="64"/>
    </row>
    <row r="915" spans="2:15" x14ac:dyDescent="0.25">
      <c r="B915" s="59">
        <v>886</v>
      </c>
      <c r="C915" s="229"/>
      <c r="D915" s="229"/>
      <c r="E915" s="229"/>
      <c r="F915" s="229"/>
      <c r="G915" s="229"/>
      <c r="H915" s="229"/>
      <c r="I915" s="229"/>
      <c r="J915" s="11"/>
      <c r="K915" s="59"/>
      <c r="L915" s="59"/>
      <c r="M915" s="64"/>
      <c r="N915" s="64"/>
      <c r="O915" s="64"/>
    </row>
    <row r="916" spans="2:15" x14ac:dyDescent="0.25">
      <c r="B916" s="59">
        <v>887</v>
      </c>
      <c r="C916" s="229"/>
      <c r="D916" s="229"/>
      <c r="E916" s="229"/>
      <c r="F916" s="229"/>
      <c r="G916" s="229"/>
      <c r="H916" s="229"/>
      <c r="I916" s="229"/>
      <c r="J916" s="11"/>
      <c r="K916" s="59"/>
      <c r="L916" s="59"/>
      <c r="M916" s="64"/>
      <c r="N916" s="64"/>
      <c r="O916" s="64"/>
    </row>
    <row r="917" spans="2:15" x14ac:dyDescent="0.25">
      <c r="B917" s="59">
        <v>888</v>
      </c>
      <c r="C917" s="229"/>
      <c r="D917" s="229"/>
      <c r="E917" s="229"/>
      <c r="F917" s="229"/>
      <c r="G917" s="229"/>
      <c r="H917" s="229"/>
      <c r="I917" s="229"/>
      <c r="J917" s="11"/>
      <c r="K917" s="59"/>
      <c r="L917" s="59"/>
      <c r="M917" s="64"/>
      <c r="N917" s="64"/>
      <c r="O917" s="64"/>
    </row>
    <row r="918" spans="2:15" x14ac:dyDescent="0.25">
      <c r="B918" s="59">
        <v>889</v>
      </c>
      <c r="C918" s="229"/>
      <c r="D918" s="229"/>
      <c r="E918" s="229"/>
      <c r="F918" s="229"/>
      <c r="G918" s="229"/>
      <c r="H918" s="229"/>
      <c r="I918" s="229"/>
      <c r="J918" s="11"/>
      <c r="K918" s="59"/>
      <c r="L918" s="59"/>
      <c r="M918" s="64"/>
      <c r="N918" s="64"/>
      <c r="O918" s="64"/>
    </row>
    <row r="919" spans="2:15" x14ac:dyDescent="0.25">
      <c r="B919" s="59">
        <v>890</v>
      </c>
      <c r="C919" s="229"/>
      <c r="D919" s="229"/>
      <c r="E919" s="229"/>
      <c r="F919" s="229"/>
      <c r="G919" s="229"/>
      <c r="H919" s="229"/>
      <c r="I919" s="229"/>
      <c r="J919" s="11"/>
      <c r="K919" s="59"/>
      <c r="L919" s="59"/>
      <c r="M919" s="64"/>
      <c r="N919" s="64"/>
      <c r="O919" s="64"/>
    </row>
    <row r="920" spans="2:15" x14ac:dyDescent="0.25">
      <c r="B920" s="59">
        <v>891</v>
      </c>
      <c r="C920" s="229"/>
      <c r="D920" s="229"/>
      <c r="E920" s="229"/>
      <c r="F920" s="229"/>
      <c r="G920" s="229"/>
      <c r="H920" s="229"/>
      <c r="I920" s="229"/>
      <c r="J920" s="11"/>
      <c r="K920" s="59"/>
      <c r="L920" s="59"/>
      <c r="M920" s="64"/>
      <c r="N920" s="64"/>
      <c r="O920" s="64"/>
    </row>
    <row r="921" spans="2:15" x14ac:dyDescent="0.25">
      <c r="B921" s="59">
        <v>892</v>
      </c>
      <c r="C921" s="229"/>
      <c r="D921" s="229"/>
      <c r="E921" s="229"/>
      <c r="F921" s="229"/>
      <c r="G921" s="229"/>
      <c r="H921" s="229"/>
      <c r="I921" s="229"/>
      <c r="J921" s="11"/>
      <c r="K921" s="59"/>
      <c r="L921" s="59"/>
      <c r="M921" s="64"/>
      <c r="N921" s="64"/>
      <c r="O921" s="64"/>
    </row>
    <row r="922" spans="2:15" x14ac:dyDescent="0.25">
      <c r="B922" s="59">
        <v>893</v>
      </c>
      <c r="C922" s="229"/>
      <c r="D922" s="229"/>
      <c r="E922" s="229"/>
      <c r="F922" s="229"/>
      <c r="G922" s="229"/>
      <c r="H922" s="229"/>
      <c r="I922" s="229"/>
      <c r="J922" s="11"/>
      <c r="K922" s="59"/>
      <c r="L922" s="59"/>
      <c r="M922" s="64"/>
      <c r="N922" s="64"/>
      <c r="O922" s="64"/>
    </row>
    <row r="923" spans="2:15" x14ac:dyDescent="0.25">
      <c r="B923" s="59">
        <v>894</v>
      </c>
      <c r="C923" s="229"/>
      <c r="D923" s="229"/>
      <c r="E923" s="229"/>
      <c r="F923" s="229"/>
      <c r="G923" s="229"/>
      <c r="H923" s="229"/>
      <c r="I923" s="229"/>
      <c r="J923" s="11"/>
      <c r="K923" s="59"/>
      <c r="L923" s="59"/>
      <c r="M923" s="64"/>
      <c r="N923" s="64"/>
      <c r="O923" s="64"/>
    </row>
    <row r="924" spans="2:15" x14ac:dyDescent="0.25">
      <c r="B924" s="59">
        <v>895</v>
      </c>
      <c r="C924" s="229"/>
      <c r="D924" s="229"/>
      <c r="E924" s="229"/>
      <c r="F924" s="229"/>
      <c r="G924" s="229"/>
      <c r="H924" s="229"/>
      <c r="I924" s="229"/>
      <c r="J924" s="11"/>
      <c r="K924" s="59"/>
      <c r="L924" s="59"/>
      <c r="M924" s="64"/>
      <c r="N924" s="64"/>
      <c r="O924" s="64"/>
    </row>
    <row r="925" spans="2:15" x14ac:dyDescent="0.25">
      <c r="B925" s="59">
        <v>896</v>
      </c>
      <c r="C925" s="229"/>
      <c r="D925" s="229"/>
      <c r="E925" s="229"/>
      <c r="F925" s="229"/>
      <c r="G925" s="229"/>
      <c r="H925" s="229"/>
      <c r="I925" s="229"/>
      <c r="J925" s="11"/>
      <c r="K925" s="59"/>
      <c r="L925" s="59"/>
      <c r="M925" s="64"/>
      <c r="N925" s="64"/>
      <c r="O925" s="64"/>
    </row>
    <row r="926" spans="2:15" x14ac:dyDescent="0.25">
      <c r="B926" s="59">
        <v>897</v>
      </c>
      <c r="C926" s="229"/>
      <c r="D926" s="229"/>
      <c r="E926" s="229"/>
      <c r="F926" s="229"/>
      <c r="G926" s="229"/>
      <c r="H926" s="229"/>
      <c r="I926" s="229"/>
      <c r="J926" s="11"/>
      <c r="K926" s="59"/>
      <c r="L926" s="59"/>
      <c r="M926" s="64"/>
      <c r="N926" s="64"/>
      <c r="O926" s="64"/>
    </row>
    <row r="927" spans="2:15" x14ac:dyDescent="0.25">
      <c r="B927" s="59">
        <v>898</v>
      </c>
      <c r="C927" s="229"/>
      <c r="D927" s="229"/>
      <c r="E927" s="229"/>
      <c r="F927" s="229"/>
      <c r="G927" s="229"/>
      <c r="H927" s="229"/>
      <c r="I927" s="229"/>
      <c r="J927" s="11"/>
      <c r="K927" s="59"/>
      <c r="L927" s="59"/>
      <c r="M927" s="64"/>
      <c r="N927" s="64"/>
      <c r="O927" s="64"/>
    </row>
    <row r="928" spans="2:15" x14ac:dyDescent="0.25">
      <c r="B928" s="59">
        <v>899</v>
      </c>
      <c r="C928" s="229"/>
      <c r="D928" s="229"/>
      <c r="E928" s="229"/>
      <c r="F928" s="229"/>
      <c r="G928" s="229"/>
      <c r="H928" s="229"/>
      <c r="I928" s="229"/>
      <c r="J928" s="11"/>
      <c r="K928" s="59"/>
      <c r="L928" s="59"/>
      <c r="M928" s="64"/>
      <c r="N928" s="64"/>
      <c r="O928" s="64"/>
    </row>
    <row r="929" spans="2:15" x14ac:dyDescent="0.25">
      <c r="B929" s="59">
        <v>900</v>
      </c>
      <c r="C929" s="229"/>
      <c r="D929" s="229"/>
      <c r="E929" s="229"/>
      <c r="F929" s="229"/>
      <c r="G929" s="229"/>
      <c r="H929" s="229"/>
      <c r="I929" s="229"/>
      <c r="J929" s="11"/>
      <c r="K929" s="59"/>
      <c r="L929" s="59"/>
      <c r="M929" s="64"/>
      <c r="N929" s="64"/>
      <c r="O929" s="64"/>
    </row>
    <row r="930" spans="2:15" x14ac:dyDescent="0.25">
      <c r="B930" s="59">
        <v>901</v>
      </c>
      <c r="C930" s="229"/>
      <c r="D930" s="229"/>
      <c r="E930" s="229"/>
      <c r="F930" s="229"/>
      <c r="G930" s="229"/>
      <c r="H930" s="229"/>
      <c r="I930" s="229"/>
      <c r="J930" s="11"/>
      <c r="K930" s="59"/>
      <c r="L930" s="59"/>
      <c r="M930" s="64"/>
      <c r="N930" s="64"/>
      <c r="O930" s="64"/>
    </row>
    <row r="931" spans="2:15" x14ac:dyDescent="0.25">
      <c r="B931" s="59">
        <v>902</v>
      </c>
      <c r="C931" s="229"/>
      <c r="D931" s="229"/>
      <c r="E931" s="229"/>
      <c r="F931" s="229"/>
      <c r="G931" s="229"/>
      <c r="H931" s="229"/>
      <c r="I931" s="229"/>
      <c r="J931" s="11"/>
      <c r="K931" s="59"/>
      <c r="L931" s="59"/>
      <c r="M931" s="64"/>
      <c r="N931" s="64"/>
      <c r="O931" s="64"/>
    </row>
    <row r="932" spans="2:15" x14ac:dyDescent="0.25">
      <c r="B932" s="59">
        <v>903</v>
      </c>
      <c r="C932" s="229"/>
      <c r="D932" s="229"/>
      <c r="E932" s="229"/>
      <c r="F932" s="229"/>
      <c r="G932" s="229"/>
      <c r="H932" s="229"/>
      <c r="I932" s="229"/>
      <c r="J932" s="11"/>
      <c r="K932" s="59"/>
      <c r="L932" s="59"/>
      <c r="M932" s="64"/>
      <c r="N932" s="64"/>
      <c r="O932" s="64"/>
    </row>
    <row r="933" spans="2:15" x14ac:dyDescent="0.25">
      <c r="B933" s="59">
        <v>904</v>
      </c>
      <c r="C933" s="229"/>
      <c r="D933" s="229"/>
      <c r="E933" s="229"/>
      <c r="F933" s="229"/>
      <c r="G933" s="229"/>
      <c r="H933" s="229"/>
      <c r="I933" s="229"/>
      <c r="J933" s="11"/>
      <c r="K933" s="59"/>
      <c r="L933" s="59"/>
      <c r="M933" s="64"/>
      <c r="N933" s="64"/>
      <c r="O933" s="64"/>
    </row>
    <row r="934" spans="2:15" x14ac:dyDescent="0.25">
      <c r="B934" s="59">
        <v>905</v>
      </c>
      <c r="C934" s="229"/>
      <c r="D934" s="229"/>
      <c r="E934" s="229"/>
      <c r="F934" s="229"/>
      <c r="G934" s="229"/>
      <c r="H934" s="229"/>
      <c r="I934" s="229"/>
      <c r="J934" s="11"/>
      <c r="K934" s="59"/>
      <c r="L934" s="59"/>
      <c r="M934" s="64"/>
      <c r="N934" s="64"/>
      <c r="O934" s="64"/>
    </row>
    <row r="935" spans="2:15" x14ac:dyDescent="0.25">
      <c r="B935" s="59">
        <v>906</v>
      </c>
      <c r="C935" s="229"/>
      <c r="D935" s="229"/>
      <c r="E935" s="229"/>
      <c r="F935" s="229"/>
      <c r="G935" s="229"/>
      <c r="H935" s="229"/>
      <c r="I935" s="229"/>
      <c r="J935" s="11"/>
      <c r="K935" s="59"/>
      <c r="L935" s="59"/>
      <c r="M935" s="64"/>
      <c r="N935" s="64"/>
      <c r="O935" s="64"/>
    </row>
    <row r="936" spans="2:15" x14ac:dyDescent="0.25">
      <c r="B936" s="59">
        <v>907</v>
      </c>
      <c r="C936" s="229"/>
      <c r="D936" s="229"/>
      <c r="E936" s="229"/>
      <c r="F936" s="229"/>
      <c r="G936" s="229"/>
      <c r="H936" s="229"/>
      <c r="I936" s="229"/>
      <c r="J936" s="11"/>
      <c r="K936" s="59"/>
      <c r="L936" s="59"/>
      <c r="M936" s="64"/>
      <c r="N936" s="64"/>
      <c r="O936" s="64"/>
    </row>
    <row r="937" spans="2:15" x14ac:dyDescent="0.25">
      <c r="B937" s="59">
        <v>908</v>
      </c>
      <c r="C937" s="229"/>
      <c r="D937" s="229"/>
      <c r="E937" s="229"/>
      <c r="F937" s="229"/>
      <c r="G937" s="229"/>
      <c r="H937" s="229"/>
      <c r="I937" s="229"/>
      <c r="J937" s="11"/>
      <c r="K937" s="59"/>
      <c r="L937" s="59"/>
      <c r="M937" s="64"/>
      <c r="N937" s="64"/>
      <c r="O937" s="64"/>
    </row>
    <row r="938" spans="2:15" x14ac:dyDescent="0.25">
      <c r="B938" s="59">
        <v>909</v>
      </c>
      <c r="C938" s="229"/>
      <c r="D938" s="229"/>
      <c r="E938" s="229"/>
      <c r="F938" s="229"/>
      <c r="G938" s="229"/>
      <c r="H938" s="229"/>
      <c r="I938" s="229"/>
      <c r="J938" s="11"/>
      <c r="K938" s="59"/>
      <c r="L938" s="59"/>
      <c r="M938" s="64"/>
      <c r="N938" s="64"/>
      <c r="O938" s="64"/>
    </row>
    <row r="939" spans="2:15" x14ac:dyDescent="0.25">
      <c r="B939" s="59">
        <v>910</v>
      </c>
      <c r="C939" s="229"/>
      <c r="D939" s="229"/>
      <c r="E939" s="229"/>
      <c r="F939" s="229"/>
      <c r="G939" s="229"/>
      <c r="H939" s="229"/>
      <c r="I939" s="229"/>
      <c r="J939" s="11"/>
      <c r="K939" s="59"/>
      <c r="L939" s="59"/>
      <c r="M939" s="64"/>
      <c r="N939" s="64"/>
      <c r="O939" s="64"/>
    </row>
    <row r="940" spans="2:15" x14ac:dyDescent="0.25">
      <c r="B940" s="59">
        <v>911</v>
      </c>
      <c r="C940" s="229"/>
      <c r="D940" s="229"/>
      <c r="E940" s="229"/>
      <c r="F940" s="229"/>
      <c r="G940" s="229"/>
      <c r="H940" s="229"/>
      <c r="I940" s="229"/>
      <c r="J940" s="11"/>
      <c r="K940" s="59"/>
      <c r="L940" s="59"/>
      <c r="M940" s="64"/>
      <c r="N940" s="64"/>
      <c r="O940" s="64"/>
    </row>
    <row r="941" spans="2:15" x14ac:dyDescent="0.25">
      <c r="B941" s="59">
        <v>912</v>
      </c>
      <c r="C941" s="229"/>
      <c r="D941" s="229"/>
      <c r="E941" s="229"/>
      <c r="F941" s="229"/>
      <c r="G941" s="229"/>
      <c r="H941" s="229"/>
      <c r="I941" s="229"/>
      <c r="J941" s="11"/>
      <c r="K941" s="59"/>
      <c r="L941" s="59"/>
      <c r="M941" s="64"/>
      <c r="N941" s="64"/>
      <c r="O941" s="64"/>
    </row>
    <row r="942" spans="2:15" x14ac:dyDescent="0.25">
      <c r="B942" s="59">
        <v>913</v>
      </c>
      <c r="C942" s="229"/>
      <c r="D942" s="229"/>
      <c r="E942" s="229"/>
      <c r="F942" s="229"/>
      <c r="G942" s="229"/>
      <c r="H942" s="229"/>
      <c r="I942" s="229"/>
      <c r="J942" s="11"/>
      <c r="K942" s="59"/>
      <c r="L942" s="59"/>
      <c r="M942" s="64"/>
      <c r="N942" s="64"/>
      <c r="O942" s="64"/>
    </row>
    <row r="943" spans="2:15" x14ac:dyDescent="0.25">
      <c r="B943" s="59">
        <v>914</v>
      </c>
      <c r="C943" s="229"/>
      <c r="D943" s="229"/>
      <c r="E943" s="229"/>
      <c r="F943" s="229"/>
      <c r="G943" s="229"/>
      <c r="H943" s="229"/>
      <c r="I943" s="229"/>
      <c r="J943" s="11"/>
      <c r="K943" s="59"/>
      <c r="L943" s="59"/>
      <c r="M943" s="64"/>
      <c r="N943" s="64"/>
      <c r="O943" s="64"/>
    </row>
    <row r="944" spans="2:15" x14ac:dyDescent="0.25">
      <c r="B944" s="59">
        <v>915</v>
      </c>
      <c r="C944" s="229"/>
      <c r="D944" s="229"/>
      <c r="E944" s="229"/>
      <c r="F944" s="229"/>
      <c r="G944" s="229"/>
      <c r="H944" s="229"/>
      <c r="I944" s="229"/>
      <c r="J944" s="11"/>
      <c r="K944" s="59"/>
      <c r="L944" s="59"/>
      <c r="M944" s="64"/>
      <c r="N944" s="64"/>
      <c r="O944" s="64"/>
    </row>
    <row r="945" spans="2:15" x14ac:dyDescent="0.25">
      <c r="B945" s="59">
        <v>916</v>
      </c>
      <c r="C945" s="229"/>
      <c r="D945" s="229"/>
      <c r="E945" s="229"/>
      <c r="F945" s="229"/>
      <c r="G945" s="229"/>
      <c r="H945" s="229"/>
      <c r="I945" s="229"/>
      <c r="J945" s="11"/>
      <c r="K945" s="59"/>
      <c r="L945" s="59"/>
      <c r="M945" s="64"/>
      <c r="N945" s="64"/>
      <c r="O945" s="64"/>
    </row>
    <row r="946" spans="2:15" x14ac:dyDescent="0.25">
      <c r="B946" s="59">
        <v>917</v>
      </c>
      <c r="C946" s="229"/>
      <c r="D946" s="229"/>
      <c r="E946" s="229"/>
      <c r="F946" s="229"/>
      <c r="G946" s="229"/>
      <c r="H946" s="229"/>
      <c r="I946" s="229"/>
      <c r="J946" s="11"/>
      <c r="K946" s="59"/>
      <c r="L946" s="59"/>
      <c r="M946" s="64"/>
      <c r="N946" s="64"/>
      <c r="O946" s="64"/>
    </row>
    <row r="947" spans="2:15" x14ac:dyDescent="0.25">
      <c r="B947" s="59">
        <v>918</v>
      </c>
      <c r="C947" s="229"/>
      <c r="D947" s="229"/>
      <c r="E947" s="229"/>
      <c r="F947" s="229"/>
      <c r="G947" s="229"/>
      <c r="H947" s="229"/>
      <c r="I947" s="229"/>
      <c r="J947" s="11"/>
      <c r="K947" s="59"/>
      <c r="L947" s="59"/>
      <c r="M947" s="64"/>
      <c r="N947" s="64"/>
      <c r="O947" s="64"/>
    </row>
    <row r="948" spans="2:15" x14ac:dyDescent="0.25">
      <c r="B948" s="59">
        <v>919</v>
      </c>
      <c r="C948" s="229"/>
      <c r="D948" s="229"/>
      <c r="E948" s="229"/>
      <c r="F948" s="229"/>
      <c r="G948" s="229"/>
      <c r="H948" s="229"/>
      <c r="I948" s="229"/>
      <c r="J948" s="11"/>
      <c r="K948" s="59"/>
      <c r="L948" s="59"/>
      <c r="M948" s="64"/>
      <c r="N948" s="64"/>
      <c r="O948" s="64"/>
    </row>
    <row r="949" spans="2:15" x14ac:dyDescent="0.25">
      <c r="B949" s="59">
        <v>920</v>
      </c>
      <c r="C949" s="229"/>
      <c r="D949" s="229"/>
      <c r="E949" s="229"/>
      <c r="F949" s="229"/>
      <c r="G949" s="229"/>
      <c r="H949" s="229"/>
      <c r="I949" s="229"/>
      <c r="J949" s="11"/>
      <c r="K949" s="59"/>
      <c r="L949" s="59"/>
      <c r="M949" s="64"/>
      <c r="N949" s="64"/>
      <c r="O949" s="64"/>
    </row>
    <row r="950" spans="2:15" x14ac:dyDescent="0.25">
      <c r="B950" s="59">
        <v>921</v>
      </c>
      <c r="C950" s="229"/>
      <c r="D950" s="229"/>
      <c r="E950" s="229"/>
      <c r="F950" s="229"/>
      <c r="G950" s="229"/>
      <c r="H950" s="229"/>
      <c r="I950" s="229"/>
      <c r="J950" s="11"/>
      <c r="K950" s="59"/>
      <c r="L950" s="59"/>
      <c r="M950" s="64"/>
      <c r="N950" s="64"/>
      <c r="O950" s="64"/>
    </row>
    <row r="951" spans="2:15" x14ac:dyDescent="0.25">
      <c r="B951" s="59">
        <v>922</v>
      </c>
      <c r="C951" s="229"/>
      <c r="D951" s="229"/>
      <c r="E951" s="229"/>
      <c r="F951" s="229"/>
      <c r="G951" s="229"/>
      <c r="H951" s="229"/>
      <c r="I951" s="229"/>
      <c r="J951" s="11"/>
      <c r="K951" s="59"/>
      <c r="L951" s="59"/>
      <c r="M951" s="64"/>
      <c r="N951" s="64"/>
      <c r="O951" s="64"/>
    </row>
    <row r="952" spans="2:15" x14ac:dyDescent="0.25">
      <c r="B952" s="59">
        <v>923</v>
      </c>
      <c r="C952" s="229"/>
      <c r="D952" s="229"/>
      <c r="E952" s="229"/>
      <c r="F952" s="229"/>
      <c r="G952" s="229"/>
      <c r="H952" s="229"/>
      <c r="I952" s="229"/>
      <c r="J952" s="11"/>
      <c r="K952" s="59"/>
      <c r="L952" s="59"/>
      <c r="M952" s="64"/>
      <c r="N952" s="64"/>
      <c r="O952" s="64"/>
    </row>
    <row r="953" spans="2:15" x14ac:dyDescent="0.25">
      <c r="B953" s="59">
        <v>924</v>
      </c>
      <c r="C953" s="229"/>
      <c r="D953" s="229"/>
      <c r="E953" s="229"/>
      <c r="F953" s="229"/>
      <c r="G953" s="229"/>
      <c r="H953" s="229"/>
      <c r="I953" s="229"/>
      <c r="J953" s="11"/>
      <c r="K953" s="59"/>
      <c r="L953" s="59"/>
      <c r="M953" s="64"/>
      <c r="N953" s="64"/>
      <c r="O953" s="64"/>
    </row>
    <row r="954" spans="2:15" x14ac:dyDescent="0.25">
      <c r="B954" s="59">
        <v>925</v>
      </c>
      <c r="C954" s="229"/>
      <c r="D954" s="229"/>
      <c r="E954" s="229"/>
      <c r="F954" s="229"/>
      <c r="G954" s="229"/>
      <c r="H954" s="229"/>
      <c r="I954" s="229"/>
      <c r="J954" s="11"/>
      <c r="K954" s="59"/>
      <c r="L954" s="59"/>
      <c r="M954" s="64"/>
      <c r="N954" s="64"/>
      <c r="O954" s="64"/>
    </row>
    <row r="955" spans="2:15" x14ac:dyDescent="0.25">
      <c r="B955" s="59">
        <v>926</v>
      </c>
      <c r="C955" s="229"/>
      <c r="D955" s="229"/>
      <c r="E955" s="229"/>
      <c r="F955" s="229"/>
      <c r="G955" s="229"/>
      <c r="H955" s="229"/>
      <c r="I955" s="229"/>
      <c r="J955" s="11"/>
      <c r="K955" s="59"/>
      <c r="L955" s="59"/>
      <c r="M955" s="64"/>
      <c r="N955" s="64"/>
      <c r="O955" s="64"/>
    </row>
    <row r="956" spans="2:15" x14ac:dyDescent="0.25">
      <c r="B956" s="59">
        <v>927</v>
      </c>
      <c r="C956" s="229"/>
      <c r="D956" s="229"/>
      <c r="E956" s="229"/>
      <c r="F956" s="229"/>
      <c r="G956" s="229"/>
      <c r="H956" s="229"/>
      <c r="I956" s="229"/>
      <c r="J956" s="11"/>
      <c r="K956" s="59"/>
      <c r="L956" s="59"/>
      <c r="M956" s="64"/>
      <c r="N956" s="64"/>
      <c r="O956" s="64"/>
    </row>
    <row r="957" spans="2:15" x14ac:dyDescent="0.25">
      <c r="B957" s="59">
        <v>928</v>
      </c>
      <c r="C957" s="229"/>
      <c r="D957" s="229"/>
      <c r="E957" s="229"/>
      <c r="F957" s="229"/>
      <c r="G957" s="229"/>
      <c r="H957" s="229"/>
      <c r="I957" s="229"/>
      <c r="J957" s="11"/>
      <c r="K957" s="59"/>
      <c r="L957" s="59"/>
      <c r="M957" s="64"/>
      <c r="N957" s="64"/>
      <c r="O957" s="64"/>
    </row>
    <row r="958" spans="2:15" x14ac:dyDescent="0.25">
      <c r="B958" s="59">
        <v>929</v>
      </c>
      <c r="C958" s="229"/>
      <c r="D958" s="229"/>
      <c r="E958" s="229"/>
      <c r="F958" s="229"/>
      <c r="G958" s="229"/>
      <c r="H958" s="229"/>
      <c r="I958" s="229"/>
      <c r="J958" s="11"/>
      <c r="K958" s="59"/>
      <c r="L958" s="59"/>
      <c r="M958" s="64"/>
      <c r="N958" s="64"/>
      <c r="O958" s="64"/>
    </row>
    <row r="959" spans="2:15" x14ac:dyDescent="0.25">
      <c r="B959" s="59">
        <v>930</v>
      </c>
      <c r="C959" s="229"/>
      <c r="D959" s="229"/>
      <c r="E959" s="229"/>
      <c r="F959" s="229"/>
      <c r="G959" s="229"/>
      <c r="H959" s="229"/>
      <c r="I959" s="229"/>
      <c r="J959" s="11"/>
      <c r="K959" s="59"/>
      <c r="L959" s="59"/>
      <c r="M959" s="64"/>
      <c r="N959" s="64"/>
      <c r="O959" s="64"/>
    </row>
    <row r="960" spans="2:15" x14ac:dyDescent="0.25">
      <c r="B960" s="59">
        <v>931</v>
      </c>
      <c r="C960" s="229"/>
      <c r="D960" s="229"/>
      <c r="E960" s="229"/>
      <c r="F960" s="229"/>
      <c r="G960" s="229"/>
      <c r="H960" s="229"/>
      <c r="I960" s="229"/>
      <c r="J960" s="11"/>
      <c r="K960" s="59"/>
      <c r="L960" s="59"/>
      <c r="M960" s="64"/>
      <c r="N960" s="64"/>
      <c r="O960" s="64"/>
    </row>
    <row r="961" spans="2:15" x14ac:dyDescent="0.25">
      <c r="B961" s="59">
        <v>932</v>
      </c>
      <c r="C961" s="229"/>
      <c r="D961" s="229"/>
      <c r="E961" s="229"/>
      <c r="F961" s="229"/>
      <c r="G961" s="229"/>
      <c r="H961" s="229"/>
      <c r="I961" s="229"/>
      <c r="J961" s="11"/>
      <c r="K961" s="59"/>
      <c r="L961" s="59"/>
      <c r="M961" s="64"/>
      <c r="N961" s="64"/>
      <c r="O961" s="64"/>
    </row>
    <row r="962" spans="2:15" x14ac:dyDescent="0.25">
      <c r="B962" s="59">
        <v>933</v>
      </c>
      <c r="C962" s="229"/>
      <c r="D962" s="229"/>
      <c r="E962" s="229"/>
      <c r="F962" s="229"/>
      <c r="G962" s="229"/>
      <c r="H962" s="229"/>
      <c r="I962" s="229"/>
      <c r="J962" s="11"/>
      <c r="K962" s="59"/>
      <c r="L962" s="59"/>
      <c r="M962" s="64"/>
      <c r="N962" s="64"/>
      <c r="O962" s="64"/>
    </row>
    <row r="963" spans="2:15" x14ac:dyDescent="0.25">
      <c r="B963" s="59">
        <v>934</v>
      </c>
      <c r="C963" s="229"/>
      <c r="D963" s="229"/>
      <c r="E963" s="229"/>
      <c r="F963" s="229"/>
      <c r="G963" s="229"/>
      <c r="H963" s="229"/>
      <c r="I963" s="229"/>
      <c r="J963" s="11"/>
      <c r="K963" s="59"/>
      <c r="L963" s="59"/>
      <c r="M963" s="64"/>
      <c r="N963" s="64"/>
      <c r="O963" s="64"/>
    </row>
    <row r="964" spans="2:15" x14ac:dyDescent="0.25">
      <c r="B964" s="59">
        <v>935</v>
      </c>
      <c r="C964" s="229"/>
      <c r="D964" s="229"/>
      <c r="E964" s="229"/>
      <c r="F964" s="229"/>
      <c r="G964" s="229"/>
      <c r="H964" s="229"/>
      <c r="I964" s="229"/>
      <c r="J964" s="11"/>
      <c r="K964" s="59"/>
      <c r="L964" s="59"/>
      <c r="M964" s="64"/>
      <c r="N964" s="64"/>
      <c r="O964" s="64"/>
    </row>
    <row r="965" spans="2:15" x14ac:dyDescent="0.25">
      <c r="B965" s="59">
        <v>936</v>
      </c>
      <c r="C965" s="229"/>
      <c r="D965" s="229"/>
      <c r="E965" s="229"/>
      <c r="F965" s="229"/>
      <c r="G965" s="229"/>
      <c r="H965" s="229"/>
      <c r="I965" s="229"/>
      <c r="J965" s="11"/>
      <c r="K965" s="59"/>
      <c r="L965" s="59"/>
      <c r="M965" s="64"/>
      <c r="N965" s="64"/>
      <c r="O965" s="64"/>
    </row>
    <row r="966" spans="2:15" x14ac:dyDescent="0.25">
      <c r="B966" s="59">
        <v>937</v>
      </c>
      <c r="C966" s="229"/>
      <c r="D966" s="229"/>
      <c r="E966" s="229"/>
      <c r="F966" s="229"/>
      <c r="G966" s="229"/>
      <c r="H966" s="229"/>
      <c r="I966" s="229"/>
      <c r="J966" s="11"/>
      <c r="K966" s="59"/>
      <c r="L966" s="59"/>
      <c r="M966" s="64"/>
      <c r="N966" s="64"/>
      <c r="O966" s="64"/>
    </row>
    <row r="967" spans="2:15" x14ac:dyDescent="0.25">
      <c r="B967" s="59">
        <v>938</v>
      </c>
      <c r="C967" s="229"/>
      <c r="D967" s="229"/>
      <c r="E967" s="229"/>
      <c r="F967" s="229"/>
      <c r="G967" s="229"/>
      <c r="H967" s="229"/>
      <c r="I967" s="229"/>
      <c r="J967" s="11"/>
      <c r="K967" s="59"/>
      <c r="L967" s="59"/>
      <c r="M967" s="64"/>
      <c r="N967" s="64"/>
      <c r="O967" s="64"/>
    </row>
    <row r="968" spans="2:15" x14ac:dyDescent="0.25">
      <c r="B968" s="59">
        <v>939</v>
      </c>
      <c r="C968" s="229"/>
      <c r="D968" s="229"/>
      <c r="E968" s="229"/>
      <c r="F968" s="229"/>
      <c r="G968" s="229"/>
      <c r="H968" s="229"/>
      <c r="I968" s="229"/>
      <c r="J968" s="11"/>
      <c r="K968" s="59"/>
      <c r="L968" s="59"/>
      <c r="M968" s="64"/>
      <c r="N968" s="64"/>
      <c r="O968" s="64"/>
    </row>
    <row r="969" spans="2:15" x14ac:dyDescent="0.25">
      <c r="B969" s="59">
        <v>940</v>
      </c>
      <c r="C969" s="229"/>
      <c r="D969" s="229"/>
      <c r="E969" s="229"/>
      <c r="F969" s="229"/>
      <c r="G969" s="229"/>
      <c r="H969" s="229"/>
      <c r="I969" s="229"/>
      <c r="J969" s="11"/>
      <c r="K969" s="59"/>
      <c r="L969" s="59"/>
      <c r="M969" s="64"/>
      <c r="N969" s="64"/>
      <c r="O969" s="64"/>
    </row>
    <row r="970" spans="2:15" x14ac:dyDescent="0.25">
      <c r="B970" s="59">
        <v>941</v>
      </c>
      <c r="C970" s="229"/>
      <c r="D970" s="229"/>
      <c r="E970" s="229"/>
      <c r="F970" s="229"/>
      <c r="G970" s="229"/>
      <c r="H970" s="229"/>
      <c r="I970" s="229"/>
      <c r="J970" s="11"/>
      <c r="K970" s="59"/>
      <c r="L970" s="59"/>
      <c r="M970" s="64"/>
      <c r="N970" s="64"/>
      <c r="O970" s="64"/>
    </row>
    <row r="971" spans="2:15" x14ac:dyDescent="0.25">
      <c r="B971" s="59">
        <v>942</v>
      </c>
      <c r="C971" s="229"/>
      <c r="D971" s="229"/>
      <c r="E971" s="229"/>
      <c r="F971" s="229"/>
      <c r="G971" s="229"/>
      <c r="H971" s="229"/>
      <c r="I971" s="229"/>
      <c r="J971" s="11"/>
      <c r="K971" s="59"/>
      <c r="L971" s="59"/>
      <c r="M971" s="64"/>
      <c r="N971" s="64"/>
      <c r="O971" s="64"/>
    </row>
    <row r="972" spans="2:15" x14ac:dyDescent="0.25">
      <c r="B972" s="59">
        <v>943</v>
      </c>
      <c r="C972" s="229"/>
      <c r="D972" s="229"/>
      <c r="E972" s="229"/>
      <c r="F972" s="229"/>
      <c r="G972" s="229"/>
      <c r="H972" s="229"/>
      <c r="I972" s="229"/>
      <c r="J972" s="11"/>
      <c r="K972" s="59"/>
      <c r="L972" s="59"/>
      <c r="M972" s="64"/>
      <c r="N972" s="64"/>
      <c r="O972" s="64"/>
    </row>
    <row r="973" spans="2:15" x14ac:dyDescent="0.25">
      <c r="B973" s="59">
        <v>944</v>
      </c>
      <c r="C973" s="229"/>
      <c r="D973" s="229"/>
      <c r="E973" s="229"/>
      <c r="F973" s="229"/>
      <c r="G973" s="229"/>
      <c r="H973" s="229"/>
      <c r="I973" s="229"/>
      <c r="J973" s="11"/>
      <c r="K973" s="59"/>
      <c r="L973" s="59"/>
      <c r="M973" s="64"/>
      <c r="N973" s="64"/>
      <c r="O973" s="64"/>
    </row>
    <row r="974" spans="2:15" x14ac:dyDescent="0.25">
      <c r="B974" s="59">
        <v>945</v>
      </c>
      <c r="C974" s="229"/>
      <c r="D974" s="229"/>
      <c r="E974" s="229"/>
      <c r="F974" s="229"/>
      <c r="G974" s="229"/>
      <c r="H974" s="229"/>
      <c r="I974" s="229"/>
      <c r="J974" s="11"/>
      <c r="K974" s="59"/>
      <c r="L974" s="59"/>
      <c r="M974" s="64"/>
      <c r="N974" s="64"/>
      <c r="O974" s="64"/>
    </row>
    <row r="975" spans="2:15" x14ac:dyDescent="0.25">
      <c r="B975" s="59">
        <v>946</v>
      </c>
      <c r="C975" s="229"/>
      <c r="D975" s="229"/>
      <c r="E975" s="229"/>
      <c r="F975" s="229"/>
      <c r="G975" s="229"/>
      <c r="H975" s="229"/>
      <c r="I975" s="229"/>
      <c r="J975" s="11"/>
      <c r="K975" s="59"/>
      <c r="L975" s="59"/>
      <c r="M975" s="64"/>
      <c r="N975" s="64"/>
      <c r="O975" s="64"/>
    </row>
    <row r="976" spans="2:15" x14ac:dyDescent="0.25">
      <c r="B976" s="59">
        <v>947</v>
      </c>
      <c r="C976" s="229"/>
      <c r="D976" s="229"/>
      <c r="E976" s="229"/>
      <c r="F976" s="229"/>
      <c r="G976" s="229"/>
      <c r="H976" s="229"/>
      <c r="I976" s="229"/>
      <c r="J976" s="11"/>
      <c r="K976" s="59"/>
      <c r="L976" s="59"/>
      <c r="M976" s="64"/>
      <c r="N976" s="64"/>
      <c r="O976" s="64"/>
    </row>
    <row r="977" spans="2:15" x14ac:dyDescent="0.25">
      <c r="B977" s="59">
        <v>948</v>
      </c>
      <c r="C977" s="229"/>
      <c r="D977" s="229"/>
      <c r="E977" s="229"/>
      <c r="F977" s="229"/>
      <c r="G977" s="229"/>
      <c r="H977" s="229"/>
      <c r="I977" s="229"/>
      <c r="J977" s="11"/>
      <c r="K977" s="59"/>
      <c r="L977" s="59"/>
      <c r="M977" s="64"/>
      <c r="N977" s="64"/>
      <c r="O977" s="64"/>
    </row>
    <row r="978" spans="2:15" x14ac:dyDescent="0.25">
      <c r="B978" s="59">
        <v>949</v>
      </c>
      <c r="C978" s="229"/>
      <c r="D978" s="229"/>
      <c r="E978" s="229"/>
      <c r="F978" s="229"/>
      <c r="G978" s="229"/>
      <c r="H978" s="229"/>
      <c r="I978" s="229"/>
      <c r="J978" s="11"/>
      <c r="K978" s="59"/>
      <c r="L978" s="59"/>
      <c r="M978" s="64"/>
      <c r="N978" s="64"/>
      <c r="O978" s="64"/>
    </row>
    <row r="979" spans="2:15" x14ac:dyDescent="0.25">
      <c r="B979" s="59">
        <v>950</v>
      </c>
      <c r="C979" s="229"/>
      <c r="D979" s="229"/>
      <c r="E979" s="229"/>
      <c r="F979" s="229"/>
      <c r="G979" s="229"/>
      <c r="H979" s="229"/>
      <c r="I979" s="229"/>
      <c r="J979" s="11"/>
      <c r="K979" s="59"/>
      <c r="L979" s="59"/>
      <c r="M979" s="64"/>
      <c r="N979" s="64"/>
      <c r="O979" s="64"/>
    </row>
    <row r="980" spans="2:15" x14ac:dyDescent="0.25">
      <c r="B980" s="59">
        <v>951</v>
      </c>
      <c r="C980" s="229"/>
      <c r="D980" s="229"/>
      <c r="E980" s="229"/>
      <c r="F980" s="229"/>
      <c r="G980" s="229"/>
      <c r="H980" s="229"/>
      <c r="I980" s="229"/>
      <c r="J980" s="11"/>
      <c r="K980" s="59"/>
      <c r="L980" s="59"/>
      <c r="M980" s="64"/>
      <c r="N980" s="64"/>
      <c r="O980" s="64"/>
    </row>
    <row r="981" spans="2:15" x14ac:dyDescent="0.25">
      <c r="B981" s="59">
        <v>952</v>
      </c>
      <c r="C981" s="229"/>
      <c r="D981" s="229"/>
      <c r="E981" s="229"/>
      <c r="F981" s="229"/>
      <c r="G981" s="229"/>
      <c r="H981" s="229"/>
      <c r="I981" s="229"/>
      <c r="J981" s="11"/>
      <c r="K981" s="59"/>
      <c r="L981" s="59"/>
      <c r="M981" s="64"/>
      <c r="N981" s="64"/>
      <c r="O981" s="64"/>
    </row>
    <row r="982" spans="2:15" x14ac:dyDescent="0.25">
      <c r="B982" s="59">
        <v>953</v>
      </c>
      <c r="C982" s="229"/>
      <c r="D982" s="229"/>
      <c r="E982" s="229"/>
      <c r="F982" s="229"/>
      <c r="G982" s="229"/>
      <c r="H982" s="229"/>
      <c r="I982" s="229"/>
      <c r="J982" s="11"/>
      <c r="K982" s="59"/>
      <c r="L982" s="59"/>
      <c r="M982" s="64"/>
      <c r="N982" s="64"/>
      <c r="O982" s="64"/>
    </row>
    <row r="983" spans="2:15" x14ac:dyDescent="0.25">
      <c r="B983" s="59">
        <v>954</v>
      </c>
      <c r="C983" s="229"/>
      <c r="D983" s="229"/>
      <c r="E983" s="229"/>
      <c r="F983" s="229"/>
      <c r="G983" s="229"/>
      <c r="H983" s="229"/>
      <c r="I983" s="229"/>
      <c r="J983" s="11"/>
      <c r="K983" s="59"/>
      <c r="L983" s="59"/>
      <c r="M983" s="64"/>
      <c r="N983" s="64"/>
      <c r="O983" s="64"/>
    </row>
    <row r="984" spans="2:15" x14ac:dyDescent="0.25">
      <c r="B984" s="59">
        <v>955</v>
      </c>
      <c r="C984" s="229"/>
      <c r="D984" s="229"/>
      <c r="E984" s="229"/>
      <c r="F984" s="229"/>
      <c r="G984" s="229"/>
      <c r="H984" s="229"/>
      <c r="I984" s="229"/>
      <c r="J984" s="11"/>
      <c r="K984" s="59"/>
      <c r="L984" s="59"/>
      <c r="M984" s="64"/>
      <c r="N984" s="64"/>
      <c r="O984" s="64"/>
    </row>
    <row r="985" spans="2:15" x14ac:dyDescent="0.25">
      <c r="B985" s="59">
        <v>956</v>
      </c>
      <c r="C985" s="229"/>
      <c r="D985" s="229"/>
      <c r="E985" s="229"/>
      <c r="F985" s="229"/>
      <c r="G985" s="229"/>
      <c r="H985" s="229"/>
      <c r="I985" s="229"/>
      <c r="J985" s="11"/>
      <c r="K985" s="59"/>
      <c r="L985" s="59"/>
      <c r="M985" s="64"/>
      <c r="N985" s="64"/>
      <c r="O985" s="64"/>
    </row>
    <row r="986" spans="2:15" x14ac:dyDescent="0.25">
      <c r="B986" s="59">
        <v>957</v>
      </c>
      <c r="C986" s="229"/>
      <c r="D986" s="229"/>
      <c r="E986" s="229"/>
      <c r="F986" s="229"/>
      <c r="G986" s="229"/>
      <c r="H986" s="229"/>
      <c r="I986" s="229"/>
      <c r="J986" s="11"/>
      <c r="K986" s="59"/>
      <c r="L986" s="59"/>
      <c r="M986" s="64"/>
      <c r="N986" s="64"/>
      <c r="O986" s="64"/>
    </row>
    <row r="987" spans="2:15" x14ac:dyDescent="0.25">
      <c r="B987" s="59">
        <v>958</v>
      </c>
      <c r="C987" s="229"/>
      <c r="D987" s="229"/>
      <c r="E987" s="229"/>
      <c r="F987" s="229"/>
      <c r="G987" s="229"/>
      <c r="H987" s="229"/>
      <c r="I987" s="229"/>
      <c r="J987" s="11"/>
      <c r="K987" s="59"/>
      <c r="L987" s="59"/>
      <c r="M987" s="64"/>
      <c r="N987" s="64"/>
      <c r="O987" s="64"/>
    </row>
    <row r="988" spans="2:15" x14ac:dyDescent="0.25">
      <c r="B988" s="59">
        <v>959</v>
      </c>
      <c r="C988" s="229"/>
      <c r="D988" s="229"/>
      <c r="E988" s="229"/>
      <c r="F988" s="229"/>
      <c r="G988" s="229"/>
      <c r="H988" s="229"/>
      <c r="I988" s="229"/>
      <c r="J988" s="11"/>
      <c r="K988" s="59"/>
      <c r="L988" s="59"/>
      <c r="M988" s="64"/>
      <c r="N988" s="64"/>
      <c r="O988" s="64"/>
    </row>
    <row r="989" spans="2:15" x14ac:dyDescent="0.25">
      <c r="B989" s="59">
        <v>960</v>
      </c>
      <c r="C989" s="229"/>
      <c r="D989" s="229"/>
      <c r="E989" s="229"/>
      <c r="F989" s="229"/>
      <c r="G989" s="229"/>
      <c r="H989" s="229"/>
      <c r="I989" s="229"/>
      <c r="J989" s="11"/>
      <c r="K989" s="59"/>
      <c r="L989" s="59"/>
      <c r="M989" s="64"/>
      <c r="N989" s="64"/>
      <c r="O989" s="64"/>
    </row>
    <row r="990" spans="2:15" x14ac:dyDescent="0.25">
      <c r="B990" s="59">
        <v>961</v>
      </c>
      <c r="C990" s="229"/>
      <c r="D990" s="229"/>
      <c r="E990" s="229"/>
      <c r="F990" s="229"/>
      <c r="G990" s="229"/>
      <c r="H990" s="229"/>
      <c r="I990" s="229"/>
      <c r="J990" s="11"/>
      <c r="K990" s="59"/>
      <c r="L990" s="59"/>
      <c r="M990" s="64"/>
      <c r="N990" s="64"/>
      <c r="O990" s="64"/>
    </row>
    <row r="991" spans="2:15" x14ac:dyDescent="0.25">
      <c r="B991" s="59">
        <v>962</v>
      </c>
      <c r="C991" s="229"/>
      <c r="D991" s="229"/>
      <c r="E991" s="229"/>
      <c r="F991" s="229"/>
      <c r="G991" s="229"/>
      <c r="H991" s="229"/>
      <c r="I991" s="229"/>
      <c r="J991" s="11"/>
      <c r="K991" s="59"/>
      <c r="L991" s="59"/>
      <c r="M991" s="64"/>
      <c r="N991" s="64"/>
      <c r="O991" s="64"/>
    </row>
    <row r="992" spans="2:15" x14ac:dyDescent="0.25">
      <c r="B992" s="59">
        <v>963</v>
      </c>
      <c r="C992" s="229"/>
      <c r="D992" s="229"/>
      <c r="E992" s="229"/>
      <c r="F992" s="229"/>
      <c r="G992" s="229"/>
      <c r="H992" s="229"/>
      <c r="I992" s="229"/>
      <c r="J992" s="11"/>
      <c r="K992" s="59"/>
      <c r="L992" s="59"/>
      <c r="M992" s="64"/>
      <c r="N992" s="64"/>
      <c r="O992" s="64"/>
    </row>
    <row r="993" spans="2:15" x14ac:dyDescent="0.25">
      <c r="B993" s="59">
        <v>964</v>
      </c>
      <c r="C993" s="229"/>
      <c r="D993" s="229"/>
      <c r="E993" s="229"/>
      <c r="F993" s="229"/>
      <c r="G993" s="229"/>
      <c r="H993" s="229"/>
      <c r="I993" s="229"/>
      <c r="J993" s="11"/>
      <c r="K993" s="59"/>
      <c r="L993" s="59"/>
      <c r="M993" s="64"/>
      <c r="N993" s="64"/>
      <c r="O993" s="64"/>
    </row>
    <row r="994" spans="2:15" x14ac:dyDescent="0.25">
      <c r="B994" s="59">
        <v>965</v>
      </c>
      <c r="C994" s="229"/>
      <c r="D994" s="229"/>
      <c r="E994" s="229"/>
      <c r="F994" s="229"/>
      <c r="G994" s="229"/>
      <c r="H994" s="229"/>
      <c r="I994" s="229"/>
      <c r="J994" s="11"/>
      <c r="K994" s="59"/>
      <c r="L994" s="59"/>
      <c r="M994" s="64"/>
      <c r="N994" s="64"/>
      <c r="O994" s="64"/>
    </row>
    <row r="995" spans="2:15" x14ac:dyDescent="0.25">
      <c r="B995" s="59">
        <v>966</v>
      </c>
      <c r="C995" s="229"/>
      <c r="D995" s="229"/>
      <c r="E995" s="229"/>
      <c r="F995" s="229"/>
      <c r="G995" s="229"/>
      <c r="H995" s="229"/>
      <c r="I995" s="229"/>
      <c r="J995" s="11"/>
      <c r="K995" s="59"/>
      <c r="L995" s="59"/>
      <c r="M995" s="64"/>
      <c r="N995" s="64"/>
      <c r="O995" s="64"/>
    </row>
    <row r="996" spans="2:15" x14ac:dyDescent="0.25">
      <c r="B996" s="59">
        <v>967</v>
      </c>
      <c r="C996" s="229"/>
      <c r="D996" s="229"/>
      <c r="E996" s="229"/>
      <c r="F996" s="229"/>
      <c r="G996" s="229"/>
      <c r="H996" s="229"/>
      <c r="I996" s="229"/>
      <c r="J996" s="11"/>
      <c r="K996" s="59"/>
      <c r="L996" s="59"/>
      <c r="M996" s="64"/>
      <c r="N996" s="64"/>
      <c r="O996" s="64"/>
    </row>
    <row r="997" spans="2:15" x14ac:dyDescent="0.25">
      <c r="B997" s="59">
        <v>968</v>
      </c>
      <c r="C997" s="229"/>
      <c r="D997" s="229"/>
      <c r="E997" s="229"/>
      <c r="F997" s="229"/>
      <c r="G997" s="229"/>
      <c r="H997" s="229"/>
      <c r="I997" s="229"/>
      <c r="J997" s="11"/>
      <c r="K997" s="59"/>
      <c r="L997" s="59"/>
      <c r="M997" s="64"/>
      <c r="N997" s="64"/>
      <c r="O997" s="64"/>
    </row>
    <row r="998" spans="2:15" x14ac:dyDescent="0.25">
      <c r="B998" s="59">
        <v>969</v>
      </c>
      <c r="C998" s="229"/>
      <c r="D998" s="229"/>
      <c r="E998" s="229"/>
      <c r="F998" s="229"/>
      <c r="G998" s="229"/>
      <c r="H998" s="229"/>
      <c r="I998" s="229"/>
      <c r="J998" s="11"/>
      <c r="K998" s="59"/>
      <c r="L998" s="59"/>
      <c r="M998" s="64"/>
      <c r="N998" s="64"/>
      <c r="O998" s="64"/>
    </row>
    <row r="999" spans="2:15" x14ac:dyDescent="0.25">
      <c r="B999" s="59">
        <v>970</v>
      </c>
      <c r="C999" s="229"/>
      <c r="D999" s="229"/>
      <c r="E999" s="229"/>
      <c r="F999" s="229"/>
      <c r="G999" s="229"/>
      <c r="H999" s="229"/>
      <c r="I999" s="229"/>
      <c r="J999" s="11"/>
      <c r="K999" s="59"/>
      <c r="L999" s="59"/>
      <c r="M999" s="64"/>
      <c r="N999" s="64"/>
      <c r="O999" s="64"/>
    </row>
    <row r="1000" spans="2:15" x14ac:dyDescent="0.25">
      <c r="B1000" s="59">
        <v>971</v>
      </c>
      <c r="C1000" s="229"/>
      <c r="D1000" s="229"/>
      <c r="E1000" s="229"/>
      <c r="F1000" s="229"/>
      <c r="G1000" s="229"/>
      <c r="H1000" s="229"/>
      <c r="I1000" s="229"/>
      <c r="J1000" s="11"/>
      <c r="K1000" s="59"/>
      <c r="L1000" s="59"/>
      <c r="M1000" s="64"/>
      <c r="N1000" s="64"/>
      <c r="O1000" s="64"/>
    </row>
    <row r="1001" spans="2:15" x14ac:dyDescent="0.25">
      <c r="B1001" s="59">
        <v>972</v>
      </c>
      <c r="C1001" s="229"/>
      <c r="D1001" s="229"/>
      <c r="E1001" s="229"/>
      <c r="F1001" s="229"/>
      <c r="G1001" s="229"/>
      <c r="H1001" s="229"/>
      <c r="I1001" s="229"/>
      <c r="J1001" s="11"/>
      <c r="K1001" s="59"/>
      <c r="L1001" s="59"/>
      <c r="M1001" s="64"/>
      <c r="N1001" s="64"/>
      <c r="O1001" s="64"/>
    </row>
    <row r="1002" spans="2:15" x14ac:dyDescent="0.25">
      <c r="B1002" s="59">
        <v>973</v>
      </c>
      <c r="C1002" s="229"/>
      <c r="D1002" s="229"/>
      <c r="E1002" s="229"/>
      <c r="F1002" s="229"/>
      <c r="G1002" s="229"/>
      <c r="H1002" s="229"/>
      <c r="I1002" s="229"/>
      <c r="J1002" s="11"/>
      <c r="K1002" s="59"/>
      <c r="L1002" s="59"/>
      <c r="M1002" s="64"/>
      <c r="N1002" s="64"/>
      <c r="O1002" s="64"/>
    </row>
    <row r="1003" spans="2:15" x14ac:dyDescent="0.25">
      <c r="B1003" s="59">
        <v>974</v>
      </c>
      <c r="C1003" s="229"/>
      <c r="D1003" s="229"/>
      <c r="E1003" s="229"/>
      <c r="F1003" s="229"/>
      <c r="G1003" s="229"/>
      <c r="H1003" s="229"/>
      <c r="I1003" s="229"/>
      <c r="J1003" s="11"/>
      <c r="K1003" s="59"/>
      <c r="L1003" s="59"/>
      <c r="M1003" s="64"/>
      <c r="N1003" s="64"/>
      <c r="O1003" s="64"/>
    </row>
    <row r="1004" spans="2:15" x14ac:dyDescent="0.25">
      <c r="B1004" s="59">
        <v>975</v>
      </c>
      <c r="C1004" s="229"/>
      <c r="D1004" s="229"/>
      <c r="E1004" s="229"/>
      <c r="F1004" s="229"/>
      <c r="G1004" s="229"/>
      <c r="H1004" s="229"/>
      <c r="I1004" s="229"/>
      <c r="J1004" s="11"/>
      <c r="K1004" s="59"/>
      <c r="L1004" s="59"/>
      <c r="M1004" s="64"/>
      <c r="N1004" s="64"/>
      <c r="O1004" s="64"/>
    </row>
    <row r="1005" spans="2:15" x14ac:dyDescent="0.25">
      <c r="B1005" s="59">
        <v>976</v>
      </c>
      <c r="C1005" s="229"/>
      <c r="D1005" s="229"/>
      <c r="E1005" s="229"/>
      <c r="F1005" s="229"/>
      <c r="G1005" s="229"/>
      <c r="H1005" s="229"/>
      <c r="I1005" s="229"/>
      <c r="J1005" s="11"/>
      <c r="K1005" s="59"/>
      <c r="L1005" s="59"/>
      <c r="M1005" s="64"/>
      <c r="N1005" s="64"/>
      <c r="O1005" s="64"/>
    </row>
    <row r="1006" spans="2:15" x14ac:dyDescent="0.25">
      <c r="B1006" s="59">
        <v>977</v>
      </c>
      <c r="C1006" s="229"/>
      <c r="D1006" s="229"/>
      <c r="E1006" s="229"/>
      <c r="F1006" s="229"/>
      <c r="G1006" s="229"/>
      <c r="H1006" s="229"/>
      <c r="I1006" s="229"/>
      <c r="J1006" s="11"/>
      <c r="K1006" s="59"/>
      <c r="L1006" s="59"/>
      <c r="M1006" s="64"/>
      <c r="N1006" s="64"/>
      <c r="O1006" s="64"/>
    </row>
    <row r="1007" spans="2:15" x14ac:dyDescent="0.25">
      <c r="B1007" s="59">
        <v>978</v>
      </c>
      <c r="C1007" s="229"/>
      <c r="D1007" s="229"/>
      <c r="E1007" s="229"/>
      <c r="F1007" s="229"/>
      <c r="G1007" s="229"/>
      <c r="H1007" s="229"/>
      <c r="I1007" s="229"/>
      <c r="J1007" s="11"/>
      <c r="K1007" s="59"/>
      <c r="L1007" s="59"/>
      <c r="M1007" s="64"/>
      <c r="N1007" s="64"/>
      <c r="O1007" s="64"/>
    </row>
    <row r="1008" spans="2:15" x14ac:dyDescent="0.25">
      <c r="B1008" s="59">
        <v>979</v>
      </c>
      <c r="C1008" s="229"/>
      <c r="D1008" s="229"/>
      <c r="E1008" s="229"/>
      <c r="F1008" s="229"/>
      <c r="G1008" s="229"/>
      <c r="H1008" s="229"/>
      <c r="I1008" s="229"/>
      <c r="J1008" s="11"/>
      <c r="K1008" s="59"/>
      <c r="L1008" s="59"/>
      <c r="M1008" s="64"/>
      <c r="N1008" s="64"/>
      <c r="O1008" s="64"/>
    </row>
    <row r="1009" spans="2:15" x14ac:dyDescent="0.25">
      <c r="B1009" s="59">
        <v>980</v>
      </c>
      <c r="C1009" s="229"/>
      <c r="D1009" s="229"/>
      <c r="E1009" s="229"/>
      <c r="F1009" s="229"/>
      <c r="G1009" s="229"/>
      <c r="H1009" s="229"/>
      <c r="I1009" s="229"/>
      <c r="J1009" s="11"/>
      <c r="K1009" s="59"/>
      <c r="L1009" s="59"/>
      <c r="M1009" s="64"/>
      <c r="N1009" s="64"/>
      <c r="O1009" s="64"/>
    </row>
    <row r="1010" spans="2:15" x14ac:dyDescent="0.25">
      <c r="B1010" s="59">
        <v>981</v>
      </c>
      <c r="C1010" s="229"/>
      <c r="D1010" s="229"/>
      <c r="E1010" s="229"/>
      <c r="F1010" s="229"/>
      <c r="G1010" s="229"/>
      <c r="H1010" s="229"/>
      <c r="I1010" s="229"/>
      <c r="J1010" s="11"/>
      <c r="K1010" s="59"/>
      <c r="L1010" s="59"/>
      <c r="M1010" s="64"/>
      <c r="N1010" s="64"/>
      <c r="O1010" s="64"/>
    </row>
    <row r="1011" spans="2:15" x14ac:dyDescent="0.25">
      <c r="B1011" s="59">
        <v>982</v>
      </c>
      <c r="C1011" s="229"/>
      <c r="D1011" s="229"/>
      <c r="E1011" s="229"/>
      <c r="F1011" s="229"/>
      <c r="G1011" s="229"/>
      <c r="H1011" s="229"/>
      <c r="I1011" s="229"/>
      <c r="J1011" s="11"/>
      <c r="K1011" s="59"/>
      <c r="L1011" s="59"/>
      <c r="M1011" s="64"/>
      <c r="N1011" s="64"/>
      <c r="O1011" s="64"/>
    </row>
    <row r="1012" spans="2:15" x14ac:dyDescent="0.25">
      <c r="B1012" s="59">
        <v>983</v>
      </c>
      <c r="C1012" s="229"/>
      <c r="D1012" s="229"/>
      <c r="E1012" s="229"/>
      <c r="F1012" s="229"/>
      <c r="G1012" s="229"/>
      <c r="H1012" s="229"/>
      <c r="I1012" s="229"/>
      <c r="J1012" s="11"/>
      <c r="K1012" s="59"/>
      <c r="L1012" s="59"/>
      <c r="M1012" s="64"/>
      <c r="N1012" s="64"/>
      <c r="O1012" s="64"/>
    </row>
    <row r="1013" spans="2:15" x14ac:dyDescent="0.25">
      <c r="B1013" s="59">
        <v>984</v>
      </c>
      <c r="C1013" s="229"/>
      <c r="D1013" s="229"/>
      <c r="E1013" s="229"/>
      <c r="F1013" s="229"/>
      <c r="G1013" s="229"/>
      <c r="H1013" s="229"/>
      <c r="I1013" s="229"/>
      <c r="J1013" s="11"/>
      <c r="K1013" s="59"/>
      <c r="L1013" s="59"/>
      <c r="M1013" s="64"/>
      <c r="N1013" s="64"/>
      <c r="O1013" s="64"/>
    </row>
    <row r="1014" spans="2:15" x14ac:dyDescent="0.25">
      <c r="B1014" s="59">
        <v>985</v>
      </c>
      <c r="C1014" s="229"/>
      <c r="D1014" s="229"/>
      <c r="E1014" s="229"/>
      <c r="F1014" s="229"/>
      <c r="G1014" s="229"/>
      <c r="H1014" s="229"/>
      <c r="I1014" s="229"/>
      <c r="J1014" s="11"/>
      <c r="K1014" s="59"/>
      <c r="L1014" s="59"/>
      <c r="M1014" s="64"/>
      <c r="N1014" s="64"/>
      <c r="O1014" s="64"/>
    </row>
    <row r="1015" spans="2:15" x14ac:dyDescent="0.25">
      <c r="B1015" s="59">
        <v>986</v>
      </c>
      <c r="C1015" s="229"/>
      <c r="D1015" s="229"/>
      <c r="E1015" s="229"/>
      <c r="F1015" s="229"/>
      <c r="G1015" s="229"/>
      <c r="H1015" s="229"/>
      <c r="I1015" s="229"/>
      <c r="J1015" s="11"/>
      <c r="K1015" s="59"/>
      <c r="L1015" s="59"/>
      <c r="M1015" s="64"/>
      <c r="N1015" s="64"/>
      <c r="O1015" s="64"/>
    </row>
    <row r="1016" spans="2:15" x14ac:dyDescent="0.25">
      <c r="B1016" s="59">
        <v>987</v>
      </c>
      <c r="C1016" s="229"/>
      <c r="D1016" s="229"/>
      <c r="E1016" s="229"/>
      <c r="F1016" s="229"/>
      <c r="G1016" s="229"/>
      <c r="H1016" s="229"/>
      <c r="I1016" s="229"/>
      <c r="J1016" s="11"/>
      <c r="K1016" s="59"/>
      <c r="L1016" s="59"/>
      <c r="M1016" s="64"/>
      <c r="N1016" s="64"/>
      <c r="O1016" s="64"/>
    </row>
    <row r="1017" spans="2:15" x14ac:dyDescent="0.25">
      <c r="B1017" s="59">
        <v>988</v>
      </c>
      <c r="C1017" s="229"/>
      <c r="D1017" s="229"/>
      <c r="E1017" s="229"/>
      <c r="F1017" s="229"/>
      <c r="G1017" s="229"/>
      <c r="H1017" s="229"/>
      <c r="I1017" s="229"/>
      <c r="J1017" s="11"/>
      <c r="K1017" s="59"/>
      <c r="L1017" s="59"/>
      <c r="M1017" s="64"/>
      <c r="N1017" s="64"/>
      <c r="O1017" s="64"/>
    </row>
    <row r="1018" spans="2:15" x14ac:dyDescent="0.25">
      <c r="B1018" s="59">
        <v>989</v>
      </c>
      <c r="C1018" s="229"/>
      <c r="D1018" s="229"/>
      <c r="E1018" s="229"/>
      <c r="F1018" s="229"/>
      <c r="G1018" s="229"/>
      <c r="H1018" s="229"/>
      <c r="I1018" s="229"/>
      <c r="J1018" s="11"/>
      <c r="K1018" s="59"/>
      <c r="L1018" s="59"/>
      <c r="M1018" s="64"/>
      <c r="N1018" s="64"/>
      <c r="O1018" s="64"/>
    </row>
    <row r="1019" spans="2:15" x14ac:dyDescent="0.25">
      <c r="B1019" s="59">
        <v>990</v>
      </c>
      <c r="C1019" s="229"/>
      <c r="D1019" s="229"/>
      <c r="E1019" s="229"/>
      <c r="F1019" s="229"/>
      <c r="G1019" s="229"/>
      <c r="H1019" s="229"/>
      <c r="I1019" s="229"/>
      <c r="J1019" s="11"/>
      <c r="K1019" s="59"/>
      <c r="L1019" s="59"/>
      <c r="M1019" s="64"/>
      <c r="N1019" s="64"/>
      <c r="O1019" s="64"/>
    </row>
    <row r="1020" spans="2:15" x14ac:dyDescent="0.25">
      <c r="B1020" s="59">
        <v>991</v>
      </c>
      <c r="C1020" s="229"/>
      <c r="D1020" s="229"/>
      <c r="E1020" s="229"/>
      <c r="F1020" s="229"/>
      <c r="G1020" s="229"/>
      <c r="H1020" s="229"/>
      <c r="I1020" s="229"/>
      <c r="J1020" s="11"/>
      <c r="K1020" s="59"/>
      <c r="L1020" s="59"/>
      <c r="M1020" s="64"/>
      <c r="N1020" s="64"/>
      <c r="O1020" s="64"/>
    </row>
    <row r="1021" spans="2:15" x14ac:dyDescent="0.25">
      <c r="B1021" s="59">
        <v>992</v>
      </c>
      <c r="C1021" s="229"/>
      <c r="D1021" s="229"/>
      <c r="E1021" s="229"/>
      <c r="F1021" s="229"/>
      <c r="G1021" s="229"/>
      <c r="H1021" s="229"/>
      <c r="I1021" s="229"/>
      <c r="J1021" s="11"/>
      <c r="K1021" s="59"/>
      <c r="L1021" s="59"/>
      <c r="M1021" s="64"/>
      <c r="N1021" s="64"/>
      <c r="O1021" s="64"/>
    </row>
    <row r="1022" spans="2:15" x14ac:dyDescent="0.25">
      <c r="B1022" s="59">
        <v>993</v>
      </c>
      <c r="C1022" s="229"/>
      <c r="D1022" s="229"/>
      <c r="E1022" s="229"/>
      <c r="F1022" s="229"/>
      <c r="G1022" s="229"/>
      <c r="H1022" s="229"/>
      <c r="I1022" s="229"/>
      <c r="J1022" s="11"/>
      <c r="K1022" s="59"/>
      <c r="L1022" s="59"/>
      <c r="M1022" s="64"/>
      <c r="N1022" s="64"/>
      <c r="O1022" s="64"/>
    </row>
    <row r="1023" spans="2:15" x14ac:dyDescent="0.25">
      <c r="B1023" s="59">
        <v>994</v>
      </c>
      <c r="C1023" s="229"/>
      <c r="D1023" s="229"/>
      <c r="E1023" s="229"/>
      <c r="F1023" s="229"/>
      <c r="G1023" s="229"/>
      <c r="H1023" s="229"/>
      <c r="I1023" s="229"/>
      <c r="J1023" s="11"/>
      <c r="K1023" s="59"/>
      <c r="L1023" s="59"/>
      <c r="M1023" s="64"/>
      <c r="N1023" s="64"/>
      <c r="O1023" s="64"/>
    </row>
    <row r="1024" spans="2:15" x14ac:dyDescent="0.25">
      <c r="B1024" s="59">
        <v>995</v>
      </c>
      <c r="C1024" s="229"/>
      <c r="D1024" s="229"/>
      <c r="E1024" s="229"/>
      <c r="F1024" s="229"/>
      <c r="G1024" s="229"/>
      <c r="H1024" s="229"/>
      <c r="I1024" s="229"/>
      <c r="J1024" s="11"/>
      <c r="K1024" s="59"/>
      <c r="L1024" s="59"/>
      <c r="M1024" s="64"/>
      <c r="N1024" s="64"/>
      <c r="O1024" s="64"/>
    </row>
    <row r="1025" spans="2:15" x14ac:dyDescent="0.25">
      <c r="B1025" s="59">
        <v>996</v>
      </c>
      <c r="C1025" s="229"/>
      <c r="D1025" s="229"/>
      <c r="E1025" s="229"/>
      <c r="F1025" s="229"/>
      <c r="G1025" s="229"/>
      <c r="H1025" s="229"/>
      <c r="I1025" s="229"/>
      <c r="J1025" s="11"/>
      <c r="K1025" s="59"/>
      <c r="L1025" s="59"/>
      <c r="M1025" s="64"/>
      <c r="N1025" s="64"/>
      <c r="O1025" s="64"/>
    </row>
    <row r="1026" spans="2:15" x14ac:dyDescent="0.25">
      <c r="B1026" s="59">
        <v>997</v>
      </c>
      <c r="C1026" s="229"/>
      <c r="D1026" s="229"/>
      <c r="E1026" s="229"/>
      <c r="F1026" s="229"/>
      <c r="G1026" s="229"/>
      <c r="H1026" s="229"/>
      <c r="I1026" s="229"/>
      <c r="J1026" s="11"/>
      <c r="K1026" s="59"/>
      <c r="L1026" s="59"/>
      <c r="M1026" s="64"/>
      <c r="N1026" s="64"/>
      <c r="O1026" s="64"/>
    </row>
    <row r="1027" spans="2:15" x14ac:dyDescent="0.25">
      <c r="B1027" s="59">
        <v>998</v>
      </c>
      <c r="C1027" s="229"/>
      <c r="D1027" s="229"/>
      <c r="E1027" s="229"/>
      <c r="F1027" s="229"/>
      <c r="G1027" s="229"/>
      <c r="H1027" s="229"/>
      <c r="I1027" s="229"/>
      <c r="J1027" s="11"/>
      <c r="K1027" s="59"/>
      <c r="L1027" s="59"/>
      <c r="M1027" s="64"/>
      <c r="N1027" s="64"/>
      <c r="O1027" s="64"/>
    </row>
    <row r="1028" spans="2:15" x14ac:dyDescent="0.25">
      <c r="B1028" s="60"/>
      <c r="C1028" s="262"/>
      <c r="D1028" s="262"/>
      <c r="E1028" s="262"/>
      <c r="F1028" s="262"/>
      <c r="G1028" s="262"/>
      <c r="H1028" s="262"/>
      <c r="I1028" s="262"/>
      <c r="J1028" s="60"/>
      <c r="K1028" s="60"/>
      <c r="L1028" s="60"/>
    </row>
  </sheetData>
  <mergeCells count="1027">
    <mergeCell ref="C203:I203"/>
    <mergeCell ref="M10:M11"/>
    <mergeCell ref="N10:N11"/>
    <mergeCell ref="C1025:I1025"/>
    <mergeCell ref="C1026:I1026"/>
    <mergeCell ref="C1027:I1027"/>
    <mergeCell ref="C1028:I1028"/>
    <mergeCell ref="C1019:I1019"/>
    <mergeCell ref="C1020:I1020"/>
    <mergeCell ref="C1021:I1021"/>
    <mergeCell ref="C1022:I1022"/>
    <mergeCell ref="C1023:I1023"/>
    <mergeCell ref="C1024:I1024"/>
    <mergeCell ref="C1013:I1013"/>
    <mergeCell ref="C1014:I1014"/>
    <mergeCell ref="C1015:I1015"/>
    <mergeCell ref="C1016:I1016"/>
    <mergeCell ref="C1017:I1017"/>
    <mergeCell ref="C1018:I1018"/>
    <mergeCell ref="C1007:I1007"/>
    <mergeCell ref="C1008:I1008"/>
    <mergeCell ref="C1009:I1009"/>
    <mergeCell ref="C1010:I1010"/>
    <mergeCell ref="C1011:I1011"/>
    <mergeCell ref="C1012:I1012"/>
    <mergeCell ref="C1001:I1001"/>
    <mergeCell ref="C1002:I1002"/>
    <mergeCell ref="C1003:I1003"/>
    <mergeCell ref="C1004:I1004"/>
    <mergeCell ref="C1005:I1005"/>
    <mergeCell ref="C1006:I1006"/>
    <mergeCell ref="C995:I995"/>
    <mergeCell ref="C996:I996"/>
    <mergeCell ref="C997:I997"/>
    <mergeCell ref="C998:I998"/>
    <mergeCell ref="C999:I999"/>
    <mergeCell ref="C1000:I1000"/>
    <mergeCell ref="C989:I989"/>
    <mergeCell ref="C990:I990"/>
    <mergeCell ref="C991:I991"/>
    <mergeCell ref="C992:I992"/>
    <mergeCell ref="C993:I993"/>
    <mergeCell ref="C994:I994"/>
    <mergeCell ref="C983:I983"/>
    <mergeCell ref="C984:I984"/>
    <mergeCell ref="C985:I985"/>
    <mergeCell ref="C986:I986"/>
    <mergeCell ref="C987:I987"/>
    <mergeCell ref="C988:I988"/>
    <mergeCell ref="C977:I977"/>
    <mergeCell ref="C978:I978"/>
    <mergeCell ref="C979:I979"/>
    <mergeCell ref="C980:I980"/>
    <mergeCell ref="C981:I981"/>
    <mergeCell ref="C982:I982"/>
    <mergeCell ref="C971:I971"/>
    <mergeCell ref="C972:I972"/>
    <mergeCell ref="C973:I973"/>
    <mergeCell ref="C974:I974"/>
    <mergeCell ref="C975:I975"/>
    <mergeCell ref="C976:I976"/>
    <mergeCell ref="C965:I965"/>
    <mergeCell ref="C966:I966"/>
    <mergeCell ref="C967:I967"/>
    <mergeCell ref="C968:I968"/>
    <mergeCell ref="C969:I969"/>
    <mergeCell ref="C970:I970"/>
    <mergeCell ref="C959:I959"/>
    <mergeCell ref="C960:I960"/>
    <mergeCell ref="C961:I961"/>
    <mergeCell ref="C962:I962"/>
    <mergeCell ref="C963:I963"/>
    <mergeCell ref="C964:I964"/>
    <mergeCell ref="C953:I953"/>
    <mergeCell ref="C954:I954"/>
    <mergeCell ref="C955:I955"/>
    <mergeCell ref="C956:I956"/>
    <mergeCell ref="C957:I957"/>
    <mergeCell ref="C958:I958"/>
    <mergeCell ref="C947:I947"/>
    <mergeCell ref="C948:I948"/>
    <mergeCell ref="C949:I949"/>
    <mergeCell ref="C950:I950"/>
    <mergeCell ref="C951:I951"/>
    <mergeCell ref="C952:I952"/>
    <mergeCell ref="C941:I941"/>
    <mergeCell ref="C942:I942"/>
    <mergeCell ref="C943:I943"/>
    <mergeCell ref="C944:I944"/>
    <mergeCell ref="C945:I945"/>
    <mergeCell ref="C946:I946"/>
    <mergeCell ref="C935:I935"/>
    <mergeCell ref="C936:I936"/>
    <mergeCell ref="C937:I937"/>
    <mergeCell ref="C938:I938"/>
    <mergeCell ref="C939:I939"/>
    <mergeCell ref="C940:I940"/>
    <mergeCell ref="C929:I929"/>
    <mergeCell ref="C930:I930"/>
    <mergeCell ref="C931:I931"/>
    <mergeCell ref="C932:I932"/>
    <mergeCell ref="C933:I933"/>
    <mergeCell ref="C934:I934"/>
    <mergeCell ref="C923:I923"/>
    <mergeCell ref="C924:I924"/>
    <mergeCell ref="C925:I925"/>
    <mergeCell ref="C926:I926"/>
    <mergeCell ref="C927:I927"/>
    <mergeCell ref="C928:I928"/>
    <mergeCell ref="C917:I917"/>
    <mergeCell ref="C918:I918"/>
    <mergeCell ref="C919:I919"/>
    <mergeCell ref="C920:I920"/>
    <mergeCell ref="C921:I921"/>
    <mergeCell ref="C922:I922"/>
    <mergeCell ref="C911:I911"/>
    <mergeCell ref="C912:I912"/>
    <mergeCell ref="C913:I913"/>
    <mergeCell ref="C914:I914"/>
    <mergeCell ref="C915:I915"/>
    <mergeCell ref="C916:I916"/>
    <mergeCell ref="C905:I905"/>
    <mergeCell ref="C906:I906"/>
    <mergeCell ref="C907:I907"/>
    <mergeCell ref="C908:I908"/>
    <mergeCell ref="C909:I909"/>
    <mergeCell ref="C910:I910"/>
    <mergeCell ref="C899:I899"/>
    <mergeCell ref="C900:I900"/>
    <mergeCell ref="C901:I901"/>
    <mergeCell ref="C902:I902"/>
    <mergeCell ref="C903:I903"/>
    <mergeCell ref="C904:I904"/>
    <mergeCell ref="C893:I893"/>
    <mergeCell ref="C894:I894"/>
    <mergeCell ref="C895:I895"/>
    <mergeCell ref="C896:I896"/>
    <mergeCell ref="C897:I897"/>
    <mergeCell ref="C898:I898"/>
    <mergeCell ref="C887:I887"/>
    <mergeCell ref="C888:I888"/>
    <mergeCell ref="C889:I889"/>
    <mergeCell ref="C890:I890"/>
    <mergeCell ref="C891:I891"/>
    <mergeCell ref="C892:I892"/>
    <mergeCell ref="C881:I881"/>
    <mergeCell ref="C882:I882"/>
    <mergeCell ref="C883:I883"/>
    <mergeCell ref="C884:I884"/>
    <mergeCell ref="C885:I885"/>
    <mergeCell ref="C886:I886"/>
    <mergeCell ref="C875:I875"/>
    <mergeCell ref="C876:I876"/>
    <mergeCell ref="C877:I877"/>
    <mergeCell ref="C878:I878"/>
    <mergeCell ref="C879:I879"/>
    <mergeCell ref="C880:I880"/>
    <mergeCell ref="C869:I869"/>
    <mergeCell ref="C870:I870"/>
    <mergeCell ref="C871:I871"/>
    <mergeCell ref="C872:I872"/>
    <mergeCell ref="C873:I873"/>
    <mergeCell ref="C874:I874"/>
    <mergeCell ref="C863:I863"/>
    <mergeCell ref="C864:I864"/>
    <mergeCell ref="C865:I865"/>
    <mergeCell ref="C866:I866"/>
    <mergeCell ref="C867:I867"/>
    <mergeCell ref="C868:I868"/>
    <mergeCell ref="C857:I857"/>
    <mergeCell ref="C858:I858"/>
    <mergeCell ref="C859:I859"/>
    <mergeCell ref="C860:I860"/>
    <mergeCell ref="C861:I861"/>
    <mergeCell ref="C862:I862"/>
    <mergeCell ref="C851:I851"/>
    <mergeCell ref="C852:I852"/>
    <mergeCell ref="C853:I853"/>
    <mergeCell ref="C854:I854"/>
    <mergeCell ref="C855:I855"/>
    <mergeCell ref="C856:I856"/>
    <mergeCell ref="C845:I845"/>
    <mergeCell ref="C846:I846"/>
    <mergeCell ref="C847:I847"/>
    <mergeCell ref="C848:I848"/>
    <mergeCell ref="C849:I849"/>
    <mergeCell ref="C850:I850"/>
    <mergeCell ref="C839:I839"/>
    <mergeCell ref="C840:I840"/>
    <mergeCell ref="C841:I841"/>
    <mergeCell ref="C842:I842"/>
    <mergeCell ref="C843:I843"/>
    <mergeCell ref="C844:I844"/>
    <mergeCell ref="C833:I833"/>
    <mergeCell ref="C834:I834"/>
    <mergeCell ref="C835:I835"/>
    <mergeCell ref="C836:I836"/>
    <mergeCell ref="C837:I837"/>
    <mergeCell ref="C838:I838"/>
    <mergeCell ref="C827:I827"/>
    <mergeCell ref="C828:I828"/>
    <mergeCell ref="C829:I829"/>
    <mergeCell ref="C830:I830"/>
    <mergeCell ref="C831:I831"/>
    <mergeCell ref="C832:I832"/>
    <mergeCell ref="C821:I821"/>
    <mergeCell ref="C822:I822"/>
    <mergeCell ref="C823:I823"/>
    <mergeCell ref="C824:I824"/>
    <mergeCell ref="C825:I825"/>
    <mergeCell ref="C826:I826"/>
    <mergeCell ref="C815:I815"/>
    <mergeCell ref="C816:I816"/>
    <mergeCell ref="C817:I817"/>
    <mergeCell ref="C818:I818"/>
    <mergeCell ref="C819:I819"/>
    <mergeCell ref="C820:I820"/>
    <mergeCell ref="C809:I809"/>
    <mergeCell ref="C810:I810"/>
    <mergeCell ref="C811:I811"/>
    <mergeCell ref="C812:I812"/>
    <mergeCell ref="C813:I813"/>
    <mergeCell ref="C814:I814"/>
    <mergeCell ref="C803:I803"/>
    <mergeCell ref="C804:I804"/>
    <mergeCell ref="C805:I805"/>
    <mergeCell ref="C806:I806"/>
    <mergeCell ref="C807:I807"/>
    <mergeCell ref="C808:I808"/>
    <mergeCell ref="C797:I797"/>
    <mergeCell ref="C798:I798"/>
    <mergeCell ref="C799:I799"/>
    <mergeCell ref="C800:I800"/>
    <mergeCell ref="C801:I801"/>
    <mergeCell ref="C802:I802"/>
    <mergeCell ref="C791:I791"/>
    <mergeCell ref="C792:I792"/>
    <mergeCell ref="C793:I793"/>
    <mergeCell ref="C794:I794"/>
    <mergeCell ref="C795:I795"/>
    <mergeCell ref="C796:I796"/>
    <mergeCell ref="C785:I785"/>
    <mergeCell ref="C786:I786"/>
    <mergeCell ref="C787:I787"/>
    <mergeCell ref="C788:I788"/>
    <mergeCell ref="C789:I789"/>
    <mergeCell ref="C790:I790"/>
    <mergeCell ref="C779:I779"/>
    <mergeCell ref="C780:I780"/>
    <mergeCell ref="C781:I781"/>
    <mergeCell ref="C782:I782"/>
    <mergeCell ref="C783:I783"/>
    <mergeCell ref="C784:I784"/>
    <mergeCell ref="C773:I773"/>
    <mergeCell ref="C774:I774"/>
    <mergeCell ref="C775:I775"/>
    <mergeCell ref="C776:I776"/>
    <mergeCell ref="C777:I777"/>
    <mergeCell ref="C778:I778"/>
    <mergeCell ref="C767:I767"/>
    <mergeCell ref="C768:I768"/>
    <mergeCell ref="C769:I769"/>
    <mergeCell ref="C770:I770"/>
    <mergeCell ref="C771:I771"/>
    <mergeCell ref="C772:I772"/>
    <mergeCell ref="C761:I761"/>
    <mergeCell ref="C762:I762"/>
    <mergeCell ref="C763:I763"/>
    <mergeCell ref="C764:I764"/>
    <mergeCell ref="C765:I765"/>
    <mergeCell ref="C766:I766"/>
    <mergeCell ref="C755:I755"/>
    <mergeCell ref="C756:I756"/>
    <mergeCell ref="C757:I757"/>
    <mergeCell ref="C758:I758"/>
    <mergeCell ref="C759:I759"/>
    <mergeCell ref="C760:I760"/>
    <mergeCell ref="C749:I749"/>
    <mergeCell ref="C750:I750"/>
    <mergeCell ref="C751:I751"/>
    <mergeCell ref="C752:I752"/>
    <mergeCell ref="C753:I753"/>
    <mergeCell ref="C754:I754"/>
    <mergeCell ref="C743:I743"/>
    <mergeCell ref="C744:I744"/>
    <mergeCell ref="C745:I745"/>
    <mergeCell ref="C746:I746"/>
    <mergeCell ref="C747:I747"/>
    <mergeCell ref="C748:I748"/>
    <mergeCell ref="C737:I737"/>
    <mergeCell ref="C738:I738"/>
    <mergeCell ref="C739:I739"/>
    <mergeCell ref="C740:I740"/>
    <mergeCell ref="C741:I741"/>
    <mergeCell ref="C742:I742"/>
    <mergeCell ref="C731:I731"/>
    <mergeCell ref="C732:I732"/>
    <mergeCell ref="C733:I733"/>
    <mergeCell ref="C734:I734"/>
    <mergeCell ref="C735:I735"/>
    <mergeCell ref="C736:I736"/>
    <mergeCell ref="C725:I725"/>
    <mergeCell ref="C726:I726"/>
    <mergeCell ref="C727:I727"/>
    <mergeCell ref="C728:I728"/>
    <mergeCell ref="C729:I729"/>
    <mergeCell ref="C730:I730"/>
    <mergeCell ref="C719:I719"/>
    <mergeCell ref="C720:I720"/>
    <mergeCell ref="C721:I721"/>
    <mergeCell ref="C722:I722"/>
    <mergeCell ref="C723:I723"/>
    <mergeCell ref="C724:I724"/>
    <mergeCell ref="C713:I713"/>
    <mergeCell ref="C714:I714"/>
    <mergeCell ref="C715:I715"/>
    <mergeCell ref="C716:I716"/>
    <mergeCell ref="C717:I717"/>
    <mergeCell ref="C718:I718"/>
    <mergeCell ref="C707:I707"/>
    <mergeCell ref="C708:I708"/>
    <mergeCell ref="C709:I709"/>
    <mergeCell ref="C710:I710"/>
    <mergeCell ref="C711:I711"/>
    <mergeCell ref="C712:I712"/>
    <mergeCell ref="C701:I701"/>
    <mergeCell ref="C702:I702"/>
    <mergeCell ref="C703:I703"/>
    <mergeCell ref="C704:I704"/>
    <mergeCell ref="C705:I705"/>
    <mergeCell ref="C706:I706"/>
    <mergeCell ref="C695:I695"/>
    <mergeCell ref="C696:I696"/>
    <mergeCell ref="C697:I697"/>
    <mergeCell ref="C698:I698"/>
    <mergeCell ref="C699:I699"/>
    <mergeCell ref="C700:I700"/>
    <mergeCell ref="C689:I689"/>
    <mergeCell ref="C690:I690"/>
    <mergeCell ref="C691:I691"/>
    <mergeCell ref="C692:I692"/>
    <mergeCell ref="C693:I693"/>
    <mergeCell ref="C694:I694"/>
    <mergeCell ref="C683:I683"/>
    <mergeCell ref="C684:I684"/>
    <mergeCell ref="C685:I685"/>
    <mergeCell ref="C686:I686"/>
    <mergeCell ref="C687:I687"/>
    <mergeCell ref="C688:I688"/>
    <mergeCell ref="C677:I677"/>
    <mergeCell ref="C678:I678"/>
    <mergeCell ref="C679:I679"/>
    <mergeCell ref="C680:I680"/>
    <mergeCell ref="C681:I681"/>
    <mergeCell ref="C682:I682"/>
    <mergeCell ref="C671:I671"/>
    <mergeCell ref="C672:I672"/>
    <mergeCell ref="C673:I673"/>
    <mergeCell ref="C674:I674"/>
    <mergeCell ref="C675:I675"/>
    <mergeCell ref="C676:I676"/>
    <mergeCell ref="C665:I665"/>
    <mergeCell ref="C666:I666"/>
    <mergeCell ref="C667:I667"/>
    <mergeCell ref="C668:I668"/>
    <mergeCell ref="C669:I669"/>
    <mergeCell ref="C670:I670"/>
    <mergeCell ref="C659:I659"/>
    <mergeCell ref="C660:I660"/>
    <mergeCell ref="C661:I661"/>
    <mergeCell ref="C662:I662"/>
    <mergeCell ref="C663:I663"/>
    <mergeCell ref="C664:I664"/>
    <mergeCell ref="C653:I653"/>
    <mergeCell ref="C654:I654"/>
    <mergeCell ref="C655:I655"/>
    <mergeCell ref="C656:I656"/>
    <mergeCell ref="C657:I657"/>
    <mergeCell ref="C658:I658"/>
    <mergeCell ref="C647:I647"/>
    <mergeCell ref="C648:I648"/>
    <mergeCell ref="C649:I649"/>
    <mergeCell ref="C650:I650"/>
    <mergeCell ref="C651:I651"/>
    <mergeCell ref="C652:I652"/>
    <mergeCell ref="C641:I641"/>
    <mergeCell ref="C642:I642"/>
    <mergeCell ref="C643:I643"/>
    <mergeCell ref="C644:I644"/>
    <mergeCell ref="C645:I645"/>
    <mergeCell ref="C646:I646"/>
    <mergeCell ref="C635:I635"/>
    <mergeCell ref="C636:I636"/>
    <mergeCell ref="C637:I637"/>
    <mergeCell ref="C638:I638"/>
    <mergeCell ref="C639:I639"/>
    <mergeCell ref="C640:I640"/>
    <mergeCell ref="C629:I629"/>
    <mergeCell ref="C630:I630"/>
    <mergeCell ref="C631:I631"/>
    <mergeCell ref="C632:I632"/>
    <mergeCell ref="C633:I633"/>
    <mergeCell ref="C634:I634"/>
    <mergeCell ref="C623:I623"/>
    <mergeCell ref="C624:I624"/>
    <mergeCell ref="C625:I625"/>
    <mergeCell ref="C626:I626"/>
    <mergeCell ref="C627:I627"/>
    <mergeCell ref="C628:I628"/>
    <mergeCell ref="C617:I617"/>
    <mergeCell ref="C618:I618"/>
    <mergeCell ref="C619:I619"/>
    <mergeCell ref="C620:I620"/>
    <mergeCell ref="C621:I621"/>
    <mergeCell ref="C622:I622"/>
    <mergeCell ref="C611:I611"/>
    <mergeCell ref="C612:I612"/>
    <mergeCell ref="C613:I613"/>
    <mergeCell ref="C614:I614"/>
    <mergeCell ref="C615:I615"/>
    <mergeCell ref="C616:I616"/>
    <mergeCell ref="C605:I605"/>
    <mergeCell ref="C606:I606"/>
    <mergeCell ref="C607:I607"/>
    <mergeCell ref="C608:I608"/>
    <mergeCell ref="C609:I609"/>
    <mergeCell ref="C610:I610"/>
    <mergeCell ref="C599:I599"/>
    <mergeCell ref="C600:I600"/>
    <mergeCell ref="C601:I601"/>
    <mergeCell ref="C602:I602"/>
    <mergeCell ref="C603:I603"/>
    <mergeCell ref="C604:I604"/>
    <mergeCell ref="C593:I593"/>
    <mergeCell ref="C594:I594"/>
    <mergeCell ref="C595:I595"/>
    <mergeCell ref="C596:I596"/>
    <mergeCell ref="C597:I597"/>
    <mergeCell ref="C598:I598"/>
    <mergeCell ref="C587:I587"/>
    <mergeCell ref="C588:I588"/>
    <mergeCell ref="C589:I589"/>
    <mergeCell ref="C590:I590"/>
    <mergeCell ref="C591:I591"/>
    <mergeCell ref="C592:I592"/>
    <mergeCell ref="C581:I581"/>
    <mergeCell ref="C582:I582"/>
    <mergeCell ref="C583:I583"/>
    <mergeCell ref="C584:I584"/>
    <mergeCell ref="C585:I585"/>
    <mergeCell ref="C586:I586"/>
    <mergeCell ref="C575:I575"/>
    <mergeCell ref="C576:I576"/>
    <mergeCell ref="C577:I577"/>
    <mergeCell ref="C578:I578"/>
    <mergeCell ref="C579:I579"/>
    <mergeCell ref="C580:I580"/>
    <mergeCell ref="C569:I569"/>
    <mergeCell ref="C570:I570"/>
    <mergeCell ref="C571:I571"/>
    <mergeCell ref="C572:I572"/>
    <mergeCell ref="C573:I573"/>
    <mergeCell ref="C574:I574"/>
    <mergeCell ref="C563:I563"/>
    <mergeCell ref="C564:I564"/>
    <mergeCell ref="C565:I565"/>
    <mergeCell ref="C566:I566"/>
    <mergeCell ref="C567:I567"/>
    <mergeCell ref="C568:I568"/>
    <mergeCell ref="C557:I557"/>
    <mergeCell ref="C558:I558"/>
    <mergeCell ref="C559:I559"/>
    <mergeCell ref="C560:I560"/>
    <mergeCell ref="C561:I561"/>
    <mergeCell ref="C562:I562"/>
    <mergeCell ref="C551:I551"/>
    <mergeCell ref="C552:I552"/>
    <mergeCell ref="C553:I553"/>
    <mergeCell ref="C554:I554"/>
    <mergeCell ref="C555:I555"/>
    <mergeCell ref="C556:I556"/>
    <mergeCell ref="C545:I545"/>
    <mergeCell ref="C546:I546"/>
    <mergeCell ref="C547:I547"/>
    <mergeCell ref="C548:I548"/>
    <mergeCell ref="C549:I549"/>
    <mergeCell ref="C550:I550"/>
    <mergeCell ref="C539:I539"/>
    <mergeCell ref="C540:I540"/>
    <mergeCell ref="C541:I541"/>
    <mergeCell ref="C542:I542"/>
    <mergeCell ref="C543:I543"/>
    <mergeCell ref="C544:I544"/>
    <mergeCell ref="C533:I533"/>
    <mergeCell ref="C534:I534"/>
    <mergeCell ref="C535:I535"/>
    <mergeCell ref="C536:I536"/>
    <mergeCell ref="C537:I537"/>
    <mergeCell ref="C538:I538"/>
    <mergeCell ref="C527:I527"/>
    <mergeCell ref="C528:I528"/>
    <mergeCell ref="C529:I529"/>
    <mergeCell ref="C530:I530"/>
    <mergeCell ref="C531:I531"/>
    <mergeCell ref="C532:I532"/>
    <mergeCell ref="C521:I521"/>
    <mergeCell ref="C522:I522"/>
    <mergeCell ref="C523:I523"/>
    <mergeCell ref="C524:I524"/>
    <mergeCell ref="C525:I525"/>
    <mergeCell ref="C526:I526"/>
    <mergeCell ref="C515:I515"/>
    <mergeCell ref="C516:I516"/>
    <mergeCell ref="C517:I517"/>
    <mergeCell ref="C518:I518"/>
    <mergeCell ref="C519:I519"/>
    <mergeCell ref="C520:I520"/>
    <mergeCell ref="C509:I509"/>
    <mergeCell ref="C510:I510"/>
    <mergeCell ref="C511:I511"/>
    <mergeCell ref="C512:I512"/>
    <mergeCell ref="C513:I513"/>
    <mergeCell ref="C514:I514"/>
    <mergeCell ref="C503:I503"/>
    <mergeCell ref="C504:I504"/>
    <mergeCell ref="C505:I505"/>
    <mergeCell ref="C506:I506"/>
    <mergeCell ref="C507:I507"/>
    <mergeCell ref="C508:I508"/>
    <mergeCell ref="C497:I497"/>
    <mergeCell ref="C498:I498"/>
    <mergeCell ref="C499:I499"/>
    <mergeCell ref="C500:I500"/>
    <mergeCell ref="C501:I501"/>
    <mergeCell ref="C502:I502"/>
    <mergeCell ref="C491:I491"/>
    <mergeCell ref="C492:I492"/>
    <mergeCell ref="C493:I493"/>
    <mergeCell ref="C494:I494"/>
    <mergeCell ref="C495:I495"/>
    <mergeCell ref="C496:I496"/>
    <mergeCell ref="C485:I485"/>
    <mergeCell ref="C486:I486"/>
    <mergeCell ref="C487:I487"/>
    <mergeCell ref="C488:I488"/>
    <mergeCell ref="C489:I489"/>
    <mergeCell ref="C490:I490"/>
    <mergeCell ref="C479:I479"/>
    <mergeCell ref="C480:I480"/>
    <mergeCell ref="C481:I481"/>
    <mergeCell ref="C482:I482"/>
    <mergeCell ref="C483:I483"/>
    <mergeCell ref="C484:I484"/>
    <mergeCell ref="C473:I473"/>
    <mergeCell ref="C474:I474"/>
    <mergeCell ref="C475:I475"/>
    <mergeCell ref="C476:I476"/>
    <mergeCell ref="C477:I477"/>
    <mergeCell ref="C478:I478"/>
    <mergeCell ref="C467:I467"/>
    <mergeCell ref="C468:I468"/>
    <mergeCell ref="C469:I469"/>
    <mergeCell ref="C470:I470"/>
    <mergeCell ref="C471:I471"/>
    <mergeCell ref="C472:I472"/>
    <mergeCell ref="C461:I461"/>
    <mergeCell ref="C462:I462"/>
    <mergeCell ref="C463:I463"/>
    <mergeCell ref="C464:I464"/>
    <mergeCell ref="C465:I465"/>
    <mergeCell ref="C466:I466"/>
    <mergeCell ref="C455:I455"/>
    <mergeCell ref="C456:I456"/>
    <mergeCell ref="C457:I457"/>
    <mergeCell ref="C458:I458"/>
    <mergeCell ref="C459:I459"/>
    <mergeCell ref="C460:I460"/>
    <mergeCell ref="C449:I449"/>
    <mergeCell ref="C450:I450"/>
    <mergeCell ref="C451:I451"/>
    <mergeCell ref="C452:I452"/>
    <mergeCell ref="C453:I453"/>
    <mergeCell ref="C454:I454"/>
    <mergeCell ref="C443:I443"/>
    <mergeCell ref="C444:I444"/>
    <mergeCell ref="C445:I445"/>
    <mergeCell ref="C446:I446"/>
    <mergeCell ref="C447:I447"/>
    <mergeCell ref="C448:I448"/>
    <mergeCell ref="C437:I437"/>
    <mergeCell ref="C438:I438"/>
    <mergeCell ref="C439:I439"/>
    <mergeCell ref="C440:I440"/>
    <mergeCell ref="C441:I441"/>
    <mergeCell ref="C442:I442"/>
    <mergeCell ref="C431:I431"/>
    <mergeCell ref="C432:I432"/>
    <mergeCell ref="C433:I433"/>
    <mergeCell ref="C434:I434"/>
    <mergeCell ref="C435:I435"/>
    <mergeCell ref="C436:I436"/>
    <mergeCell ref="C425:I425"/>
    <mergeCell ref="C426:I426"/>
    <mergeCell ref="C427:I427"/>
    <mergeCell ref="C428:I428"/>
    <mergeCell ref="C429:I429"/>
    <mergeCell ref="C430:I430"/>
    <mergeCell ref="C419:I419"/>
    <mergeCell ref="C420:I420"/>
    <mergeCell ref="C421:I421"/>
    <mergeCell ref="C422:I422"/>
    <mergeCell ref="C423:I423"/>
    <mergeCell ref="C424:I424"/>
    <mergeCell ref="C413:I413"/>
    <mergeCell ref="C414:I414"/>
    <mergeCell ref="C415:I415"/>
    <mergeCell ref="C416:I416"/>
    <mergeCell ref="C417:I417"/>
    <mergeCell ref="C418:I418"/>
    <mergeCell ref="C407:I407"/>
    <mergeCell ref="C408:I408"/>
    <mergeCell ref="C409:I409"/>
    <mergeCell ref="C410:I410"/>
    <mergeCell ref="C411:I411"/>
    <mergeCell ref="C412:I412"/>
    <mergeCell ref="C401:I401"/>
    <mergeCell ref="C402:I402"/>
    <mergeCell ref="C403:I403"/>
    <mergeCell ref="C404:I404"/>
    <mergeCell ref="C405:I405"/>
    <mergeCell ref="C406:I406"/>
    <mergeCell ref="C395:I395"/>
    <mergeCell ref="C396:I396"/>
    <mergeCell ref="C397:I397"/>
    <mergeCell ref="C398:I398"/>
    <mergeCell ref="C399:I399"/>
    <mergeCell ref="C400:I400"/>
    <mergeCell ref="C389:I389"/>
    <mergeCell ref="C390:I390"/>
    <mergeCell ref="C391:I391"/>
    <mergeCell ref="C392:I392"/>
    <mergeCell ref="C393:I393"/>
    <mergeCell ref="C394:I394"/>
    <mergeCell ref="C383:I383"/>
    <mergeCell ref="C384:I384"/>
    <mergeCell ref="C385:I385"/>
    <mergeCell ref="C386:I386"/>
    <mergeCell ref="C387:I387"/>
    <mergeCell ref="C388:I388"/>
    <mergeCell ref="C377:I377"/>
    <mergeCell ref="C378:I378"/>
    <mergeCell ref="C379:I379"/>
    <mergeCell ref="C380:I380"/>
    <mergeCell ref="C381:I381"/>
    <mergeCell ref="C382:I382"/>
    <mergeCell ref="C371:I371"/>
    <mergeCell ref="C372:I372"/>
    <mergeCell ref="C373:I373"/>
    <mergeCell ref="C374:I374"/>
    <mergeCell ref="C375:I375"/>
    <mergeCell ref="C376:I376"/>
    <mergeCell ref="C365:I365"/>
    <mergeCell ref="C366:I366"/>
    <mergeCell ref="C367:I367"/>
    <mergeCell ref="C368:I368"/>
    <mergeCell ref="C369:I369"/>
    <mergeCell ref="C370:I370"/>
    <mergeCell ref="C359:I359"/>
    <mergeCell ref="C360:I360"/>
    <mergeCell ref="C361:I361"/>
    <mergeCell ref="C362:I362"/>
    <mergeCell ref="C363:I363"/>
    <mergeCell ref="C364:I364"/>
    <mergeCell ref="C352:I352"/>
    <mergeCell ref="C353:I353"/>
    <mergeCell ref="C354:I354"/>
    <mergeCell ref="C355:I355"/>
    <mergeCell ref="C357:I357"/>
    <mergeCell ref="C358:I358"/>
    <mergeCell ref="C356:I356"/>
    <mergeCell ref="C346:I346"/>
    <mergeCell ref="C347:I347"/>
    <mergeCell ref="C348:I348"/>
    <mergeCell ref="C349:I349"/>
    <mergeCell ref="C350:I350"/>
    <mergeCell ref="C351:I351"/>
    <mergeCell ref="C339:I339"/>
    <mergeCell ref="C340:I340"/>
    <mergeCell ref="C341:I341"/>
    <mergeCell ref="C342:I342"/>
    <mergeCell ref="C343:I343"/>
    <mergeCell ref="C344:I344"/>
    <mergeCell ref="C333:I333"/>
    <mergeCell ref="C334:I334"/>
    <mergeCell ref="C335:I335"/>
    <mergeCell ref="C336:I336"/>
    <mergeCell ref="C337:I337"/>
    <mergeCell ref="C338:I338"/>
    <mergeCell ref="C327:I327"/>
    <mergeCell ref="C328:I328"/>
    <mergeCell ref="C329:I329"/>
    <mergeCell ref="C330:I330"/>
    <mergeCell ref="C331:I331"/>
    <mergeCell ref="C332:I332"/>
    <mergeCell ref="C321:I321"/>
    <mergeCell ref="C322:I322"/>
    <mergeCell ref="C323:I323"/>
    <mergeCell ref="C324:I324"/>
    <mergeCell ref="C325:I325"/>
    <mergeCell ref="C326:I326"/>
    <mergeCell ref="C315:I315"/>
    <mergeCell ref="C316:I316"/>
    <mergeCell ref="C317:I317"/>
    <mergeCell ref="C318:I318"/>
    <mergeCell ref="C319:I319"/>
    <mergeCell ref="C320:I320"/>
    <mergeCell ref="C308:I308"/>
    <mergeCell ref="C310:I310"/>
    <mergeCell ref="C311:I311"/>
    <mergeCell ref="C312:I312"/>
    <mergeCell ref="C313:I313"/>
    <mergeCell ref="C314:I314"/>
    <mergeCell ref="C302:I302"/>
    <mergeCell ref="C304:I304"/>
    <mergeCell ref="C305:I305"/>
    <mergeCell ref="C306:I306"/>
    <mergeCell ref="C307:I307"/>
    <mergeCell ref="C296:I296"/>
    <mergeCell ref="C297:I297"/>
    <mergeCell ref="C298:I298"/>
    <mergeCell ref="C299:I299"/>
    <mergeCell ref="C300:I300"/>
    <mergeCell ref="C301:I301"/>
    <mergeCell ref="C309:I309"/>
    <mergeCell ref="C303:I303"/>
    <mergeCell ref="C290:I290"/>
    <mergeCell ref="C291:I291"/>
    <mergeCell ref="C292:I292"/>
    <mergeCell ref="C293:I293"/>
    <mergeCell ref="C294:I294"/>
    <mergeCell ref="C295:I295"/>
    <mergeCell ref="C283:I283"/>
    <mergeCell ref="C284:I284"/>
    <mergeCell ref="C286:I286"/>
    <mergeCell ref="C287:I287"/>
    <mergeCell ref="C288:I288"/>
    <mergeCell ref="C289:I289"/>
    <mergeCell ref="C277:I277"/>
    <mergeCell ref="C278:I278"/>
    <mergeCell ref="C279:I279"/>
    <mergeCell ref="C280:I280"/>
    <mergeCell ref="C281:I281"/>
    <mergeCell ref="C282:I282"/>
    <mergeCell ref="C271:I271"/>
    <mergeCell ref="C272:I272"/>
    <mergeCell ref="C273:I273"/>
    <mergeCell ref="C274:I274"/>
    <mergeCell ref="C275:I275"/>
    <mergeCell ref="C276:I276"/>
    <mergeCell ref="C264:I264"/>
    <mergeCell ref="C265:I265"/>
    <mergeCell ref="C266:I266"/>
    <mergeCell ref="C267:I267"/>
    <mergeCell ref="C269:I269"/>
    <mergeCell ref="C270:I270"/>
    <mergeCell ref="C258:I258"/>
    <mergeCell ref="C259:I259"/>
    <mergeCell ref="C260:I260"/>
    <mergeCell ref="C261:I261"/>
    <mergeCell ref="C262:I262"/>
    <mergeCell ref="C263:I263"/>
    <mergeCell ref="C268:I268"/>
    <mergeCell ref="C252:I252"/>
    <mergeCell ref="C253:I253"/>
    <mergeCell ref="C254:I254"/>
    <mergeCell ref="C255:I255"/>
    <mergeCell ref="C256:I256"/>
    <mergeCell ref="C257:I257"/>
    <mergeCell ref="C246:I246"/>
    <mergeCell ref="C247:I247"/>
    <mergeCell ref="C248:I248"/>
    <mergeCell ref="C249:I249"/>
    <mergeCell ref="C250:I250"/>
    <mergeCell ref="C251:I251"/>
    <mergeCell ref="C240:I240"/>
    <mergeCell ref="C241:I241"/>
    <mergeCell ref="C242:I242"/>
    <mergeCell ref="C243:I243"/>
    <mergeCell ref="C244:I244"/>
    <mergeCell ref="C245:I245"/>
    <mergeCell ref="C234:I234"/>
    <mergeCell ref="C235:I235"/>
    <mergeCell ref="C236:I236"/>
    <mergeCell ref="C237:I237"/>
    <mergeCell ref="C238:I238"/>
    <mergeCell ref="C239:I239"/>
    <mergeCell ref="C228:I228"/>
    <mergeCell ref="C229:I229"/>
    <mergeCell ref="C230:I230"/>
    <mergeCell ref="C231:I231"/>
    <mergeCell ref="C232:I232"/>
    <mergeCell ref="C233:I233"/>
    <mergeCell ref="C222:I222"/>
    <mergeCell ref="C223:I223"/>
    <mergeCell ref="C224:I224"/>
    <mergeCell ref="C225:I225"/>
    <mergeCell ref="C226:I226"/>
    <mergeCell ref="C227:I227"/>
    <mergeCell ref="C216:I216"/>
    <mergeCell ref="C217:I217"/>
    <mergeCell ref="C218:I218"/>
    <mergeCell ref="C219:I219"/>
    <mergeCell ref="C220:I220"/>
    <mergeCell ref="C221:I221"/>
    <mergeCell ref="C210:I210"/>
    <mergeCell ref="C211:I211"/>
    <mergeCell ref="C212:I212"/>
    <mergeCell ref="C213:I213"/>
    <mergeCell ref="C214:I214"/>
    <mergeCell ref="C215:I215"/>
    <mergeCell ref="C204:I204"/>
    <mergeCell ref="C205:I205"/>
    <mergeCell ref="C206:I206"/>
    <mergeCell ref="C207:I207"/>
    <mergeCell ref="C208:I208"/>
    <mergeCell ref="C209:I209"/>
    <mergeCell ref="C197:I197"/>
    <mergeCell ref="C198:I198"/>
    <mergeCell ref="C199:I199"/>
    <mergeCell ref="C200:I200"/>
    <mergeCell ref="C201:I201"/>
    <mergeCell ref="C202:I202"/>
    <mergeCell ref="C191:I191"/>
    <mergeCell ref="C192:I192"/>
    <mergeCell ref="C193:I193"/>
    <mergeCell ref="C194:I194"/>
    <mergeCell ref="C195:I195"/>
    <mergeCell ref="C196:I196"/>
    <mergeCell ref="C185:I185"/>
    <mergeCell ref="C186:I186"/>
    <mergeCell ref="C187:I187"/>
    <mergeCell ref="C188:I188"/>
    <mergeCell ref="C189:I189"/>
    <mergeCell ref="C190:I190"/>
    <mergeCell ref="C179:I179"/>
    <mergeCell ref="C156:I156"/>
    <mergeCell ref="C180:I180"/>
    <mergeCell ref="C181:I181"/>
    <mergeCell ref="C182:I182"/>
    <mergeCell ref="C183:I183"/>
    <mergeCell ref="C184:I184"/>
    <mergeCell ref="C172:I172"/>
    <mergeCell ref="C173:I173"/>
    <mergeCell ref="C174:I174"/>
    <mergeCell ref="C175:I175"/>
    <mergeCell ref="C176:I176"/>
    <mergeCell ref="C178:I178"/>
    <mergeCell ref="C166:I166"/>
    <mergeCell ref="C167:I167"/>
    <mergeCell ref="C168:I168"/>
    <mergeCell ref="C169:I169"/>
    <mergeCell ref="C170:I170"/>
    <mergeCell ref="C171:I171"/>
    <mergeCell ref="C160:I160"/>
    <mergeCell ref="C161:I161"/>
    <mergeCell ref="C162:I162"/>
    <mergeCell ref="C163:I163"/>
    <mergeCell ref="C164:I164"/>
    <mergeCell ref="C165:I165"/>
    <mergeCell ref="C177:I177"/>
    <mergeCell ref="C152:I152"/>
    <mergeCell ref="C153:I153"/>
    <mergeCell ref="C154:I154"/>
    <mergeCell ref="C155:I155"/>
    <mergeCell ref="C157:I157"/>
    <mergeCell ref="C159:I159"/>
    <mergeCell ref="C145:I145"/>
    <mergeCell ref="C147:I147"/>
    <mergeCell ref="C148:I148"/>
    <mergeCell ref="C149:I149"/>
    <mergeCell ref="C150:I150"/>
    <mergeCell ref="C151:I151"/>
    <mergeCell ref="C138:I138"/>
    <mergeCell ref="C139:I139"/>
    <mergeCell ref="C140:I140"/>
    <mergeCell ref="C124:I124"/>
    <mergeCell ref="C141:I141"/>
    <mergeCell ref="C143:I143"/>
    <mergeCell ref="C144:I144"/>
    <mergeCell ref="C132:I132"/>
    <mergeCell ref="C133:I133"/>
    <mergeCell ref="C134:I134"/>
    <mergeCell ref="C135:I135"/>
    <mergeCell ref="C136:I136"/>
    <mergeCell ref="C137:I137"/>
    <mergeCell ref="C126:I126"/>
    <mergeCell ref="C127:I127"/>
    <mergeCell ref="C128:I128"/>
    <mergeCell ref="C129:I129"/>
    <mergeCell ref="C130:I130"/>
    <mergeCell ref="C131:I131"/>
    <mergeCell ref="C158:I158"/>
    <mergeCell ref="C87:I87"/>
    <mergeCell ref="C88:I88"/>
    <mergeCell ref="C76:I76"/>
    <mergeCell ref="C77:I77"/>
    <mergeCell ref="C78:I78"/>
    <mergeCell ref="C119:I119"/>
    <mergeCell ref="C120:I120"/>
    <mergeCell ref="C121:I121"/>
    <mergeCell ref="C122:I122"/>
    <mergeCell ref="C123:I123"/>
    <mergeCell ref="C125:I125"/>
    <mergeCell ref="C113:I113"/>
    <mergeCell ref="C114:I114"/>
    <mergeCell ref="C115:I115"/>
    <mergeCell ref="C116:I116"/>
    <mergeCell ref="C117:I117"/>
    <mergeCell ref="C118:I118"/>
    <mergeCell ref="C107:I107"/>
    <mergeCell ref="C108:I108"/>
    <mergeCell ref="C109:I109"/>
    <mergeCell ref="C110:I110"/>
    <mergeCell ref="C111:I111"/>
    <mergeCell ref="C112:I112"/>
    <mergeCell ref="C101:I101"/>
    <mergeCell ref="C102:I102"/>
    <mergeCell ref="C103:I103"/>
    <mergeCell ref="C104:I104"/>
    <mergeCell ref="C105:I105"/>
    <mergeCell ref="C106:I106"/>
    <mergeCell ref="C95:I95"/>
    <mergeCell ref="C96:I96"/>
    <mergeCell ref="C97:I97"/>
    <mergeCell ref="C98:I98"/>
    <mergeCell ref="C99:I99"/>
    <mergeCell ref="C100:I100"/>
    <mergeCell ref="C90:I90"/>
    <mergeCell ref="C91:I91"/>
    <mergeCell ref="C92:I92"/>
    <mergeCell ref="C93:I93"/>
    <mergeCell ref="C94:I94"/>
    <mergeCell ref="C18:I18"/>
    <mergeCell ref="C20:I20"/>
    <mergeCell ref="C21:I21"/>
    <mergeCell ref="C22:I22"/>
    <mergeCell ref="C23:I23"/>
    <mergeCell ref="C51:I51"/>
    <mergeCell ref="C24:I24"/>
    <mergeCell ref="C52:I52"/>
    <mergeCell ref="C53:I53"/>
    <mergeCell ref="C57:I57"/>
    <mergeCell ref="C58:I58"/>
    <mergeCell ref="C60:I60"/>
    <mergeCell ref="C61:I61"/>
    <mergeCell ref="C62:I62"/>
    <mergeCell ref="C63:I63"/>
    <mergeCell ref="C65:I65"/>
    <mergeCell ref="C66:I66"/>
    <mergeCell ref="C89:I89"/>
    <mergeCell ref="C54:I54"/>
    <mergeCell ref="C55:I55"/>
    <mergeCell ref="C56:I56"/>
    <mergeCell ref="C45:I45"/>
    <mergeCell ref="C46:I46"/>
    <mergeCell ref="C47:I47"/>
    <mergeCell ref="C37:I37"/>
    <mergeCell ref="C25:I25"/>
    <mergeCell ref="C26:I26"/>
    <mergeCell ref="C48:I48"/>
    <mergeCell ref="C49:I49"/>
    <mergeCell ref="C50:I50"/>
    <mergeCell ref="C38:I38"/>
    <mergeCell ref="C39:I39"/>
    <mergeCell ref="C40:I40"/>
    <mergeCell ref="C41:I41"/>
    <mergeCell ref="C42:I42"/>
    <mergeCell ref="C43:I43"/>
    <mergeCell ref="C70:I70"/>
    <mergeCell ref="C79:I79"/>
    <mergeCell ref="C81:I81"/>
    <mergeCell ref="C82:I82"/>
    <mergeCell ref="C72:I72"/>
    <mergeCell ref="C73:I73"/>
    <mergeCell ref="C74:I74"/>
    <mergeCell ref="C75:I75"/>
    <mergeCell ref="C67:I67"/>
    <mergeCell ref="C68:I68"/>
    <mergeCell ref="C69:I69"/>
    <mergeCell ref="C71:I71"/>
    <mergeCell ref="C27:I27"/>
    <mergeCell ref="C28:I28"/>
    <mergeCell ref="C29:I29"/>
    <mergeCell ref="C30:I30"/>
    <mergeCell ref="C33:I33"/>
    <mergeCell ref="C83:I83"/>
    <mergeCell ref="C84:I84"/>
    <mergeCell ref="C85:I85"/>
    <mergeCell ref="C86:I86"/>
    <mergeCell ref="O10:O11"/>
    <mergeCell ref="E2:O9"/>
    <mergeCell ref="C345:I345"/>
    <mergeCell ref="C142:I142"/>
    <mergeCell ref="C64:I64"/>
    <mergeCell ref="C44:I44"/>
    <mergeCell ref="C59:I59"/>
    <mergeCell ref="C285:I285"/>
    <mergeCell ref="B12:L12"/>
    <mergeCell ref="C13:I13"/>
    <mergeCell ref="C14:I14"/>
    <mergeCell ref="C15:I15"/>
    <mergeCell ref="C16:I16"/>
    <mergeCell ref="C17:I17"/>
    <mergeCell ref="B2:D9"/>
    <mergeCell ref="B10:B11"/>
    <mergeCell ref="C10:I11"/>
    <mergeCell ref="J10:J11"/>
    <mergeCell ref="K10:K11"/>
    <mergeCell ref="L10:L11"/>
    <mergeCell ref="C31:I31"/>
    <mergeCell ref="C32:I32"/>
    <mergeCell ref="C34:I34"/>
    <mergeCell ref="C35:I35"/>
    <mergeCell ref="C19:I19"/>
    <mergeCell ref="C146:I146"/>
    <mergeCell ref="C80:I80"/>
    <mergeCell ref="C36:I36"/>
  </mergeCells>
  <pageMargins left="0.7" right="0.7" top="0.75" bottom="0.75" header="0.3" footer="0.3"/>
  <pageSetup orientation="portrait" horizontalDpi="4294967293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14"/>
  <sheetViews>
    <sheetView topLeftCell="A164" zoomScale="85" zoomScaleNormal="85" workbookViewId="0">
      <selection activeCell="N186" sqref="N186:P186"/>
    </sheetView>
  </sheetViews>
  <sheetFormatPr baseColWidth="10" defaultColWidth="11.42578125" defaultRowHeight="15" x14ac:dyDescent="0.25"/>
  <cols>
    <col min="1" max="1" width="2.85546875" style="7" customWidth="1"/>
    <col min="2" max="2" width="12.42578125" style="30" customWidth="1"/>
    <col min="3" max="4" width="11.42578125" style="7"/>
    <col min="5" max="5" width="14.42578125" style="7" customWidth="1"/>
    <col min="6" max="7" width="14.85546875" style="7" customWidth="1"/>
    <col min="8" max="8" width="10.85546875" style="7" customWidth="1"/>
    <col min="9" max="9" width="58.85546875" style="7" customWidth="1"/>
    <col min="10" max="10" width="32.140625" style="30" bestFit="1" customWidth="1"/>
    <col min="11" max="11" width="14.140625" style="30" bestFit="1" customWidth="1"/>
    <col min="12" max="12" width="20.5703125" style="30" bestFit="1" customWidth="1"/>
    <col min="13" max="13" width="12.85546875" style="30" customWidth="1"/>
    <col min="14" max="14" width="11.85546875" style="30" customWidth="1"/>
    <col min="15" max="15" width="28.140625" style="30" customWidth="1"/>
    <col min="16" max="16" width="30.85546875" style="30" customWidth="1"/>
    <col min="17" max="17" width="2.140625" style="7" customWidth="1"/>
    <col min="18" max="18" width="3.140625" style="7" customWidth="1"/>
    <col min="19" max="19" width="20.140625" style="7" bestFit="1" customWidth="1"/>
    <col min="20" max="16384" width="11.42578125" style="7"/>
  </cols>
  <sheetData>
    <row r="1" spans="2:19" ht="15.75" thickBot="1" x14ac:dyDescent="0.3">
      <c r="H1" s="7" t="s">
        <v>695</v>
      </c>
    </row>
    <row r="2" spans="2:19" ht="15" customHeight="1" x14ac:dyDescent="0.25">
      <c r="B2" s="234"/>
      <c r="C2" s="235"/>
      <c r="D2" s="235"/>
      <c r="E2" s="191" t="s">
        <v>0</v>
      </c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3"/>
      <c r="Q2" s="8"/>
    </row>
    <row r="3" spans="2:19" ht="15" customHeight="1" x14ac:dyDescent="0.25">
      <c r="B3" s="236"/>
      <c r="C3" s="237"/>
      <c r="D3" s="237"/>
      <c r="E3" s="194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6"/>
      <c r="Q3" s="8"/>
    </row>
    <row r="4" spans="2:19" ht="15" customHeight="1" x14ac:dyDescent="0.25">
      <c r="B4" s="236"/>
      <c r="C4" s="237"/>
      <c r="D4" s="237"/>
      <c r="E4" s="194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6"/>
      <c r="Q4" s="8"/>
    </row>
    <row r="5" spans="2:19" ht="15" customHeight="1" x14ac:dyDescent="0.25">
      <c r="B5" s="236"/>
      <c r="C5" s="237"/>
      <c r="D5" s="237"/>
      <c r="E5" s="194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6"/>
      <c r="Q5" s="8"/>
      <c r="R5" s="9"/>
      <c r="S5" s="7" t="s">
        <v>183</v>
      </c>
    </row>
    <row r="6" spans="2:19" ht="15" customHeight="1" x14ac:dyDescent="0.25">
      <c r="B6" s="236"/>
      <c r="C6" s="237"/>
      <c r="D6" s="237"/>
      <c r="E6" s="194"/>
      <c r="F6" s="195"/>
      <c r="G6" s="195"/>
      <c r="H6" s="195"/>
      <c r="I6" s="195"/>
      <c r="J6" s="195"/>
      <c r="K6" s="195"/>
      <c r="L6" s="195"/>
      <c r="M6" s="195"/>
      <c r="N6" s="195"/>
      <c r="O6" s="195"/>
      <c r="P6" s="196"/>
      <c r="Q6" s="8"/>
      <c r="R6" s="26"/>
      <c r="S6" s="7" t="s">
        <v>184</v>
      </c>
    </row>
    <row r="7" spans="2:19" ht="15" customHeight="1" x14ac:dyDescent="0.25">
      <c r="B7" s="236"/>
      <c r="C7" s="237"/>
      <c r="D7" s="237"/>
      <c r="E7" s="194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6"/>
      <c r="Q7" s="8"/>
    </row>
    <row r="8" spans="2:19" ht="15" customHeight="1" x14ac:dyDescent="0.25">
      <c r="B8" s="236"/>
      <c r="C8" s="237"/>
      <c r="D8" s="237"/>
      <c r="E8" s="194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6"/>
      <c r="Q8" s="8"/>
    </row>
    <row r="9" spans="2:19" ht="15.75" customHeight="1" thickBot="1" x14ac:dyDescent="0.3">
      <c r="B9" s="238"/>
      <c r="C9" s="239"/>
      <c r="D9" s="239"/>
      <c r="E9" s="197"/>
      <c r="F9" s="198"/>
      <c r="G9" s="198"/>
      <c r="H9" s="198"/>
      <c r="I9" s="198"/>
      <c r="J9" s="198"/>
      <c r="K9" s="198"/>
      <c r="L9" s="198"/>
      <c r="M9" s="198"/>
      <c r="N9" s="198"/>
      <c r="O9" s="198"/>
      <c r="P9" s="199"/>
      <c r="Q9" s="8"/>
    </row>
    <row r="10" spans="2:19" ht="15" customHeight="1" x14ac:dyDescent="0.25">
      <c r="B10" s="209" t="s">
        <v>1</v>
      </c>
      <c r="C10" s="178" t="s">
        <v>2</v>
      </c>
      <c r="D10" s="179"/>
      <c r="E10" s="179"/>
      <c r="F10" s="179"/>
      <c r="G10" s="180"/>
      <c r="H10" s="181"/>
      <c r="I10" s="182"/>
      <c r="J10" s="225" t="s">
        <v>696</v>
      </c>
      <c r="K10" s="221" t="s">
        <v>3</v>
      </c>
      <c r="L10" s="223" t="s">
        <v>4</v>
      </c>
      <c r="M10" s="223" t="s">
        <v>5</v>
      </c>
      <c r="N10" s="225" t="s">
        <v>6</v>
      </c>
      <c r="O10" s="225" t="s">
        <v>7</v>
      </c>
      <c r="P10" s="225" t="s">
        <v>8</v>
      </c>
      <c r="Q10" s="10"/>
    </row>
    <row r="11" spans="2:19" ht="15.75" thickBot="1" x14ac:dyDescent="0.3">
      <c r="B11" s="210"/>
      <c r="C11" s="266"/>
      <c r="D11" s="267"/>
      <c r="E11" s="267"/>
      <c r="F11" s="267"/>
      <c r="G11" s="268"/>
      <c r="H11" s="269"/>
      <c r="I11" s="270"/>
      <c r="J11" s="226"/>
      <c r="K11" s="222"/>
      <c r="L11" s="224"/>
      <c r="M11" s="224"/>
      <c r="N11" s="226"/>
      <c r="O11" s="226"/>
      <c r="P11" s="226"/>
      <c r="Q11" s="10"/>
    </row>
    <row r="12" spans="2:19" ht="9" customHeight="1" x14ac:dyDescent="0.25">
      <c r="B12" s="233"/>
      <c r="C12" s="233"/>
      <c r="D12" s="233"/>
      <c r="E12" s="233"/>
      <c r="F12" s="233"/>
      <c r="G12" s="233"/>
      <c r="H12" s="233"/>
      <c r="I12" s="233"/>
      <c r="J12" s="233"/>
      <c r="K12" s="233"/>
      <c r="L12" s="233"/>
      <c r="M12" s="233"/>
      <c r="N12" s="42"/>
    </row>
    <row r="13" spans="2:19" x14ac:dyDescent="0.25">
      <c r="B13" s="31">
        <v>1</v>
      </c>
      <c r="C13" s="229" t="s">
        <v>697</v>
      </c>
      <c r="D13" s="229"/>
      <c r="E13" s="229"/>
      <c r="F13" s="229"/>
      <c r="G13" s="229"/>
      <c r="H13" s="229"/>
      <c r="I13" s="229"/>
      <c r="J13" s="32" t="s">
        <v>698</v>
      </c>
      <c r="K13" s="1">
        <v>8127000</v>
      </c>
      <c r="L13" s="2">
        <v>43837</v>
      </c>
      <c r="M13" s="32"/>
      <c r="N13" s="32">
        <v>3006195142</v>
      </c>
      <c r="O13" s="51" t="s">
        <v>699</v>
      </c>
      <c r="P13" s="38" t="s">
        <v>700</v>
      </c>
    </row>
    <row r="14" spans="2:19" x14ac:dyDescent="0.25">
      <c r="B14" s="31">
        <v>2</v>
      </c>
      <c r="C14" s="229" t="s">
        <v>701</v>
      </c>
      <c r="D14" s="229"/>
      <c r="E14" s="229"/>
      <c r="F14" s="229"/>
      <c r="G14" s="229"/>
      <c r="H14" s="229"/>
      <c r="I14" s="229"/>
      <c r="J14" s="32" t="s">
        <v>702</v>
      </c>
      <c r="K14" s="1">
        <v>2130000</v>
      </c>
      <c r="L14" s="2">
        <v>43837</v>
      </c>
      <c r="M14" s="32"/>
      <c r="N14" s="32">
        <v>3104680508</v>
      </c>
      <c r="O14" s="51" t="s">
        <v>212</v>
      </c>
      <c r="P14" s="38" t="s">
        <v>703</v>
      </c>
    </row>
    <row r="15" spans="2:19" x14ac:dyDescent="0.25">
      <c r="B15" s="31">
        <v>3</v>
      </c>
      <c r="C15" s="229" t="s">
        <v>704</v>
      </c>
      <c r="D15" s="229"/>
      <c r="E15" s="229"/>
      <c r="F15" s="229"/>
      <c r="G15" s="229"/>
      <c r="H15" s="229"/>
      <c r="I15" s="229"/>
      <c r="J15" s="32" t="s">
        <v>705</v>
      </c>
      <c r="K15" s="1">
        <v>1500000</v>
      </c>
      <c r="L15" s="2">
        <v>43838</v>
      </c>
      <c r="M15" s="32"/>
      <c r="N15" s="32">
        <v>3014487912</v>
      </c>
      <c r="O15" s="51" t="s">
        <v>706</v>
      </c>
      <c r="P15" s="38" t="s">
        <v>707</v>
      </c>
    </row>
    <row r="16" spans="2:19" x14ac:dyDescent="0.25">
      <c r="B16" s="34">
        <v>4</v>
      </c>
      <c r="C16" s="229" t="s">
        <v>708</v>
      </c>
      <c r="D16" s="229"/>
      <c r="E16" s="229"/>
      <c r="F16" s="229"/>
      <c r="G16" s="229"/>
      <c r="H16" s="229"/>
      <c r="I16" s="229"/>
      <c r="J16" s="32" t="s">
        <v>702</v>
      </c>
      <c r="K16" s="1">
        <v>10660000</v>
      </c>
      <c r="L16" s="2">
        <v>43838</v>
      </c>
      <c r="M16" s="32"/>
      <c r="N16" s="32">
        <v>3104680508</v>
      </c>
      <c r="O16" s="51" t="s">
        <v>212</v>
      </c>
      <c r="P16" s="38" t="s">
        <v>703</v>
      </c>
    </row>
    <row r="17" spans="2:16" x14ac:dyDescent="0.25">
      <c r="B17" s="34">
        <v>5</v>
      </c>
      <c r="C17" s="229" t="s">
        <v>709</v>
      </c>
      <c r="D17" s="229"/>
      <c r="E17" s="229"/>
      <c r="F17" s="229"/>
      <c r="G17" s="229"/>
      <c r="H17" s="229"/>
      <c r="I17" s="229"/>
      <c r="J17" s="32" t="s">
        <v>702</v>
      </c>
      <c r="K17" s="46">
        <v>16935000</v>
      </c>
      <c r="L17" s="2">
        <v>43838</v>
      </c>
      <c r="M17" s="32"/>
      <c r="N17" s="32">
        <v>3104680508</v>
      </c>
      <c r="O17" s="51" t="s">
        <v>212</v>
      </c>
      <c r="P17" s="38" t="s">
        <v>703</v>
      </c>
    </row>
    <row r="18" spans="2:16" x14ac:dyDescent="0.25">
      <c r="B18" s="31">
        <v>6</v>
      </c>
      <c r="C18" s="229" t="s">
        <v>710</v>
      </c>
      <c r="D18" s="229"/>
      <c r="E18" s="229"/>
      <c r="F18" s="229"/>
      <c r="G18" s="229"/>
      <c r="H18" s="229"/>
      <c r="I18" s="229"/>
      <c r="J18" s="32" t="s">
        <v>702</v>
      </c>
      <c r="K18" s="1">
        <v>43900000</v>
      </c>
      <c r="L18" s="2">
        <v>43840</v>
      </c>
      <c r="M18" s="32"/>
      <c r="N18" s="32">
        <v>3104680508</v>
      </c>
      <c r="O18" s="51" t="s">
        <v>212</v>
      </c>
      <c r="P18" s="38" t="s">
        <v>703</v>
      </c>
    </row>
    <row r="19" spans="2:16" x14ac:dyDescent="0.25">
      <c r="B19" s="31">
        <v>7</v>
      </c>
      <c r="C19" s="229" t="s">
        <v>711</v>
      </c>
      <c r="D19" s="229"/>
      <c r="E19" s="229"/>
      <c r="F19" s="229"/>
      <c r="G19" s="229"/>
      <c r="H19" s="229"/>
      <c r="I19" s="229"/>
      <c r="J19" s="32" t="s">
        <v>712</v>
      </c>
      <c r="K19" s="1">
        <v>900000</v>
      </c>
      <c r="L19" s="2">
        <v>43843</v>
      </c>
      <c r="M19" s="32"/>
      <c r="N19" s="32">
        <v>3137851941</v>
      </c>
      <c r="O19" s="51" t="s">
        <v>192</v>
      </c>
      <c r="P19" s="38" t="s">
        <v>713</v>
      </c>
    </row>
    <row r="20" spans="2:16" x14ac:dyDescent="0.25">
      <c r="B20" s="31">
        <v>8</v>
      </c>
      <c r="C20" s="229" t="s">
        <v>714</v>
      </c>
      <c r="D20" s="229"/>
      <c r="E20" s="229"/>
      <c r="F20" s="229"/>
      <c r="G20" s="229"/>
      <c r="H20" s="229"/>
      <c r="I20" s="229"/>
      <c r="J20" s="32" t="s">
        <v>702</v>
      </c>
      <c r="K20" s="1">
        <v>900000</v>
      </c>
      <c r="L20" s="2">
        <v>43843</v>
      </c>
      <c r="M20" s="32" t="s">
        <v>3923</v>
      </c>
      <c r="N20" s="32">
        <v>3104680508</v>
      </c>
      <c r="O20" s="51" t="s">
        <v>212</v>
      </c>
      <c r="P20" s="38" t="s">
        <v>703</v>
      </c>
    </row>
    <row r="21" spans="2:16" x14ac:dyDescent="0.25">
      <c r="B21" s="33">
        <v>9</v>
      </c>
      <c r="C21" s="228" t="s">
        <v>715</v>
      </c>
      <c r="D21" s="228"/>
      <c r="E21" s="228"/>
      <c r="F21" s="228"/>
      <c r="G21" s="228"/>
      <c r="H21" s="228"/>
      <c r="I21" s="228"/>
      <c r="J21" s="32" t="s">
        <v>702</v>
      </c>
      <c r="K21" s="46">
        <v>1200000</v>
      </c>
      <c r="L21" s="2">
        <v>43843</v>
      </c>
      <c r="M21" s="35" t="s">
        <v>3923</v>
      </c>
      <c r="N21" s="32">
        <v>3104680508</v>
      </c>
      <c r="O21" s="51" t="s">
        <v>212</v>
      </c>
      <c r="P21" s="38" t="s">
        <v>703</v>
      </c>
    </row>
    <row r="22" spans="2:16" x14ac:dyDescent="0.25">
      <c r="B22" s="31">
        <v>10</v>
      </c>
      <c r="C22" s="229" t="s">
        <v>716</v>
      </c>
      <c r="D22" s="229"/>
      <c r="E22" s="229"/>
      <c r="F22" s="229"/>
      <c r="G22" s="229"/>
      <c r="H22" s="229"/>
      <c r="I22" s="229"/>
      <c r="J22" s="32" t="s">
        <v>717</v>
      </c>
      <c r="K22" s="1">
        <v>3670000</v>
      </c>
      <c r="L22" s="2">
        <v>43844</v>
      </c>
      <c r="M22" s="32" t="s">
        <v>3923</v>
      </c>
      <c r="N22" s="32"/>
      <c r="O22" s="51" t="s">
        <v>426</v>
      </c>
      <c r="P22" s="51"/>
    </row>
    <row r="23" spans="2:16" x14ac:dyDescent="0.25">
      <c r="B23" s="31">
        <v>11</v>
      </c>
      <c r="C23" s="229" t="s">
        <v>718</v>
      </c>
      <c r="D23" s="229"/>
      <c r="E23" s="229"/>
      <c r="F23" s="229"/>
      <c r="G23" s="229"/>
      <c r="H23" s="229"/>
      <c r="I23" s="229"/>
      <c r="J23" s="32" t="s">
        <v>702</v>
      </c>
      <c r="K23" s="1">
        <v>19460000</v>
      </c>
      <c r="L23" s="2">
        <v>43846</v>
      </c>
      <c r="M23" s="32"/>
      <c r="N23" s="32">
        <v>3104680508</v>
      </c>
      <c r="O23" s="51" t="s">
        <v>212</v>
      </c>
      <c r="P23" s="38" t="s">
        <v>703</v>
      </c>
    </row>
    <row r="24" spans="2:16" x14ac:dyDescent="0.25">
      <c r="B24" s="31">
        <v>12</v>
      </c>
      <c r="C24" s="229" t="s">
        <v>719</v>
      </c>
      <c r="D24" s="229"/>
      <c r="E24" s="229"/>
      <c r="F24" s="229"/>
      <c r="G24" s="229"/>
      <c r="H24" s="229"/>
      <c r="I24" s="229"/>
      <c r="J24" s="32" t="s">
        <v>702</v>
      </c>
      <c r="K24" s="1">
        <v>1500000</v>
      </c>
      <c r="L24" s="2">
        <v>43967</v>
      </c>
      <c r="M24" s="2"/>
      <c r="N24" s="32">
        <v>3104680508</v>
      </c>
      <c r="O24" s="51" t="s">
        <v>212</v>
      </c>
      <c r="P24" s="38" t="s">
        <v>703</v>
      </c>
    </row>
    <row r="25" spans="2:16" x14ac:dyDescent="0.25">
      <c r="B25" s="31">
        <v>13</v>
      </c>
      <c r="C25" s="229" t="s">
        <v>720</v>
      </c>
      <c r="D25" s="229"/>
      <c r="E25" s="229"/>
      <c r="F25" s="229"/>
      <c r="G25" s="229"/>
      <c r="H25" s="229"/>
      <c r="I25" s="229"/>
      <c r="J25" s="32" t="s">
        <v>721</v>
      </c>
      <c r="K25" s="1">
        <v>8780000</v>
      </c>
      <c r="L25" s="2">
        <v>43851</v>
      </c>
      <c r="M25" s="2"/>
      <c r="N25" s="2"/>
      <c r="O25" s="39" t="s">
        <v>722</v>
      </c>
      <c r="P25" s="51"/>
    </row>
    <row r="26" spans="2:16" x14ac:dyDescent="0.25">
      <c r="B26" s="31">
        <v>14</v>
      </c>
      <c r="C26" s="229" t="s">
        <v>723</v>
      </c>
      <c r="D26" s="229"/>
      <c r="E26" s="229"/>
      <c r="F26" s="229"/>
      <c r="G26" s="229"/>
      <c r="H26" s="229"/>
      <c r="I26" s="229"/>
      <c r="J26" s="32" t="s">
        <v>724</v>
      </c>
      <c r="K26" s="1">
        <v>16000000</v>
      </c>
      <c r="L26" s="2">
        <v>43851</v>
      </c>
      <c r="M26" s="2" t="s">
        <v>3923</v>
      </c>
      <c r="N26" s="2"/>
      <c r="O26" s="51" t="s">
        <v>725</v>
      </c>
      <c r="P26" s="51"/>
    </row>
    <row r="27" spans="2:16" x14ac:dyDescent="0.25">
      <c r="B27" s="31">
        <v>15</v>
      </c>
      <c r="C27" s="229" t="s">
        <v>726</v>
      </c>
      <c r="D27" s="229"/>
      <c r="E27" s="229"/>
      <c r="F27" s="229"/>
      <c r="G27" s="229"/>
      <c r="H27" s="229"/>
      <c r="I27" s="229"/>
      <c r="J27" s="32" t="s">
        <v>727</v>
      </c>
      <c r="K27" s="1">
        <v>19435000</v>
      </c>
      <c r="L27" s="2">
        <v>43854</v>
      </c>
      <c r="M27" s="2"/>
      <c r="N27" s="2"/>
      <c r="O27" s="51" t="s">
        <v>728</v>
      </c>
      <c r="P27" s="51"/>
    </row>
    <row r="28" spans="2:16" x14ac:dyDescent="0.25">
      <c r="B28" s="31">
        <v>16</v>
      </c>
      <c r="C28" s="229" t="s">
        <v>729</v>
      </c>
      <c r="D28" s="229"/>
      <c r="E28" s="229"/>
      <c r="F28" s="229"/>
      <c r="G28" s="229"/>
      <c r="H28" s="229"/>
      <c r="I28" s="229"/>
      <c r="J28" s="32" t="s">
        <v>730</v>
      </c>
      <c r="K28" s="1">
        <v>1305000</v>
      </c>
      <c r="L28" s="2">
        <v>43489</v>
      </c>
      <c r="M28" s="32"/>
      <c r="N28" s="32"/>
      <c r="O28" s="40" t="s">
        <v>731</v>
      </c>
      <c r="P28" s="51"/>
    </row>
    <row r="29" spans="2:16" x14ac:dyDescent="0.25">
      <c r="B29" s="31">
        <v>17</v>
      </c>
      <c r="C29" s="229" t="s">
        <v>732</v>
      </c>
      <c r="D29" s="229"/>
      <c r="E29" s="229"/>
      <c r="F29" s="229"/>
      <c r="G29" s="229"/>
      <c r="H29" s="229"/>
      <c r="I29" s="229"/>
      <c r="J29" s="32" t="s">
        <v>733</v>
      </c>
      <c r="K29" s="1">
        <v>7940000</v>
      </c>
      <c r="L29" s="2">
        <v>43493</v>
      </c>
      <c r="M29" s="2"/>
      <c r="N29" s="2"/>
      <c r="O29" s="51" t="s">
        <v>201</v>
      </c>
      <c r="P29" s="51"/>
    </row>
    <row r="30" spans="2:16" x14ac:dyDescent="0.25">
      <c r="B30" s="31">
        <v>18</v>
      </c>
      <c r="C30" s="229" t="s">
        <v>734</v>
      </c>
      <c r="D30" s="229"/>
      <c r="E30" s="229"/>
      <c r="F30" s="229"/>
      <c r="G30" s="229"/>
      <c r="H30" s="229"/>
      <c r="I30" s="229"/>
      <c r="J30" s="32" t="s">
        <v>735</v>
      </c>
      <c r="K30" s="1">
        <v>25710000</v>
      </c>
      <c r="L30" s="2">
        <v>43859</v>
      </c>
      <c r="M30" s="2"/>
      <c r="N30" s="2"/>
      <c r="O30" s="51" t="s">
        <v>736</v>
      </c>
      <c r="P30" s="51"/>
    </row>
    <row r="31" spans="2:16" x14ac:dyDescent="0.25">
      <c r="B31" s="31">
        <v>19</v>
      </c>
      <c r="C31" s="229" t="s">
        <v>737</v>
      </c>
      <c r="D31" s="229"/>
      <c r="E31" s="229"/>
      <c r="F31" s="229"/>
      <c r="G31" s="229"/>
      <c r="H31" s="229"/>
      <c r="I31" s="229"/>
      <c r="J31" s="32" t="s">
        <v>738</v>
      </c>
      <c r="K31" s="1">
        <v>2500000</v>
      </c>
      <c r="L31" s="2">
        <v>43860</v>
      </c>
      <c r="M31" s="32"/>
      <c r="N31" s="32"/>
      <c r="O31" s="51" t="s">
        <v>706</v>
      </c>
      <c r="P31" s="51"/>
    </row>
    <row r="32" spans="2:16" x14ac:dyDescent="0.25">
      <c r="B32" s="31">
        <v>20</v>
      </c>
      <c r="C32" s="229" t="s">
        <v>739</v>
      </c>
      <c r="D32" s="229"/>
      <c r="E32" s="229"/>
      <c r="F32" s="229"/>
      <c r="G32" s="229"/>
      <c r="H32" s="229"/>
      <c r="I32" s="229"/>
      <c r="J32" s="32" t="s">
        <v>702</v>
      </c>
      <c r="K32" s="1">
        <v>675000</v>
      </c>
      <c r="L32" s="2">
        <v>43860</v>
      </c>
      <c r="M32" s="32"/>
      <c r="N32" s="32">
        <v>3137546144</v>
      </c>
      <c r="O32" s="51" t="s">
        <v>186</v>
      </c>
      <c r="P32" s="38" t="s">
        <v>740</v>
      </c>
    </row>
    <row r="33" spans="2:16" x14ac:dyDescent="0.25">
      <c r="B33" s="31">
        <v>21</v>
      </c>
      <c r="C33" s="229" t="s">
        <v>741</v>
      </c>
      <c r="D33" s="229"/>
      <c r="E33" s="229"/>
      <c r="F33" s="229"/>
      <c r="G33" s="229"/>
      <c r="H33" s="229"/>
      <c r="I33" s="229"/>
      <c r="J33" s="32" t="s">
        <v>742</v>
      </c>
      <c r="K33" s="1">
        <v>4140000</v>
      </c>
      <c r="L33" s="2">
        <v>43861</v>
      </c>
      <c r="M33" s="32"/>
      <c r="N33" s="32"/>
      <c r="O33" s="51" t="s">
        <v>272</v>
      </c>
      <c r="P33" s="51"/>
    </row>
    <row r="34" spans="2:16" x14ac:dyDescent="0.25">
      <c r="B34" s="31">
        <v>22</v>
      </c>
      <c r="C34" s="229" t="s">
        <v>743</v>
      </c>
      <c r="D34" s="229"/>
      <c r="E34" s="229"/>
      <c r="F34" s="229"/>
      <c r="G34" s="229"/>
      <c r="H34" s="229"/>
      <c r="I34" s="229"/>
      <c r="J34" s="32" t="s">
        <v>744</v>
      </c>
      <c r="K34" s="1">
        <v>3700000</v>
      </c>
      <c r="L34" s="2">
        <v>43861</v>
      </c>
      <c r="M34" s="32"/>
      <c r="N34" s="32"/>
      <c r="O34" s="51" t="s">
        <v>745</v>
      </c>
      <c r="P34" s="51"/>
    </row>
    <row r="35" spans="2:16" x14ac:dyDescent="0.25">
      <c r="B35" s="31">
        <v>23</v>
      </c>
      <c r="C35" s="229" t="s">
        <v>746</v>
      </c>
      <c r="D35" s="229"/>
      <c r="E35" s="229"/>
      <c r="F35" s="229"/>
      <c r="G35" s="229"/>
      <c r="H35" s="229"/>
      <c r="I35" s="229"/>
      <c r="J35" s="32" t="s">
        <v>747</v>
      </c>
      <c r="K35" s="1">
        <v>1000000</v>
      </c>
      <c r="L35" s="2">
        <v>43833</v>
      </c>
      <c r="M35" s="32"/>
      <c r="N35" s="32">
        <v>3175594091</v>
      </c>
      <c r="O35" s="51" t="s">
        <v>496</v>
      </c>
      <c r="P35" s="38" t="s">
        <v>748</v>
      </c>
    </row>
    <row r="36" spans="2:16" x14ac:dyDescent="0.25">
      <c r="B36" s="31">
        <v>24</v>
      </c>
      <c r="C36" s="229" t="s">
        <v>749</v>
      </c>
      <c r="D36" s="229"/>
      <c r="E36" s="229"/>
      <c r="F36" s="229"/>
      <c r="G36" s="229"/>
      <c r="H36" s="229"/>
      <c r="I36" s="229"/>
      <c r="J36" s="32" t="s">
        <v>750</v>
      </c>
      <c r="K36" s="1" t="s">
        <v>263</v>
      </c>
      <c r="L36" s="2">
        <v>43864</v>
      </c>
      <c r="M36" s="32"/>
      <c r="N36" s="32"/>
      <c r="O36" s="51" t="s">
        <v>751</v>
      </c>
      <c r="P36" s="51"/>
    </row>
    <row r="37" spans="2:16" x14ac:dyDescent="0.25">
      <c r="B37" s="31">
        <v>25</v>
      </c>
      <c r="C37" s="229" t="s">
        <v>752</v>
      </c>
      <c r="D37" s="229"/>
      <c r="E37" s="229"/>
      <c r="F37" s="229"/>
      <c r="G37" s="229"/>
      <c r="H37" s="229"/>
      <c r="I37" s="229"/>
      <c r="J37" s="32" t="s">
        <v>753</v>
      </c>
      <c r="K37" s="1">
        <v>4990000</v>
      </c>
      <c r="L37" s="2">
        <v>43865</v>
      </c>
      <c r="M37" s="32"/>
      <c r="N37" s="32"/>
      <c r="O37" s="51" t="s">
        <v>400</v>
      </c>
      <c r="P37" s="51"/>
    </row>
    <row r="38" spans="2:16" x14ac:dyDescent="0.25">
      <c r="B38" s="31">
        <v>25</v>
      </c>
      <c r="C38" s="229" t="s">
        <v>754</v>
      </c>
      <c r="D38" s="229"/>
      <c r="E38" s="229"/>
      <c r="F38" s="229"/>
      <c r="G38" s="229"/>
      <c r="H38" s="229"/>
      <c r="I38" s="229"/>
      <c r="J38" s="32" t="s">
        <v>755</v>
      </c>
      <c r="K38" s="1">
        <v>5590000</v>
      </c>
      <c r="L38" s="2">
        <v>43881</v>
      </c>
      <c r="M38" s="32"/>
      <c r="N38" s="32"/>
      <c r="O38" s="51" t="s">
        <v>756</v>
      </c>
      <c r="P38" s="51"/>
    </row>
    <row r="39" spans="2:16" x14ac:dyDescent="0.25">
      <c r="B39" s="31">
        <v>26</v>
      </c>
      <c r="C39" s="229" t="s">
        <v>757</v>
      </c>
      <c r="D39" s="229"/>
      <c r="E39" s="229"/>
      <c r="F39" s="229"/>
      <c r="G39" s="229"/>
      <c r="H39" s="229"/>
      <c r="I39" s="229"/>
      <c r="J39" s="32" t="s">
        <v>758</v>
      </c>
      <c r="K39" s="1">
        <v>3765000</v>
      </c>
      <c r="L39" s="2">
        <v>43866</v>
      </c>
      <c r="M39" s="32"/>
      <c r="N39" s="32"/>
      <c r="O39" s="51" t="s">
        <v>615</v>
      </c>
      <c r="P39" s="51"/>
    </row>
    <row r="40" spans="2:16" x14ac:dyDescent="0.25">
      <c r="B40" s="31">
        <v>27</v>
      </c>
      <c r="C40" s="229" t="s">
        <v>759</v>
      </c>
      <c r="D40" s="229"/>
      <c r="E40" s="229"/>
      <c r="F40" s="229"/>
      <c r="G40" s="229"/>
      <c r="H40" s="229"/>
      <c r="I40" s="229"/>
      <c r="J40" s="32" t="s">
        <v>712</v>
      </c>
      <c r="K40" s="1">
        <v>13920000</v>
      </c>
      <c r="L40" s="2">
        <v>43867</v>
      </c>
      <c r="M40" s="32"/>
      <c r="N40" s="32">
        <v>3137851941</v>
      </c>
      <c r="O40" s="51" t="s">
        <v>192</v>
      </c>
      <c r="P40" s="38" t="s">
        <v>713</v>
      </c>
    </row>
    <row r="41" spans="2:16" x14ac:dyDescent="0.25">
      <c r="B41" s="31">
        <v>28</v>
      </c>
      <c r="C41" s="229" t="s">
        <v>760</v>
      </c>
      <c r="D41" s="229"/>
      <c r="E41" s="229"/>
      <c r="F41" s="229"/>
      <c r="G41" s="229"/>
      <c r="H41" s="229"/>
      <c r="I41" s="229"/>
      <c r="J41" s="32" t="s">
        <v>702</v>
      </c>
      <c r="K41" s="1">
        <v>6915000</v>
      </c>
      <c r="L41" s="2">
        <v>43869</v>
      </c>
      <c r="M41" s="32"/>
      <c r="N41" s="32" t="s">
        <v>761</v>
      </c>
      <c r="O41" s="51" t="s">
        <v>578</v>
      </c>
      <c r="P41" s="38" t="s">
        <v>762</v>
      </c>
    </row>
    <row r="42" spans="2:16" x14ac:dyDescent="0.25">
      <c r="B42" s="31">
        <v>29</v>
      </c>
      <c r="C42" s="229" t="s">
        <v>763</v>
      </c>
      <c r="D42" s="229"/>
      <c r="E42" s="229"/>
      <c r="F42" s="229"/>
      <c r="G42" s="229"/>
      <c r="H42" s="229"/>
      <c r="I42" s="229"/>
      <c r="J42" s="32" t="s">
        <v>764</v>
      </c>
      <c r="K42" s="1">
        <v>13550000</v>
      </c>
      <c r="L42" s="2">
        <v>43869</v>
      </c>
      <c r="M42" s="2"/>
      <c r="N42" s="2"/>
      <c r="O42" s="51" t="s">
        <v>765</v>
      </c>
      <c r="P42" s="51"/>
    </row>
    <row r="43" spans="2:16" x14ac:dyDescent="0.25">
      <c r="B43" s="31">
        <v>30</v>
      </c>
      <c r="C43" s="229" t="s">
        <v>766</v>
      </c>
      <c r="D43" s="229"/>
      <c r="E43" s="229"/>
      <c r="F43" s="229"/>
      <c r="G43" s="229"/>
      <c r="H43" s="229"/>
      <c r="I43" s="229"/>
      <c r="J43" s="32" t="s">
        <v>733</v>
      </c>
      <c r="K43" s="1">
        <v>6270000</v>
      </c>
      <c r="L43" s="2">
        <v>43873</v>
      </c>
      <c r="M43" s="32"/>
      <c r="N43" s="32"/>
      <c r="O43" s="51" t="s">
        <v>201</v>
      </c>
      <c r="P43" s="51"/>
    </row>
    <row r="44" spans="2:16" x14ac:dyDescent="0.25">
      <c r="B44" s="31">
        <v>31</v>
      </c>
      <c r="C44" s="229" t="s">
        <v>767</v>
      </c>
      <c r="D44" s="229"/>
      <c r="E44" s="229"/>
      <c r="F44" s="229"/>
      <c r="G44" s="229"/>
      <c r="H44" s="229"/>
      <c r="I44" s="229"/>
      <c r="J44" s="32" t="s">
        <v>768</v>
      </c>
      <c r="K44" s="1">
        <v>1055000</v>
      </c>
      <c r="L44" s="2">
        <v>43873</v>
      </c>
      <c r="M44" s="32"/>
      <c r="N44" s="32"/>
      <c r="O44" s="51" t="s">
        <v>769</v>
      </c>
      <c r="P44" s="51"/>
    </row>
    <row r="45" spans="2:16" x14ac:dyDescent="0.25">
      <c r="B45" s="31">
        <v>32</v>
      </c>
      <c r="C45" s="229" t="s">
        <v>770</v>
      </c>
      <c r="D45" s="229"/>
      <c r="E45" s="229"/>
      <c r="F45" s="229"/>
      <c r="G45" s="229"/>
      <c r="H45" s="229"/>
      <c r="I45" s="229"/>
      <c r="J45" s="32" t="s">
        <v>771</v>
      </c>
      <c r="K45" s="1">
        <v>5500000</v>
      </c>
      <c r="L45" s="2">
        <v>43874</v>
      </c>
      <c r="M45" s="32" t="s">
        <v>3923</v>
      </c>
      <c r="N45" s="32"/>
      <c r="O45" s="51" t="s">
        <v>772</v>
      </c>
      <c r="P45" s="51"/>
    </row>
    <row r="46" spans="2:16" x14ac:dyDescent="0.25">
      <c r="B46" s="31">
        <v>33</v>
      </c>
      <c r="C46" s="229" t="s">
        <v>773</v>
      </c>
      <c r="D46" s="229"/>
      <c r="E46" s="229"/>
      <c r="F46" s="229"/>
      <c r="G46" s="229"/>
      <c r="H46" s="229"/>
      <c r="I46" s="229"/>
      <c r="J46" s="32" t="s">
        <v>774</v>
      </c>
      <c r="K46" s="1">
        <v>21320000</v>
      </c>
      <c r="L46" s="2">
        <v>43875</v>
      </c>
      <c r="M46" s="32"/>
      <c r="N46" s="32"/>
      <c r="O46" s="51" t="s">
        <v>775</v>
      </c>
      <c r="P46" s="51"/>
    </row>
    <row r="47" spans="2:16" x14ac:dyDescent="0.25">
      <c r="B47" s="31">
        <v>34</v>
      </c>
      <c r="C47" s="229" t="s">
        <v>776</v>
      </c>
      <c r="D47" s="229"/>
      <c r="E47" s="229"/>
      <c r="F47" s="229"/>
      <c r="G47" s="229"/>
      <c r="H47" s="229"/>
      <c r="I47" s="229"/>
      <c r="J47" s="32" t="s">
        <v>777</v>
      </c>
      <c r="K47" s="1">
        <v>7605000</v>
      </c>
      <c r="L47" s="2">
        <v>43875</v>
      </c>
      <c r="M47" s="32"/>
      <c r="N47" s="32"/>
      <c r="O47" s="51" t="s">
        <v>778</v>
      </c>
      <c r="P47" s="51"/>
    </row>
    <row r="48" spans="2:16" x14ac:dyDescent="0.25">
      <c r="B48" s="31">
        <v>35</v>
      </c>
      <c r="C48" s="229" t="s">
        <v>779</v>
      </c>
      <c r="D48" s="229"/>
      <c r="E48" s="229"/>
      <c r="F48" s="229"/>
      <c r="G48" s="229"/>
      <c r="H48" s="229"/>
      <c r="I48" s="229"/>
      <c r="J48" s="32" t="s">
        <v>780</v>
      </c>
      <c r="K48" s="1">
        <v>3470000</v>
      </c>
      <c r="L48" s="2">
        <v>43878</v>
      </c>
      <c r="M48" s="32"/>
      <c r="N48" s="32"/>
      <c r="O48" s="51" t="s">
        <v>781</v>
      </c>
      <c r="P48" s="51"/>
    </row>
    <row r="49" spans="2:17" x14ac:dyDescent="0.25">
      <c r="B49" s="31">
        <v>36</v>
      </c>
      <c r="C49" s="229" t="s">
        <v>782</v>
      </c>
      <c r="D49" s="229"/>
      <c r="E49" s="229"/>
      <c r="F49" s="229"/>
      <c r="G49" s="229"/>
      <c r="H49" s="229"/>
      <c r="I49" s="229"/>
      <c r="J49" s="32" t="s">
        <v>783</v>
      </c>
      <c r="K49" s="1">
        <v>12870000</v>
      </c>
      <c r="L49" s="2">
        <v>43878</v>
      </c>
      <c r="M49" s="32"/>
      <c r="N49" s="32"/>
      <c r="O49" s="51" t="s">
        <v>784</v>
      </c>
      <c r="P49" s="51"/>
    </row>
    <row r="50" spans="2:17" x14ac:dyDescent="0.25">
      <c r="B50" s="31">
        <v>37</v>
      </c>
      <c r="C50" s="229" t="s">
        <v>785</v>
      </c>
      <c r="D50" s="229"/>
      <c r="E50" s="229"/>
      <c r="F50" s="229"/>
      <c r="G50" s="229"/>
      <c r="H50" s="229"/>
      <c r="I50" s="229"/>
      <c r="J50" s="32" t="s">
        <v>702</v>
      </c>
      <c r="K50" s="1">
        <v>1500000</v>
      </c>
      <c r="L50" s="2">
        <v>43879</v>
      </c>
      <c r="M50" s="32"/>
      <c r="N50" s="32"/>
      <c r="O50" s="51" t="s">
        <v>786</v>
      </c>
      <c r="P50" s="51"/>
    </row>
    <row r="51" spans="2:17" x14ac:dyDescent="0.25">
      <c r="B51" s="31">
        <v>38</v>
      </c>
      <c r="C51" s="229" t="s">
        <v>787</v>
      </c>
      <c r="D51" s="229"/>
      <c r="E51" s="229"/>
      <c r="F51" s="229"/>
      <c r="G51" s="229"/>
      <c r="H51" s="229"/>
      <c r="I51" s="229"/>
      <c r="J51" s="32" t="s">
        <v>788</v>
      </c>
      <c r="K51" s="1">
        <v>7215000</v>
      </c>
      <c r="L51" s="2">
        <v>43880</v>
      </c>
      <c r="M51" s="2"/>
      <c r="N51" s="2"/>
      <c r="O51" s="51" t="s">
        <v>789</v>
      </c>
      <c r="P51" s="51"/>
    </row>
    <row r="52" spans="2:17" x14ac:dyDescent="0.25">
      <c r="B52" s="31">
        <v>39</v>
      </c>
      <c r="C52" s="229" t="s">
        <v>790</v>
      </c>
      <c r="D52" s="229"/>
      <c r="E52" s="229"/>
      <c r="F52" s="229"/>
      <c r="G52" s="229"/>
      <c r="H52" s="229"/>
      <c r="I52" s="229"/>
      <c r="J52" s="32" t="s">
        <v>721</v>
      </c>
      <c r="K52" s="1">
        <v>21960000</v>
      </c>
      <c r="L52" s="2">
        <v>43880</v>
      </c>
      <c r="M52" s="32" t="s">
        <v>3923</v>
      </c>
      <c r="N52" s="32"/>
      <c r="O52" s="51" t="s">
        <v>791</v>
      </c>
      <c r="P52" s="51"/>
    </row>
    <row r="53" spans="2:17" x14ac:dyDescent="0.25">
      <c r="B53" s="31">
        <v>40</v>
      </c>
      <c r="C53" s="229" t="s">
        <v>792</v>
      </c>
      <c r="D53" s="229"/>
      <c r="E53" s="229"/>
      <c r="F53" s="229"/>
      <c r="G53" s="229"/>
      <c r="H53" s="229"/>
      <c r="I53" s="229"/>
      <c r="J53" s="32" t="s">
        <v>747</v>
      </c>
      <c r="K53" s="1">
        <v>4610000</v>
      </c>
      <c r="L53" s="2">
        <v>43880</v>
      </c>
      <c r="M53" s="32"/>
      <c r="N53" s="32"/>
      <c r="O53" s="51" t="s">
        <v>793</v>
      </c>
      <c r="P53" s="51"/>
    </row>
    <row r="54" spans="2:17" x14ac:dyDescent="0.25">
      <c r="B54" s="31">
        <v>41</v>
      </c>
      <c r="C54" s="229" t="s">
        <v>794</v>
      </c>
      <c r="D54" s="229"/>
      <c r="E54" s="229"/>
      <c r="F54" s="229"/>
      <c r="G54" s="229"/>
      <c r="H54" s="229"/>
      <c r="I54" s="229"/>
      <c r="J54" s="32" t="s">
        <v>795</v>
      </c>
      <c r="K54" s="1">
        <v>14360000</v>
      </c>
      <c r="L54" s="43">
        <v>43881</v>
      </c>
      <c r="M54" s="32"/>
      <c r="N54" s="32"/>
      <c r="O54" s="51" t="s">
        <v>796</v>
      </c>
      <c r="P54" s="51"/>
    </row>
    <row r="55" spans="2:17" x14ac:dyDescent="0.25">
      <c r="B55" s="31">
        <v>42</v>
      </c>
      <c r="C55" s="229" t="s">
        <v>797</v>
      </c>
      <c r="D55" s="229"/>
      <c r="E55" s="229"/>
      <c r="F55" s="229"/>
      <c r="G55" s="229"/>
      <c r="H55" s="229"/>
      <c r="I55" s="229"/>
      <c r="J55" s="32" t="s">
        <v>798</v>
      </c>
      <c r="K55" s="1">
        <v>13170000</v>
      </c>
      <c r="L55" s="2">
        <v>43881</v>
      </c>
      <c r="M55" s="32"/>
      <c r="N55" s="32"/>
      <c r="O55" s="51" t="s">
        <v>799</v>
      </c>
      <c r="P55" s="51"/>
    </row>
    <row r="56" spans="2:17" x14ac:dyDescent="0.25">
      <c r="B56" s="31">
        <v>43</v>
      </c>
      <c r="C56" s="229" t="s">
        <v>800</v>
      </c>
      <c r="D56" s="229"/>
      <c r="E56" s="229"/>
      <c r="F56" s="229"/>
      <c r="G56" s="229"/>
      <c r="H56" s="229"/>
      <c r="I56" s="229"/>
      <c r="J56" s="32" t="s">
        <v>747</v>
      </c>
      <c r="K56" s="1">
        <v>4955000</v>
      </c>
      <c r="L56" s="2">
        <v>43881</v>
      </c>
      <c r="M56" s="2" t="s">
        <v>3923</v>
      </c>
      <c r="N56" s="32">
        <v>3175594091</v>
      </c>
      <c r="O56" s="51" t="s">
        <v>496</v>
      </c>
      <c r="P56" s="38" t="s">
        <v>748</v>
      </c>
    </row>
    <row r="57" spans="2:17" x14ac:dyDescent="0.25">
      <c r="B57" s="31">
        <v>44</v>
      </c>
      <c r="C57" s="229" t="s">
        <v>801</v>
      </c>
      <c r="D57" s="229"/>
      <c r="E57" s="229"/>
      <c r="F57" s="229"/>
      <c r="G57" s="229"/>
      <c r="H57" s="229"/>
      <c r="I57" s="229"/>
      <c r="J57" s="32" t="s">
        <v>712</v>
      </c>
      <c r="K57" s="1">
        <v>3430000</v>
      </c>
      <c r="L57" s="2">
        <v>43881</v>
      </c>
      <c r="M57" s="2"/>
      <c r="N57" s="32">
        <v>3137851941</v>
      </c>
      <c r="O57" s="51" t="s">
        <v>192</v>
      </c>
      <c r="P57" s="38" t="s">
        <v>713</v>
      </c>
    </row>
    <row r="58" spans="2:17" x14ac:dyDescent="0.25">
      <c r="B58" s="31">
        <v>45</v>
      </c>
      <c r="C58" s="229" t="s">
        <v>801</v>
      </c>
      <c r="D58" s="229"/>
      <c r="E58" s="229"/>
      <c r="F58" s="229"/>
      <c r="G58" s="229"/>
      <c r="H58" s="229"/>
      <c r="I58" s="229"/>
      <c r="J58" s="32" t="s">
        <v>802</v>
      </c>
      <c r="K58" s="1">
        <v>3760000</v>
      </c>
      <c r="L58" s="2">
        <v>43882</v>
      </c>
      <c r="M58" s="2"/>
      <c r="N58" s="2"/>
      <c r="O58" s="51" t="s">
        <v>803</v>
      </c>
      <c r="P58" s="5"/>
      <c r="Q58" s="17"/>
    </row>
    <row r="59" spans="2:17" x14ac:dyDescent="0.25">
      <c r="B59" s="33">
        <v>46</v>
      </c>
      <c r="C59" s="228" t="s">
        <v>804</v>
      </c>
      <c r="D59" s="228"/>
      <c r="E59" s="228"/>
      <c r="F59" s="228"/>
      <c r="G59" s="228"/>
      <c r="H59" s="228"/>
      <c r="I59" s="228"/>
      <c r="J59" s="33" t="s">
        <v>805</v>
      </c>
      <c r="K59" s="47">
        <v>6900000</v>
      </c>
      <c r="L59" s="44">
        <v>43883</v>
      </c>
      <c r="M59" s="33"/>
      <c r="N59" s="33"/>
      <c r="O59" s="40"/>
      <c r="P59" s="51"/>
    </row>
    <row r="60" spans="2:17" x14ac:dyDescent="0.25">
      <c r="B60" s="31">
        <v>47</v>
      </c>
      <c r="C60" s="229" t="s">
        <v>806</v>
      </c>
      <c r="D60" s="229"/>
      <c r="E60" s="229"/>
      <c r="F60" s="229"/>
      <c r="G60" s="229"/>
      <c r="H60" s="229"/>
      <c r="I60" s="229"/>
      <c r="J60" s="32" t="s">
        <v>805</v>
      </c>
      <c r="K60" s="1">
        <v>1380000</v>
      </c>
      <c r="L60" s="2">
        <v>43885</v>
      </c>
      <c r="M60" s="2"/>
      <c r="N60" s="2"/>
      <c r="O60" s="51" t="s">
        <v>807</v>
      </c>
      <c r="P60" s="51"/>
    </row>
    <row r="61" spans="2:17" x14ac:dyDescent="0.25">
      <c r="B61" s="31">
        <v>48</v>
      </c>
      <c r="C61" s="229" t="s">
        <v>808</v>
      </c>
      <c r="D61" s="229"/>
      <c r="E61" s="229"/>
      <c r="F61" s="229"/>
      <c r="G61" s="229"/>
      <c r="H61" s="229"/>
      <c r="I61" s="229"/>
      <c r="J61" s="32" t="s">
        <v>809</v>
      </c>
      <c r="K61" s="1">
        <v>16210000</v>
      </c>
      <c r="L61" s="2">
        <v>43886</v>
      </c>
      <c r="M61" s="2"/>
      <c r="N61" s="2"/>
      <c r="O61" s="51" t="s">
        <v>810</v>
      </c>
      <c r="P61" s="51"/>
    </row>
    <row r="62" spans="2:17" x14ac:dyDescent="0.25">
      <c r="B62" s="31">
        <v>49</v>
      </c>
      <c r="C62" s="229" t="s">
        <v>811</v>
      </c>
      <c r="D62" s="229"/>
      <c r="E62" s="229"/>
      <c r="F62" s="229"/>
      <c r="G62" s="229"/>
      <c r="H62" s="229"/>
      <c r="I62" s="229"/>
      <c r="J62" s="32" t="s">
        <v>705</v>
      </c>
      <c r="K62" s="1">
        <v>12290000</v>
      </c>
      <c r="L62" s="2">
        <v>43886</v>
      </c>
      <c r="M62" s="2"/>
      <c r="N62" s="32">
        <v>3014487912</v>
      </c>
      <c r="O62" s="39" t="s">
        <v>706</v>
      </c>
      <c r="P62" s="38" t="s">
        <v>707</v>
      </c>
    </row>
    <row r="63" spans="2:17" x14ac:dyDescent="0.25">
      <c r="B63" s="32">
        <v>50</v>
      </c>
      <c r="C63" s="229" t="s">
        <v>812</v>
      </c>
      <c r="D63" s="229"/>
      <c r="E63" s="229"/>
      <c r="F63" s="229"/>
      <c r="G63" s="229"/>
      <c r="H63" s="229"/>
      <c r="I63" s="229"/>
      <c r="J63" s="32" t="s">
        <v>705</v>
      </c>
      <c r="K63" s="46">
        <v>5020000</v>
      </c>
      <c r="L63" s="2">
        <v>43886</v>
      </c>
      <c r="M63" s="32"/>
      <c r="N63" s="32">
        <v>3014487912</v>
      </c>
      <c r="O63" s="39" t="s">
        <v>706</v>
      </c>
      <c r="P63" s="38" t="s">
        <v>707</v>
      </c>
    </row>
    <row r="64" spans="2:17" x14ac:dyDescent="0.25">
      <c r="B64" s="31">
        <v>51</v>
      </c>
      <c r="C64" s="229" t="s">
        <v>813</v>
      </c>
      <c r="D64" s="229"/>
      <c r="E64" s="229"/>
      <c r="F64" s="229"/>
      <c r="G64" s="229"/>
      <c r="H64" s="229"/>
      <c r="I64" s="229"/>
      <c r="J64" s="32" t="s">
        <v>814</v>
      </c>
      <c r="K64" s="1">
        <v>6575000</v>
      </c>
      <c r="L64" s="2">
        <v>43886</v>
      </c>
      <c r="M64" s="32"/>
      <c r="N64" s="32"/>
      <c r="O64" s="51" t="s">
        <v>342</v>
      </c>
      <c r="P64" s="51"/>
    </row>
    <row r="65" spans="1:16" x14ac:dyDescent="0.25">
      <c r="B65" s="31">
        <v>52</v>
      </c>
      <c r="C65" s="229" t="s">
        <v>815</v>
      </c>
      <c r="D65" s="229"/>
      <c r="E65" s="229"/>
      <c r="F65" s="229"/>
      <c r="G65" s="229"/>
      <c r="H65" s="229"/>
      <c r="I65" s="229"/>
      <c r="J65" s="32" t="s">
        <v>777</v>
      </c>
      <c r="K65" s="1">
        <v>1260000</v>
      </c>
      <c r="L65" s="2">
        <v>43886</v>
      </c>
      <c r="M65" s="32"/>
      <c r="N65" s="32"/>
      <c r="O65" s="51" t="s">
        <v>778</v>
      </c>
      <c r="P65" s="51"/>
    </row>
    <row r="66" spans="1:16" x14ac:dyDescent="0.25">
      <c r="B66" s="31">
        <v>53</v>
      </c>
      <c r="C66" s="229" t="s">
        <v>816</v>
      </c>
      <c r="D66" s="229"/>
      <c r="E66" s="229"/>
      <c r="F66" s="229"/>
      <c r="G66" s="229"/>
      <c r="H66" s="229"/>
      <c r="I66" s="229"/>
      <c r="J66" s="32" t="s">
        <v>817</v>
      </c>
      <c r="K66" s="1">
        <v>8780000</v>
      </c>
      <c r="L66" s="2">
        <v>43889</v>
      </c>
      <c r="M66" s="32"/>
      <c r="N66" s="32"/>
      <c r="O66" s="51" t="s">
        <v>818</v>
      </c>
      <c r="P66" s="51"/>
    </row>
    <row r="67" spans="1:16" x14ac:dyDescent="0.25">
      <c r="B67" s="31">
        <v>54</v>
      </c>
      <c r="C67" s="229" t="s">
        <v>819</v>
      </c>
      <c r="D67" s="229"/>
      <c r="E67" s="229"/>
      <c r="F67" s="229"/>
      <c r="G67" s="229"/>
      <c r="H67" s="229"/>
      <c r="I67" s="229"/>
      <c r="J67" s="32" t="s">
        <v>820</v>
      </c>
      <c r="K67" s="1">
        <v>5270000</v>
      </c>
      <c r="L67" s="2">
        <v>43889</v>
      </c>
      <c r="M67" s="32"/>
      <c r="N67" s="32"/>
      <c r="O67" s="51" t="s">
        <v>821</v>
      </c>
      <c r="P67" s="51"/>
    </row>
    <row r="68" spans="1:16" x14ac:dyDescent="0.25">
      <c r="B68" s="31">
        <v>55</v>
      </c>
      <c r="C68" s="229" t="s">
        <v>822</v>
      </c>
      <c r="D68" s="229"/>
      <c r="E68" s="229"/>
      <c r="F68" s="229"/>
      <c r="G68" s="229"/>
      <c r="H68" s="229"/>
      <c r="I68" s="229"/>
      <c r="J68" s="32" t="s">
        <v>823</v>
      </c>
      <c r="K68" s="1">
        <v>3955000</v>
      </c>
      <c r="L68" s="2">
        <v>43889</v>
      </c>
      <c r="M68" s="32"/>
      <c r="N68" s="32"/>
      <c r="O68" s="51" t="s">
        <v>824</v>
      </c>
      <c r="P68" s="51"/>
    </row>
    <row r="69" spans="1:16" x14ac:dyDescent="0.25">
      <c r="B69" s="31">
        <v>56</v>
      </c>
      <c r="C69" s="229" t="s">
        <v>825</v>
      </c>
      <c r="D69" s="229"/>
      <c r="E69" s="229"/>
      <c r="F69" s="229"/>
      <c r="G69" s="229"/>
      <c r="H69" s="229"/>
      <c r="I69" s="229"/>
      <c r="J69" s="32" t="s">
        <v>826</v>
      </c>
      <c r="K69" s="1">
        <v>12950000</v>
      </c>
      <c r="L69" s="2">
        <v>43889</v>
      </c>
      <c r="M69" s="32"/>
      <c r="N69" s="32"/>
      <c r="O69" s="51" t="s">
        <v>827</v>
      </c>
      <c r="P69" s="51"/>
    </row>
    <row r="70" spans="1:16" x14ac:dyDescent="0.25">
      <c r="B70" s="31">
        <v>57</v>
      </c>
      <c r="C70" s="229" t="s">
        <v>828</v>
      </c>
      <c r="D70" s="229"/>
      <c r="E70" s="229"/>
      <c r="F70" s="229"/>
      <c r="G70" s="229"/>
      <c r="H70" s="229"/>
      <c r="I70" s="229"/>
      <c r="J70" s="32" t="s">
        <v>758</v>
      </c>
      <c r="K70" s="1">
        <v>3500000</v>
      </c>
      <c r="L70" s="2">
        <v>43892</v>
      </c>
      <c r="M70" s="32"/>
      <c r="N70" s="32"/>
      <c r="O70" s="51" t="s">
        <v>829</v>
      </c>
      <c r="P70" s="51"/>
    </row>
    <row r="71" spans="1:16" x14ac:dyDescent="0.25">
      <c r="A71" s="7">
        <v>59</v>
      </c>
      <c r="B71" s="34">
        <v>58</v>
      </c>
      <c r="C71" s="256" t="s">
        <v>830</v>
      </c>
      <c r="D71" s="256"/>
      <c r="E71" s="256"/>
      <c r="F71" s="256"/>
      <c r="G71" s="256"/>
      <c r="H71" s="256"/>
      <c r="I71" s="256"/>
      <c r="J71" s="32" t="s">
        <v>831</v>
      </c>
      <c r="K71" s="1">
        <v>46115000</v>
      </c>
      <c r="L71" s="2">
        <v>43892</v>
      </c>
      <c r="M71" s="32"/>
      <c r="N71" s="32"/>
      <c r="O71" s="51"/>
      <c r="P71" s="51"/>
    </row>
    <row r="72" spans="1:16" x14ac:dyDescent="0.25">
      <c r="B72" s="34">
        <v>59</v>
      </c>
      <c r="C72" s="229" t="s">
        <v>832</v>
      </c>
      <c r="D72" s="229"/>
      <c r="E72" s="229"/>
      <c r="F72" s="229"/>
      <c r="G72" s="229"/>
      <c r="H72" s="229"/>
      <c r="I72" s="229"/>
      <c r="J72" s="32" t="s">
        <v>831</v>
      </c>
      <c r="K72" s="1">
        <v>7950000</v>
      </c>
      <c r="L72" s="2">
        <v>43892</v>
      </c>
      <c r="M72" s="2"/>
      <c r="N72" s="2"/>
      <c r="O72" s="51" t="s">
        <v>833</v>
      </c>
      <c r="P72" s="51"/>
    </row>
    <row r="73" spans="1:16" x14ac:dyDescent="0.25">
      <c r="B73" s="31">
        <v>60</v>
      </c>
      <c r="C73" s="229" t="s">
        <v>834</v>
      </c>
      <c r="D73" s="229"/>
      <c r="E73" s="229"/>
      <c r="F73" s="229"/>
      <c r="G73" s="229"/>
      <c r="H73" s="229"/>
      <c r="I73" s="229"/>
      <c r="J73" s="32" t="s">
        <v>835</v>
      </c>
      <c r="K73" s="1">
        <v>34575000</v>
      </c>
      <c r="L73" s="2">
        <v>43894</v>
      </c>
      <c r="M73" s="32"/>
      <c r="N73" s="32"/>
      <c r="O73" s="51" t="s">
        <v>836</v>
      </c>
      <c r="P73" s="51"/>
    </row>
    <row r="74" spans="1:16" x14ac:dyDescent="0.25">
      <c r="B74" s="31">
        <v>61</v>
      </c>
      <c r="C74" s="229" t="s">
        <v>837</v>
      </c>
      <c r="D74" s="229"/>
      <c r="E74" s="229"/>
      <c r="F74" s="229"/>
      <c r="G74" s="229"/>
      <c r="H74" s="229"/>
      <c r="I74" s="229"/>
      <c r="J74" s="32" t="s">
        <v>838</v>
      </c>
      <c r="K74" s="1">
        <v>3200000</v>
      </c>
      <c r="L74" s="2">
        <v>43896</v>
      </c>
      <c r="M74" s="2"/>
      <c r="N74" s="2"/>
      <c r="O74" s="51" t="s">
        <v>839</v>
      </c>
      <c r="P74" s="51"/>
    </row>
    <row r="75" spans="1:16" x14ac:dyDescent="0.25">
      <c r="B75" s="31">
        <v>62</v>
      </c>
      <c r="C75" s="229" t="s">
        <v>840</v>
      </c>
      <c r="D75" s="229"/>
      <c r="E75" s="229"/>
      <c r="F75" s="229"/>
      <c r="G75" s="229"/>
      <c r="H75" s="229"/>
      <c r="I75" s="229"/>
      <c r="J75" s="32" t="s">
        <v>831</v>
      </c>
      <c r="K75" s="1">
        <v>2031000</v>
      </c>
      <c r="L75" s="2">
        <v>43899</v>
      </c>
      <c r="M75" s="32"/>
      <c r="N75" s="32"/>
      <c r="O75" s="51" t="s">
        <v>833</v>
      </c>
      <c r="P75" s="51"/>
    </row>
    <row r="76" spans="1:16" x14ac:dyDescent="0.25">
      <c r="B76" s="31">
        <v>63</v>
      </c>
      <c r="C76" s="229" t="s">
        <v>841</v>
      </c>
      <c r="D76" s="229"/>
      <c r="E76" s="229"/>
      <c r="F76" s="229"/>
      <c r="G76" s="229"/>
      <c r="H76" s="229"/>
      <c r="I76" s="229"/>
      <c r="J76" s="32" t="s">
        <v>842</v>
      </c>
      <c r="K76" s="1">
        <v>2630000</v>
      </c>
      <c r="L76" s="2">
        <v>43899</v>
      </c>
      <c r="M76" s="2"/>
      <c r="N76" s="32">
        <v>3004827270</v>
      </c>
      <c r="O76" s="39" t="s">
        <v>843</v>
      </c>
      <c r="P76" s="38" t="s">
        <v>844</v>
      </c>
    </row>
    <row r="77" spans="1:16" x14ac:dyDescent="0.25">
      <c r="B77" s="31">
        <v>64</v>
      </c>
      <c r="C77" s="229" t="s">
        <v>845</v>
      </c>
      <c r="D77" s="229"/>
      <c r="E77" s="229"/>
      <c r="F77" s="229"/>
      <c r="G77" s="229"/>
      <c r="H77" s="229"/>
      <c r="I77" s="229"/>
      <c r="J77" s="32" t="s">
        <v>712</v>
      </c>
      <c r="K77" s="1">
        <v>4330000</v>
      </c>
      <c r="L77" s="2">
        <v>43899</v>
      </c>
      <c r="M77" s="2"/>
      <c r="N77" s="2"/>
      <c r="O77" s="51" t="s">
        <v>662</v>
      </c>
      <c r="P77" s="51"/>
    </row>
    <row r="78" spans="1:16" x14ac:dyDescent="0.25">
      <c r="B78" s="31">
        <v>65</v>
      </c>
      <c r="C78" s="229" t="s">
        <v>846</v>
      </c>
      <c r="D78" s="229"/>
      <c r="E78" s="229"/>
      <c r="F78" s="229"/>
      <c r="G78" s="229"/>
      <c r="H78" s="229"/>
      <c r="I78" s="229"/>
      <c r="J78" s="32" t="s">
        <v>847</v>
      </c>
      <c r="K78" s="1">
        <v>23560000</v>
      </c>
      <c r="L78" s="2">
        <v>43900</v>
      </c>
      <c r="M78" s="2"/>
      <c r="N78" s="2"/>
      <c r="O78" s="51" t="s">
        <v>848</v>
      </c>
      <c r="P78" s="51"/>
    </row>
    <row r="79" spans="1:16" x14ac:dyDescent="0.25">
      <c r="B79" s="31">
        <v>66</v>
      </c>
      <c r="C79" s="229" t="s">
        <v>849</v>
      </c>
      <c r="D79" s="229"/>
      <c r="E79" s="229"/>
      <c r="F79" s="229"/>
      <c r="G79" s="229"/>
      <c r="H79" s="229"/>
      <c r="I79" s="229"/>
      <c r="J79" s="32" t="s">
        <v>702</v>
      </c>
      <c r="K79" s="1">
        <v>3950000</v>
      </c>
      <c r="L79" s="2">
        <v>43907</v>
      </c>
      <c r="M79" s="32"/>
      <c r="N79" s="32">
        <v>3104278593</v>
      </c>
      <c r="O79" s="51" t="s">
        <v>578</v>
      </c>
      <c r="P79" s="38" t="s">
        <v>762</v>
      </c>
    </row>
    <row r="80" spans="1:16" x14ac:dyDescent="0.25">
      <c r="B80" s="31">
        <v>67</v>
      </c>
      <c r="C80" s="229" t="s">
        <v>850</v>
      </c>
      <c r="D80" s="229"/>
      <c r="E80" s="229"/>
      <c r="F80" s="229"/>
      <c r="G80" s="229"/>
      <c r="H80" s="229"/>
      <c r="I80" s="229"/>
      <c r="J80" s="32" t="s">
        <v>758</v>
      </c>
      <c r="K80" s="1">
        <v>439000</v>
      </c>
      <c r="L80" s="2">
        <v>43907</v>
      </c>
      <c r="M80" s="2" t="s">
        <v>3923</v>
      </c>
      <c r="N80" s="2"/>
      <c r="O80" s="51" t="s">
        <v>615</v>
      </c>
      <c r="P80" s="51"/>
    </row>
    <row r="81" spans="1:19" x14ac:dyDescent="0.25">
      <c r="B81" s="31">
        <v>68</v>
      </c>
      <c r="C81" s="229" t="s">
        <v>846</v>
      </c>
      <c r="D81" s="229"/>
      <c r="E81" s="229"/>
      <c r="F81" s="229"/>
      <c r="G81" s="229"/>
      <c r="H81" s="229"/>
      <c r="I81" s="229"/>
      <c r="J81" s="32" t="s">
        <v>702</v>
      </c>
      <c r="K81" s="1">
        <v>23560000</v>
      </c>
      <c r="L81" s="2">
        <v>43908</v>
      </c>
      <c r="M81" s="32"/>
      <c r="N81" s="32">
        <v>3104680508</v>
      </c>
      <c r="O81" s="51" t="s">
        <v>212</v>
      </c>
      <c r="P81" s="38" t="s">
        <v>703</v>
      </c>
    </row>
    <row r="82" spans="1:19" x14ac:dyDescent="0.25">
      <c r="B82" s="34">
        <v>69</v>
      </c>
      <c r="C82" s="229" t="s">
        <v>846</v>
      </c>
      <c r="D82" s="229"/>
      <c r="E82" s="229"/>
      <c r="F82" s="229"/>
      <c r="G82" s="229"/>
      <c r="H82" s="229"/>
      <c r="I82" s="229"/>
      <c r="J82" s="32" t="s">
        <v>851</v>
      </c>
      <c r="K82" s="1">
        <v>23560000</v>
      </c>
      <c r="L82" s="2">
        <v>43917</v>
      </c>
      <c r="M82" s="32" t="s">
        <v>3923</v>
      </c>
      <c r="N82" s="32"/>
      <c r="O82" s="51" t="s">
        <v>284</v>
      </c>
      <c r="P82" s="51"/>
    </row>
    <row r="83" spans="1:19" x14ac:dyDescent="0.25">
      <c r="A83" s="7">
        <v>69</v>
      </c>
      <c r="B83" s="34">
        <v>70</v>
      </c>
      <c r="C83" s="256" t="s">
        <v>852</v>
      </c>
      <c r="D83" s="256"/>
      <c r="E83" s="256"/>
      <c r="F83" s="256"/>
      <c r="G83" s="256"/>
      <c r="H83" s="256"/>
      <c r="I83" s="256"/>
      <c r="J83" s="32" t="s">
        <v>712</v>
      </c>
      <c r="K83" s="1">
        <v>3980000</v>
      </c>
      <c r="L83" s="2">
        <v>43917</v>
      </c>
      <c r="M83" s="32"/>
      <c r="N83" s="32">
        <v>3137851941</v>
      </c>
      <c r="O83" s="51" t="s">
        <v>192</v>
      </c>
      <c r="P83" s="38" t="s">
        <v>713</v>
      </c>
    </row>
    <row r="84" spans="1:19" x14ac:dyDescent="0.25">
      <c r="B84" s="31">
        <v>71</v>
      </c>
      <c r="C84" s="229" t="s">
        <v>853</v>
      </c>
      <c r="D84" s="229"/>
      <c r="E84" s="229"/>
      <c r="F84" s="229"/>
      <c r="G84" s="229"/>
      <c r="H84" s="229"/>
      <c r="I84" s="229"/>
      <c r="J84" s="32" t="s">
        <v>854</v>
      </c>
      <c r="K84" s="1">
        <v>7905000</v>
      </c>
      <c r="L84" s="2">
        <v>43920</v>
      </c>
      <c r="M84" s="32"/>
      <c r="N84" s="32"/>
      <c r="O84" s="51" t="s">
        <v>855</v>
      </c>
      <c r="P84" s="51"/>
    </row>
    <row r="85" spans="1:19" x14ac:dyDescent="0.25">
      <c r="B85" s="31">
        <v>72</v>
      </c>
      <c r="C85" s="229" t="s">
        <v>856</v>
      </c>
      <c r="D85" s="229"/>
      <c r="E85" s="229"/>
      <c r="F85" s="229"/>
      <c r="G85" s="229"/>
      <c r="H85" s="229"/>
      <c r="I85" s="229"/>
      <c r="J85" s="32" t="s">
        <v>857</v>
      </c>
      <c r="K85" s="1">
        <v>990000</v>
      </c>
      <c r="L85" s="2">
        <v>43922</v>
      </c>
      <c r="M85" s="32" t="s">
        <v>3923</v>
      </c>
      <c r="N85" s="32"/>
      <c r="O85" s="51" t="s">
        <v>683</v>
      </c>
      <c r="P85" s="51"/>
    </row>
    <row r="86" spans="1:19" x14ac:dyDescent="0.25">
      <c r="B86" s="31">
        <v>73</v>
      </c>
      <c r="C86" s="229" t="s">
        <v>858</v>
      </c>
      <c r="D86" s="229"/>
      <c r="E86" s="229"/>
      <c r="F86" s="229"/>
      <c r="G86" s="229"/>
      <c r="H86" s="229"/>
      <c r="I86" s="229"/>
      <c r="J86" s="32" t="s">
        <v>859</v>
      </c>
      <c r="K86" s="1">
        <v>24170000</v>
      </c>
      <c r="L86" s="2">
        <v>43923</v>
      </c>
      <c r="M86" s="32"/>
      <c r="N86" s="32"/>
      <c r="O86" s="51" t="s">
        <v>451</v>
      </c>
      <c r="P86" s="51"/>
    </row>
    <row r="87" spans="1:19" x14ac:dyDescent="0.25">
      <c r="B87" s="31">
        <v>74</v>
      </c>
      <c r="C87" s="229" t="s">
        <v>860</v>
      </c>
      <c r="D87" s="229"/>
      <c r="E87" s="229"/>
      <c r="F87" s="229"/>
      <c r="G87" s="229"/>
      <c r="H87" s="229"/>
      <c r="I87" s="229"/>
      <c r="J87" s="32" t="s">
        <v>861</v>
      </c>
      <c r="K87" s="1">
        <v>26960000</v>
      </c>
      <c r="L87" s="2">
        <v>43923</v>
      </c>
      <c r="M87" s="32" t="s">
        <v>3923</v>
      </c>
      <c r="N87" s="32"/>
      <c r="O87" s="51" t="s">
        <v>340</v>
      </c>
      <c r="P87" s="51"/>
    </row>
    <row r="88" spans="1:19" x14ac:dyDescent="0.25">
      <c r="B88" s="31">
        <v>75</v>
      </c>
      <c r="C88" s="229" t="s">
        <v>862</v>
      </c>
      <c r="D88" s="229"/>
      <c r="E88" s="229"/>
      <c r="F88" s="229"/>
      <c r="G88" s="229"/>
      <c r="H88" s="229"/>
      <c r="I88" s="229"/>
      <c r="J88" s="32" t="s">
        <v>831</v>
      </c>
      <c r="K88" s="1">
        <v>1000000</v>
      </c>
      <c r="L88" s="2">
        <v>43923</v>
      </c>
      <c r="M88" s="32"/>
      <c r="N88" s="32"/>
      <c r="O88" s="51" t="s">
        <v>833</v>
      </c>
      <c r="P88" s="51"/>
    </row>
    <row r="89" spans="1:19" x14ac:dyDescent="0.25">
      <c r="B89" s="31">
        <v>76</v>
      </c>
      <c r="C89" s="229" t="s">
        <v>863</v>
      </c>
      <c r="D89" s="229"/>
      <c r="E89" s="229"/>
      <c r="F89" s="229"/>
      <c r="G89" s="229"/>
      <c r="H89" s="229"/>
      <c r="I89" s="229"/>
      <c r="J89" s="32" t="s">
        <v>854</v>
      </c>
      <c r="K89" s="1">
        <v>2195000</v>
      </c>
      <c r="L89" s="2">
        <v>43924</v>
      </c>
      <c r="M89" s="2">
        <v>44124</v>
      </c>
      <c r="N89" s="32"/>
      <c r="O89" s="51" t="s">
        <v>855</v>
      </c>
      <c r="P89" s="51"/>
    </row>
    <row r="90" spans="1:19" x14ac:dyDescent="0.25">
      <c r="B90" s="31">
        <v>77</v>
      </c>
      <c r="C90" s="229" t="s">
        <v>864</v>
      </c>
      <c r="D90" s="229"/>
      <c r="E90" s="229"/>
      <c r="F90" s="229"/>
      <c r="G90" s="229"/>
      <c r="H90" s="229"/>
      <c r="I90" s="229"/>
      <c r="J90" s="32" t="s">
        <v>702</v>
      </c>
      <c r="K90" s="1">
        <v>11850000</v>
      </c>
      <c r="L90" s="2">
        <v>43924</v>
      </c>
      <c r="M90" s="32"/>
      <c r="N90" s="32">
        <v>3104680508</v>
      </c>
      <c r="O90" s="51" t="s">
        <v>212</v>
      </c>
      <c r="P90" s="38" t="s">
        <v>703</v>
      </c>
    </row>
    <row r="91" spans="1:19" x14ac:dyDescent="0.25">
      <c r="B91" s="31">
        <v>78</v>
      </c>
      <c r="C91" s="229" t="s">
        <v>865</v>
      </c>
      <c r="D91" s="229"/>
      <c r="E91" s="229"/>
      <c r="F91" s="229"/>
      <c r="G91" s="229"/>
      <c r="H91" s="229"/>
      <c r="I91" s="229"/>
      <c r="J91" s="32" t="s">
        <v>702</v>
      </c>
      <c r="K91" s="1">
        <v>1820000</v>
      </c>
      <c r="L91" s="2">
        <v>43928</v>
      </c>
      <c r="M91" s="32" t="s">
        <v>3923</v>
      </c>
      <c r="N91" s="32">
        <v>3104680508</v>
      </c>
      <c r="O91" s="51" t="s">
        <v>212</v>
      </c>
      <c r="P91" s="38" t="s">
        <v>703</v>
      </c>
    </row>
    <row r="92" spans="1:19" x14ac:dyDescent="0.25">
      <c r="B92" s="31">
        <v>79</v>
      </c>
      <c r="C92" s="229" t="s">
        <v>866</v>
      </c>
      <c r="D92" s="229"/>
      <c r="E92" s="229"/>
      <c r="F92" s="229"/>
      <c r="G92" s="229"/>
      <c r="H92" s="229"/>
      <c r="I92" s="229"/>
      <c r="J92" s="32" t="s">
        <v>867</v>
      </c>
      <c r="K92" s="1">
        <v>8480000</v>
      </c>
      <c r="L92" s="2">
        <v>43936</v>
      </c>
      <c r="M92" s="32"/>
      <c r="N92" s="32"/>
      <c r="O92" s="51" t="s">
        <v>868</v>
      </c>
      <c r="P92" s="51"/>
    </row>
    <row r="93" spans="1:19" x14ac:dyDescent="0.25">
      <c r="B93" s="31">
        <v>80</v>
      </c>
      <c r="C93" s="256" t="s">
        <v>869</v>
      </c>
      <c r="D93" s="256"/>
      <c r="E93" s="256"/>
      <c r="F93" s="256"/>
      <c r="G93" s="256"/>
      <c r="H93" s="256"/>
      <c r="I93" s="256"/>
      <c r="J93" s="31" t="s">
        <v>870</v>
      </c>
      <c r="K93" s="48">
        <v>15985000</v>
      </c>
      <c r="L93" s="45">
        <v>43936</v>
      </c>
      <c r="M93" s="36" t="s">
        <v>3923</v>
      </c>
      <c r="N93" s="31">
        <v>3104300137</v>
      </c>
      <c r="O93" s="41" t="s">
        <v>871</v>
      </c>
      <c r="P93" s="38" t="s">
        <v>872</v>
      </c>
    </row>
    <row r="94" spans="1:19" x14ac:dyDescent="0.25">
      <c r="B94" s="33">
        <v>81</v>
      </c>
      <c r="C94" s="228" t="s">
        <v>873</v>
      </c>
      <c r="D94" s="228"/>
      <c r="E94" s="228"/>
      <c r="F94" s="228"/>
      <c r="G94" s="228"/>
      <c r="H94" s="228"/>
      <c r="I94" s="228"/>
      <c r="J94" s="33" t="s">
        <v>805</v>
      </c>
      <c r="K94" s="47">
        <v>22370000</v>
      </c>
      <c r="L94" s="44">
        <v>43944</v>
      </c>
      <c r="M94" s="33"/>
      <c r="N94" s="33"/>
      <c r="O94" s="40"/>
      <c r="P94" s="51"/>
      <c r="S94" s="18"/>
    </row>
    <row r="95" spans="1:19" x14ac:dyDescent="0.25">
      <c r="B95" s="31">
        <v>82</v>
      </c>
      <c r="C95" s="229" t="s">
        <v>874</v>
      </c>
      <c r="D95" s="229"/>
      <c r="E95" s="229"/>
      <c r="F95" s="229"/>
      <c r="G95" s="229"/>
      <c r="H95" s="229"/>
      <c r="I95" s="229"/>
      <c r="J95" s="32" t="s">
        <v>805</v>
      </c>
      <c r="K95" s="1">
        <v>49955000</v>
      </c>
      <c r="L95" s="2">
        <v>43944</v>
      </c>
      <c r="M95" s="32"/>
      <c r="N95" s="32"/>
      <c r="O95" s="51" t="s">
        <v>875</v>
      </c>
      <c r="P95" s="51"/>
      <c r="S95" s="18"/>
    </row>
    <row r="96" spans="1:19" x14ac:dyDescent="0.25">
      <c r="B96" s="31">
        <v>83</v>
      </c>
      <c r="C96" s="229" t="s">
        <v>876</v>
      </c>
      <c r="D96" s="229"/>
      <c r="E96" s="229"/>
      <c r="F96" s="229"/>
      <c r="G96" s="229"/>
      <c r="H96" s="229"/>
      <c r="I96" s="229"/>
      <c r="J96" s="32" t="s">
        <v>877</v>
      </c>
      <c r="K96" s="1">
        <v>1100000</v>
      </c>
      <c r="L96" s="2">
        <v>43955</v>
      </c>
      <c r="M96" s="32"/>
      <c r="N96" s="32"/>
      <c r="O96" s="51" t="s">
        <v>878</v>
      </c>
      <c r="P96" s="51"/>
    </row>
    <row r="97" spans="2:17" x14ac:dyDescent="0.25">
      <c r="B97" s="31">
        <v>84</v>
      </c>
      <c r="C97" s="229" t="s">
        <v>879</v>
      </c>
      <c r="D97" s="229"/>
      <c r="E97" s="229"/>
      <c r="F97" s="229"/>
      <c r="G97" s="229"/>
      <c r="H97" s="229"/>
      <c r="I97" s="229"/>
      <c r="J97" s="32" t="s">
        <v>880</v>
      </c>
      <c r="K97" s="1">
        <v>19780000</v>
      </c>
      <c r="L97" s="2">
        <v>43951</v>
      </c>
      <c r="M97" s="32"/>
      <c r="N97" s="32"/>
      <c r="O97" s="51" t="s">
        <v>881</v>
      </c>
      <c r="P97" s="51"/>
    </row>
    <row r="98" spans="2:17" x14ac:dyDescent="0.25">
      <c r="B98" s="31">
        <v>85</v>
      </c>
      <c r="C98" s="256" t="s">
        <v>882</v>
      </c>
      <c r="D98" s="256"/>
      <c r="E98" s="256"/>
      <c r="F98" s="256"/>
      <c r="G98" s="256"/>
      <c r="H98" s="256"/>
      <c r="I98" s="256"/>
      <c r="J98" s="31" t="s">
        <v>880</v>
      </c>
      <c r="K98" s="48">
        <v>3525000</v>
      </c>
      <c r="L98" s="45">
        <v>43951</v>
      </c>
      <c r="M98" s="31" t="s">
        <v>3923</v>
      </c>
      <c r="N98" s="31"/>
      <c r="O98" s="41" t="s">
        <v>881</v>
      </c>
      <c r="P98" s="51"/>
    </row>
    <row r="99" spans="2:17" x14ac:dyDescent="0.25">
      <c r="B99" s="31">
        <v>86</v>
      </c>
      <c r="C99" s="229" t="s">
        <v>883</v>
      </c>
      <c r="D99" s="229"/>
      <c r="E99" s="229"/>
      <c r="F99" s="229"/>
      <c r="G99" s="229"/>
      <c r="H99" s="229"/>
      <c r="I99" s="229"/>
      <c r="J99" s="32" t="s">
        <v>884</v>
      </c>
      <c r="K99" s="1">
        <v>14990000</v>
      </c>
      <c r="L99" s="2">
        <v>43957</v>
      </c>
      <c r="M99" s="32"/>
      <c r="N99" s="32"/>
      <c r="O99" s="51" t="s">
        <v>885</v>
      </c>
      <c r="P99" s="51"/>
    </row>
    <row r="100" spans="2:17" x14ac:dyDescent="0.25">
      <c r="B100" s="31">
        <v>87</v>
      </c>
      <c r="C100" s="229" t="s">
        <v>886</v>
      </c>
      <c r="D100" s="229"/>
      <c r="E100" s="229"/>
      <c r="F100" s="229"/>
      <c r="G100" s="229"/>
      <c r="H100" s="229"/>
      <c r="I100" s="229"/>
      <c r="J100" s="32" t="s">
        <v>870</v>
      </c>
      <c r="K100" s="1">
        <v>13990000</v>
      </c>
      <c r="L100" s="2">
        <v>43958</v>
      </c>
      <c r="M100" s="32"/>
      <c r="N100" s="32"/>
      <c r="O100" s="51" t="s">
        <v>887</v>
      </c>
      <c r="P100" s="51"/>
    </row>
    <row r="101" spans="2:17" x14ac:dyDescent="0.25">
      <c r="B101" s="31">
        <v>88</v>
      </c>
      <c r="C101" s="229" t="s">
        <v>888</v>
      </c>
      <c r="D101" s="229"/>
      <c r="E101" s="229"/>
      <c r="F101" s="229"/>
      <c r="G101" s="229"/>
      <c r="H101" s="229"/>
      <c r="I101" s="229"/>
      <c r="J101" s="32" t="s">
        <v>870</v>
      </c>
      <c r="K101" s="1">
        <v>7520000</v>
      </c>
      <c r="L101" s="2">
        <v>43958</v>
      </c>
      <c r="M101" s="32"/>
      <c r="N101" s="32"/>
      <c r="O101" s="51" t="s">
        <v>887</v>
      </c>
      <c r="P101" s="51"/>
    </row>
    <row r="102" spans="2:17" x14ac:dyDescent="0.25">
      <c r="B102" s="31">
        <v>89</v>
      </c>
      <c r="C102" s="229" t="s">
        <v>889</v>
      </c>
      <c r="D102" s="229"/>
      <c r="E102" s="229"/>
      <c r="F102" s="229"/>
      <c r="G102" s="229"/>
      <c r="H102" s="229"/>
      <c r="I102" s="229"/>
      <c r="J102" s="32" t="s">
        <v>890</v>
      </c>
      <c r="K102" s="1" t="s">
        <v>263</v>
      </c>
      <c r="L102" s="2">
        <v>43959</v>
      </c>
      <c r="M102" s="32"/>
      <c r="N102" s="32"/>
      <c r="O102" s="51" t="s">
        <v>891</v>
      </c>
      <c r="P102" s="51"/>
    </row>
    <row r="103" spans="2:17" x14ac:dyDescent="0.25">
      <c r="B103" s="31">
        <v>90</v>
      </c>
      <c r="C103" s="229" t="s">
        <v>892</v>
      </c>
      <c r="D103" s="229"/>
      <c r="E103" s="229"/>
      <c r="F103" s="229"/>
      <c r="G103" s="229"/>
      <c r="H103" s="229"/>
      <c r="I103" s="229"/>
      <c r="J103" s="32" t="s">
        <v>890</v>
      </c>
      <c r="K103" s="1">
        <v>14240000</v>
      </c>
      <c r="L103" s="2">
        <v>43960</v>
      </c>
      <c r="M103" s="32"/>
      <c r="N103" s="32" t="s">
        <v>893</v>
      </c>
      <c r="O103" s="39" t="s">
        <v>894</v>
      </c>
      <c r="P103" s="51"/>
    </row>
    <row r="104" spans="2:17" x14ac:dyDescent="0.25">
      <c r="B104" s="31">
        <v>91</v>
      </c>
      <c r="C104" s="229" t="s">
        <v>895</v>
      </c>
      <c r="D104" s="229"/>
      <c r="E104" s="229"/>
      <c r="F104" s="229"/>
      <c r="G104" s="229"/>
      <c r="H104" s="229"/>
      <c r="I104" s="229"/>
      <c r="J104" s="32" t="s">
        <v>890</v>
      </c>
      <c r="K104" s="1">
        <v>9055000</v>
      </c>
      <c r="L104" s="2">
        <v>43962</v>
      </c>
      <c r="M104" s="32"/>
      <c r="N104" s="32"/>
      <c r="O104" s="51" t="s">
        <v>896</v>
      </c>
      <c r="P104" s="51"/>
    </row>
    <row r="105" spans="2:17" x14ac:dyDescent="0.25">
      <c r="B105" s="31">
        <v>92</v>
      </c>
      <c r="C105" s="229" t="s">
        <v>897</v>
      </c>
      <c r="D105" s="229"/>
      <c r="E105" s="229"/>
      <c r="F105" s="229"/>
      <c r="G105" s="229"/>
      <c r="H105" s="229"/>
      <c r="I105" s="229"/>
      <c r="J105" s="32" t="s">
        <v>890</v>
      </c>
      <c r="K105" s="1">
        <v>14895000</v>
      </c>
      <c r="L105" s="2">
        <v>43962</v>
      </c>
      <c r="M105" s="32"/>
      <c r="N105" s="32" t="s">
        <v>893</v>
      </c>
      <c r="O105" s="51" t="s">
        <v>894</v>
      </c>
      <c r="P105" s="51"/>
    </row>
    <row r="106" spans="2:17" x14ac:dyDescent="0.25">
      <c r="B106" s="32">
        <v>93</v>
      </c>
      <c r="C106" s="229" t="s">
        <v>898</v>
      </c>
      <c r="D106" s="229"/>
      <c r="E106" s="229"/>
      <c r="F106" s="229"/>
      <c r="G106" s="229"/>
      <c r="H106" s="229"/>
      <c r="I106" s="229"/>
      <c r="J106" s="32" t="s">
        <v>702</v>
      </c>
      <c r="K106" s="1">
        <v>5400000</v>
      </c>
      <c r="L106" s="2">
        <v>43964</v>
      </c>
      <c r="M106" s="2" t="s">
        <v>3923</v>
      </c>
      <c r="N106" s="32" t="s">
        <v>761</v>
      </c>
      <c r="O106" s="51" t="s">
        <v>578</v>
      </c>
      <c r="P106" s="38" t="s">
        <v>762</v>
      </c>
      <c r="Q106" s="19"/>
    </row>
    <row r="107" spans="2:17" x14ac:dyDescent="0.25">
      <c r="B107" s="32">
        <v>94</v>
      </c>
      <c r="C107" s="229" t="s">
        <v>899</v>
      </c>
      <c r="D107" s="229"/>
      <c r="E107" s="229"/>
      <c r="F107" s="229"/>
      <c r="G107" s="229"/>
      <c r="H107" s="229"/>
      <c r="I107" s="229"/>
      <c r="J107" s="32" t="s">
        <v>831</v>
      </c>
      <c r="K107" s="1">
        <v>1945000</v>
      </c>
      <c r="L107" s="2">
        <v>43964</v>
      </c>
      <c r="M107" s="32"/>
      <c r="N107" s="32" t="s">
        <v>900</v>
      </c>
      <c r="O107" s="51" t="s">
        <v>901</v>
      </c>
      <c r="P107" s="51"/>
    </row>
    <row r="108" spans="2:17" x14ac:dyDescent="0.25">
      <c r="B108" s="32">
        <v>95</v>
      </c>
      <c r="C108" s="229" t="s">
        <v>902</v>
      </c>
      <c r="D108" s="229"/>
      <c r="E108" s="229"/>
      <c r="F108" s="229"/>
      <c r="G108" s="229"/>
      <c r="H108" s="229"/>
      <c r="I108" s="229"/>
      <c r="J108" s="32" t="s">
        <v>702</v>
      </c>
      <c r="K108" s="1">
        <v>3725000</v>
      </c>
      <c r="L108" s="2">
        <v>43964</v>
      </c>
      <c r="M108" s="32"/>
      <c r="N108" s="32" t="s">
        <v>761</v>
      </c>
      <c r="O108" s="51" t="s">
        <v>578</v>
      </c>
      <c r="P108" s="38" t="s">
        <v>762</v>
      </c>
      <c r="Q108" s="19"/>
    </row>
    <row r="109" spans="2:17" x14ac:dyDescent="0.25">
      <c r="B109" s="32">
        <v>96</v>
      </c>
      <c r="C109" s="229" t="s">
        <v>903</v>
      </c>
      <c r="D109" s="229"/>
      <c r="E109" s="229"/>
      <c r="F109" s="229"/>
      <c r="G109" s="229"/>
      <c r="H109" s="229"/>
      <c r="I109" s="229"/>
      <c r="J109" s="32" t="s">
        <v>788</v>
      </c>
      <c r="K109" s="1">
        <v>2195000</v>
      </c>
      <c r="L109" s="2">
        <v>43965</v>
      </c>
      <c r="M109" s="32" t="s">
        <v>3923</v>
      </c>
      <c r="N109" s="32">
        <v>3218179367</v>
      </c>
      <c r="O109" s="51" t="s">
        <v>904</v>
      </c>
      <c r="P109" s="38" t="s">
        <v>905</v>
      </c>
      <c r="Q109" s="19"/>
    </row>
    <row r="110" spans="2:17" x14ac:dyDescent="0.25">
      <c r="B110" s="32">
        <v>97</v>
      </c>
      <c r="C110" s="229" t="s">
        <v>906</v>
      </c>
      <c r="D110" s="229"/>
      <c r="E110" s="229"/>
      <c r="F110" s="229"/>
      <c r="G110" s="229"/>
      <c r="H110" s="229"/>
      <c r="I110" s="229"/>
      <c r="J110" s="32" t="s">
        <v>788</v>
      </c>
      <c r="K110" s="1">
        <v>2195000</v>
      </c>
      <c r="L110" s="2">
        <v>43965</v>
      </c>
      <c r="M110" s="32"/>
      <c r="N110" s="32">
        <v>3218179367</v>
      </c>
      <c r="O110" s="51" t="s">
        <v>904</v>
      </c>
      <c r="P110" s="38" t="s">
        <v>905</v>
      </c>
    </row>
    <row r="111" spans="2:17" x14ac:dyDescent="0.25">
      <c r="B111" s="32">
        <v>98</v>
      </c>
      <c r="C111" s="229" t="s">
        <v>907</v>
      </c>
      <c r="D111" s="229"/>
      <c r="E111" s="229"/>
      <c r="F111" s="229"/>
      <c r="G111" s="229"/>
      <c r="H111" s="229"/>
      <c r="I111" s="229"/>
      <c r="J111" s="32" t="s">
        <v>702</v>
      </c>
      <c r="K111" s="1">
        <v>6270000</v>
      </c>
      <c r="L111" s="2">
        <v>43966</v>
      </c>
      <c r="M111" s="32" t="s">
        <v>3923</v>
      </c>
      <c r="N111" s="32">
        <v>3104680508</v>
      </c>
      <c r="O111" s="51" t="s">
        <v>212</v>
      </c>
      <c r="P111" s="38" t="s">
        <v>703</v>
      </c>
    </row>
    <row r="112" spans="2:17" x14ac:dyDescent="0.25">
      <c r="B112" s="32">
        <v>99</v>
      </c>
      <c r="C112" s="229" t="s">
        <v>908</v>
      </c>
      <c r="D112" s="229"/>
      <c r="E112" s="229"/>
      <c r="F112" s="229"/>
      <c r="G112" s="229"/>
      <c r="H112" s="229"/>
      <c r="I112" s="229"/>
      <c r="J112" s="32" t="s">
        <v>857</v>
      </c>
      <c r="K112" s="1">
        <v>1050000</v>
      </c>
      <c r="L112" s="2">
        <v>43969</v>
      </c>
      <c r="M112" s="32"/>
      <c r="N112" s="32">
        <v>3113018176</v>
      </c>
      <c r="O112" s="51" t="s">
        <v>909</v>
      </c>
      <c r="P112" s="38" t="s">
        <v>910</v>
      </c>
    </row>
    <row r="113" spans="2:16" x14ac:dyDescent="0.25">
      <c r="B113" s="32">
        <v>100</v>
      </c>
      <c r="C113" s="229" t="s">
        <v>911</v>
      </c>
      <c r="D113" s="229"/>
      <c r="E113" s="229"/>
      <c r="F113" s="229"/>
      <c r="G113" s="229"/>
      <c r="H113" s="229"/>
      <c r="I113" s="229"/>
      <c r="J113" s="32" t="s">
        <v>702</v>
      </c>
      <c r="K113" s="1">
        <v>1500000</v>
      </c>
      <c r="L113" s="2">
        <v>43969</v>
      </c>
      <c r="M113" s="32"/>
      <c r="N113" s="32">
        <v>3104680508</v>
      </c>
      <c r="O113" s="51" t="s">
        <v>212</v>
      </c>
      <c r="P113" s="38" t="s">
        <v>703</v>
      </c>
    </row>
    <row r="114" spans="2:16" x14ac:dyDescent="0.25">
      <c r="B114" s="32">
        <v>101</v>
      </c>
      <c r="C114" s="229" t="s">
        <v>912</v>
      </c>
      <c r="D114" s="229"/>
      <c r="E114" s="229"/>
      <c r="F114" s="229"/>
      <c r="G114" s="229"/>
      <c r="H114" s="229"/>
      <c r="I114" s="229"/>
      <c r="J114" s="32" t="s">
        <v>702</v>
      </c>
      <c r="K114" s="1">
        <v>2990000</v>
      </c>
      <c r="L114" s="2">
        <v>43969</v>
      </c>
      <c r="M114" s="32"/>
      <c r="N114" s="32">
        <v>3104680509</v>
      </c>
      <c r="O114" s="51" t="s">
        <v>212</v>
      </c>
      <c r="P114" s="38" t="s">
        <v>703</v>
      </c>
    </row>
    <row r="115" spans="2:16" x14ac:dyDescent="0.25">
      <c r="B115" s="32">
        <v>102</v>
      </c>
      <c r="C115" s="229" t="s">
        <v>913</v>
      </c>
      <c r="D115" s="229"/>
      <c r="E115" s="229"/>
      <c r="F115" s="229"/>
      <c r="G115" s="229"/>
      <c r="H115" s="229"/>
      <c r="I115" s="229"/>
      <c r="J115" s="32" t="s">
        <v>890</v>
      </c>
      <c r="K115" s="1" t="s">
        <v>150</v>
      </c>
      <c r="L115" s="2">
        <v>43978</v>
      </c>
      <c r="M115" s="32" t="s">
        <v>3923</v>
      </c>
      <c r="N115" s="32"/>
      <c r="O115" s="51" t="s">
        <v>914</v>
      </c>
      <c r="P115" s="38" t="s">
        <v>915</v>
      </c>
    </row>
    <row r="116" spans="2:16" x14ac:dyDescent="0.25">
      <c r="B116" s="32">
        <v>103</v>
      </c>
      <c r="C116" s="229" t="s">
        <v>916</v>
      </c>
      <c r="D116" s="229"/>
      <c r="E116" s="229"/>
      <c r="F116" s="229"/>
      <c r="G116" s="229"/>
      <c r="H116" s="229"/>
      <c r="I116" s="229"/>
      <c r="J116" s="32" t="s">
        <v>702</v>
      </c>
      <c r="K116" s="1">
        <v>1065000</v>
      </c>
      <c r="L116" s="2">
        <v>43978</v>
      </c>
      <c r="M116" s="32" t="s">
        <v>3923</v>
      </c>
      <c r="N116" s="32">
        <v>3104165783</v>
      </c>
      <c r="O116" s="51" t="s">
        <v>242</v>
      </c>
      <c r="P116" s="38" t="s">
        <v>917</v>
      </c>
    </row>
    <row r="117" spans="2:16" x14ac:dyDescent="0.25">
      <c r="B117" s="32">
        <v>104</v>
      </c>
      <c r="C117" s="229" t="s">
        <v>918</v>
      </c>
      <c r="D117" s="229"/>
      <c r="E117" s="229"/>
      <c r="F117" s="229"/>
      <c r="G117" s="229"/>
      <c r="H117" s="229"/>
      <c r="I117" s="229"/>
      <c r="J117" s="32" t="s">
        <v>890</v>
      </c>
      <c r="K117" s="1">
        <v>10975000</v>
      </c>
      <c r="L117" s="2">
        <v>43983</v>
      </c>
      <c r="M117" s="32" t="s">
        <v>3923</v>
      </c>
      <c r="N117" s="32" t="s">
        <v>919</v>
      </c>
      <c r="O117" s="51" t="s">
        <v>920</v>
      </c>
      <c r="P117" s="38" t="s">
        <v>921</v>
      </c>
    </row>
    <row r="118" spans="2:16" x14ac:dyDescent="0.25">
      <c r="B118" s="32">
        <v>105</v>
      </c>
      <c r="C118" s="229" t="s">
        <v>922</v>
      </c>
      <c r="D118" s="229"/>
      <c r="E118" s="229"/>
      <c r="F118" s="229"/>
      <c r="G118" s="229"/>
      <c r="H118" s="229"/>
      <c r="I118" s="229"/>
      <c r="J118" s="32" t="s">
        <v>890</v>
      </c>
      <c r="K118" s="1">
        <v>8900000</v>
      </c>
      <c r="L118" s="2">
        <v>43983</v>
      </c>
      <c r="M118" s="32"/>
      <c r="N118" s="32">
        <v>3017571502</v>
      </c>
      <c r="O118" s="51" t="s">
        <v>923</v>
      </c>
      <c r="P118" s="38" t="s">
        <v>924</v>
      </c>
    </row>
    <row r="119" spans="2:16" x14ac:dyDescent="0.25">
      <c r="B119" s="32">
        <v>106</v>
      </c>
      <c r="C119" s="229" t="s">
        <v>925</v>
      </c>
      <c r="D119" s="229"/>
      <c r="E119" s="229"/>
      <c r="F119" s="229"/>
      <c r="G119" s="229"/>
      <c r="H119" s="229"/>
      <c r="I119" s="229"/>
      <c r="J119" s="32" t="s">
        <v>926</v>
      </c>
      <c r="K119" s="1">
        <v>1380000</v>
      </c>
      <c r="L119" s="2">
        <v>43990</v>
      </c>
      <c r="M119" s="32"/>
      <c r="N119" s="32" t="s">
        <v>927</v>
      </c>
      <c r="O119" s="51" t="s">
        <v>928</v>
      </c>
      <c r="P119" s="38" t="s">
        <v>929</v>
      </c>
    </row>
    <row r="120" spans="2:16" x14ac:dyDescent="0.25">
      <c r="B120" s="32">
        <v>107</v>
      </c>
      <c r="C120" s="229" t="s">
        <v>930</v>
      </c>
      <c r="D120" s="229"/>
      <c r="E120" s="229"/>
      <c r="F120" s="229"/>
      <c r="G120" s="229"/>
      <c r="H120" s="229"/>
      <c r="I120" s="229"/>
      <c r="J120" s="32" t="s">
        <v>712</v>
      </c>
      <c r="K120" s="1">
        <v>3640000</v>
      </c>
      <c r="L120" s="2">
        <v>43991</v>
      </c>
      <c r="M120" s="32"/>
      <c r="N120" s="32">
        <v>3137851941</v>
      </c>
      <c r="O120" s="51" t="s">
        <v>192</v>
      </c>
      <c r="P120" s="38" t="s">
        <v>713</v>
      </c>
    </row>
    <row r="121" spans="2:16" x14ac:dyDescent="0.25">
      <c r="B121" s="32">
        <v>108</v>
      </c>
      <c r="C121" s="229" t="s">
        <v>931</v>
      </c>
      <c r="D121" s="229"/>
      <c r="E121" s="229"/>
      <c r="F121" s="229"/>
      <c r="G121" s="229"/>
      <c r="H121" s="229"/>
      <c r="I121" s="229"/>
      <c r="J121" s="32" t="s">
        <v>932</v>
      </c>
      <c r="K121" s="1">
        <v>6770000</v>
      </c>
      <c r="L121" s="2">
        <v>43992</v>
      </c>
      <c r="M121" s="32"/>
      <c r="N121" s="32">
        <v>3007762642</v>
      </c>
      <c r="O121" s="51" t="s">
        <v>933</v>
      </c>
      <c r="P121" s="38" t="s">
        <v>934</v>
      </c>
    </row>
    <row r="122" spans="2:16" x14ac:dyDescent="0.25">
      <c r="B122" s="32">
        <v>109</v>
      </c>
      <c r="C122" s="229" t="s">
        <v>935</v>
      </c>
      <c r="D122" s="229"/>
      <c r="E122" s="229"/>
      <c r="F122" s="229"/>
      <c r="G122" s="229"/>
      <c r="H122" s="229"/>
      <c r="I122" s="229"/>
      <c r="J122" s="32" t="s">
        <v>747</v>
      </c>
      <c r="K122" s="1">
        <v>15850000</v>
      </c>
      <c r="L122" s="2">
        <v>43993</v>
      </c>
      <c r="M122" s="2" t="s">
        <v>3923</v>
      </c>
      <c r="N122" s="32">
        <v>3175594091</v>
      </c>
      <c r="O122" s="51" t="s">
        <v>496</v>
      </c>
      <c r="P122" s="38" t="s">
        <v>748</v>
      </c>
    </row>
    <row r="123" spans="2:16" x14ac:dyDescent="0.25">
      <c r="B123" s="32">
        <v>110</v>
      </c>
      <c r="C123" s="229" t="s">
        <v>936</v>
      </c>
      <c r="D123" s="229"/>
      <c r="E123" s="229"/>
      <c r="F123" s="229"/>
      <c r="G123" s="229"/>
      <c r="H123" s="229"/>
      <c r="I123" s="229"/>
      <c r="J123" s="32" t="s">
        <v>890</v>
      </c>
      <c r="K123" s="1">
        <v>10910000</v>
      </c>
      <c r="L123" s="2">
        <v>44000</v>
      </c>
      <c r="M123" s="32" t="s">
        <v>3923</v>
      </c>
      <c r="N123" s="32">
        <v>3105920150</v>
      </c>
      <c r="O123" s="51" t="s">
        <v>937</v>
      </c>
      <c r="P123" s="38" t="s">
        <v>938</v>
      </c>
    </row>
    <row r="124" spans="2:16" x14ac:dyDescent="0.25">
      <c r="B124" s="32">
        <v>111</v>
      </c>
      <c r="C124" s="229" t="s">
        <v>939</v>
      </c>
      <c r="D124" s="229"/>
      <c r="E124" s="229"/>
      <c r="F124" s="229"/>
      <c r="G124" s="229"/>
      <c r="H124" s="229"/>
      <c r="I124" s="229"/>
      <c r="J124" s="32" t="s">
        <v>940</v>
      </c>
      <c r="K124" s="1">
        <v>13485000</v>
      </c>
      <c r="L124" s="2">
        <v>44000</v>
      </c>
      <c r="M124" s="32"/>
      <c r="N124" s="32">
        <v>3146615863</v>
      </c>
      <c r="O124" s="51" t="s">
        <v>941</v>
      </c>
      <c r="P124" s="38" t="s">
        <v>942</v>
      </c>
    </row>
    <row r="125" spans="2:16" x14ac:dyDescent="0.25">
      <c r="B125" s="32">
        <v>112</v>
      </c>
      <c r="C125" s="229" t="s">
        <v>943</v>
      </c>
      <c r="D125" s="229"/>
      <c r="E125" s="229"/>
      <c r="F125" s="229"/>
      <c r="G125" s="229"/>
      <c r="H125" s="229"/>
      <c r="I125" s="229"/>
      <c r="J125" s="32" t="s">
        <v>944</v>
      </c>
      <c r="K125" s="1" t="s">
        <v>150</v>
      </c>
      <c r="L125" s="2">
        <v>44001</v>
      </c>
      <c r="M125" s="2" t="s">
        <v>3923</v>
      </c>
      <c r="N125" s="32">
        <v>3192317251</v>
      </c>
      <c r="O125" s="51" t="s">
        <v>945</v>
      </c>
      <c r="P125" s="38" t="s">
        <v>946</v>
      </c>
    </row>
    <row r="126" spans="2:16" x14ac:dyDescent="0.25">
      <c r="B126" s="32">
        <v>113</v>
      </c>
      <c r="C126" s="229" t="s">
        <v>947</v>
      </c>
      <c r="D126" s="229"/>
      <c r="E126" s="229"/>
      <c r="F126" s="229"/>
      <c r="G126" s="229"/>
      <c r="H126" s="229"/>
      <c r="I126" s="229"/>
      <c r="J126" s="32" t="s">
        <v>851</v>
      </c>
      <c r="K126" s="1">
        <v>650000</v>
      </c>
      <c r="L126" s="2">
        <v>44006</v>
      </c>
      <c r="M126" s="2" t="s">
        <v>3923</v>
      </c>
      <c r="N126" s="32">
        <v>3206678830</v>
      </c>
      <c r="O126" s="51" t="s">
        <v>284</v>
      </c>
      <c r="P126" s="38" t="s">
        <v>948</v>
      </c>
    </row>
    <row r="127" spans="2:16" x14ac:dyDescent="0.25">
      <c r="B127" s="32">
        <v>114</v>
      </c>
      <c r="C127" s="229" t="s">
        <v>949</v>
      </c>
      <c r="D127" s="229"/>
      <c r="E127" s="229"/>
      <c r="F127" s="229"/>
      <c r="G127" s="229"/>
      <c r="H127" s="229"/>
      <c r="I127" s="229"/>
      <c r="J127" s="32" t="s">
        <v>702</v>
      </c>
      <c r="K127" s="1">
        <v>1300000</v>
      </c>
      <c r="L127" s="2">
        <v>44006</v>
      </c>
      <c r="M127" s="2" t="s">
        <v>3923</v>
      </c>
      <c r="N127" s="32">
        <v>3104680509</v>
      </c>
      <c r="O127" s="51" t="s">
        <v>212</v>
      </c>
      <c r="P127" s="38" t="s">
        <v>703</v>
      </c>
    </row>
    <row r="128" spans="2:16" x14ac:dyDescent="0.25">
      <c r="B128" s="32">
        <v>115</v>
      </c>
      <c r="C128" s="229" t="s">
        <v>950</v>
      </c>
      <c r="D128" s="229"/>
      <c r="E128" s="229"/>
      <c r="F128" s="229"/>
      <c r="G128" s="229"/>
      <c r="H128" s="229"/>
      <c r="I128" s="229"/>
      <c r="J128" s="32" t="s">
        <v>702</v>
      </c>
      <c r="K128" s="1">
        <v>3500000</v>
      </c>
      <c r="L128" s="2">
        <v>44006</v>
      </c>
      <c r="M128" s="2" t="s">
        <v>3923</v>
      </c>
      <c r="N128" s="32">
        <v>3104680509</v>
      </c>
      <c r="O128" s="51" t="s">
        <v>212</v>
      </c>
      <c r="P128" s="38" t="s">
        <v>703</v>
      </c>
    </row>
    <row r="129" spans="2:16" x14ac:dyDescent="0.25">
      <c r="B129" s="32">
        <v>116</v>
      </c>
      <c r="C129" s="229" t="s">
        <v>951</v>
      </c>
      <c r="D129" s="229"/>
      <c r="E129" s="229"/>
      <c r="F129" s="229"/>
      <c r="G129" s="229"/>
      <c r="H129" s="229"/>
      <c r="I129" s="229"/>
      <c r="J129" s="32" t="s">
        <v>702</v>
      </c>
      <c r="K129" s="5">
        <v>1000000</v>
      </c>
      <c r="L129" s="2">
        <v>44006</v>
      </c>
      <c r="M129" s="32"/>
      <c r="N129" s="32">
        <v>3104680509</v>
      </c>
      <c r="O129" s="51" t="s">
        <v>212</v>
      </c>
      <c r="P129" s="38" t="s">
        <v>703</v>
      </c>
    </row>
    <row r="130" spans="2:16" x14ac:dyDescent="0.25">
      <c r="B130" s="32">
        <v>117</v>
      </c>
      <c r="C130" s="229" t="s">
        <v>952</v>
      </c>
      <c r="D130" s="229"/>
      <c r="E130" s="229"/>
      <c r="F130" s="229"/>
      <c r="G130" s="229"/>
      <c r="H130" s="229"/>
      <c r="I130" s="229"/>
      <c r="J130" s="32" t="s">
        <v>953</v>
      </c>
      <c r="K130" s="5" t="s">
        <v>150</v>
      </c>
      <c r="L130" s="2">
        <v>44006</v>
      </c>
      <c r="M130" s="32"/>
      <c r="N130" s="32">
        <v>3165295791</v>
      </c>
      <c r="O130" s="51" t="s">
        <v>954</v>
      </c>
      <c r="P130" s="38" t="s">
        <v>955</v>
      </c>
    </row>
    <row r="131" spans="2:16" x14ac:dyDescent="0.25">
      <c r="B131" s="32">
        <v>118</v>
      </c>
      <c r="C131" s="229" t="s">
        <v>956</v>
      </c>
      <c r="D131" s="229"/>
      <c r="E131" s="229"/>
      <c r="F131" s="229"/>
      <c r="G131" s="229"/>
      <c r="H131" s="229"/>
      <c r="I131" s="229"/>
      <c r="J131" s="32" t="s">
        <v>957</v>
      </c>
      <c r="K131" s="1">
        <v>13000000</v>
      </c>
      <c r="L131" s="2">
        <v>44006</v>
      </c>
      <c r="M131" s="2" t="s">
        <v>3923</v>
      </c>
      <c r="N131" s="32">
        <v>3117461926</v>
      </c>
      <c r="O131" s="51" t="s">
        <v>958</v>
      </c>
      <c r="P131" s="38" t="s">
        <v>959</v>
      </c>
    </row>
    <row r="132" spans="2:16" x14ac:dyDescent="0.25">
      <c r="B132" s="32">
        <v>119</v>
      </c>
      <c r="C132" s="229" t="s">
        <v>960</v>
      </c>
      <c r="D132" s="229"/>
      <c r="E132" s="229"/>
      <c r="F132" s="229"/>
      <c r="G132" s="229"/>
      <c r="H132" s="229"/>
      <c r="I132" s="229"/>
      <c r="J132" s="32" t="s">
        <v>712</v>
      </c>
      <c r="K132" s="1">
        <v>3500000</v>
      </c>
      <c r="L132" s="2">
        <v>43991</v>
      </c>
      <c r="M132" s="32"/>
      <c r="N132" s="32">
        <v>3137851941</v>
      </c>
      <c r="O132" s="51" t="s">
        <v>192</v>
      </c>
      <c r="P132" s="38" t="s">
        <v>713</v>
      </c>
    </row>
    <row r="133" spans="2:16" x14ac:dyDescent="0.25">
      <c r="B133" s="32">
        <v>120</v>
      </c>
      <c r="C133" s="229" t="s">
        <v>961</v>
      </c>
      <c r="D133" s="229"/>
      <c r="E133" s="229"/>
      <c r="F133" s="229"/>
      <c r="G133" s="229"/>
      <c r="H133" s="229"/>
      <c r="I133" s="229"/>
      <c r="J133" s="32" t="s">
        <v>702</v>
      </c>
      <c r="K133" s="1">
        <v>4500000</v>
      </c>
      <c r="L133" s="2">
        <v>44009</v>
      </c>
      <c r="M133" s="32"/>
      <c r="N133" s="32">
        <v>3137546144</v>
      </c>
      <c r="O133" s="51" t="s">
        <v>417</v>
      </c>
      <c r="P133" s="38" t="s">
        <v>740</v>
      </c>
    </row>
    <row r="134" spans="2:16" x14ac:dyDescent="0.25">
      <c r="B134" s="32">
        <v>121</v>
      </c>
      <c r="C134" s="229" t="s">
        <v>962</v>
      </c>
      <c r="D134" s="229"/>
      <c r="E134" s="229"/>
      <c r="F134" s="229"/>
      <c r="G134" s="229"/>
      <c r="H134" s="229"/>
      <c r="I134" s="229"/>
      <c r="J134" s="32" t="s">
        <v>702</v>
      </c>
      <c r="K134" s="1">
        <v>6270000</v>
      </c>
      <c r="L134" s="2">
        <v>44009</v>
      </c>
      <c r="M134" s="32"/>
      <c r="N134" s="32">
        <v>3137546144</v>
      </c>
      <c r="O134" s="51" t="s">
        <v>417</v>
      </c>
      <c r="P134" s="38" t="s">
        <v>740</v>
      </c>
    </row>
    <row r="135" spans="2:16" x14ac:dyDescent="0.25">
      <c r="B135" s="32">
        <v>122</v>
      </c>
      <c r="C135" s="229" t="s">
        <v>963</v>
      </c>
      <c r="D135" s="229"/>
      <c r="E135" s="229"/>
      <c r="F135" s="229"/>
      <c r="G135" s="229"/>
      <c r="H135" s="229"/>
      <c r="I135" s="229"/>
      <c r="J135" s="32" t="s">
        <v>774</v>
      </c>
      <c r="K135" s="1"/>
      <c r="L135" s="2">
        <v>44012</v>
      </c>
      <c r="M135" s="32"/>
      <c r="N135" s="32" t="s">
        <v>964</v>
      </c>
      <c r="O135" s="51" t="s">
        <v>965</v>
      </c>
      <c r="P135" s="38" t="s">
        <v>966</v>
      </c>
    </row>
    <row r="136" spans="2:16" x14ac:dyDescent="0.25">
      <c r="B136" s="32">
        <v>123</v>
      </c>
      <c r="C136" s="229" t="s">
        <v>967</v>
      </c>
      <c r="D136" s="229"/>
      <c r="E136" s="229"/>
      <c r="F136" s="229"/>
      <c r="G136" s="229"/>
      <c r="H136" s="229"/>
      <c r="I136" s="229"/>
      <c r="J136" s="32" t="s">
        <v>747</v>
      </c>
      <c r="K136" s="1" t="s">
        <v>968</v>
      </c>
      <c r="L136" s="2">
        <v>44013</v>
      </c>
      <c r="M136" s="2" t="s">
        <v>3923</v>
      </c>
      <c r="N136" s="32">
        <v>3175594091</v>
      </c>
      <c r="O136" s="51" t="s">
        <v>496</v>
      </c>
      <c r="P136" s="38" t="s">
        <v>748</v>
      </c>
    </row>
    <row r="137" spans="2:16" x14ac:dyDescent="0.25">
      <c r="B137" s="32">
        <v>124</v>
      </c>
      <c r="C137" s="229" t="s">
        <v>969</v>
      </c>
      <c r="D137" s="229"/>
      <c r="E137" s="229"/>
      <c r="F137" s="229"/>
      <c r="G137" s="229"/>
      <c r="H137" s="229"/>
      <c r="I137" s="229"/>
      <c r="J137" s="32" t="s">
        <v>712</v>
      </c>
      <c r="K137" s="1">
        <v>18270000</v>
      </c>
      <c r="L137" s="2">
        <v>44014</v>
      </c>
      <c r="M137" s="32"/>
      <c r="N137" s="32">
        <v>3137851941</v>
      </c>
      <c r="O137" s="51" t="s">
        <v>192</v>
      </c>
      <c r="P137" s="38" t="s">
        <v>713</v>
      </c>
    </row>
    <row r="138" spans="2:16" x14ac:dyDescent="0.25">
      <c r="B138" s="32">
        <v>125</v>
      </c>
      <c r="C138" s="229" t="s">
        <v>970</v>
      </c>
      <c r="D138" s="229"/>
      <c r="E138" s="229"/>
      <c r="F138" s="229"/>
      <c r="G138" s="229"/>
      <c r="H138" s="229"/>
      <c r="I138" s="229"/>
      <c r="J138" s="32" t="s">
        <v>971</v>
      </c>
      <c r="K138" s="1">
        <v>3000000</v>
      </c>
      <c r="L138" s="2">
        <v>44014</v>
      </c>
      <c r="M138" s="2" t="s">
        <v>3923</v>
      </c>
      <c r="N138" s="32">
        <v>3052642137</v>
      </c>
      <c r="O138" s="51" t="s">
        <v>972</v>
      </c>
      <c r="P138" s="38" t="s">
        <v>973</v>
      </c>
    </row>
    <row r="139" spans="2:16" x14ac:dyDescent="0.25">
      <c r="B139" s="32">
        <v>126</v>
      </c>
      <c r="C139" s="229" t="s">
        <v>974</v>
      </c>
      <c r="D139" s="229"/>
      <c r="E139" s="229"/>
      <c r="F139" s="229"/>
      <c r="G139" s="229"/>
      <c r="H139" s="229"/>
      <c r="I139" s="229"/>
      <c r="J139" s="32" t="s">
        <v>975</v>
      </c>
      <c r="K139" s="1">
        <v>4950000</v>
      </c>
      <c r="L139" s="2">
        <v>44015</v>
      </c>
      <c r="M139" s="32"/>
      <c r="N139" s="32" t="s">
        <v>976</v>
      </c>
      <c r="O139" s="51" t="s">
        <v>977</v>
      </c>
      <c r="P139" s="38" t="s">
        <v>978</v>
      </c>
    </row>
    <row r="140" spans="2:16" x14ac:dyDescent="0.25">
      <c r="B140" s="32">
        <v>127</v>
      </c>
      <c r="C140" s="229" t="s">
        <v>979</v>
      </c>
      <c r="D140" s="229"/>
      <c r="E140" s="229"/>
      <c r="F140" s="229"/>
      <c r="G140" s="229"/>
      <c r="H140" s="229"/>
      <c r="I140" s="229"/>
      <c r="J140" s="32" t="s">
        <v>975</v>
      </c>
      <c r="K140" s="1">
        <v>25000000</v>
      </c>
      <c r="L140" s="2">
        <v>44015</v>
      </c>
      <c r="M140" s="32"/>
      <c r="N140" s="32" t="s">
        <v>976</v>
      </c>
      <c r="O140" s="51" t="s">
        <v>977</v>
      </c>
      <c r="P140" s="38" t="s">
        <v>978</v>
      </c>
    </row>
    <row r="141" spans="2:16" x14ac:dyDescent="0.25">
      <c r="B141" s="32">
        <v>128</v>
      </c>
      <c r="C141" s="229" t="s">
        <v>980</v>
      </c>
      <c r="D141" s="229"/>
      <c r="E141" s="229"/>
      <c r="F141" s="229"/>
      <c r="G141" s="229"/>
      <c r="H141" s="229"/>
      <c r="I141" s="229"/>
      <c r="J141" s="32" t="s">
        <v>702</v>
      </c>
      <c r="K141" s="1">
        <v>1250000</v>
      </c>
      <c r="L141" s="2">
        <v>44018</v>
      </c>
      <c r="M141" s="2" t="s">
        <v>3923</v>
      </c>
      <c r="N141" s="32">
        <v>3104165783</v>
      </c>
      <c r="O141" s="51" t="s">
        <v>242</v>
      </c>
      <c r="P141" s="38" t="s">
        <v>917</v>
      </c>
    </row>
    <row r="142" spans="2:16" x14ac:dyDescent="0.25">
      <c r="B142" s="32">
        <v>129</v>
      </c>
      <c r="C142" s="229" t="s">
        <v>981</v>
      </c>
      <c r="D142" s="229"/>
      <c r="E142" s="229"/>
      <c r="F142" s="229"/>
      <c r="G142" s="229"/>
      <c r="H142" s="229"/>
      <c r="I142" s="229"/>
      <c r="J142" s="32" t="s">
        <v>712</v>
      </c>
      <c r="K142" s="1">
        <v>5770000</v>
      </c>
      <c r="L142" s="2">
        <v>44019</v>
      </c>
      <c r="M142" s="32"/>
      <c r="N142" s="32">
        <v>3137851941</v>
      </c>
      <c r="O142" s="51" t="s">
        <v>192</v>
      </c>
      <c r="P142" s="38" t="s">
        <v>713</v>
      </c>
    </row>
    <row r="143" spans="2:16" x14ac:dyDescent="0.25">
      <c r="B143" s="32">
        <v>130</v>
      </c>
      <c r="C143" s="229" t="s">
        <v>982</v>
      </c>
      <c r="D143" s="229"/>
      <c r="E143" s="229"/>
      <c r="F143" s="229"/>
      <c r="G143" s="229"/>
      <c r="H143" s="229"/>
      <c r="I143" s="229"/>
      <c r="J143" s="32" t="s">
        <v>842</v>
      </c>
      <c r="K143" s="1">
        <v>9220000</v>
      </c>
      <c r="L143" s="2">
        <v>44019</v>
      </c>
      <c r="M143" s="32"/>
      <c r="N143" s="32">
        <v>3004827270</v>
      </c>
      <c r="O143" s="39" t="s">
        <v>843</v>
      </c>
      <c r="P143" s="38" t="s">
        <v>844</v>
      </c>
    </row>
    <row r="144" spans="2:16" x14ac:dyDescent="0.25">
      <c r="B144" s="32">
        <v>131</v>
      </c>
      <c r="C144" s="229" t="s">
        <v>983</v>
      </c>
      <c r="D144" s="229"/>
      <c r="E144" s="229"/>
      <c r="F144" s="229"/>
      <c r="G144" s="229"/>
      <c r="H144" s="229"/>
      <c r="I144" s="229"/>
      <c r="J144" s="32" t="s">
        <v>702</v>
      </c>
      <c r="K144" s="1">
        <v>22600000</v>
      </c>
      <c r="L144" s="2">
        <v>44019</v>
      </c>
      <c r="M144" s="32" t="s">
        <v>3923</v>
      </c>
      <c r="N144" s="32">
        <v>3137546144</v>
      </c>
      <c r="O144" s="51" t="s">
        <v>417</v>
      </c>
      <c r="P144" s="38" t="s">
        <v>740</v>
      </c>
    </row>
    <row r="145" spans="2:16" x14ac:dyDescent="0.25">
      <c r="B145" s="32">
        <v>132</v>
      </c>
      <c r="C145" s="229" t="s">
        <v>984</v>
      </c>
      <c r="D145" s="229"/>
      <c r="E145" s="229"/>
      <c r="F145" s="229"/>
      <c r="G145" s="229"/>
      <c r="H145" s="229"/>
      <c r="I145" s="229"/>
      <c r="J145" s="32" t="s">
        <v>702</v>
      </c>
      <c r="K145" s="1">
        <v>1500000</v>
      </c>
      <c r="L145" s="2">
        <v>44020</v>
      </c>
      <c r="M145" s="32"/>
      <c r="N145" s="32">
        <v>3137546144</v>
      </c>
      <c r="O145" s="51" t="s">
        <v>417</v>
      </c>
      <c r="P145" s="38" t="s">
        <v>740</v>
      </c>
    </row>
    <row r="146" spans="2:16" x14ac:dyDescent="0.25">
      <c r="B146" s="32">
        <v>133</v>
      </c>
      <c r="C146" s="229" t="s">
        <v>985</v>
      </c>
      <c r="D146" s="229"/>
      <c r="E146" s="229"/>
      <c r="F146" s="229"/>
      <c r="G146" s="229"/>
      <c r="H146" s="229"/>
      <c r="I146" s="229"/>
      <c r="J146" s="32" t="s">
        <v>986</v>
      </c>
      <c r="K146" s="1">
        <v>2500000</v>
      </c>
      <c r="L146" s="2">
        <v>44020</v>
      </c>
      <c r="M146" s="32" t="s">
        <v>3923</v>
      </c>
      <c r="N146" s="32">
        <v>3014843289</v>
      </c>
      <c r="O146" s="51" t="s">
        <v>370</v>
      </c>
      <c r="P146" s="38" t="s">
        <v>987</v>
      </c>
    </row>
    <row r="147" spans="2:16" x14ac:dyDescent="0.25">
      <c r="B147" s="32">
        <v>134</v>
      </c>
      <c r="C147" s="229" t="s">
        <v>988</v>
      </c>
      <c r="D147" s="229"/>
      <c r="E147" s="229"/>
      <c r="F147" s="229"/>
      <c r="G147" s="229"/>
      <c r="H147" s="229"/>
      <c r="I147" s="229"/>
      <c r="J147" s="32" t="s">
        <v>890</v>
      </c>
      <c r="K147" s="1">
        <v>4950000</v>
      </c>
      <c r="L147" s="2">
        <v>44022</v>
      </c>
      <c r="M147" s="32"/>
      <c r="N147" s="32">
        <v>3113396273</v>
      </c>
      <c r="O147" s="51" t="s">
        <v>989</v>
      </c>
      <c r="P147" s="38" t="s">
        <v>990</v>
      </c>
    </row>
    <row r="148" spans="2:16" x14ac:dyDescent="0.25">
      <c r="B148" s="32">
        <v>135</v>
      </c>
      <c r="C148" s="229" t="s">
        <v>991</v>
      </c>
      <c r="D148" s="229"/>
      <c r="E148" s="229"/>
      <c r="F148" s="229"/>
      <c r="G148" s="229"/>
      <c r="H148" s="229"/>
      <c r="I148" s="229"/>
      <c r="J148" s="32" t="s">
        <v>712</v>
      </c>
      <c r="K148" s="1">
        <v>4375000</v>
      </c>
      <c r="L148" s="2">
        <v>44019</v>
      </c>
      <c r="M148" s="32"/>
      <c r="N148" s="32">
        <v>3137851941</v>
      </c>
      <c r="O148" s="51" t="s">
        <v>192</v>
      </c>
      <c r="P148" s="38" t="s">
        <v>713</v>
      </c>
    </row>
    <row r="149" spans="2:16" x14ac:dyDescent="0.25">
      <c r="B149" s="32">
        <v>136</v>
      </c>
      <c r="C149" s="229" t="s">
        <v>992</v>
      </c>
      <c r="D149" s="229"/>
      <c r="E149" s="229"/>
      <c r="F149" s="229"/>
      <c r="G149" s="229"/>
      <c r="H149" s="229"/>
      <c r="I149" s="229"/>
      <c r="J149" s="32" t="s">
        <v>851</v>
      </c>
      <c r="K149" s="1">
        <v>3950000</v>
      </c>
      <c r="L149" s="2">
        <v>44026</v>
      </c>
      <c r="M149" s="32"/>
      <c r="N149" s="32">
        <v>3206678830</v>
      </c>
      <c r="O149" s="51" t="s">
        <v>284</v>
      </c>
      <c r="P149" s="38" t="s">
        <v>948</v>
      </c>
    </row>
    <row r="150" spans="2:16" x14ac:dyDescent="0.25">
      <c r="B150" s="49">
        <v>137</v>
      </c>
      <c r="C150" s="229" t="s">
        <v>993</v>
      </c>
      <c r="D150" s="229"/>
      <c r="E150" s="229"/>
      <c r="F150" s="229"/>
      <c r="G150" s="229"/>
      <c r="H150" s="229"/>
      <c r="I150" s="229"/>
      <c r="J150" s="32" t="s">
        <v>926</v>
      </c>
      <c r="K150" s="1">
        <v>2970000</v>
      </c>
      <c r="L150" s="2">
        <v>44029</v>
      </c>
      <c r="M150" s="2" t="s">
        <v>3923</v>
      </c>
      <c r="N150" s="32">
        <v>3146157466</v>
      </c>
      <c r="O150" s="51" t="s">
        <v>928</v>
      </c>
      <c r="P150" s="38" t="s">
        <v>929</v>
      </c>
    </row>
    <row r="151" spans="2:16" x14ac:dyDescent="0.25">
      <c r="B151" s="32">
        <v>138</v>
      </c>
      <c r="C151" s="229" t="s">
        <v>994</v>
      </c>
      <c r="D151" s="229"/>
      <c r="E151" s="229"/>
      <c r="F151" s="229"/>
      <c r="G151" s="229"/>
      <c r="H151" s="229"/>
      <c r="I151" s="229"/>
      <c r="J151" s="32" t="s">
        <v>995</v>
      </c>
      <c r="K151" s="1">
        <v>29460000</v>
      </c>
      <c r="L151" s="2">
        <v>44033</v>
      </c>
      <c r="M151" s="32"/>
      <c r="N151" s="32" t="s">
        <v>996</v>
      </c>
      <c r="O151" s="51" t="s">
        <v>997</v>
      </c>
      <c r="P151" s="38" t="s">
        <v>998</v>
      </c>
    </row>
    <row r="152" spans="2:16" x14ac:dyDescent="0.25">
      <c r="B152" s="32">
        <v>139</v>
      </c>
      <c r="C152" s="229" t="s">
        <v>999</v>
      </c>
      <c r="D152" s="229"/>
      <c r="E152" s="229"/>
      <c r="F152" s="229"/>
      <c r="G152" s="229"/>
      <c r="H152" s="229"/>
      <c r="I152" s="229"/>
      <c r="J152" s="32" t="s">
        <v>702</v>
      </c>
      <c r="K152" s="1">
        <v>37830000</v>
      </c>
      <c r="L152" s="2">
        <v>44033</v>
      </c>
      <c r="M152" s="32"/>
      <c r="N152" s="32">
        <v>3104680509</v>
      </c>
      <c r="O152" s="51" t="s">
        <v>212</v>
      </c>
      <c r="P152" s="38" t="s">
        <v>703</v>
      </c>
    </row>
    <row r="153" spans="2:16" x14ac:dyDescent="0.25">
      <c r="B153" s="32">
        <v>140</v>
      </c>
      <c r="C153" s="229" t="s">
        <v>1000</v>
      </c>
      <c r="D153" s="229"/>
      <c r="E153" s="229"/>
      <c r="F153" s="229"/>
      <c r="G153" s="229"/>
      <c r="H153" s="229"/>
      <c r="I153" s="229"/>
      <c r="J153" s="32" t="s">
        <v>702</v>
      </c>
      <c r="K153" s="1">
        <v>14990000</v>
      </c>
      <c r="L153" s="2">
        <v>44034</v>
      </c>
      <c r="M153" s="2" t="s">
        <v>3923</v>
      </c>
      <c r="N153" s="32">
        <v>3104680509</v>
      </c>
      <c r="O153" s="51" t="s">
        <v>212</v>
      </c>
      <c r="P153" s="38" t="s">
        <v>703</v>
      </c>
    </row>
    <row r="154" spans="2:16" x14ac:dyDescent="0.25">
      <c r="B154" s="32">
        <v>141</v>
      </c>
      <c r="C154" s="229" t="s">
        <v>1001</v>
      </c>
      <c r="D154" s="229"/>
      <c r="E154" s="229"/>
      <c r="F154" s="229"/>
      <c r="G154" s="229"/>
      <c r="H154" s="229"/>
      <c r="I154" s="229"/>
      <c r="J154" s="32" t="s">
        <v>747</v>
      </c>
      <c r="K154" s="1">
        <v>12000000</v>
      </c>
      <c r="L154" s="2">
        <v>44034</v>
      </c>
      <c r="M154" s="2" t="s">
        <v>3923</v>
      </c>
      <c r="N154" s="32">
        <v>3175594091</v>
      </c>
      <c r="O154" s="51" t="s">
        <v>496</v>
      </c>
      <c r="P154" s="38" t="s">
        <v>748</v>
      </c>
    </row>
    <row r="155" spans="2:16" x14ac:dyDescent="0.25">
      <c r="B155" s="32">
        <v>142</v>
      </c>
      <c r="C155" s="229" t="s">
        <v>1002</v>
      </c>
      <c r="D155" s="229"/>
      <c r="E155" s="229"/>
      <c r="F155" s="229"/>
      <c r="G155" s="229"/>
      <c r="H155" s="229"/>
      <c r="I155" s="229"/>
      <c r="J155" s="32" t="s">
        <v>1003</v>
      </c>
      <c r="K155" s="1">
        <v>65000000</v>
      </c>
      <c r="L155" s="2">
        <v>44035</v>
      </c>
      <c r="M155" s="32"/>
      <c r="N155" s="32">
        <v>3839394</v>
      </c>
      <c r="O155" s="51" t="s">
        <v>1004</v>
      </c>
      <c r="P155" s="38" t="s">
        <v>1005</v>
      </c>
    </row>
    <row r="156" spans="2:16" x14ac:dyDescent="0.25">
      <c r="B156" s="32">
        <v>143</v>
      </c>
      <c r="C156" s="229" t="s">
        <v>1006</v>
      </c>
      <c r="D156" s="229"/>
      <c r="E156" s="229"/>
      <c r="F156" s="229"/>
      <c r="G156" s="229"/>
      <c r="H156" s="229"/>
      <c r="I156" s="229"/>
      <c r="J156" s="32" t="s">
        <v>702</v>
      </c>
      <c r="K156" s="1">
        <v>25000000</v>
      </c>
      <c r="L156" s="2">
        <v>44035</v>
      </c>
      <c r="M156" s="32" t="s">
        <v>3923</v>
      </c>
      <c r="N156" s="32">
        <v>3137546144</v>
      </c>
      <c r="O156" s="51" t="s">
        <v>417</v>
      </c>
      <c r="P156" s="38" t="s">
        <v>740</v>
      </c>
    </row>
    <row r="157" spans="2:16" x14ac:dyDescent="0.25">
      <c r="B157" s="32">
        <v>144</v>
      </c>
      <c r="C157" s="229" t="s">
        <v>1007</v>
      </c>
      <c r="D157" s="229"/>
      <c r="E157" s="229"/>
      <c r="F157" s="229"/>
      <c r="G157" s="229"/>
      <c r="H157" s="229"/>
      <c r="I157" s="229"/>
      <c r="J157" s="32" t="s">
        <v>1008</v>
      </c>
      <c r="K157" s="1">
        <v>6575000</v>
      </c>
      <c r="L157" s="2">
        <v>44035</v>
      </c>
      <c r="M157" s="2" t="s">
        <v>3923</v>
      </c>
      <c r="N157" s="32">
        <v>3207273862</v>
      </c>
      <c r="O157" s="51" t="s">
        <v>1009</v>
      </c>
      <c r="P157" s="38" t="s">
        <v>1010</v>
      </c>
    </row>
    <row r="158" spans="2:16" x14ac:dyDescent="0.25">
      <c r="B158" s="32">
        <v>145</v>
      </c>
      <c r="C158" s="229" t="s">
        <v>1011</v>
      </c>
      <c r="D158" s="229"/>
      <c r="E158" s="229"/>
      <c r="F158" s="229"/>
      <c r="G158" s="229"/>
      <c r="H158" s="229"/>
      <c r="I158" s="229"/>
      <c r="J158" s="32" t="s">
        <v>753</v>
      </c>
      <c r="K158" s="1">
        <v>7560000</v>
      </c>
      <c r="L158" s="2">
        <v>44039</v>
      </c>
      <c r="M158" s="32"/>
      <c r="N158" s="32"/>
      <c r="O158" s="51" t="s">
        <v>745</v>
      </c>
      <c r="P158" s="38" t="s">
        <v>1012</v>
      </c>
    </row>
    <row r="159" spans="2:16" x14ac:dyDescent="0.25">
      <c r="B159" s="32">
        <v>146</v>
      </c>
      <c r="C159" s="229" t="s">
        <v>1013</v>
      </c>
      <c r="D159" s="229"/>
      <c r="E159" s="229"/>
      <c r="F159" s="229"/>
      <c r="G159" s="229"/>
      <c r="H159" s="229"/>
      <c r="I159" s="229"/>
      <c r="J159" s="32" t="s">
        <v>932</v>
      </c>
      <c r="K159" s="1">
        <v>5250000</v>
      </c>
      <c r="L159" s="2">
        <v>44039</v>
      </c>
      <c r="M159" s="32"/>
      <c r="N159" s="32">
        <v>3007762642</v>
      </c>
      <c r="O159" s="51" t="s">
        <v>933</v>
      </c>
      <c r="P159" s="38" t="s">
        <v>1014</v>
      </c>
    </row>
    <row r="160" spans="2:16" x14ac:dyDescent="0.25">
      <c r="B160" s="50">
        <v>147</v>
      </c>
      <c r="C160" s="229" t="s">
        <v>1015</v>
      </c>
      <c r="D160" s="229"/>
      <c r="E160" s="229"/>
      <c r="F160" s="229"/>
      <c r="G160" s="229"/>
      <c r="H160" s="229"/>
      <c r="I160" s="229"/>
      <c r="J160" s="32" t="s">
        <v>1016</v>
      </c>
      <c r="K160" s="1">
        <v>1500000</v>
      </c>
      <c r="L160" s="2">
        <v>44039</v>
      </c>
      <c r="M160" s="32"/>
      <c r="N160" s="32">
        <v>3014695381</v>
      </c>
      <c r="O160" s="51" t="s">
        <v>1017</v>
      </c>
      <c r="P160" s="38" t="s">
        <v>1018</v>
      </c>
    </row>
    <row r="161" spans="2:16" x14ac:dyDescent="0.25">
      <c r="B161" s="32">
        <v>148</v>
      </c>
      <c r="C161" s="229" t="s">
        <v>1019</v>
      </c>
      <c r="D161" s="229"/>
      <c r="E161" s="229"/>
      <c r="F161" s="229"/>
      <c r="G161" s="229"/>
      <c r="H161" s="229"/>
      <c r="I161" s="229"/>
      <c r="J161" s="32" t="s">
        <v>870</v>
      </c>
      <c r="K161" s="1">
        <v>19990000</v>
      </c>
      <c r="L161" s="2">
        <v>44039</v>
      </c>
      <c r="M161" s="2" t="s">
        <v>3923</v>
      </c>
      <c r="N161" s="31">
        <v>3104300137</v>
      </c>
      <c r="O161" s="41" t="s">
        <v>871</v>
      </c>
      <c r="P161" s="38" t="s">
        <v>872</v>
      </c>
    </row>
    <row r="162" spans="2:16" x14ac:dyDescent="0.25">
      <c r="B162" s="32">
        <v>149</v>
      </c>
      <c r="C162" s="229" t="s">
        <v>1020</v>
      </c>
      <c r="D162" s="229"/>
      <c r="E162" s="229"/>
      <c r="F162" s="229"/>
      <c r="G162" s="229"/>
      <c r="H162" s="229"/>
      <c r="I162" s="229"/>
      <c r="J162" s="32" t="s">
        <v>870</v>
      </c>
      <c r="K162" s="1">
        <v>17310000</v>
      </c>
      <c r="L162" s="2">
        <v>44039</v>
      </c>
      <c r="M162" s="32" t="s">
        <v>3923</v>
      </c>
      <c r="N162" s="31">
        <v>3104300137</v>
      </c>
      <c r="O162" s="41" t="s">
        <v>871</v>
      </c>
      <c r="P162" s="38" t="s">
        <v>872</v>
      </c>
    </row>
    <row r="163" spans="2:16" x14ac:dyDescent="0.25">
      <c r="B163" s="32">
        <v>150</v>
      </c>
      <c r="C163" s="229" t="s">
        <v>1021</v>
      </c>
      <c r="D163" s="229"/>
      <c r="E163" s="229"/>
      <c r="F163" s="229"/>
      <c r="G163" s="229"/>
      <c r="H163" s="229"/>
      <c r="I163" s="229"/>
      <c r="J163" s="32" t="s">
        <v>870</v>
      </c>
      <c r="K163" s="1">
        <v>15430000</v>
      </c>
      <c r="L163" s="2">
        <v>44039</v>
      </c>
      <c r="M163" s="32" t="s">
        <v>3923</v>
      </c>
      <c r="N163" s="31">
        <v>3104300137</v>
      </c>
      <c r="O163" s="41" t="s">
        <v>871</v>
      </c>
      <c r="P163" s="38" t="s">
        <v>872</v>
      </c>
    </row>
    <row r="164" spans="2:16" x14ac:dyDescent="0.25">
      <c r="B164" s="32">
        <v>151</v>
      </c>
      <c r="C164" s="229" t="s">
        <v>1022</v>
      </c>
      <c r="D164" s="229"/>
      <c r="E164" s="229"/>
      <c r="F164" s="229"/>
      <c r="G164" s="229"/>
      <c r="H164" s="229"/>
      <c r="I164" s="229"/>
      <c r="J164" s="32" t="s">
        <v>758</v>
      </c>
      <c r="K164" s="1">
        <v>6890000</v>
      </c>
      <c r="L164" s="2">
        <v>44042</v>
      </c>
      <c r="M164" s="2" t="s">
        <v>3923</v>
      </c>
      <c r="N164" s="32">
        <v>3012409366</v>
      </c>
      <c r="O164" s="51" t="s">
        <v>1023</v>
      </c>
      <c r="P164" s="38" t="s">
        <v>1024</v>
      </c>
    </row>
    <row r="165" spans="2:16" x14ac:dyDescent="0.25">
      <c r="B165" s="49">
        <v>152</v>
      </c>
      <c r="C165" s="229" t="s">
        <v>1025</v>
      </c>
      <c r="D165" s="229"/>
      <c r="E165" s="229"/>
      <c r="F165" s="229"/>
      <c r="G165" s="229"/>
      <c r="H165" s="229"/>
      <c r="I165" s="229"/>
      <c r="J165" s="32" t="s">
        <v>753</v>
      </c>
      <c r="K165" s="1">
        <v>3500000</v>
      </c>
      <c r="L165" s="2">
        <v>44043</v>
      </c>
      <c r="M165" s="2" t="s">
        <v>3923</v>
      </c>
      <c r="N165" s="32">
        <v>3015421412</v>
      </c>
      <c r="O165" s="51" t="s">
        <v>745</v>
      </c>
      <c r="P165" s="38" t="s">
        <v>1012</v>
      </c>
    </row>
    <row r="166" spans="2:16" x14ac:dyDescent="0.25">
      <c r="B166" s="32">
        <v>153</v>
      </c>
      <c r="C166" s="265" t="s">
        <v>1026</v>
      </c>
      <c r="D166" s="265"/>
      <c r="E166" s="265"/>
      <c r="F166" s="265"/>
      <c r="G166" s="265"/>
      <c r="H166" s="265"/>
      <c r="I166" s="265"/>
      <c r="J166" s="51" t="s">
        <v>702</v>
      </c>
      <c r="K166" s="1">
        <v>6775000</v>
      </c>
      <c r="L166" s="2">
        <v>44047</v>
      </c>
      <c r="M166" s="32"/>
      <c r="N166" s="32">
        <v>3108431633</v>
      </c>
      <c r="O166" s="51" t="s">
        <v>1027</v>
      </c>
      <c r="P166" s="38" t="s">
        <v>1028</v>
      </c>
    </row>
    <row r="167" spans="2:16" x14ac:dyDescent="0.25">
      <c r="B167" s="32">
        <v>154</v>
      </c>
      <c r="C167" s="229" t="s">
        <v>1029</v>
      </c>
      <c r="D167" s="229"/>
      <c r="E167" s="229"/>
      <c r="F167" s="229"/>
      <c r="G167" s="229"/>
      <c r="H167" s="229"/>
      <c r="I167" s="229"/>
      <c r="J167" s="32" t="s">
        <v>847</v>
      </c>
      <c r="K167" s="1">
        <v>19950000</v>
      </c>
      <c r="L167" s="2">
        <v>44047</v>
      </c>
      <c r="M167" s="2" t="s">
        <v>3923</v>
      </c>
      <c r="N167" s="32" t="s">
        <v>1030</v>
      </c>
      <c r="O167" s="51" t="s">
        <v>1031</v>
      </c>
      <c r="P167" s="38" t="s">
        <v>1032</v>
      </c>
    </row>
    <row r="168" spans="2:16" x14ac:dyDescent="0.25">
      <c r="B168" s="49">
        <v>155</v>
      </c>
      <c r="C168" s="229" t="s">
        <v>1033</v>
      </c>
      <c r="D168" s="229"/>
      <c r="E168" s="229"/>
      <c r="F168" s="229"/>
      <c r="G168" s="229"/>
      <c r="H168" s="229"/>
      <c r="I168" s="229"/>
      <c r="J168" s="32" t="s">
        <v>712</v>
      </c>
      <c r="K168" s="1">
        <v>2500000</v>
      </c>
      <c r="L168" s="2">
        <v>44048</v>
      </c>
      <c r="M168" s="2" t="s">
        <v>3923</v>
      </c>
      <c r="N168" s="32">
        <v>3137851941</v>
      </c>
      <c r="O168" s="51" t="s">
        <v>192</v>
      </c>
      <c r="P168" s="38" t="s">
        <v>713</v>
      </c>
    </row>
    <row r="169" spans="2:16" x14ac:dyDescent="0.25">
      <c r="B169" s="32">
        <v>156</v>
      </c>
      <c r="C169" s="229" t="s">
        <v>1034</v>
      </c>
      <c r="D169" s="229"/>
      <c r="E169" s="229"/>
      <c r="F169" s="229"/>
      <c r="G169" s="229"/>
      <c r="H169" s="229"/>
      <c r="I169" s="229"/>
      <c r="J169" s="32" t="s">
        <v>1035</v>
      </c>
      <c r="K169" s="1">
        <v>8215000</v>
      </c>
      <c r="L169" s="2">
        <v>44048</v>
      </c>
      <c r="M169" s="32"/>
      <c r="N169" s="32">
        <v>3104103952</v>
      </c>
      <c r="O169" s="51" t="s">
        <v>1036</v>
      </c>
      <c r="P169" s="38" t="s">
        <v>1037</v>
      </c>
    </row>
    <row r="170" spans="2:16" x14ac:dyDescent="0.25">
      <c r="B170" s="50">
        <v>157</v>
      </c>
      <c r="C170" s="229" t="s">
        <v>1015</v>
      </c>
      <c r="D170" s="229"/>
      <c r="E170" s="229"/>
      <c r="F170" s="229"/>
      <c r="G170" s="229"/>
      <c r="H170" s="229"/>
      <c r="I170" s="229"/>
      <c r="J170" s="32" t="s">
        <v>1016</v>
      </c>
      <c r="K170" s="1">
        <v>1500000</v>
      </c>
      <c r="L170" s="2">
        <v>44039</v>
      </c>
      <c r="M170" s="2" t="s">
        <v>3923</v>
      </c>
      <c r="N170" s="32">
        <v>3014695381</v>
      </c>
      <c r="O170" s="51" t="s">
        <v>1017</v>
      </c>
      <c r="P170" s="38" t="s">
        <v>1018</v>
      </c>
    </row>
    <row r="171" spans="2:16" x14ac:dyDescent="0.25">
      <c r="B171" s="49" t="s">
        <v>1038</v>
      </c>
      <c r="C171" s="229" t="s">
        <v>1039</v>
      </c>
      <c r="D171" s="229"/>
      <c r="E171" s="229"/>
      <c r="F171" s="229"/>
      <c r="G171" s="229"/>
      <c r="H171" s="229"/>
      <c r="I171" s="229"/>
      <c r="J171" s="51" t="s">
        <v>702</v>
      </c>
      <c r="K171" s="1">
        <v>28850000</v>
      </c>
      <c r="L171" s="2">
        <v>44049</v>
      </c>
      <c r="M171" s="32"/>
      <c r="N171" s="32">
        <v>3137546144</v>
      </c>
      <c r="O171" s="51" t="s">
        <v>186</v>
      </c>
      <c r="P171" s="38" t="s">
        <v>740</v>
      </c>
    </row>
    <row r="172" spans="2:16" x14ac:dyDescent="0.25">
      <c r="B172" s="32">
        <v>158</v>
      </c>
      <c r="C172" s="229" t="s">
        <v>1040</v>
      </c>
      <c r="D172" s="229"/>
      <c r="E172" s="229"/>
      <c r="F172" s="229"/>
      <c r="G172" s="229"/>
      <c r="H172" s="229"/>
      <c r="I172" s="229"/>
      <c r="J172" s="51" t="s">
        <v>702</v>
      </c>
      <c r="K172" s="1">
        <v>2500000</v>
      </c>
      <c r="L172" s="2">
        <v>44049</v>
      </c>
      <c r="M172" s="32"/>
      <c r="N172" s="32">
        <v>3137546144</v>
      </c>
      <c r="O172" s="51" t="s">
        <v>186</v>
      </c>
      <c r="P172" s="38" t="s">
        <v>740</v>
      </c>
    </row>
    <row r="173" spans="2:16" x14ac:dyDescent="0.25">
      <c r="B173" s="32">
        <v>159</v>
      </c>
      <c r="C173" s="229" t="s">
        <v>1041</v>
      </c>
      <c r="D173" s="229"/>
      <c r="E173" s="229"/>
      <c r="F173" s="229"/>
      <c r="G173" s="229"/>
      <c r="H173" s="229"/>
      <c r="I173" s="229"/>
      <c r="J173" s="32" t="s">
        <v>1042</v>
      </c>
      <c r="K173" s="1"/>
      <c r="L173" s="2">
        <v>44053</v>
      </c>
      <c r="M173" s="32"/>
      <c r="N173" s="32">
        <v>3164913470</v>
      </c>
      <c r="O173" s="51" t="s">
        <v>1043</v>
      </c>
      <c r="P173" s="38" t="s">
        <v>1044</v>
      </c>
    </row>
    <row r="174" spans="2:16" x14ac:dyDescent="0.25">
      <c r="B174" s="49">
        <v>160</v>
      </c>
      <c r="C174" s="229" t="s">
        <v>1045</v>
      </c>
      <c r="D174" s="229"/>
      <c r="E174" s="229"/>
      <c r="F174" s="229"/>
      <c r="G174" s="229"/>
      <c r="H174" s="229"/>
      <c r="I174" s="229"/>
      <c r="J174" s="32" t="s">
        <v>712</v>
      </c>
      <c r="K174" s="1">
        <v>800000</v>
      </c>
      <c r="L174" s="2">
        <v>44055</v>
      </c>
      <c r="M174" s="2" t="s">
        <v>3923</v>
      </c>
      <c r="N174" s="32">
        <v>3168343581</v>
      </c>
      <c r="O174" s="51" t="s">
        <v>1046</v>
      </c>
      <c r="P174" s="38" t="s">
        <v>1047</v>
      </c>
    </row>
    <row r="175" spans="2:16" x14ac:dyDescent="0.25">
      <c r="B175" s="49">
        <v>161</v>
      </c>
      <c r="C175" s="229" t="s">
        <v>1048</v>
      </c>
      <c r="D175" s="229"/>
      <c r="E175" s="229"/>
      <c r="F175" s="229"/>
      <c r="G175" s="229"/>
      <c r="H175" s="229"/>
      <c r="I175" s="229"/>
      <c r="J175" s="51" t="s">
        <v>702</v>
      </c>
      <c r="K175" s="1">
        <v>1000000</v>
      </c>
      <c r="L175" s="2">
        <v>44056</v>
      </c>
      <c r="M175" s="2" t="s">
        <v>3923</v>
      </c>
      <c r="N175" s="32">
        <v>3137546144</v>
      </c>
      <c r="O175" s="51" t="s">
        <v>186</v>
      </c>
      <c r="P175" s="38" t="s">
        <v>740</v>
      </c>
    </row>
    <row r="176" spans="2:16" x14ac:dyDescent="0.25">
      <c r="B176" s="49" t="s">
        <v>1049</v>
      </c>
      <c r="C176" s="264" t="s">
        <v>1050</v>
      </c>
      <c r="D176" s="231"/>
      <c r="E176" s="231"/>
      <c r="F176" s="231"/>
      <c r="G176" s="231"/>
      <c r="H176" s="231"/>
      <c r="I176" s="232"/>
      <c r="J176" s="51" t="s">
        <v>1051</v>
      </c>
      <c r="K176" s="1">
        <v>4500000</v>
      </c>
      <c r="L176" s="2">
        <v>44055</v>
      </c>
      <c r="M176" s="2" t="s">
        <v>3923</v>
      </c>
      <c r="N176" s="32"/>
      <c r="O176" s="51" t="s">
        <v>1052</v>
      </c>
      <c r="P176" s="38" t="s">
        <v>1053</v>
      </c>
    </row>
    <row r="177" spans="2:16" x14ac:dyDescent="0.25">
      <c r="B177" s="32">
        <v>162</v>
      </c>
      <c r="C177" s="229" t="s">
        <v>1054</v>
      </c>
      <c r="D177" s="229"/>
      <c r="E177" s="229"/>
      <c r="F177" s="229"/>
      <c r="G177" s="229"/>
      <c r="H177" s="229"/>
      <c r="I177" s="229"/>
      <c r="J177" s="51" t="s">
        <v>702</v>
      </c>
      <c r="K177" s="1">
        <v>2000000</v>
      </c>
      <c r="L177" s="2">
        <v>44056</v>
      </c>
      <c r="M177" s="2"/>
      <c r="N177" s="32" t="s">
        <v>1055</v>
      </c>
      <c r="O177" s="51" t="s">
        <v>186</v>
      </c>
      <c r="P177" s="38" t="s">
        <v>740</v>
      </c>
    </row>
    <row r="178" spans="2:16" x14ac:dyDescent="0.25">
      <c r="B178" s="32">
        <v>163</v>
      </c>
      <c r="C178" s="229" t="s">
        <v>1056</v>
      </c>
      <c r="D178" s="229"/>
      <c r="E178" s="229"/>
      <c r="F178" s="229"/>
      <c r="G178" s="229"/>
      <c r="H178" s="229"/>
      <c r="I178" s="229"/>
      <c r="J178" s="51" t="s">
        <v>702</v>
      </c>
      <c r="K178" s="1">
        <v>2200000</v>
      </c>
      <c r="L178" s="2">
        <v>44057</v>
      </c>
      <c r="M178" s="32"/>
      <c r="N178" s="32" t="s">
        <v>761</v>
      </c>
      <c r="O178" s="51" t="s">
        <v>578</v>
      </c>
      <c r="P178" s="38" t="s">
        <v>762</v>
      </c>
    </row>
    <row r="179" spans="2:16" x14ac:dyDescent="0.25">
      <c r="B179" s="32">
        <v>164</v>
      </c>
      <c r="C179" s="229" t="s">
        <v>1057</v>
      </c>
      <c r="D179" s="229"/>
      <c r="E179" s="229"/>
      <c r="F179" s="229"/>
      <c r="G179" s="229"/>
      <c r="H179" s="229"/>
      <c r="I179" s="229"/>
      <c r="J179" s="32" t="s">
        <v>890</v>
      </c>
      <c r="K179" s="1">
        <v>11290000</v>
      </c>
      <c r="L179" s="2">
        <v>44057</v>
      </c>
      <c r="M179" s="32"/>
      <c r="N179" s="32">
        <v>3113396273</v>
      </c>
      <c r="O179" s="51" t="s">
        <v>989</v>
      </c>
      <c r="P179" s="38" t="s">
        <v>990</v>
      </c>
    </row>
    <row r="180" spans="2:16" x14ac:dyDescent="0.25">
      <c r="B180" s="32">
        <v>165</v>
      </c>
      <c r="C180" s="229" t="s">
        <v>1058</v>
      </c>
      <c r="D180" s="229"/>
      <c r="E180" s="229"/>
      <c r="F180" s="229"/>
      <c r="G180" s="229"/>
      <c r="H180" s="229"/>
      <c r="I180" s="229"/>
      <c r="J180" s="32" t="s">
        <v>1059</v>
      </c>
      <c r="K180" s="1">
        <v>7500000</v>
      </c>
      <c r="L180" s="2">
        <v>44061</v>
      </c>
      <c r="M180" s="32"/>
      <c r="N180" s="32">
        <v>3206768281</v>
      </c>
      <c r="O180" s="51" t="s">
        <v>1060</v>
      </c>
      <c r="P180" s="38" t="s">
        <v>1061</v>
      </c>
    </row>
    <row r="181" spans="2:16" x14ac:dyDescent="0.25">
      <c r="B181" s="32">
        <v>166</v>
      </c>
      <c r="C181" s="229" t="s">
        <v>1062</v>
      </c>
      <c r="D181" s="229"/>
      <c r="E181" s="229"/>
      <c r="F181" s="229"/>
      <c r="G181" s="229"/>
      <c r="H181" s="229"/>
      <c r="I181" s="229"/>
      <c r="J181" s="32" t="s">
        <v>1063</v>
      </c>
      <c r="K181" s="1">
        <v>1050000</v>
      </c>
      <c r="L181" s="2">
        <v>44061</v>
      </c>
      <c r="M181" s="32"/>
      <c r="N181" s="32">
        <v>3108227462</v>
      </c>
      <c r="O181" s="51" t="s">
        <v>1064</v>
      </c>
      <c r="P181" s="38" t="s">
        <v>1065</v>
      </c>
    </row>
    <row r="182" spans="2:16" x14ac:dyDescent="0.25">
      <c r="B182" s="32">
        <v>167</v>
      </c>
      <c r="C182" s="229" t="s">
        <v>1066</v>
      </c>
      <c r="D182" s="229"/>
      <c r="E182" s="229"/>
      <c r="F182" s="229"/>
      <c r="G182" s="229"/>
      <c r="H182" s="229"/>
      <c r="I182" s="229"/>
      <c r="J182" s="32" t="s">
        <v>747</v>
      </c>
      <c r="K182" s="1">
        <v>7750000</v>
      </c>
      <c r="L182" s="2">
        <v>44061</v>
      </c>
      <c r="M182" s="32"/>
      <c r="N182" s="32">
        <v>3175594091</v>
      </c>
      <c r="O182" s="51" t="s">
        <v>496</v>
      </c>
      <c r="P182" s="38" t="s">
        <v>748</v>
      </c>
    </row>
    <row r="183" spans="2:16" x14ac:dyDescent="0.25">
      <c r="B183" s="32">
        <v>168</v>
      </c>
      <c r="C183" s="229" t="s">
        <v>1067</v>
      </c>
      <c r="D183" s="229"/>
      <c r="E183" s="229"/>
      <c r="F183" s="229"/>
      <c r="G183" s="229"/>
      <c r="H183" s="229"/>
      <c r="I183" s="229"/>
      <c r="J183" s="32" t="s">
        <v>753</v>
      </c>
      <c r="K183" s="1">
        <v>7800000</v>
      </c>
      <c r="L183" s="2">
        <v>44062</v>
      </c>
      <c r="M183" s="2" t="s">
        <v>3923</v>
      </c>
      <c r="N183" s="32">
        <v>3015421412</v>
      </c>
      <c r="O183" s="51" t="s">
        <v>745</v>
      </c>
      <c r="P183" s="38" t="s">
        <v>1012</v>
      </c>
    </row>
    <row r="184" spans="2:16" x14ac:dyDescent="0.25">
      <c r="B184" s="32">
        <v>169</v>
      </c>
      <c r="C184" s="229" t="s">
        <v>1068</v>
      </c>
      <c r="D184" s="229"/>
      <c r="E184" s="229"/>
      <c r="F184" s="229"/>
      <c r="G184" s="229"/>
      <c r="H184" s="229"/>
      <c r="I184" s="229"/>
      <c r="J184" s="51" t="s">
        <v>702</v>
      </c>
      <c r="K184" s="1">
        <v>1200000</v>
      </c>
      <c r="L184" s="2">
        <v>44062</v>
      </c>
      <c r="M184" s="2" t="s">
        <v>3923</v>
      </c>
      <c r="N184" s="32">
        <v>3104165783</v>
      </c>
      <c r="O184" s="51" t="s">
        <v>242</v>
      </c>
      <c r="P184" s="38" t="s">
        <v>917</v>
      </c>
    </row>
    <row r="185" spans="2:16" x14ac:dyDescent="0.25">
      <c r="B185" s="32">
        <v>170</v>
      </c>
      <c r="C185" s="229" t="s">
        <v>1069</v>
      </c>
      <c r="D185" s="229"/>
      <c r="E185" s="229"/>
      <c r="F185" s="229"/>
      <c r="G185" s="229"/>
      <c r="H185" s="229"/>
      <c r="I185" s="229"/>
      <c r="J185" s="32" t="s">
        <v>702</v>
      </c>
      <c r="K185" s="1">
        <v>40000000</v>
      </c>
      <c r="L185" s="2">
        <v>44062</v>
      </c>
      <c r="M185" s="2"/>
      <c r="N185" s="32">
        <v>3104680509</v>
      </c>
      <c r="O185" s="51" t="s">
        <v>212</v>
      </c>
      <c r="P185" s="38" t="s">
        <v>703</v>
      </c>
    </row>
    <row r="186" spans="2:16" x14ac:dyDescent="0.25">
      <c r="B186" s="32">
        <v>171</v>
      </c>
      <c r="C186" s="229" t="s">
        <v>1070</v>
      </c>
      <c r="D186" s="229"/>
      <c r="E186" s="229"/>
      <c r="F186" s="229"/>
      <c r="G186" s="229"/>
      <c r="H186" s="229"/>
      <c r="I186" s="229"/>
      <c r="J186" s="32" t="s">
        <v>742</v>
      </c>
      <c r="K186" s="1">
        <v>4140000</v>
      </c>
      <c r="L186" s="2">
        <v>44067</v>
      </c>
      <c r="M186" s="32"/>
      <c r="N186" s="32" t="s">
        <v>1071</v>
      </c>
      <c r="O186" s="51" t="s">
        <v>272</v>
      </c>
      <c r="P186" s="38" t="s">
        <v>1072</v>
      </c>
    </row>
    <row r="187" spans="2:16" x14ac:dyDescent="0.25">
      <c r="B187" s="32">
        <v>172</v>
      </c>
      <c r="C187" s="229" t="s">
        <v>1073</v>
      </c>
      <c r="D187" s="229"/>
      <c r="E187" s="229"/>
      <c r="F187" s="229"/>
      <c r="G187" s="229"/>
      <c r="H187" s="229"/>
      <c r="I187" s="229"/>
      <c r="J187" s="32" t="s">
        <v>758</v>
      </c>
      <c r="K187" s="1">
        <v>2660000</v>
      </c>
      <c r="L187" s="2">
        <v>44067</v>
      </c>
      <c r="M187" s="32"/>
      <c r="N187" s="32">
        <v>3103861763</v>
      </c>
      <c r="O187" s="51" t="s">
        <v>1074</v>
      </c>
      <c r="P187" s="38" t="s">
        <v>1075</v>
      </c>
    </row>
    <row r="188" spans="2:16" x14ac:dyDescent="0.25">
      <c r="B188" s="32">
        <v>173</v>
      </c>
      <c r="C188" s="229" t="s">
        <v>695</v>
      </c>
      <c r="D188" s="229"/>
      <c r="E188" s="229"/>
      <c r="F188" s="229"/>
      <c r="G188" s="229"/>
      <c r="H188" s="229"/>
      <c r="I188" s="229"/>
      <c r="J188" s="32" t="s">
        <v>1076</v>
      </c>
      <c r="K188" s="1">
        <v>1500000</v>
      </c>
      <c r="L188" s="2">
        <v>44067</v>
      </c>
      <c r="M188" s="32"/>
      <c r="N188" s="32">
        <v>3017866422</v>
      </c>
      <c r="O188" s="51" t="s">
        <v>1077</v>
      </c>
      <c r="P188" s="38" t="s">
        <v>1078</v>
      </c>
    </row>
    <row r="189" spans="2:16" x14ac:dyDescent="0.25">
      <c r="B189" s="32">
        <v>174</v>
      </c>
      <c r="C189" s="229" t="s">
        <v>1079</v>
      </c>
      <c r="D189" s="229"/>
      <c r="E189" s="229"/>
      <c r="F189" s="229"/>
      <c r="G189" s="229"/>
      <c r="H189" s="229"/>
      <c r="I189" s="229"/>
      <c r="J189" s="32" t="s">
        <v>851</v>
      </c>
      <c r="K189" s="1">
        <v>19900000</v>
      </c>
      <c r="L189" s="2">
        <v>44069</v>
      </c>
      <c r="M189" s="32"/>
      <c r="N189" s="32">
        <v>3206678830</v>
      </c>
      <c r="O189" s="51" t="s">
        <v>284</v>
      </c>
      <c r="P189" s="38" t="s">
        <v>948</v>
      </c>
    </row>
    <row r="190" spans="2:16" x14ac:dyDescent="0.25">
      <c r="B190" s="32">
        <v>175</v>
      </c>
      <c r="C190" s="229" t="s">
        <v>1080</v>
      </c>
      <c r="D190" s="229"/>
      <c r="E190" s="229"/>
      <c r="F190" s="229"/>
      <c r="G190" s="229"/>
      <c r="H190" s="229"/>
      <c r="I190" s="229"/>
      <c r="J190" s="32" t="s">
        <v>747</v>
      </c>
      <c r="K190" s="1">
        <v>13980000</v>
      </c>
      <c r="L190" s="2">
        <v>44070</v>
      </c>
      <c r="M190" s="32"/>
      <c r="N190" s="32">
        <v>3175594091</v>
      </c>
      <c r="O190" s="51" t="s">
        <v>496</v>
      </c>
      <c r="P190" s="38" t="s">
        <v>748</v>
      </c>
    </row>
    <row r="191" spans="2:16" x14ac:dyDescent="0.25">
      <c r="B191" s="32">
        <v>176</v>
      </c>
      <c r="C191" s="229" t="s">
        <v>1081</v>
      </c>
      <c r="D191" s="229"/>
      <c r="E191" s="229"/>
      <c r="F191" s="229"/>
      <c r="G191" s="229"/>
      <c r="H191" s="229"/>
      <c r="I191" s="229"/>
      <c r="J191" s="32" t="s">
        <v>712</v>
      </c>
      <c r="K191" s="1">
        <v>19870000</v>
      </c>
      <c r="L191" s="2">
        <v>44070</v>
      </c>
      <c r="M191" s="32"/>
      <c r="N191" s="32">
        <v>3137851941</v>
      </c>
      <c r="O191" s="51" t="s">
        <v>192</v>
      </c>
      <c r="P191" s="38" t="s">
        <v>713</v>
      </c>
    </row>
    <row r="192" spans="2:16" x14ac:dyDescent="0.25">
      <c r="B192" s="32">
        <v>177</v>
      </c>
      <c r="C192" s="229" t="s">
        <v>1082</v>
      </c>
      <c r="D192" s="229"/>
      <c r="E192" s="229"/>
      <c r="F192" s="229"/>
      <c r="G192" s="229"/>
      <c r="H192" s="229"/>
      <c r="I192" s="229"/>
      <c r="J192" s="32" t="s">
        <v>753</v>
      </c>
      <c r="K192" s="1">
        <v>4455000</v>
      </c>
      <c r="L192" s="2">
        <v>44076</v>
      </c>
      <c r="M192" s="2"/>
      <c r="N192" s="32">
        <v>3015421412</v>
      </c>
      <c r="O192" s="51" t="s">
        <v>745</v>
      </c>
      <c r="P192" s="38" t="s">
        <v>1012</v>
      </c>
    </row>
    <row r="193" spans="2:16" x14ac:dyDescent="0.25">
      <c r="B193" s="32">
        <v>178</v>
      </c>
      <c r="C193" s="229" t="s">
        <v>1083</v>
      </c>
      <c r="D193" s="229"/>
      <c r="E193" s="229"/>
      <c r="F193" s="229"/>
      <c r="G193" s="229"/>
      <c r="H193" s="229"/>
      <c r="I193" s="229"/>
      <c r="J193" s="32" t="s">
        <v>1084</v>
      </c>
      <c r="K193" s="1">
        <v>2500000</v>
      </c>
      <c r="L193" s="2">
        <v>44077</v>
      </c>
      <c r="M193" s="32"/>
      <c r="N193" s="32">
        <v>3108227462</v>
      </c>
      <c r="O193" s="51" t="s">
        <v>1064</v>
      </c>
      <c r="P193" s="38" t="s">
        <v>1065</v>
      </c>
    </row>
    <row r="194" spans="2:16" x14ac:dyDescent="0.25">
      <c r="B194" s="32">
        <v>179</v>
      </c>
      <c r="C194" s="229" t="s">
        <v>1085</v>
      </c>
      <c r="D194" s="229"/>
      <c r="E194" s="229"/>
      <c r="F194" s="229"/>
      <c r="G194" s="229"/>
      <c r="H194" s="229"/>
      <c r="I194" s="229"/>
      <c r="J194" s="32" t="s">
        <v>1086</v>
      </c>
      <c r="K194" s="1">
        <v>2000000</v>
      </c>
      <c r="L194" s="2">
        <v>44077</v>
      </c>
      <c r="M194" s="2" t="s">
        <v>3923</v>
      </c>
      <c r="N194" s="32">
        <v>3005421752</v>
      </c>
      <c r="O194" s="51" t="s">
        <v>1087</v>
      </c>
      <c r="P194" s="38" t="s">
        <v>1088</v>
      </c>
    </row>
    <row r="195" spans="2:16" x14ac:dyDescent="0.25">
      <c r="B195" s="32">
        <v>180</v>
      </c>
      <c r="C195" s="229" t="s">
        <v>1089</v>
      </c>
      <c r="D195" s="229"/>
      <c r="E195" s="229"/>
      <c r="F195" s="229"/>
      <c r="G195" s="229"/>
      <c r="H195" s="229"/>
      <c r="I195" s="229"/>
      <c r="J195" s="32" t="s">
        <v>1090</v>
      </c>
      <c r="K195" s="1">
        <v>19850000</v>
      </c>
      <c r="L195" s="2">
        <v>44079</v>
      </c>
      <c r="M195" s="32"/>
      <c r="N195" s="32">
        <v>3005692800</v>
      </c>
      <c r="O195" s="51" t="s">
        <v>1091</v>
      </c>
      <c r="P195" s="38" t="s">
        <v>1092</v>
      </c>
    </row>
    <row r="196" spans="2:16" x14ac:dyDescent="0.25">
      <c r="B196" s="32">
        <v>181</v>
      </c>
      <c r="C196" s="229" t="s">
        <v>1093</v>
      </c>
      <c r="D196" s="229"/>
      <c r="E196" s="229"/>
      <c r="F196" s="229"/>
      <c r="G196" s="229"/>
      <c r="H196" s="229"/>
      <c r="I196" s="229"/>
      <c r="J196" s="32" t="s">
        <v>851</v>
      </c>
      <c r="K196" s="1">
        <v>890000</v>
      </c>
      <c r="L196" s="2">
        <v>44081</v>
      </c>
      <c r="M196" s="32"/>
      <c r="N196" s="32">
        <v>3206678830</v>
      </c>
      <c r="O196" s="51" t="s">
        <v>284</v>
      </c>
      <c r="P196" s="38" t="s">
        <v>948</v>
      </c>
    </row>
    <row r="197" spans="2:16" x14ac:dyDescent="0.25">
      <c r="B197" s="32">
        <v>182</v>
      </c>
      <c r="C197" s="229" t="s">
        <v>1094</v>
      </c>
      <c r="D197" s="229"/>
      <c r="E197" s="229"/>
      <c r="F197" s="229"/>
      <c r="G197" s="229"/>
      <c r="H197" s="229"/>
      <c r="I197" s="229"/>
      <c r="J197" s="32" t="s">
        <v>851</v>
      </c>
      <c r="K197" s="1">
        <v>3950000</v>
      </c>
      <c r="L197" s="2">
        <v>44081</v>
      </c>
      <c r="M197" s="32"/>
      <c r="N197" s="32">
        <v>3206678830</v>
      </c>
      <c r="O197" s="51" t="s">
        <v>284</v>
      </c>
      <c r="P197" s="38" t="s">
        <v>948</v>
      </c>
    </row>
    <row r="198" spans="2:16" x14ac:dyDescent="0.25">
      <c r="B198" s="32">
        <v>183</v>
      </c>
      <c r="C198" s="229" t="s">
        <v>1095</v>
      </c>
      <c r="D198" s="229"/>
      <c r="E198" s="229"/>
      <c r="F198" s="229"/>
      <c r="G198" s="229"/>
      <c r="H198" s="229"/>
      <c r="I198" s="229"/>
      <c r="J198" s="32" t="s">
        <v>851</v>
      </c>
      <c r="K198" s="1">
        <v>4390000</v>
      </c>
      <c r="L198" s="2">
        <v>44081</v>
      </c>
      <c r="M198" s="32"/>
      <c r="N198" s="32">
        <v>3206678830</v>
      </c>
      <c r="O198" s="51" t="s">
        <v>284</v>
      </c>
      <c r="P198" s="38" t="s">
        <v>948</v>
      </c>
    </row>
    <row r="199" spans="2:16" x14ac:dyDescent="0.25">
      <c r="B199" s="32">
        <v>184</v>
      </c>
      <c r="C199" s="229" t="s">
        <v>1096</v>
      </c>
      <c r="D199" s="229"/>
      <c r="E199" s="229"/>
      <c r="F199" s="229"/>
      <c r="G199" s="229"/>
      <c r="H199" s="229"/>
      <c r="I199" s="229"/>
      <c r="J199" s="32" t="s">
        <v>851</v>
      </c>
      <c r="K199" s="1">
        <v>190000</v>
      </c>
      <c r="L199" s="2">
        <v>44081</v>
      </c>
      <c r="M199" s="32"/>
      <c r="N199" s="32">
        <v>3206678830</v>
      </c>
      <c r="O199" s="51" t="s">
        <v>284</v>
      </c>
      <c r="P199" s="38" t="s">
        <v>948</v>
      </c>
    </row>
    <row r="200" spans="2:16" x14ac:dyDescent="0.25">
      <c r="B200" s="32">
        <v>185</v>
      </c>
      <c r="C200" s="229" t="s">
        <v>1097</v>
      </c>
      <c r="D200" s="229"/>
      <c r="E200" s="229"/>
      <c r="F200" s="229"/>
      <c r="G200" s="229"/>
      <c r="H200" s="229"/>
      <c r="I200" s="229"/>
      <c r="J200" s="32" t="s">
        <v>702</v>
      </c>
      <c r="K200" s="1">
        <v>8780000</v>
      </c>
      <c r="L200" s="2">
        <v>44081</v>
      </c>
      <c r="M200" s="32"/>
      <c r="N200" s="32">
        <v>3104680509</v>
      </c>
      <c r="O200" s="51" t="s">
        <v>212</v>
      </c>
      <c r="P200" s="38" t="s">
        <v>703</v>
      </c>
    </row>
    <row r="201" spans="2:16" x14ac:dyDescent="0.25">
      <c r="B201" s="32">
        <v>186</v>
      </c>
      <c r="C201" s="229" t="s">
        <v>1098</v>
      </c>
      <c r="D201" s="229"/>
      <c r="E201" s="229"/>
      <c r="F201" s="229"/>
      <c r="G201" s="229"/>
      <c r="H201" s="229"/>
      <c r="I201" s="229"/>
      <c r="J201" s="32" t="s">
        <v>747</v>
      </c>
      <c r="K201" s="1">
        <v>3000000</v>
      </c>
      <c r="L201" s="2">
        <v>44083</v>
      </c>
      <c r="M201" s="2" t="s">
        <v>3923</v>
      </c>
      <c r="N201" s="32">
        <v>3175594091</v>
      </c>
      <c r="O201" s="51" t="s">
        <v>496</v>
      </c>
      <c r="P201" s="38" t="s">
        <v>748</v>
      </c>
    </row>
    <row r="202" spans="2:16" x14ac:dyDescent="0.25">
      <c r="B202" s="32">
        <v>187</v>
      </c>
      <c r="C202" s="229" t="s">
        <v>1099</v>
      </c>
      <c r="D202" s="229"/>
      <c r="E202" s="229"/>
      <c r="F202" s="229"/>
      <c r="G202" s="229"/>
      <c r="H202" s="229"/>
      <c r="I202" s="229"/>
      <c r="J202" s="32" t="s">
        <v>1100</v>
      </c>
      <c r="K202" s="1">
        <v>2980000</v>
      </c>
      <c r="L202" s="2">
        <v>44083</v>
      </c>
      <c r="M202" s="32"/>
      <c r="N202" s="32">
        <v>3014188503</v>
      </c>
      <c r="O202" s="51" t="s">
        <v>1101</v>
      </c>
      <c r="P202" s="38" t="s">
        <v>1102</v>
      </c>
    </row>
    <row r="203" spans="2:16" x14ac:dyDescent="0.25">
      <c r="B203" s="32">
        <v>188</v>
      </c>
      <c r="C203" s="229" t="s">
        <v>1103</v>
      </c>
      <c r="D203" s="229"/>
      <c r="E203" s="229"/>
      <c r="F203" s="229"/>
      <c r="G203" s="229"/>
      <c r="H203" s="229"/>
      <c r="I203" s="229"/>
      <c r="J203" s="32" t="s">
        <v>753</v>
      </c>
      <c r="K203" s="1">
        <v>12750000</v>
      </c>
      <c r="L203" s="2">
        <v>44084</v>
      </c>
      <c r="M203" s="32"/>
      <c r="N203" s="32">
        <v>3015421412</v>
      </c>
      <c r="O203" s="30" t="s">
        <v>400</v>
      </c>
      <c r="P203" s="38" t="s">
        <v>1012</v>
      </c>
    </row>
    <row r="204" spans="2:16" x14ac:dyDescent="0.25">
      <c r="B204" s="32">
        <v>189</v>
      </c>
      <c r="C204" s="229" t="s">
        <v>1104</v>
      </c>
      <c r="D204" s="229"/>
      <c r="E204" s="229"/>
      <c r="F204" s="229"/>
      <c r="G204" s="229"/>
      <c r="H204" s="229"/>
      <c r="I204" s="229"/>
      <c r="J204" s="32" t="s">
        <v>1105</v>
      </c>
      <c r="K204" s="1">
        <v>19550000</v>
      </c>
      <c r="L204" s="2">
        <v>44084</v>
      </c>
      <c r="M204" s="32"/>
      <c r="N204" s="32">
        <v>3124592</v>
      </c>
      <c r="O204" s="51" t="s">
        <v>1106</v>
      </c>
      <c r="P204" s="38" t="s">
        <v>1107</v>
      </c>
    </row>
    <row r="205" spans="2:16" x14ac:dyDescent="0.25">
      <c r="B205" s="32">
        <v>190</v>
      </c>
      <c r="C205" s="229" t="s">
        <v>1108</v>
      </c>
      <c r="D205" s="229"/>
      <c r="E205" s="229"/>
      <c r="F205" s="229"/>
      <c r="G205" s="229"/>
      <c r="H205" s="229"/>
      <c r="I205" s="229"/>
      <c r="J205" s="32" t="s">
        <v>1109</v>
      </c>
      <c r="K205" s="1">
        <v>21950000</v>
      </c>
      <c r="L205" s="2">
        <v>44085</v>
      </c>
      <c r="M205" s="32"/>
      <c r="N205" s="32">
        <v>3002568154</v>
      </c>
      <c r="O205" s="51" t="s">
        <v>1110</v>
      </c>
      <c r="P205" s="38" t="s">
        <v>1111</v>
      </c>
    </row>
    <row r="206" spans="2:16" x14ac:dyDescent="0.25">
      <c r="B206" s="32">
        <v>191</v>
      </c>
      <c r="C206" s="229" t="s">
        <v>1112</v>
      </c>
      <c r="D206" s="229"/>
      <c r="E206" s="229"/>
      <c r="F206" s="229"/>
      <c r="G206" s="229"/>
      <c r="H206" s="229"/>
      <c r="I206" s="229"/>
      <c r="J206" s="32" t="s">
        <v>705</v>
      </c>
      <c r="K206" s="1">
        <v>14170000</v>
      </c>
      <c r="L206" s="2">
        <v>44085</v>
      </c>
      <c r="M206" s="32"/>
      <c r="N206" s="32">
        <v>3014487912</v>
      </c>
      <c r="O206" s="51" t="s">
        <v>706</v>
      </c>
      <c r="P206" s="38" t="s">
        <v>707</v>
      </c>
    </row>
    <row r="207" spans="2:16" x14ac:dyDescent="0.25">
      <c r="B207" s="32">
        <v>192</v>
      </c>
      <c r="C207" s="229" t="s">
        <v>1113</v>
      </c>
      <c r="D207" s="229"/>
      <c r="E207" s="229"/>
      <c r="F207" s="229"/>
      <c r="G207" s="229"/>
      <c r="H207" s="229"/>
      <c r="I207" s="229"/>
      <c r="J207" s="32" t="s">
        <v>861</v>
      </c>
      <c r="K207" s="1">
        <v>13550000</v>
      </c>
      <c r="L207" s="2">
        <v>44085</v>
      </c>
      <c r="M207" s="32"/>
      <c r="N207" s="32">
        <v>3104139821</v>
      </c>
      <c r="O207" s="51" t="s">
        <v>340</v>
      </c>
      <c r="P207" s="38" t="s">
        <v>1114</v>
      </c>
    </row>
    <row r="208" spans="2:16" x14ac:dyDescent="0.25">
      <c r="B208" s="32">
        <v>193</v>
      </c>
      <c r="C208" s="229" t="s">
        <v>1115</v>
      </c>
      <c r="D208" s="229"/>
      <c r="E208" s="229"/>
      <c r="F208" s="229"/>
      <c r="G208" s="229"/>
      <c r="H208" s="229"/>
      <c r="I208" s="229"/>
      <c r="J208" s="32" t="s">
        <v>1109</v>
      </c>
      <c r="K208" s="1">
        <v>12295000</v>
      </c>
      <c r="L208" s="2">
        <v>44085</v>
      </c>
      <c r="M208" s="32"/>
      <c r="N208" s="32">
        <v>3002568154</v>
      </c>
      <c r="O208" s="51" t="s">
        <v>1110</v>
      </c>
      <c r="P208" s="38" t="s">
        <v>1111</v>
      </c>
    </row>
    <row r="209" spans="2:16" x14ac:dyDescent="0.25">
      <c r="B209" s="32">
        <v>194</v>
      </c>
      <c r="C209" s="229" t="s">
        <v>1116</v>
      </c>
      <c r="D209" s="229"/>
      <c r="E209" s="229"/>
      <c r="F209" s="229"/>
      <c r="G209" s="229"/>
      <c r="H209" s="229"/>
      <c r="I209" s="229"/>
      <c r="J209" s="32" t="s">
        <v>1117</v>
      </c>
      <c r="K209" s="1">
        <v>9970000</v>
      </c>
      <c r="L209" s="2">
        <v>44086</v>
      </c>
      <c r="M209" s="32"/>
      <c r="N209" s="32">
        <v>3127953566</v>
      </c>
      <c r="O209" s="51" t="s">
        <v>1118</v>
      </c>
      <c r="P209" s="38" t="s">
        <v>1119</v>
      </c>
    </row>
    <row r="210" spans="2:16" x14ac:dyDescent="0.25">
      <c r="B210" s="32">
        <v>195</v>
      </c>
      <c r="C210" s="229" t="s">
        <v>1120</v>
      </c>
      <c r="D210" s="229"/>
      <c r="E210" s="229"/>
      <c r="F210" s="229"/>
      <c r="G210" s="229"/>
      <c r="H210" s="229"/>
      <c r="I210" s="229"/>
      <c r="J210" s="32" t="s">
        <v>1117</v>
      </c>
      <c r="K210" s="1">
        <v>11920000</v>
      </c>
      <c r="L210" s="2">
        <v>44086</v>
      </c>
      <c r="M210" s="32"/>
      <c r="N210" s="32">
        <v>3127953566</v>
      </c>
      <c r="O210" s="51" t="s">
        <v>1118</v>
      </c>
      <c r="P210" s="38" t="s">
        <v>1119</v>
      </c>
    </row>
    <row r="211" spans="2:16" x14ac:dyDescent="0.25">
      <c r="B211" s="32">
        <v>196</v>
      </c>
      <c r="C211" s="229" t="s">
        <v>1121</v>
      </c>
      <c r="D211" s="229"/>
      <c r="E211" s="229"/>
      <c r="F211" s="229"/>
      <c r="G211" s="229"/>
      <c r="H211" s="229"/>
      <c r="I211" s="229"/>
      <c r="J211" s="32" t="s">
        <v>1117</v>
      </c>
      <c r="K211" s="1">
        <v>2710000</v>
      </c>
      <c r="L211" s="2">
        <v>44086</v>
      </c>
      <c r="M211" s="32"/>
      <c r="N211" s="32">
        <v>3127953566</v>
      </c>
      <c r="O211" s="51" t="s">
        <v>1118</v>
      </c>
      <c r="P211" s="38" t="s">
        <v>1119</v>
      </c>
    </row>
    <row r="212" spans="2:16" x14ac:dyDescent="0.25">
      <c r="B212" s="32">
        <v>197</v>
      </c>
      <c r="C212" s="229" t="s">
        <v>1122</v>
      </c>
      <c r="D212" s="229"/>
      <c r="E212" s="229"/>
      <c r="F212" s="229"/>
      <c r="G212" s="229"/>
      <c r="H212" s="229"/>
      <c r="I212" s="229"/>
      <c r="J212" s="32" t="s">
        <v>702</v>
      </c>
      <c r="K212" s="1">
        <v>17940000</v>
      </c>
      <c r="L212" s="2">
        <v>44090</v>
      </c>
      <c r="M212" s="32" t="s">
        <v>3923</v>
      </c>
      <c r="N212" s="32">
        <v>3104680509</v>
      </c>
      <c r="O212" s="51" t="s">
        <v>212</v>
      </c>
      <c r="P212" s="38" t="s">
        <v>703</v>
      </c>
    </row>
    <row r="213" spans="2:16" x14ac:dyDescent="0.25">
      <c r="B213" s="32">
        <v>198</v>
      </c>
      <c r="C213" s="229" t="s">
        <v>1123</v>
      </c>
      <c r="D213" s="229"/>
      <c r="E213" s="229"/>
      <c r="F213" s="229"/>
      <c r="G213" s="229"/>
      <c r="H213" s="229"/>
      <c r="I213" s="229"/>
      <c r="J213" s="32" t="s">
        <v>712</v>
      </c>
      <c r="K213" s="1">
        <v>11915000</v>
      </c>
      <c r="L213" s="2">
        <v>44091</v>
      </c>
      <c r="M213" s="32"/>
      <c r="N213" s="32">
        <v>3137851941</v>
      </c>
      <c r="O213" s="51" t="s">
        <v>192</v>
      </c>
      <c r="P213" s="38" t="s">
        <v>713</v>
      </c>
    </row>
    <row r="214" spans="2:16" x14ac:dyDescent="0.25">
      <c r="B214" s="32">
        <v>199</v>
      </c>
      <c r="C214" s="229" t="s">
        <v>1124</v>
      </c>
      <c r="D214" s="229"/>
      <c r="E214" s="229"/>
      <c r="F214" s="229"/>
      <c r="G214" s="229"/>
      <c r="H214" s="229"/>
      <c r="I214" s="229"/>
      <c r="J214" s="32" t="s">
        <v>1125</v>
      </c>
      <c r="K214" s="1">
        <v>1250000</v>
      </c>
      <c r="L214" s="2">
        <v>44091</v>
      </c>
      <c r="M214" s="2" t="s">
        <v>3923</v>
      </c>
      <c r="N214" s="32">
        <v>3232937740</v>
      </c>
      <c r="O214" s="51" t="s">
        <v>1126</v>
      </c>
      <c r="P214" s="38" t="s">
        <v>1127</v>
      </c>
    </row>
    <row r="215" spans="2:16" x14ac:dyDescent="0.25">
      <c r="B215" s="32">
        <v>200</v>
      </c>
      <c r="C215" s="229" t="s">
        <v>1128</v>
      </c>
      <c r="D215" s="229"/>
      <c r="E215" s="229"/>
      <c r="F215" s="229"/>
      <c r="G215" s="229"/>
      <c r="H215" s="229"/>
      <c r="I215" s="229"/>
      <c r="J215" s="32" t="s">
        <v>1129</v>
      </c>
      <c r="K215" s="1">
        <v>1000000</v>
      </c>
      <c r="L215" s="2">
        <v>44092</v>
      </c>
      <c r="M215" s="32"/>
      <c r="N215" s="32">
        <v>3147537411</v>
      </c>
      <c r="O215" s="51" t="s">
        <v>1130</v>
      </c>
      <c r="P215" s="38" t="s">
        <v>1131</v>
      </c>
    </row>
    <row r="216" spans="2:16" x14ac:dyDescent="0.25">
      <c r="B216" s="32">
        <v>201</v>
      </c>
      <c r="C216" s="229" t="s">
        <v>1123</v>
      </c>
      <c r="D216" s="229"/>
      <c r="E216" s="229"/>
      <c r="F216" s="229"/>
      <c r="G216" s="229"/>
      <c r="H216" s="229"/>
      <c r="I216" s="229"/>
      <c r="J216" s="32" t="s">
        <v>1132</v>
      </c>
      <c r="K216" s="1">
        <v>12915000</v>
      </c>
      <c r="L216" s="2">
        <v>44096</v>
      </c>
      <c r="M216" s="32"/>
      <c r="N216" s="32" t="s">
        <v>1133</v>
      </c>
      <c r="O216" s="51" t="s">
        <v>1134</v>
      </c>
      <c r="P216" s="38" t="s">
        <v>1135</v>
      </c>
    </row>
    <row r="217" spans="2:16" x14ac:dyDescent="0.25">
      <c r="B217" s="32">
        <v>202</v>
      </c>
      <c r="C217" s="229" t="s">
        <v>1136</v>
      </c>
      <c r="D217" s="229"/>
      <c r="E217" s="229"/>
      <c r="F217" s="229"/>
      <c r="G217" s="229"/>
      <c r="H217" s="229"/>
      <c r="I217" s="229"/>
      <c r="J217" s="32" t="s">
        <v>747</v>
      </c>
      <c r="K217" s="1"/>
      <c r="L217" s="2">
        <v>44097</v>
      </c>
      <c r="M217" s="32"/>
      <c r="N217" s="32">
        <v>3175594091</v>
      </c>
      <c r="O217" s="51" t="s">
        <v>496</v>
      </c>
      <c r="P217" s="38" t="s">
        <v>748</v>
      </c>
    </row>
    <row r="218" spans="2:16" x14ac:dyDescent="0.25">
      <c r="B218" s="32">
        <v>203</v>
      </c>
      <c r="C218" s="229" t="s">
        <v>1137</v>
      </c>
      <c r="D218" s="229"/>
      <c r="E218" s="229"/>
      <c r="F218" s="229"/>
      <c r="G218" s="229"/>
      <c r="H218" s="229"/>
      <c r="I218" s="229"/>
      <c r="J218" s="32" t="s">
        <v>747</v>
      </c>
      <c r="K218" s="1"/>
      <c r="L218" s="2">
        <v>44097</v>
      </c>
      <c r="M218" s="32"/>
      <c r="N218" s="32">
        <v>3175594091</v>
      </c>
      <c r="O218" s="51" t="s">
        <v>496</v>
      </c>
      <c r="P218" s="38" t="s">
        <v>748</v>
      </c>
    </row>
    <row r="219" spans="2:16" x14ac:dyDescent="0.25">
      <c r="B219" s="32">
        <v>204</v>
      </c>
      <c r="C219" s="229" t="s">
        <v>1138</v>
      </c>
      <c r="D219" s="229"/>
      <c r="E219" s="229"/>
      <c r="F219" s="229"/>
      <c r="G219" s="229"/>
      <c r="H219" s="229"/>
      <c r="I219" s="229"/>
      <c r="J219" s="32" t="s">
        <v>1139</v>
      </c>
      <c r="K219" s="1">
        <v>2655000</v>
      </c>
      <c r="L219" s="2">
        <v>44097</v>
      </c>
      <c r="M219" s="32"/>
      <c r="N219" s="32">
        <v>3054681214</v>
      </c>
      <c r="O219" s="51" t="s">
        <v>673</v>
      </c>
      <c r="P219" s="38" t="s">
        <v>1140</v>
      </c>
    </row>
    <row r="220" spans="2:16" x14ac:dyDescent="0.25">
      <c r="B220" s="32">
        <v>205</v>
      </c>
      <c r="C220" s="229" t="s">
        <v>1141</v>
      </c>
      <c r="D220" s="229"/>
      <c r="E220" s="229"/>
      <c r="F220" s="229"/>
      <c r="G220" s="229"/>
      <c r="H220" s="229"/>
      <c r="I220" s="229"/>
      <c r="J220" s="32" t="s">
        <v>1142</v>
      </c>
      <c r="K220" s="1">
        <v>2500000</v>
      </c>
      <c r="L220" s="2">
        <v>44097</v>
      </c>
      <c r="M220" s="2" t="s">
        <v>3923</v>
      </c>
      <c r="N220" s="32">
        <v>3108945703</v>
      </c>
      <c r="O220" s="51" t="s">
        <v>1143</v>
      </c>
      <c r="P220" s="38" t="s">
        <v>1144</v>
      </c>
    </row>
    <row r="221" spans="2:16" x14ac:dyDescent="0.25">
      <c r="B221" s="32">
        <v>206</v>
      </c>
      <c r="C221" s="229" t="s">
        <v>1145</v>
      </c>
      <c r="D221" s="229"/>
      <c r="E221" s="229"/>
      <c r="F221" s="229"/>
      <c r="G221" s="229"/>
      <c r="H221" s="229"/>
      <c r="I221" s="229"/>
      <c r="J221" s="32" t="s">
        <v>702</v>
      </c>
      <c r="K221" s="1">
        <v>15680000</v>
      </c>
      <c r="L221" s="2">
        <v>44097</v>
      </c>
      <c r="M221" s="32"/>
      <c r="N221" s="32">
        <v>3104680509</v>
      </c>
      <c r="O221" s="51" t="s">
        <v>212</v>
      </c>
      <c r="P221" s="38" t="s">
        <v>703</v>
      </c>
    </row>
    <row r="222" spans="2:16" x14ac:dyDescent="0.25">
      <c r="B222" s="32">
        <v>207</v>
      </c>
      <c r="C222" s="229" t="s">
        <v>1146</v>
      </c>
      <c r="D222" s="229"/>
      <c r="E222" s="229"/>
      <c r="F222" s="229"/>
      <c r="G222" s="229"/>
      <c r="H222" s="229"/>
      <c r="I222" s="229"/>
      <c r="J222" s="32" t="s">
        <v>1147</v>
      </c>
      <c r="K222" s="1">
        <v>1630000</v>
      </c>
      <c r="L222" s="2">
        <v>44098</v>
      </c>
      <c r="M222" s="32" t="s">
        <v>3923</v>
      </c>
      <c r="N222" s="32">
        <v>3108941710</v>
      </c>
      <c r="O222" s="51" t="s">
        <v>1148</v>
      </c>
      <c r="P222" s="38" t="s">
        <v>1149</v>
      </c>
    </row>
    <row r="223" spans="2:16" x14ac:dyDescent="0.25">
      <c r="B223" s="32">
        <v>208</v>
      </c>
      <c r="C223" s="229" t="s">
        <v>1150</v>
      </c>
      <c r="D223" s="229"/>
      <c r="E223" s="229"/>
      <c r="F223" s="229"/>
      <c r="G223" s="229"/>
      <c r="H223" s="229"/>
      <c r="I223" s="229"/>
      <c r="J223" s="32" t="s">
        <v>1151</v>
      </c>
      <c r="K223" s="1">
        <v>2510000</v>
      </c>
      <c r="L223" s="2">
        <v>44099</v>
      </c>
      <c r="M223" s="32" t="s">
        <v>3923</v>
      </c>
      <c r="N223" s="32">
        <v>3012098026</v>
      </c>
      <c r="O223" s="51" t="s">
        <v>1152</v>
      </c>
      <c r="P223" s="38" t="s">
        <v>1153</v>
      </c>
    </row>
    <row r="224" spans="2:16" x14ac:dyDescent="0.25">
      <c r="B224" s="32">
        <v>209</v>
      </c>
      <c r="C224" s="229" t="s">
        <v>1154</v>
      </c>
      <c r="D224" s="229"/>
      <c r="E224" s="229"/>
      <c r="F224" s="229"/>
      <c r="G224" s="229"/>
      <c r="H224" s="229"/>
      <c r="I224" s="229"/>
      <c r="J224" s="32" t="s">
        <v>1155</v>
      </c>
      <c r="K224" s="1">
        <v>8780000</v>
      </c>
      <c r="L224" s="2">
        <v>44099</v>
      </c>
      <c r="M224" s="32"/>
      <c r="N224" s="32">
        <v>3174507524</v>
      </c>
      <c r="O224" s="51" t="s">
        <v>1156</v>
      </c>
      <c r="P224" s="51"/>
    </row>
    <row r="225" spans="2:16" x14ac:dyDescent="0.25">
      <c r="B225" s="32">
        <v>210</v>
      </c>
      <c r="C225" s="229" t="s">
        <v>1157</v>
      </c>
      <c r="D225" s="229"/>
      <c r="E225" s="229"/>
      <c r="F225" s="229"/>
      <c r="G225" s="229"/>
      <c r="H225" s="229"/>
      <c r="I225" s="229"/>
      <c r="J225" s="32" t="s">
        <v>1147</v>
      </c>
      <c r="K225" s="1">
        <v>9480000</v>
      </c>
      <c r="L225" s="2">
        <v>44102</v>
      </c>
      <c r="M225" s="32"/>
      <c r="N225" s="32">
        <v>3108941710</v>
      </c>
      <c r="O225" s="51" t="s">
        <v>1148</v>
      </c>
      <c r="P225" s="38" t="s">
        <v>1149</v>
      </c>
    </row>
    <row r="226" spans="2:16" x14ac:dyDescent="0.25">
      <c r="B226" s="32">
        <v>211</v>
      </c>
      <c r="C226" s="229" t="s">
        <v>1158</v>
      </c>
      <c r="D226" s="229"/>
      <c r="E226" s="229"/>
      <c r="F226" s="229"/>
      <c r="G226" s="229"/>
      <c r="H226" s="229"/>
      <c r="I226" s="229"/>
      <c r="J226" s="32" t="s">
        <v>1159</v>
      </c>
      <c r="K226" s="1">
        <v>8475000</v>
      </c>
      <c r="L226" s="2">
        <v>44105</v>
      </c>
      <c r="M226" s="32"/>
      <c r="N226" s="32">
        <v>3104363438</v>
      </c>
      <c r="O226" s="51" t="s">
        <v>807</v>
      </c>
      <c r="P226" s="38" t="s">
        <v>1160</v>
      </c>
    </row>
    <row r="227" spans="2:16" x14ac:dyDescent="0.25">
      <c r="B227" s="32">
        <v>212</v>
      </c>
      <c r="C227" s="229" t="s">
        <v>1161</v>
      </c>
      <c r="D227" s="229"/>
      <c r="E227" s="229"/>
      <c r="F227" s="229"/>
      <c r="G227" s="229"/>
      <c r="H227" s="229"/>
      <c r="I227" s="229"/>
      <c r="J227" s="32" t="s">
        <v>851</v>
      </c>
      <c r="K227" s="1">
        <v>1885000</v>
      </c>
      <c r="L227" s="2">
        <v>44105</v>
      </c>
      <c r="M227" s="32"/>
      <c r="N227" s="32">
        <v>3206678830</v>
      </c>
      <c r="O227" s="51" t="s">
        <v>284</v>
      </c>
      <c r="P227" s="38" t="s">
        <v>948</v>
      </c>
    </row>
    <row r="228" spans="2:16" x14ac:dyDescent="0.25">
      <c r="B228" s="32">
        <v>213</v>
      </c>
      <c r="C228" s="229" t="s">
        <v>1162</v>
      </c>
      <c r="D228" s="229"/>
      <c r="E228" s="229"/>
      <c r="F228" s="229"/>
      <c r="G228" s="229"/>
      <c r="H228" s="229"/>
      <c r="I228" s="229"/>
      <c r="J228" s="32" t="s">
        <v>1163</v>
      </c>
      <c r="K228" s="1">
        <v>3990000</v>
      </c>
      <c r="L228" s="2">
        <v>44107</v>
      </c>
      <c r="M228" s="32"/>
      <c r="N228" s="32" t="s">
        <v>1164</v>
      </c>
      <c r="O228" s="51" t="s">
        <v>1165</v>
      </c>
      <c r="P228" s="38" t="s">
        <v>1166</v>
      </c>
    </row>
    <row r="229" spans="2:16" x14ac:dyDescent="0.25">
      <c r="B229" s="32">
        <v>214</v>
      </c>
      <c r="C229" s="229" t="s">
        <v>1167</v>
      </c>
      <c r="D229" s="229"/>
      <c r="E229" s="229"/>
      <c r="F229" s="229"/>
      <c r="G229" s="229"/>
      <c r="H229" s="229"/>
      <c r="I229" s="229"/>
      <c r="J229" s="32" t="s">
        <v>702</v>
      </c>
      <c r="K229" s="1">
        <v>1880000</v>
      </c>
      <c r="L229" s="2">
        <v>44107</v>
      </c>
      <c r="M229" s="32"/>
      <c r="N229" s="32">
        <v>3104165783</v>
      </c>
      <c r="O229" s="51" t="s">
        <v>242</v>
      </c>
      <c r="P229" s="38" t="s">
        <v>917</v>
      </c>
    </row>
    <row r="230" spans="2:16" x14ac:dyDescent="0.25">
      <c r="B230" s="32">
        <v>215</v>
      </c>
      <c r="C230" s="229" t="s">
        <v>1168</v>
      </c>
      <c r="D230" s="229"/>
      <c r="E230" s="229"/>
      <c r="F230" s="229"/>
      <c r="G230" s="229"/>
      <c r="H230" s="229"/>
      <c r="I230" s="229"/>
      <c r="J230" s="32" t="s">
        <v>712</v>
      </c>
      <c r="K230" s="1">
        <v>800000</v>
      </c>
      <c r="L230" s="2">
        <v>44109</v>
      </c>
      <c r="M230" s="32"/>
      <c r="N230" s="32">
        <v>3137851941</v>
      </c>
      <c r="O230" s="51" t="s">
        <v>192</v>
      </c>
      <c r="P230" s="38" t="s">
        <v>713</v>
      </c>
    </row>
    <row r="231" spans="2:16" x14ac:dyDescent="0.25">
      <c r="B231" s="32">
        <v>216</v>
      </c>
      <c r="C231" s="229" t="s">
        <v>1169</v>
      </c>
      <c r="D231" s="229"/>
      <c r="E231" s="229"/>
      <c r="F231" s="229"/>
      <c r="G231" s="229"/>
      <c r="H231" s="229"/>
      <c r="I231" s="229"/>
      <c r="J231" s="32" t="s">
        <v>1170</v>
      </c>
      <c r="K231" s="1">
        <v>9970000</v>
      </c>
      <c r="L231" s="2">
        <v>44111</v>
      </c>
      <c r="M231" s="32"/>
      <c r="N231" s="32">
        <v>3232764525</v>
      </c>
      <c r="O231" s="51" t="s">
        <v>1171</v>
      </c>
      <c r="P231" s="38" t="s">
        <v>1172</v>
      </c>
    </row>
    <row r="232" spans="2:16" x14ac:dyDescent="0.25">
      <c r="B232" s="32">
        <v>217</v>
      </c>
      <c r="C232" s="229" t="s">
        <v>1173</v>
      </c>
      <c r="D232" s="229"/>
      <c r="E232" s="229"/>
      <c r="F232" s="229"/>
      <c r="G232" s="229"/>
      <c r="H232" s="229"/>
      <c r="I232" s="229"/>
      <c r="J232" s="32" t="s">
        <v>702</v>
      </c>
      <c r="K232" s="1">
        <v>9970000</v>
      </c>
      <c r="L232" s="2">
        <v>44111</v>
      </c>
      <c r="M232" s="32"/>
      <c r="N232" s="32">
        <v>3104165783</v>
      </c>
      <c r="O232" s="51" t="s">
        <v>242</v>
      </c>
      <c r="P232" s="38" t="s">
        <v>917</v>
      </c>
    </row>
    <row r="233" spans="2:16" x14ac:dyDescent="0.25">
      <c r="B233" s="32">
        <v>218</v>
      </c>
      <c r="C233" s="229" t="s">
        <v>1174</v>
      </c>
      <c r="D233" s="229"/>
      <c r="E233" s="229"/>
      <c r="F233" s="229"/>
      <c r="G233" s="229"/>
      <c r="H233" s="229"/>
      <c r="I233" s="229"/>
      <c r="J233" s="32" t="s">
        <v>712</v>
      </c>
      <c r="K233" s="1">
        <v>600000</v>
      </c>
      <c r="L233" s="2">
        <v>44112</v>
      </c>
      <c r="M233" s="2" t="s">
        <v>3923</v>
      </c>
      <c r="N233" s="32">
        <v>3137851941</v>
      </c>
      <c r="O233" s="51" t="s">
        <v>192</v>
      </c>
      <c r="P233" s="38" t="s">
        <v>713</v>
      </c>
    </row>
    <row r="234" spans="2:16" x14ac:dyDescent="0.25">
      <c r="B234" s="32">
        <v>219</v>
      </c>
      <c r="C234" s="229" t="s">
        <v>1175</v>
      </c>
      <c r="D234" s="229"/>
      <c r="E234" s="229"/>
      <c r="F234" s="229"/>
      <c r="G234" s="229"/>
      <c r="H234" s="229"/>
      <c r="I234" s="229"/>
      <c r="J234" s="32" t="s">
        <v>712</v>
      </c>
      <c r="K234" s="1">
        <v>900000</v>
      </c>
      <c r="L234" s="2">
        <v>44112</v>
      </c>
      <c r="M234" s="2" t="s">
        <v>3923</v>
      </c>
      <c r="N234" s="32">
        <v>3137851941</v>
      </c>
      <c r="O234" s="51" t="s">
        <v>192</v>
      </c>
      <c r="P234" s="38" t="s">
        <v>713</v>
      </c>
    </row>
    <row r="235" spans="2:16" x14ac:dyDescent="0.25">
      <c r="B235" s="32">
        <v>220</v>
      </c>
      <c r="C235" s="229" t="s">
        <v>1176</v>
      </c>
      <c r="D235" s="229"/>
      <c r="E235" s="229"/>
      <c r="F235" s="229"/>
      <c r="G235" s="229"/>
      <c r="H235" s="229"/>
      <c r="I235" s="229"/>
      <c r="J235" s="32" t="s">
        <v>1177</v>
      </c>
      <c r="K235" s="1">
        <v>69750000</v>
      </c>
      <c r="L235" s="2">
        <v>44116</v>
      </c>
      <c r="M235" s="32"/>
      <c r="N235" s="32" t="s">
        <v>1178</v>
      </c>
      <c r="O235" s="51" t="s">
        <v>1179</v>
      </c>
      <c r="P235" s="38" t="s">
        <v>1180</v>
      </c>
    </row>
    <row r="236" spans="2:16" x14ac:dyDescent="0.25">
      <c r="B236" s="32">
        <v>221</v>
      </c>
      <c r="C236" s="229" t="s">
        <v>1181</v>
      </c>
      <c r="D236" s="229"/>
      <c r="E236" s="229"/>
      <c r="F236" s="229"/>
      <c r="G236" s="229"/>
      <c r="H236" s="229"/>
      <c r="I236" s="229"/>
      <c r="J236" s="32" t="s">
        <v>702</v>
      </c>
      <c r="K236" s="1">
        <v>5900000</v>
      </c>
      <c r="L236" s="2">
        <v>44117</v>
      </c>
      <c r="M236" s="32"/>
      <c r="N236" s="32" t="s">
        <v>761</v>
      </c>
      <c r="O236" s="51" t="s">
        <v>578</v>
      </c>
      <c r="P236" s="38" t="s">
        <v>762</v>
      </c>
    </row>
    <row r="237" spans="2:16" x14ac:dyDescent="0.25">
      <c r="B237" s="32">
        <v>222</v>
      </c>
      <c r="C237" s="229" t="s">
        <v>1182</v>
      </c>
      <c r="D237" s="229"/>
      <c r="E237" s="229"/>
      <c r="F237" s="229"/>
      <c r="G237" s="229"/>
      <c r="H237" s="229"/>
      <c r="I237" s="229"/>
      <c r="J237" s="32" t="s">
        <v>702</v>
      </c>
      <c r="K237" s="1">
        <v>20700000</v>
      </c>
      <c r="L237" s="2">
        <v>44117</v>
      </c>
      <c r="M237" s="32"/>
      <c r="N237" s="32">
        <v>3104680509</v>
      </c>
      <c r="O237" s="51" t="s">
        <v>212</v>
      </c>
      <c r="P237" s="38" t="s">
        <v>703</v>
      </c>
    </row>
    <row r="238" spans="2:16" x14ac:dyDescent="0.25">
      <c r="B238" s="32">
        <v>223</v>
      </c>
      <c r="C238" s="229" t="s">
        <v>1183</v>
      </c>
      <c r="D238" s="229"/>
      <c r="E238" s="229"/>
      <c r="F238" s="229"/>
      <c r="G238" s="229"/>
      <c r="H238" s="229"/>
      <c r="I238" s="229"/>
      <c r="J238" s="32" t="s">
        <v>702</v>
      </c>
      <c r="K238" s="1">
        <v>18810000</v>
      </c>
      <c r="L238" s="2">
        <v>44117</v>
      </c>
      <c r="M238" s="32"/>
      <c r="N238" s="32">
        <v>3104680509</v>
      </c>
      <c r="O238" s="51" t="s">
        <v>212</v>
      </c>
      <c r="P238" s="38" t="s">
        <v>703</v>
      </c>
    </row>
    <row r="239" spans="2:16" x14ac:dyDescent="0.25">
      <c r="B239" s="32">
        <v>224</v>
      </c>
      <c r="C239" s="229" t="s">
        <v>1184</v>
      </c>
      <c r="D239" s="229"/>
      <c r="E239" s="229"/>
      <c r="F239" s="229"/>
      <c r="G239" s="229"/>
      <c r="H239" s="229"/>
      <c r="I239" s="229"/>
      <c r="J239" s="32" t="s">
        <v>851</v>
      </c>
      <c r="K239" s="1">
        <v>23900000</v>
      </c>
      <c r="L239" s="2">
        <v>44117</v>
      </c>
      <c r="M239" s="32"/>
      <c r="N239" s="32">
        <v>3206678830</v>
      </c>
      <c r="O239" s="51" t="s">
        <v>284</v>
      </c>
      <c r="P239" s="38" t="s">
        <v>948</v>
      </c>
    </row>
    <row r="240" spans="2:16" x14ac:dyDescent="0.25">
      <c r="B240" s="32">
        <v>225</v>
      </c>
      <c r="C240" s="229" t="s">
        <v>1185</v>
      </c>
      <c r="D240" s="229"/>
      <c r="E240" s="229"/>
      <c r="F240" s="229"/>
      <c r="G240" s="229"/>
      <c r="H240" s="229"/>
      <c r="I240" s="229"/>
      <c r="J240" s="32" t="s">
        <v>851</v>
      </c>
      <c r="K240" s="1">
        <v>17950000</v>
      </c>
      <c r="L240" s="2">
        <v>44117</v>
      </c>
      <c r="M240" s="32"/>
      <c r="N240" s="32">
        <v>3206678830</v>
      </c>
      <c r="O240" s="51" t="s">
        <v>284</v>
      </c>
      <c r="P240" s="38" t="s">
        <v>948</v>
      </c>
    </row>
    <row r="241" spans="2:16" x14ac:dyDescent="0.25">
      <c r="B241" s="32">
        <v>226</v>
      </c>
      <c r="C241" s="229" t="s">
        <v>1186</v>
      </c>
      <c r="D241" s="229"/>
      <c r="E241" s="229"/>
      <c r="F241" s="229"/>
      <c r="G241" s="229"/>
      <c r="H241" s="229"/>
      <c r="I241" s="229"/>
      <c r="J241" s="32" t="s">
        <v>1187</v>
      </c>
      <c r="K241" s="1">
        <v>12510000</v>
      </c>
      <c r="L241" s="2">
        <v>44120</v>
      </c>
      <c r="M241" s="32"/>
      <c r="N241" s="32">
        <v>3174051505</v>
      </c>
      <c r="O241" s="51" t="s">
        <v>1188</v>
      </c>
      <c r="P241" s="38" t="s">
        <v>1189</v>
      </c>
    </row>
    <row r="242" spans="2:16" x14ac:dyDescent="0.25">
      <c r="B242" s="32">
        <v>227</v>
      </c>
      <c r="C242" s="229" t="s">
        <v>1190</v>
      </c>
      <c r="D242" s="229"/>
      <c r="E242" s="229"/>
      <c r="F242" s="229"/>
      <c r="G242" s="229"/>
      <c r="H242" s="229"/>
      <c r="I242" s="229"/>
      <c r="J242" s="32" t="s">
        <v>1187</v>
      </c>
      <c r="K242" s="1">
        <v>9420000</v>
      </c>
      <c r="L242" s="2">
        <v>44120</v>
      </c>
      <c r="M242" s="32"/>
      <c r="N242" s="32">
        <v>3174051505</v>
      </c>
      <c r="O242" s="51" t="s">
        <v>1188</v>
      </c>
      <c r="P242" s="38" t="s">
        <v>1189</v>
      </c>
    </row>
    <row r="243" spans="2:16" x14ac:dyDescent="0.25">
      <c r="B243" s="32">
        <v>228</v>
      </c>
      <c r="C243" s="229" t="s">
        <v>1191</v>
      </c>
      <c r="D243" s="229"/>
      <c r="E243" s="229"/>
      <c r="F243" s="229"/>
      <c r="G243" s="229"/>
      <c r="H243" s="229"/>
      <c r="I243" s="229"/>
      <c r="J243" s="32" t="s">
        <v>702</v>
      </c>
      <c r="K243" s="1">
        <v>2500000</v>
      </c>
      <c r="L243" s="2">
        <v>44120</v>
      </c>
      <c r="M243" s="2" t="s">
        <v>3923</v>
      </c>
      <c r="N243" s="32">
        <v>3137546144</v>
      </c>
      <c r="O243" s="51" t="s">
        <v>186</v>
      </c>
      <c r="P243" s="38" t="s">
        <v>740</v>
      </c>
    </row>
    <row r="244" spans="2:16" x14ac:dyDescent="0.25">
      <c r="B244" s="32">
        <v>229</v>
      </c>
      <c r="C244" s="229" t="s">
        <v>1192</v>
      </c>
      <c r="D244" s="229"/>
      <c r="E244" s="229"/>
      <c r="F244" s="229"/>
      <c r="G244" s="229"/>
      <c r="H244" s="229"/>
      <c r="I244" s="229"/>
      <c r="J244" s="32" t="s">
        <v>823</v>
      </c>
      <c r="K244" s="1">
        <v>1000000</v>
      </c>
      <c r="L244" s="2">
        <v>44123</v>
      </c>
      <c r="M244" s="32" t="s">
        <v>3923</v>
      </c>
      <c r="N244" s="32" t="s">
        <v>1055</v>
      </c>
      <c r="O244" s="51" t="s">
        <v>824</v>
      </c>
      <c r="P244" s="38" t="s">
        <v>1193</v>
      </c>
    </row>
    <row r="245" spans="2:16" x14ac:dyDescent="0.25">
      <c r="B245" s="32">
        <v>230</v>
      </c>
      <c r="C245" s="229" t="s">
        <v>1194</v>
      </c>
      <c r="D245" s="229"/>
      <c r="E245" s="229"/>
      <c r="F245" s="229"/>
      <c r="G245" s="229"/>
      <c r="H245" s="229"/>
      <c r="I245" s="229"/>
      <c r="J245" s="32" t="s">
        <v>851</v>
      </c>
      <c r="K245" s="1">
        <v>3500000</v>
      </c>
      <c r="L245" s="2">
        <v>44124</v>
      </c>
      <c r="M245" s="32"/>
      <c r="N245" s="32">
        <v>3206678830</v>
      </c>
      <c r="O245" s="51" t="s">
        <v>284</v>
      </c>
      <c r="P245" s="38" t="s">
        <v>948</v>
      </c>
    </row>
    <row r="246" spans="2:16" x14ac:dyDescent="0.25">
      <c r="B246" s="32">
        <v>231</v>
      </c>
      <c r="C246" s="229" t="s">
        <v>1195</v>
      </c>
      <c r="D246" s="229"/>
      <c r="E246" s="229"/>
      <c r="F246" s="229"/>
      <c r="G246" s="229"/>
      <c r="H246" s="229"/>
      <c r="I246" s="229"/>
      <c r="J246" s="32" t="s">
        <v>702</v>
      </c>
      <c r="K246" s="1">
        <v>5950000</v>
      </c>
      <c r="L246" s="2">
        <v>44124</v>
      </c>
      <c r="M246" s="32"/>
      <c r="N246" s="32">
        <v>3104680509</v>
      </c>
      <c r="O246" s="51" t="s">
        <v>212</v>
      </c>
      <c r="P246" s="38" t="s">
        <v>703</v>
      </c>
    </row>
    <row r="247" spans="2:16" x14ac:dyDescent="0.25">
      <c r="B247" s="32">
        <v>232</v>
      </c>
      <c r="C247" s="229" t="s">
        <v>1196</v>
      </c>
      <c r="D247" s="229"/>
      <c r="E247" s="229"/>
      <c r="F247" s="229"/>
      <c r="G247" s="229"/>
      <c r="H247" s="229"/>
      <c r="I247" s="229"/>
      <c r="J247" s="32" t="s">
        <v>702</v>
      </c>
      <c r="K247" s="1">
        <v>4890000</v>
      </c>
      <c r="L247" s="2">
        <v>44124</v>
      </c>
      <c r="M247" s="32"/>
      <c r="N247" s="32">
        <v>3104680509</v>
      </c>
      <c r="O247" s="51" t="s">
        <v>212</v>
      </c>
      <c r="P247" s="38" t="s">
        <v>703</v>
      </c>
    </row>
    <row r="248" spans="2:16" x14ac:dyDescent="0.25">
      <c r="B248" s="32">
        <v>233</v>
      </c>
      <c r="C248" s="229" t="s">
        <v>1197</v>
      </c>
      <c r="D248" s="229"/>
      <c r="E248" s="229"/>
      <c r="F248" s="229"/>
      <c r="G248" s="229"/>
      <c r="H248" s="229"/>
      <c r="I248" s="229"/>
      <c r="J248" s="32" t="s">
        <v>1198</v>
      </c>
      <c r="K248" s="1">
        <v>190000</v>
      </c>
      <c r="L248" s="2">
        <v>44124</v>
      </c>
      <c r="M248" s="32" t="s">
        <v>3923</v>
      </c>
      <c r="N248" s="32">
        <v>3053156721</v>
      </c>
      <c r="O248" s="51" t="s">
        <v>1199</v>
      </c>
      <c r="P248" s="38" t="s">
        <v>1200</v>
      </c>
    </row>
    <row r="249" spans="2:16" x14ac:dyDescent="0.25">
      <c r="B249" s="32">
        <v>234</v>
      </c>
      <c r="C249" s="229" t="s">
        <v>1201</v>
      </c>
      <c r="D249" s="229"/>
      <c r="E249" s="229"/>
      <c r="F249" s="229"/>
      <c r="G249" s="229"/>
      <c r="H249" s="229"/>
      <c r="I249" s="229"/>
      <c r="J249" s="32" t="s">
        <v>1202</v>
      </c>
      <c r="K249" s="1">
        <v>3800000</v>
      </c>
      <c r="L249" s="2">
        <v>44125</v>
      </c>
      <c r="M249" s="32"/>
      <c r="N249" s="32">
        <v>3137650118</v>
      </c>
      <c r="O249" s="51" t="s">
        <v>1203</v>
      </c>
      <c r="P249" s="38" t="s">
        <v>1204</v>
      </c>
    </row>
    <row r="250" spans="2:16" x14ac:dyDescent="0.25">
      <c r="B250" s="32">
        <v>235</v>
      </c>
      <c r="C250" s="229" t="s">
        <v>1205</v>
      </c>
      <c r="D250" s="229"/>
      <c r="E250" s="229"/>
      <c r="F250" s="229"/>
      <c r="G250" s="229"/>
      <c r="H250" s="229"/>
      <c r="I250" s="229"/>
      <c r="J250" s="32" t="s">
        <v>702</v>
      </c>
      <c r="K250" s="1">
        <v>1220000</v>
      </c>
      <c r="L250" s="2">
        <v>44127</v>
      </c>
      <c r="M250" s="32"/>
      <c r="N250" s="32">
        <v>3137546144</v>
      </c>
      <c r="O250" s="51" t="s">
        <v>186</v>
      </c>
      <c r="P250" s="38" t="s">
        <v>740</v>
      </c>
    </row>
    <row r="251" spans="2:16" x14ac:dyDescent="0.25">
      <c r="B251" s="32">
        <v>236</v>
      </c>
      <c r="C251" s="229" t="s">
        <v>1206</v>
      </c>
      <c r="D251" s="229"/>
      <c r="E251" s="229"/>
      <c r="F251" s="229"/>
      <c r="G251" s="229"/>
      <c r="H251" s="229"/>
      <c r="I251" s="229"/>
      <c r="J251" s="32" t="s">
        <v>1203</v>
      </c>
      <c r="K251" s="1">
        <v>7500000</v>
      </c>
      <c r="L251" s="2">
        <v>44127</v>
      </c>
      <c r="M251" s="32"/>
      <c r="N251" s="32">
        <v>3137650118</v>
      </c>
      <c r="O251" s="51" t="s">
        <v>1203</v>
      </c>
      <c r="P251" s="38" t="s">
        <v>1204</v>
      </c>
    </row>
    <row r="252" spans="2:16" x14ac:dyDescent="0.25">
      <c r="B252" s="32">
        <v>237</v>
      </c>
      <c r="C252" s="229" t="s">
        <v>1207</v>
      </c>
      <c r="D252" s="229"/>
      <c r="E252" s="229"/>
      <c r="F252" s="229"/>
      <c r="G252" s="229"/>
      <c r="H252" s="229"/>
      <c r="I252" s="229"/>
      <c r="J252" s="32" t="s">
        <v>1208</v>
      </c>
      <c r="K252" s="1">
        <v>13170000</v>
      </c>
      <c r="L252" s="2">
        <v>44127</v>
      </c>
      <c r="M252" s="32" t="s">
        <v>3923</v>
      </c>
      <c r="N252" s="32">
        <v>3003402133</v>
      </c>
      <c r="O252" s="51" t="s">
        <v>1209</v>
      </c>
      <c r="P252" s="38" t="s">
        <v>1210</v>
      </c>
    </row>
    <row r="253" spans="2:16" x14ac:dyDescent="0.25">
      <c r="B253" s="32">
        <v>238</v>
      </c>
      <c r="C253" s="229" t="s">
        <v>1211</v>
      </c>
      <c r="D253" s="229"/>
      <c r="E253" s="229"/>
      <c r="F253" s="229"/>
      <c r="G253" s="229"/>
      <c r="H253" s="229"/>
      <c r="I253" s="229"/>
      <c r="J253" s="32" t="s">
        <v>702</v>
      </c>
      <c r="K253" s="1">
        <v>7900000</v>
      </c>
      <c r="L253" s="2">
        <v>44127</v>
      </c>
      <c r="M253" s="32"/>
      <c r="N253" s="32">
        <v>3104680509</v>
      </c>
      <c r="O253" s="51" t="s">
        <v>212</v>
      </c>
      <c r="P253" s="38" t="s">
        <v>703</v>
      </c>
    </row>
    <row r="254" spans="2:16" x14ac:dyDescent="0.25">
      <c r="B254" s="32">
        <v>239</v>
      </c>
      <c r="C254" s="229" t="s">
        <v>1212</v>
      </c>
      <c r="D254" s="229"/>
      <c r="E254" s="229"/>
      <c r="F254" s="229"/>
      <c r="G254" s="229"/>
      <c r="H254" s="229"/>
      <c r="I254" s="229"/>
      <c r="J254" s="32" t="s">
        <v>1142</v>
      </c>
      <c r="K254" s="1">
        <v>3950000</v>
      </c>
      <c r="L254" s="2">
        <v>44130</v>
      </c>
      <c r="M254" s="2"/>
      <c r="N254" s="32">
        <v>3108945703</v>
      </c>
      <c r="O254" s="51" t="s">
        <v>1143</v>
      </c>
      <c r="P254" s="38" t="s">
        <v>1144</v>
      </c>
    </row>
    <row r="255" spans="2:16" x14ac:dyDescent="0.25">
      <c r="B255" s="32">
        <v>240</v>
      </c>
      <c r="C255" s="229" t="s">
        <v>1213</v>
      </c>
      <c r="D255" s="229"/>
      <c r="E255" s="229"/>
      <c r="F255" s="229"/>
      <c r="G255" s="229"/>
      <c r="H255" s="229"/>
      <c r="I255" s="229"/>
      <c r="J255" s="32" t="s">
        <v>747</v>
      </c>
      <c r="K255" s="1">
        <v>3135000</v>
      </c>
      <c r="L255" s="2">
        <v>44131</v>
      </c>
      <c r="M255" s="32"/>
      <c r="N255" s="32">
        <v>3016010978</v>
      </c>
      <c r="O255" s="51" t="s">
        <v>1214</v>
      </c>
      <c r="P255" s="38" t="s">
        <v>1215</v>
      </c>
    </row>
    <row r="256" spans="2:16" x14ac:dyDescent="0.25">
      <c r="B256" s="32">
        <v>241</v>
      </c>
      <c r="C256" s="229" t="s">
        <v>1216</v>
      </c>
      <c r="D256" s="229"/>
      <c r="E256" s="229"/>
      <c r="F256" s="229"/>
      <c r="G256" s="229"/>
      <c r="H256" s="229"/>
      <c r="I256" s="229"/>
      <c r="J256" s="32" t="s">
        <v>747</v>
      </c>
      <c r="K256" s="1">
        <v>27900000</v>
      </c>
      <c r="L256" s="2">
        <v>44131</v>
      </c>
      <c r="M256" s="2" t="s">
        <v>3923</v>
      </c>
      <c r="N256" s="32">
        <v>3175594091</v>
      </c>
      <c r="O256" s="51" t="s">
        <v>496</v>
      </c>
      <c r="P256" s="38" t="s">
        <v>748</v>
      </c>
    </row>
    <row r="257" spans="2:16" x14ac:dyDescent="0.25">
      <c r="B257" s="32">
        <v>242</v>
      </c>
      <c r="C257" s="229" t="s">
        <v>1217</v>
      </c>
      <c r="D257" s="229"/>
      <c r="E257" s="229"/>
      <c r="F257" s="229"/>
      <c r="G257" s="229"/>
      <c r="H257" s="229"/>
      <c r="I257" s="229"/>
      <c r="J257" s="32" t="s">
        <v>1218</v>
      </c>
      <c r="K257" s="1">
        <v>6850000</v>
      </c>
      <c r="L257" s="2">
        <v>44132</v>
      </c>
      <c r="M257" s="32"/>
      <c r="N257" s="32" t="s">
        <v>1219</v>
      </c>
      <c r="O257" s="51" t="s">
        <v>1220</v>
      </c>
      <c r="P257" s="38" t="s">
        <v>1221</v>
      </c>
    </row>
    <row r="258" spans="2:16" x14ac:dyDescent="0.25">
      <c r="B258" s="32">
        <v>243</v>
      </c>
      <c r="C258" s="229" t="s">
        <v>1222</v>
      </c>
      <c r="D258" s="229"/>
      <c r="E258" s="229"/>
      <c r="F258" s="229"/>
      <c r="G258" s="229"/>
      <c r="H258" s="229"/>
      <c r="I258" s="229"/>
      <c r="J258" s="32" t="s">
        <v>1223</v>
      </c>
      <c r="K258" s="1">
        <v>9980000</v>
      </c>
      <c r="L258" s="2">
        <v>44133</v>
      </c>
      <c r="M258" s="32"/>
      <c r="N258" s="32">
        <v>3006567517</v>
      </c>
      <c r="O258" s="51" t="s">
        <v>1224</v>
      </c>
      <c r="P258" s="38" t="s">
        <v>1225</v>
      </c>
    </row>
    <row r="259" spans="2:16" x14ac:dyDescent="0.25">
      <c r="B259" s="32">
        <v>244</v>
      </c>
      <c r="C259" s="229" t="s">
        <v>1226</v>
      </c>
      <c r="D259" s="229"/>
      <c r="E259" s="229"/>
      <c r="F259" s="229"/>
      <c r="G259" s="229"/>
      <c r="H259" s="229"/>
      <c r="I259" s="229"/>
      <c r="J259" s="32" t="s">
        <v>1227</v>
      </c>
      <c r="K259" s="1">
        <v>5900000</v>
      </c>
      <c r="L259" s="2">
        <v>44133</v>
      </c>
      <c r="M259" s="32" t="s">
        <v>3923</v>
      </c>
      <c r="N259" s="32">
        <v>3155457303</v>
      </c>
      <c r="O259" s="51" t="s">
        <v>1228</v>
      </c>
      <c r="P259" s="38" t="s">
        <v>1229</v>
      </c>
    </row>
    <row r="260" spans="2:16" x14ac:dyDescent="0.25">
      <c r="B260" s="32">
        <v>245</v>
      </c>
      <c r="C260" s="229" t="s">
        <v>1230</v>
      </c>
      <c r="D260" s="229"/>
      <c r="E260" s="229"/>
      <c r="F260" s="229"/>
      <c r="G260" s="229"/>
      <c r="H260" s="229"/>
      <c r="I260" s="229"/>
      <c r="J260" s="32" t="s">
        <v>1231</v>
      </c>
      <c r="K260" s="1">
        <v>4950000</v>
      </c>
      <c r="L260" s="2">
        <v>44133</v>
      </c>
      <c r="M260" s="32"/>
      <c r="N260" s="32">
        <v>3205630192</v>
      </c>
      <c r="O260" s="51" t="s">
        <v>1232</v>
      </c>
      <c r="P260" s="38" t="s">
        <v>1233</v>
      </c>
    </row>
    <row r="261" spans="2:16" x14ac:dyDescent="0.25">
      <c r="B261" s="32">
        <v>246</v>
      </c>
      <c r="C261" s="229" t="s">
        <v>1234</v>
      </c>
      <c r="D261" s="229"/>
      <c r="E261" s="229"/>
      <c r="F261" s="229"/>
      <c r="G261" s="229"/>
      <c r="H261" s="229"/>
      <c r="I261" s="229"/>
      <c r="J261" s="32" t="s">
        <v>702</v>
      </c>
      <c r="K261" s="1">
        <v>6770000</v>
      </c>
      <c r="L261" s="2">
        <v>44135</v>
      </c>
      <c r="M261" s="32"/>
      <c r="N261" s="32">
        <v>3137546144</v>
      </c>
      <c r="O261" s="51" t="s">
        <v>186</v>
      </c>
      <c r="P261" s="38" t="s">
        <v>740</v>
      </c>
    </row>
    <row r="262" spans="2:16" x14ac:dyDescent="0.25">
      <c r="B262" s="32">
        <v>247</v>
      </c>
      <c r="C262" s="229" t="s">
        <v>1235</v>
      </c>
      <c r="D262" s="229"/>
      <c r="E262" s="229"/>
      <c r="F262" s="229"/>
      <c r="G262" s="229"/>
      <c r="H262" s="229"/>
      <c r="I262" s="229"/>
      <c r="J262" s="32" t="s">
        <v>753</v>
      </c>
      <c r="K262" s="1">
        <v>4950000</v>
      </c>
      <c r="L262" s="2">
        <v>44139</v>
      </c>
      <c r="M262" s="32"/>
      <c r="N262" s="32">
        <v>3015421412</v>
      </c>
      <c r="O262" s="51" t="s">
        <v>745</v>
      </c>
      <c r="P262" s="38" t="s">
        <v>1012</v>
      </c>
    </row>
    <row r="263" spans="2:16" x14ac:dyDescent="0.25">
      <c r="B263" s="32">
        <v>248</v>
      </c>
      <c r="C263" s="229" t="s">
        <v>1236</v>
      </c>
      <c r="D263" s="229"/>
      <c r="E263" s="229"/>
      <c r="F263" s="229"/>
      <c r="G263" s="229"/>
      <c r="H263" s="229"/>
      <c r="I263" s="229"/>
      <c r="J263" s="32" t="s">
        <v>702</v>
      </c>
      <c r="K263" s="1">
        <v>3950000</v>
      </c>
      <c r="L263" s="2">
        <v>44140</v>
      </c>
      <c r="M263" s="32"/>
      <c r="N263" s="32">
        <v>3103898043</v>
      </c>
      <c r="O263" s="51" t="s">
        <v>1237</v>
      </c>
      <c r="P263" s="38" t="s">
        <v>1238</v>
      </c>
    </row>
    <row r="264" spans="2:16" x14ac:dyDescent="0.25">
      <c r="B264" s="32">
        <v>249</v>
      </c>
      <c r="C264" s="229" t="s">
        <v>1239</v>
      </c>
      <c r="D264" s="229"/>
      <c r="E264" s="229"/>
      <c r="F264" s="229"/>
      <c r="G264" s="229"/>
      <c r="H264" s="229"/>
      <c r="I264" s="229"/>
      <c r="J264" s="32" t="s">
        <v>1240</v>
      </c>
      <c r="K264" s="1">
        <v>5200000</v>
      </c>
      <c r="L264" s="2">
        <v>44141</v>
      </c>
      <c r="M264" s="32"/>
      <c r="N264" s="32">
        <v>3108324371</v>
      </c>
      <c r="O264" s="51" t="s">
        <v>1241</v>
      </c>
      <c r="P264" s="38" t="s">
        <v>1242</v>
      </c>
    </row>
    <row r="265" spans="2:16" x14ac:dyDescent="0.25">
      <c r="B265" s="32">
        <v>250</v>
      </c>
      <c r="C265" s="229" t="s">
        <v>1243</v>
      </c>
      <c r="D265" s="229"/>
      <c r="E265" s="229"/>
      <c r="F265" s="229"/>
      <c r="G265" s="229"/>
      <c r="H265" s="229"/>
      <c r="I265" s="229"/>
      <c r="J265" s="32" t="s">
        <v>814</v>
      </c>
      <c r="K265" s="1">
        <v>12550000</v>
      </c>
      <c r="L265" s="2">
        <v>44141</v>
      </c>
      <c r="M265" s="32"/>
      <c r="N265" s="32" t="s">
        <v>1244</v>
      </c>
      <c r="O265" s="51" t="s">
        <v>342</v>
      </c>
      <c r="P265" s="38" t="s">
        <v>1245</v>
      </c>
    </row>
    <row r="266" spans="2:16" x14ac:dyDescent="0.25">
      <c r="B266" s="32">
        <v>251</v>
      </c>
      <c r="C266" s="229" t="s">
        <v>1246</v>
      </c>
      <c r="D266" s="229"/>
      <c r="E266" s="229"/>
      <c r="F266" s="229"/>
      <c r="G266" s="229"/>
      <c r="H266" s="229"/>
      <c r="I266" s="229"/>
      <c r="J266" s="32" t="s">
        <v>1247</v>
      </c>
      <c r="K266" s="1">
        <v>5850000</v>
      </c>
      <c r="L266" s="2">
        <v>44141</v>
      </c>
      <c r="M266" s="32"/>
      <c r="N266" s="32">
        <v>3155258540</v>
      </c>
      <c r="O266" s="51" t="s">
        <v>1248</v>
      </c>
      <c r="P266" s="38" t="s">
        <v>1249</v>
      </c>
    </row>
    <row r="267" spans="2:16" x14ac:dyDescent="0.25">
      <c r="B267" s="32">
        <v>252</v>
      </c>
      <c r="C267" s="261" t="s">
        <v>1250</v>
      </c>
      <c r="D267" s="261"/>
      <c r="E267" s="261"/>
      <c r="F267" s="261"/>
      <c r="G267" s="261"/>
      <c r="H267" s="261"/>
      <c r="I267" s="261"/>
      <c r="J267" s="37" t="s">
        <v>702</v>
      </c>
      <c r="K267" s="1">
        <v>2500000</v>
      </c>
      <c r="L267" s="2">
        <v>44144</v>
      </c>
      <c r="M267" s="2" t="s">
        <v>3923</v>
      </c>
      <c r="N267" s="32">
        <v>3104165783</v>
      </c>
      <c r="O267" s="51" t="s">
        <v>242</v>
      </c>
      <c r="P267" s="38" t="s">
        <v>917</v>
      </c>
    </row>
    <row r="268" spans="2:16" x14ac:dyDescent="0.25">
      <c r="B268" s="32">
        <v>253</v>
      </c>
      <c r="C268" s="261" t="s">
        <v>1251</v>
      </c>
      <c r="D268" s="261"/>
      <c r="E268" s="261"/>
      <c r="F268" s="261"/>
      <c r="G268" s="261"/>
      <c r="H268" s="261"/>
      <c r="I268" s="261"/>
      <c r="J268" s="37" t="s">
        <v>702</v>
      </c>
      <c r="K268" s="1">
        <v>2500000</v>
      </c>
      <c r="L268" s="2">
        <v>44145</v>
      </c>
      <c r="M268" s="32"/>
      <c r="N268" s="32">
        <v>3104165783</v>
      </c>
      <c r="O268" s="51" t="s">
        <v>242</v>
      </c>
      <c r="P268" s="38" t="s">
        <v>917</v>
      </c>
    </row>
    <row r="269" spans="2:16" x14ac:dyDescent="0.25">
      <c r="B269" s="32">
        <v>254</v>
      </c>
      <c r="C269" s="229" t="s">
        <v>1252</v>
      </c>
      <c r="D269" s="229"/>
      <c r="E269" s="229"/>
      <c r="F269" s="229"/>
      <c r="G269" s="229"/>
      <c r="H269" s="229"/>
      <c r="I269" s="229"/>
      <c r="J269" s="32" t="s">
        <v>758</v>
      </c>
      <c r="K269" s="1">
        <v>3800000</v>
      </c>
      <c r="L269" s="2">
        <v>44145</v>
      </c>
      <c r="M269" s="32"/>
      <c r="N269" s="32" t="s">
        <v>1253</v>
      </c>
      <c r="O269" s="51" t="s">
        <v>1023</v>
      </c>
      <c r="P269" s="38" t="s">
        <v>1024</v>
      </c>
    </row>
    <row r="270" spans="2:16" x14ac:dyDescent="0.25">
      <c r="B270" s="32">
        <v>255</v>
      </c>
      <c r="C270" s="261" t="s">
        <v>1254</v>
      </c>
      <c r="D270" s="261"/>
      <c r="E270" s="261"/>
      <c r="F270" s="261"/>
      <c r="G270" s="261"/>
      <c r="H270" s="261"/>
      <c r="I270" s="261"/>
      <c r="J270" s="37" t="s">
        <v>702</v>
      </c>
      <c r="K270" s="1">
        <v>3900000</v>
      </c>
      <c r="L270" s="2">
        <v>44145</v>
      </c>
      <c r="M270" s="32"/>
      <c r="N270" s="32">
        <v>3104165783</v>
      </c>
      <c r="O270" s="51" t="s">
        <v>242</v>
      </c>
      <c r="P270" s="38" t="s">
        <v>917</v>
      </c>
    </row>
    <row r="271" spans="2:16" x14ac:dyDescent="0.25">
      <c r="B271" s="32">
        <v>256</v>
      </c>
      <c r="C271" s="229" t="s">
        <v>1255</v>
      </c>
      <c r="D271" s="229"/>
      <c r="E271" s="229"/>
      <c r="F271" s="229"/>
      <c r="G271" s="229"/>
      <c r="H271" s="229"/>
      <c r="I271" s="229"/>
      <c r="J271" s="32" t="s">
        <v>702</v>
      </c>
      <c r="K271" s="1">
        <v>11305000</v>
      </c>
      <c r="L271" s="2">
        <v>44146</v>
      </c>
      <c r="M271" s="32"/>
      <c r="N271" s="32">
        <v>3137546144</v>
      </c>
      <c r="O271" s="51" t="s">
        <v>186</v>
      </c>
      <c r="P271" s="38" t="s">
        <v>740</v>
      </c>
    </row>
    <row r="272" spans="2:16" x14ac:dyDescent="0.25">
      <c r="B272" s="32">
        <v>257</v>
      </c>
      <c r="C272" s="229" t="s">
        <v>1256</v>
      </c>
      <c r="D272" s="229"/>
      <c r="E272" s="229"/>
      <c r="F272" s="229"/>
      <c r="G272" s="229"/>
      <c r="H272" s="229"/>
      <c r="I272" s="229"/>
      <c r="J272" s="32" t="s">
        <v>702</v>
      </c>
      <c r="K272" s="1">
        <v>5520000</v>
      </c>
      <c r="L272" s="2">
        <v>44146</v>
      </c>
      <c r="M272" s="32"/>
      <c r="N272" s="32">
        <v>3104203649</v>
      </c>
      <c r="O272" s="51" t="s">
        <v>1257</v>
      </c>
      <c r="P272" s="38" t="s">
        <v>1258</v>
      </c>
    </row>
    <row r="273" spans="2:16" x14ac:dyDescent="0.25">
      <c r="B273" s="32">
        <v>258</v>
      </c>
      <c r="C273" s="229" t="s">
        <v>1259</v>
      </c>
      <c r="D273" s="229"/>
      <c r="E273" s="229"/>
      <c r="F273" s="229"/>
      <c r="G273" s="229"/>
      <c r="H273" s="229"/>
      <c r="I273" s="229"/>
      <c r="J273" s="32" t="s">
        <v>712</v>
      </c>
      <c r="K273" s="1">
        <v>600000</v>
      </c>
      <c r="L273" s="2">
        <v>44147</v>
      </c>
      <c r="M273" s="2"/>
      <c r="N273" s="32">
        <v>3168343581</v>
      </c>
      <c r="O273" s="51" t="s">
        <v>1046</v>
      </c>
      <c r="P273" s="38" t="s">
        <v>1047</v>
      </c>
    </row>
    <row r="274" spans="2:16" x14ac:dyDescent="0.25">
      <c r="B274" s="32">
        <v>259</v>
      </c>
      <c r="C274" s="229" t="s">
        <v>1260</v>
      </c>
      <c r="D274" s="229"/>
      <c r="E274" s="229"/>
      <c r="F274" s="229"/>
      <c r="G274" s="229"/>
      <c r="H274" s="229"/>
      <c r="I274" s="229"/>
      <c r="J274" s="32" t="s">
        <v>890</v>
      </c>
      <c r="K274" s="1">
        <v>17560000</v>
      </c>
      <c r="L274" s="2">
        <v>44147</v>
      </c>
      <c r="M274" s="32"/>
      <c r="N274" s="32">
        <v>3113396273</v>
      </c>
      <c r="O274" s="51" t="s">
        <v>989</v>
      </c>
      <c r="P274" s="38" t="s">
        <v>990</v>
      </c>
    </row>
    <row r="275" spans="2:16" x14ac:dyDescent="0.25">
      <c r="B275" s="32">
        <v>260</v>
      </c>
      <c r="C275" s="229" t="s">
        <v>1261</v>
      </c>
      <c r="D275" s="229"/>
      <c r="E275" s="229"/>
      <c r="F275" s="229"/>
      <c r="G275" s="229"/>
      <c r="H275" s="229"/>
      <c r="I275" s="229"/>
      <c r="J275" s="32" t="s">
        <v>1262</v>
      </c>
      <c r="K275" s="1">
        <v>9530000</v>
      </c>
      <c r="L275" s="2">
        <v>44148</v>
      </c>
      <c r="M275" s="32"/>
      <c r="N275" s="32">
        <v>3007701428</v>
      </c>
      <c r="O275" s="51" t="s">
        <v>1263</v>
      </c>
      <c r="P275" s="38" t="s">
        <v>1264</v>
      </c>
    </row>
    <row r="276" spans="2:16" x14ac:dyDescent="0.25">
      <c r="B276" s="32">
        <v>261</v>
      </c>
      <c r="C276" s="229" t="s">
        <v>1265</v>
      </c>
      <c r="D276" s="229"/>
      <c r="E276" s="229"/>
      <c r="F276" s="229"/>
      <c r="G276" s="229"/>
      <c r="H276" s="229"/>
      <c r="I276" s="229"/>
      <c r="J276" s="32" t="s">
        <v>721</v>
      </c>
      <c r="K276" s="1">
        <v>13925000</v>
      </c>
      <c r="L276" s="2">
        <v>44152</v>
      </c>
      <c r="M276" s="32" t="s">
        <v>3923</v>
      </c>
      <c r="N276" s="32">
        <v>3008165485</v>
      </c>
      <c r="O276" s="30" t="s">
        <v>1266</v>
      </c>
      <c r="P276" s="38" t="s">
        <v>1267</v>
      </c>
    </row>
    <row r="277" spans="2:16" x14ac:dyDescent="0.25">
      <c r="B277" s="32">
        <v>262</v>
      </c>
      <c r="C277" s="229" t="s">
        <v>1268</v>
      </c>
      <c r="D277" s="229"/>
      <c r="E277" s="229"/>
      <c r="F277" s="229"/>
      <c r="G277" s="229"/>
      <c r="H277" s="229"/>
      <c r="I277" s="229"/>
      <c r="J277" s="32" t="s">
        <v>1269</v>
      </c>
      <c r="K277" s="1">
        <v>22960000</v>
      </c>
      <c r="L277" s="2">
        <v>44152</v>
      </c>
      <c r="M277" s="32"/>
      <c r="N277" s="51">
        <v>3045662939</v>
      </c>
      <c r="O277" s="51" t="s">
        <v>1270</v>
      </c>
      <c r="P277" s="38" t="s">
        <v>1271</v>
      </c>
    </row>
    <row r="278" spans="2:16" x14ac:dyDescent="0.25">
      <c r="B278" s="32">
        <v>263</v>
      </c>
      <c r="C278" s="229" t="s">
        <v>808</v>
      </c>
      <c r="D278" s="229"/>
      <c r="E278" s="229"/>
      <c r="F278" s="229"/>
      <c r="G278" s="229"/>
      <c r="H278" s="229"/>
      <c r="I278" s="229"/>
      <c r="J278" s="32" t="s">
        <v>1272</v>
      </c>
      <c r="K278" s="1">
        <v>13960000</v>
      </c>
      <c r="L278" s="2">
        <v>44153</v>
      </c>
      <c r="M278" s="32" t="s">
        <v>3923</v>
      </c>
      <c r="N278" s="32">
        <v>3127575897</v>
      </c>
      <c r="O278" s="51" t="s">
        <v>1273</v>
      </c>
      <c r="P278" s="38" t="s">
        <v>1274</v>
      </c>
    </row>
    <row r="279" spans="2:16" x14ac:dyDescent="0.25">
      <c r="B279" s="32">
        <v>264</v>
      </c>
      <c r="C279" s="229" t="s">
        <v>1275</v>
      </c>
      <c r="D279" s="229"/>
      <c r="E279" s="229"/>
      <c r="F279" s="229"/>
      <c r="G279" s="229"/>
      <c r="H279" s="229"/>
      <c r="I279" s="229"/>
      <c r="J279" s="32" t="s">
        <v>758</v>
      </c>
      <c r="K279" s="1">
        <v>2950000</v>
      </c>
      <c r="L279" s="2">
        <v>44153</v>
      </c>
      <c r="M279" s="32" t="s">
        <v>3923</v>
      </c>
      <c r="N279" s="32" t="s">
        <v>1253</v>
      </c>
      <c r="O279" s="51" t="s">
        <v>1023</v>
      </c>
      <c r="P279" s="38" t="s">
        <v>1024</v>
      </c>
    </row>
    <row r="280" spans="2:16" x14ac:dyDescent="0.25">
      <c r="B280" s="32">
        <v>265</v>
      </c>
      <c r="C280" s="229" t="s">
        <v>1276</v>
      </c>
      <c r="D280" s="229"/>
      <c r="E280" s="229"/>
      <c r="F280" s="229"/>
      <c r="G280" s="229"/>
      <c r="H280" s="229"/>
      <c r="I280" s="229"/>
      <c r="J280" s="32" t="s">
        <v>1277</v>
      </c>
      <c r="K280" s="1">
        <v>14450000</v>
      </c>
      <c r="L280" s="2">
        <v>44153</v>
      </c>
      <c r="M280" s="32"/>
      <c r="N280" s="32">
        <v>3116537341</v>
      </c>
      <c r="O280" s="51" t="s">
        <v>1278</v>
      </c>
      <c r="P280" s="38" t="s">
        <v>1279</v>
      </c>
    </row>
    <row r="281" spans="2:16" x14ac:dyDescent="0.25">
      <c r="B281" s="32">
        <v>266</v>
      </c>
      <c r="C281" s="229" t="s">
        <v>1280</v>
      </c>
      <c r="D281" s="229"/>
      <c r="E281" s="229"/>
      <c r="F281" s="229"/>
      <c r="G281" s="229"/>
      <c r="H281" s="229"/>
      <c r="I281" s="229"/>
      <c r="J281" s="32" t="s">
        <v>1281</v>
      </c>
      <c r="K281" s="1">
        <v>11050000</v>
      </c>
      <c r="L281" s="2">
        <v>44153</v>
      </c>
      <c r="M281" s="32"/>
      <c r="N281" s="32" t="s">
        <v>1282</v>
      </c>
      <c r="O281" s="51" t="s">
        <v>1283</v>
      </c>
      <c r="P281" s="38" t="s">
        <v>1284</v>
      </c>
    </row>
    <row r="282" spans="2:16" x14ac:dyDescent="0.25">
      <c r="B282" s="32">
        <v>267</v>
      </c>
      <c r="C282" s="229" t="s">
        <v>1285</v>
      </c>
      <c r="D282" s="229"/>
      <c r="E282" s="229"/>
      <c r="F282" s="229"/>
      <c r="G282" s="229"/>
      <c r="H282" s="229"/>
      <c r="I282" s="229"/>
      <c r="J282" s="32" t="s">
        <v>851</v>
      </c>
      <c r="K282" s="1">
        <v>5950000</v>
      </c>
      <c r="L282" s="2">
        <v>44153</v>
      </c>
      <c r="M282" s="32"/>
      <c r="N282" s="32" t="s">
        <v>1286</v>
      </c>
      <c r="O282" s="51" t="s">
        <v>233</v>
      </c>
      <c r="P282" s="38" t="s">
        <v>1287</v>
      </c>
    </row>
    <row r="283" spans="2:16" x14ac:dyDescent="0.25">
      <c r="B283" s="32">
        <v>268</v>
      </c>
      <c r="C283" s="229" t="s">
        <v>1261</v>
      </c>
      <c r="D283" s="229"/>
      <c r="E283" s="229"/>
      <c r="F283" s="229"/>
      <c r="G283" s="229"/>
      <c r="H283" s="229"/>
      <c r="I283" s="229"/>
      <c r="J283" s="32" t="s">
        <v>851</v>
      </c>
      <c r="K283" s="1">
        <v>8590000</v>
      </c>
      <c r="L283" s="2">
        <v>44153</v>
      </c>
      <c r="M283" s="32"/>
      <c r="N283" s="32" t="s">
        <v>1286</v>
      </c>
      <c r="O283" s="51" t="s">
        <v>233</v>
      </c>
      <c r="P283" s="38" t="s">
        <v>1287</v>
      </c>
    </row>
    <row r="284" spans="2:16" x14ac:dyDescent="0.25">
      <c r="B284" s="32">
        <v>269</v>
      </c>
      <c r="C284" s="229" t="s">
        <v>1288</v>
      </c>
      <c r="D284" s="229"/>
      <c r="E284" s="229"/>
      <c r="F284" s="229"/>
      <c r="G284" s="229"/>
      <c r="H284" s="229"/>
      <c r="I284" s="229"/>
      <c r="J284" s="32" t="s">
        <v>747</v>
      </c>
      <c r="K284" s="1">
        <v>3000000</v>
      </c>
      <c r="L284" s="2">
        <v>44155</v>
      </c>
      <c r="M284" s="32"/>
      <c r="N284" s="32">
        <v>3175594091</v>
      </c>
      <c r="O284" s="51" t="s">
        <v>496</v>
      </c>
      <c r="P284" s="38" t="s">
        <v>748</v>
      </c>
    </row>
    <row r="285" spans="2:16" x14ac:dyDescent="0.25">
      <c r="B285" s="32">
        <v>270</v>
      </c>
      <c r="C285" s="229" t="s">
        <v>1289</v>
      </c>
      <c r="D285" s="229"/>
      <c r="E285" s="229"/>
      <c r="F285" s="229"/>
      <c r="G285" s="229"/>
      <c r="H285" s="229"/>
      <c r="I285" s="229"/>
      <c r="J285" s="32" t="s">
        <v>742</v>
      </c>
      <c r="K285" s="1">
        <v>13985000</v>
      </c>
      <c r="L285" s="2">
        <v>44155</v>
      </c>
      <c r="M285" s="32"/>
      <c r="N285" s="32" t="s">
        <v>1071</v>
      </c>
      <c r="O285" s="51" t="s">
        <v>272</v>
      </c>
      <c r="P285" s="38" t="s">
        <v>1072</v>
      </c>
    </row>
    <row r="286" spans="2:16" x14ac:dyDescent="0.25">
      <c r="B286" s="32">
        <v>271</v>
      </c>
      <c r="C286" s="229" t="s">
        <v>1290</v>
      </c>
      <c r="D286" s="229"/>
      <c r="E286" s="229"/>
      <c r="F286" s="229"/>
      <c r="G286" s="229"/>
      <c r="H286" s="229"/>
      <c r="I286" s="229"/>
      <c r="J286" s="32" t="s">
        <v>1291</v>
      </c>
      <c r="K286" s="1">
        <v>3900000</v>
      </c>
      <c r="L286" s="2">
        <v>44158</v>
      </c>
      <c r="M286" s="32"/>
      <c r="N286" s="32">
        <v>3122806675</v>
      </c>
      <c r="O286" s="51" t="s">
        <v>1292</v>
      </c>
      <c r="P286" s="38" t="s">
        <v>1293</v>
      </c>
    </row>
    <row r="287" spans="2:16" x14ac:dyDescent="0.25">
      <c r="B287" s="32">
        <v>272</v>
      </c>
      <c r="C287" s="229" t="s">
        <v>1294</v>
      </c>
      <c r="D287" s="229"/>
      <c r="E287" s="229"/>
      <c r="F287" s="229"/>
      <c r="G287" s="229"/>
      <c r="H287" s="229"/>
      <c r="I287" s="229"/>
      <c r="J287" s="32" t="s">
        <v>814</v>
      </c>
      <c r="K287" s="1">
        <v>9890000</v>
      </c>
      <c r="L287" s="2">
        <v>44160</v>
      </c>
      <c r="M287" s="32" t="s">
        <v>3923</v>
      </c>
      <c r="N287" s="32" t="s">
        <v>1244</v>
      </c>
      <c r="O287" s="51" t="s">
        <v>342</v>
      </c>
      <c r="P287" s="38" t="s">
        <v>1245</v>
      </c>
    </row>
    <row r="288" spans="2:16" x14ac:dyDescent="0.25">
      <c r="B288" s="32">
        <v>273</v>
      </c>
      <c r="C288" s="229" t="s">
        <v>1295</v>
      </c>
      <c r="D288" s="229"/>
      <c r="E288" s="229"/>
      <c r="F288" s="229"/>
      <c r="G288" s="229"/>
      <c r="H288" s="229"/>
      <c r="I288" s="229"/>
      <c r="J288" s="32" t="s">
        <v>851</v>
      </c>
      <c r="K288" s="1">
        <v>8590000</v>
      </c>
      <c r="L288" s="2">
        <v>44160</v>
      </c>
      <c r="M288" s="32"/>
      <c r="N288" s="32">
        <v>3206678830</v>
      </c>
      <c r="O288" s="51" t="s">
        <v>284</v>
      </c>
      <c r="P288" s="38" t="s">
        <v>948</v>
      </c>
    </row>
    <row r="289" spans="2:16" x14ac:dyDescent="0.25">
      <c r="B289" s="32">
        <v>274</v>
      </c>
      <c r="C289" s="229" t="s">
        <v>1296</v>
      </c>
      <c r="D289" s="229"/>
      <c r="E289" s="229"/>
      <c r="F289" s="229"/>
      <c r="G289" s="229"/>
      <c r="H289" s="229"/>
      <c r="I289" s="229"/>
      <c r="J289" s="32" t="s">
        <v>1297</v>
      </c>
      <c r="K289" s="1">
        <v>14420000</v>
      </c>
      <c r="L289" s="2">
        <v>44163</v>
      </c>
      <c r="M289" s="2" t="s">
        <v>3923</v>
      </c>
      <c r="N289" s="32">
        <v>3017889201</v>
      </c>
      <c r="O289" s="51" t="s">
        <v>1298</v>
      </c>
      <c r="P289" s="38" t="s">
        <v>1299</v>
      </c>
    </row>
    <row r="290" spans="2:16" x14ac:dyDescent="0.25">
      <c r="B290" s="32">
        <v>275</v>
      </c>
      <c r="C290" s="229" t="s">
        <v>1300</v>
      </c>
      <c r="D290" s="229"/>
      <c r="E290" s="229"/>
      <c r="F290" s="229"/>
      <c r="G290" s="229"/>
      <c r="H290" s="229"/>
      <c r="I290" s="229"/>
      <c r="J290" s="32" t="s">
        <v>1272</v>
      </c>
      <c r="K290" s="1">
        <v>4515000</v>
      </c>
      <c r="L290" s="2">
        <v>43886</v>
      </c>
      <c r="M290" s="2" t="s">
        <v>3923</v>
      </c>
      <c r="N290" s="32">
        <v>3104057513</v>
      </c>
      <c r="O290" s="51" t="s">
        <v>810</v>
      </c>
      <c r="P290" s="38" t="s">
        <v>1301</v>
      </c>
    </row>
    <row r="291" spans="2:16" x14ac:dyDescent="0.25">
      <c r="B291" s="32">
        <v>276</v>
      </c>
      <c r="C291" s="229" t="s">
        <v>1302</v>
      </c>
      <c r="D291" s="229"/>
      <c r="E291" s="229"/>
      <c r="F291" s="229"/>
      <c r="G291" s="229"/>
      <c r="H291" s="229"/>
      <c r="I291" s="229"/>
      <c r="J291" s="32" t="s">
        <v>747</v>
      </c>
      <c r="K291" s="1">
        <v>3250000</v>
      </c>
      <c r="L291" s="2">
        <v>44168</v>
      </c>
      <c r="M291" s="2"/>
      <c r="N291" s="32">
        <v>3175594091</v>
      </c>
      <c r="O291" s="51" t="s">
        <v>496</v>
      </c>
      <c r="P291" s="38" t="s">
        <v>748</v>
      </c>
    </row>
    <row r="292" spans="2:16" x14ac:dyDescent="0.25">
      <c r="B292" s="32">
        <v>277</v>
      </c>
      <c r="C292" s="229" t="s">
        <v>1303</v>
      </c>
      <c r="D292" s="229"/>
      <c r="E292" s="229"/>
      <c r="F292" s="229"/>
      <c r="G292" s="229"/>
      <c r="H292" s="229"/>
      <c r="I292" s="229"/>
      <c r="J292" s="32" t="s">
        <v>712</v>
      </c>
      <c r="K292" s="1">
        <v>3950000</v>
      </c>
      <c r="L292" s="2">
        <v>44168</v>
      </c>
      <c r="M292" s="32"/>
      <c r="N292" s="32">
        <v>3137851941</v>
      </c>
      <c r="O292" s="51" t="s">
        <v>192</v>
      </c>
      <c r="P292" s="38" t="s">
        <v>713</v>
      </c>
    </row>
    <row r="293" spans="2:16" ht="15" customHeight="1" x14ac:dyDescent="0.25">
      <c r="B293" s="32">
        <v>278</v>
      </c>
      <c r="C293" s="229" t="s">
        <v>1304</v>
      </c>
      <c r="D293" s="229"/>
      <c r="E293" s="229"/>
      <c r="F293" s="229"/>
      <c r="G293" s="229"/>
      <c r="H293" s="229"/>
      <c r="I293" s="229"/>
      <c r="J293" s="32" t="s">
        <v>1139</v>
      </c>
      <c r="K293" s="1">
        <v>5350000</v>
      </c>
      <c r="L293" s="2">
        <v>44169</v>
      </c>
      <c r="M293" s="32" t="s">
        <v>3923</v>
      </c>
      <c r="N293" s="32" t="s">
        <v>1305</v>
      </c>
      <c r="O293" s="51" t="s">
        <v>1306</v>
      </c>
      <c r="P293" s="38" t="s">
        <v>1307</v>
      </c>
    </row>
    <row r="294" spans="2:16" x14ac:dyDescent="0.25">
      <c r="B294" s="32">
        <v>279</v>
      </c>
      <c r="C294" s="229" t="s">
        <v>1308</v>
      </c>
      <c r="D294" s="229"/>
      <c r="E294" s="229"/>
      <c r="F294" s="229"/>
      <c r="G294" s="229"/>
      <c r="H294" s="229"/>
      <c r="I294" s="229"/>
      <c r="J294" s="32" t="s">
        <v>1309</v>
      </c>
      <c r="K294" s="1">
        <v>10750000</v>
      </c>
      <c r="L294" s="2">
        <v>44169</v>
      </c>
      <c r="M294" s="32"/>
      <c r="N294" s="32" t="s">
        <v>1310</v>
      </c>
      <c r="O294" s="51" t="s">
        <v>1311</v>
      </c>
      <c r="P294" s="38" t="s">
        <v>1312</v>
      </c>
    </row>
    <row r="295" spans="2:16" x14ac:dyDescent="0.25">
      <c r="B295" s="32">
        <v>280</v>
      </c>
      <c r="C295" s="229" t="s">
        <v>1313</v>
      </c>
      <c r="D295" s="229"/>
      <c r="E295" s="229"/>
      <c r="F295" s="229"/>
      <c r="G295" s="229"/>
      <c r="H295" s="229"/>
      <c r="I295" s="229"/>
      <c r="J295" s="32" t="s">
        <v>1202</v>
      </c>
      <c r="K295" s="1">
        <v>3550000</v>
      </c>
      <c r="L295" s="2">
        <v>44170</v>
      </c>
      <c r="M295" s="32" t="s">
        <v>3923</v>
      </c>
      <c r="N295" s="32">
        <v>3006582727</v>
      </c>
      <c r="O295" s="51" t="s">
        <v>1314</v>
      </c>
      <c r="P295" s="38" t="s">
        <v>1315</v>
      </c>
    </row>
    <row r="296" spans="2:16" x14ac:dyDescent="0.25">
      <c r="B296" s="32">
        <v>281</v>
      </c>
      <c r="C296" s="229" t="s">
        <v>1316</v>
      </c>
      <c r="D296" s="229"/>
      <c r="E296" s="229"/>
      <c r="F296" s="229"/>
      <c r="G296" s="229"/>
      <c r="H296" s="229"/>
      <c r="I296" s="229"/>
      <c r="J296" s="32" t="s">
        <v>1317</v>
      </c>
      <c r="K296" s="1">
        <v>7965000</v>
      </c>
      <c r="L296" s="2">
        <v>44172</v>
      </c>
      <c r="M296" s="32"/>
      <c r="N296" s="32"/>
      <c r="O296" s="51" t="s">
        <v>1318</v>
      </c>
      <c r="P296" s="38" t="s">
        <v>1319</v>
      </c>
    </row>
    <row r="297" spans="2:16" x14ac:dyDescent="0.25">
      <c r="B297" s="32">
        <v>282</v>
      </c>
      <c r="C297" s="229" t="s">
        <v>1320</v>
      </c>
      <c r="D297" s="229"/>
      <c r="E297" s="229"/>
      <c r="F297" s="229"/>
      <c r="G297" s="229"/>
      <c r="H297" s="229"/>
      <c r="I297" s="229"/>
      <c r="J297" s="32" t="s">
        <v>1321</v>
      </c>
      <c r="K297" s="1">
        <v>3450000</v>
      </c>
      <c r="L297" s="2">
        <v>44174</v>
      </c>
      <c r="M297" s="32"/>
      <c r="N297" s="32">
        <v>3206768281</v>
      </c>
      <c r="O297" s="51" t="s">
        <v>1060</v>
      </c>
      <c r="P297" s="38" t="s">
        <v>1322</v>
      </c>
    </row>
    <row r="298" spans="2:16" x14ac:dyDescent="0.25">
      <c r="B298" s="32">
        <v>283</v>
      </c>
      <c r="C298" s="229" t="s">
        <v>1323</v>
      </c>
      <c r="D298" s="229"/>
      <c r="E298" s="229"/>
      <c r="F298" s="229"/>
      <c r="G298" s="229"/>
      <c r="H298" s="229"/>
      <c r="I298" s="229"/>
      <c r="J298" s="32" t="s">
        <v>1324</v>
      </c>
      <c r="K298" s="1">
        <v>20960000</v>
      </c>
      <c r="L298" s="2">
        <v>44175</v>
      </c>
      <c r="M298" s="32" t="s">
        <v>3923</v>
      </c>
      <c r="N298" s="32">
        <v>3008643710</v>
      </c>
      <c r="O298" s="51" t="s">
        <v>1325</v>
      </c>
      <c r="P298" s="38" t="s">
        <v>1326</v>
      </c>
    </row>
    <row r="299" spans="2:16" x14ac:dyDescent="0.25">
      <c r="B299" s="32">
        <v>284</v>
      </c>
      <c r="C299" s="229" t="s">
        <v>1327</v>
      </c>
      <c r="D299" s="229"/>
      <c r="E299" s="229"/>
      <c r="F299" s="229"/>
      <c r="G299" s="229"/>
      <c r="H299" s="229"/>
      <c r="I299" s="229"/>
      <c r="J299" s="32" t="s">
        <v>1125</v>
      </c>
      <c r="K299" s="1">
        <v>1000000</v>
      </c>
      <c r="L299" s="2">
        <v>44175</v>
      </c>
      <c r="M299" s="2" t="s">
        <v>3923</v>
      </c>
      <c r="N299" s="32">
        <v>3232937740</v>
      </c>
      <c r="O299" s="51" t="s">
        <v>1126</v>
      </c>
      <c r="P299" s="38" t="s">
        <v>1127</v>
      </c>
    </row>
    <row r="300" spans="2:16" x14ac:dyDescent="0.25">
      <c r="B300" s="32">
        <v>285</v>
      </c>
      <c r="C300" s="229" t="s">
        <v>1328</v>
      </c>
      <c r="D300" s="229"/>
      <c r="E300" s="229"/>
      <c r="F300" s="229"/>
      <c r="G300" s="229"/>
      <c r="H300" s="229"/>
      <c r="I300" s="229"/>
      <c r="J300" s="32" t="s">
        <v>712</v>
      </c>
      <c r="K300" s="1">
        <v>7340000</v>
      </c>
      <c r="L300" s="2">
        <v>44176</v>
      </c>
      <c r="M300" s="32"/>
      <c r="N300" s="32">
        <v>3137851941</v>
      </c>
      <c r="O300" s="51" t="s">
        <v>192</v>
      </c>
      <c r="P300" s="38" t="s">
        <v>713</v>
      </c>
    </row>
    <row r="301" spans="2:16" x14ac:dyDescent="0.25">
      <c r="B301" s="32">
        <v>286</v>
      </c>
      <c r="C301" s="229" t="s">
        <v>1329</v>
      </c>
      <c r="D301" s="229"/>
      <c r="E301" s="229"/>
      <c r="F301" s="229"/>
      <c r="G301" s="229"/>
      <c r="H301" s="229"/>
      <c r="I301" s="229"/>
      <c r="J301" s="32" t="s">
        <v>702</v>
      </c>
      <c r="K301" s="1">
        <v>500000</v>
      </c>
      <c r="L301" s="2">
        <v>44177</v>
      </c>
      <c r="M301" s="2" t="s">
        <v>3923</v>
      </c>
      <c r="N301" s="32">
        <v>3103939739</v>
      </c>
      <c r="O301" s="51" t="s">
        <v>1330</v>
      </c>
      <c r="P301" s="38" t="s">
        <v>1331</v>
      </c>
    </row>
    <row r="302" spans="2:16" x14ac:dyDescent="0.25">
      <c r="B302" s="32">
        <v>287</v>
      </c>
      <c r="C302" s="229" t="s">
        <v>1332</v>
      </c>
      <c r="D302" s="229"/>
      <c r="E302" s="229"/>
      <c r="F302" s="229"/>
      <c r="G302" s="229"/>
      <c r="H302" s="229"/>
      <c r="I302" s="229"/>
      <c r="J302" s="32" t="s">
        <v>1163</v>
      </c>
      <c r="K302" s="1">
        <v>2500000</v>
      </c>
      <c r="L302" s="2">
        <v>44179</v>
      </c>
      <c r="M302" s="2" t="s">
        <v>3923</v>
      </c>
      <c r="N302" s="32">
        <v>3122411480</v>
      </c>
      <c r="O302" s="51" t="s">
        <v>1333</v>
      </c>
      <c r="P302" s="38" t="s">
        <v>1166</v>
      </c>
    </row>
    <row r="303" spans="2:16" x14ac:dyDescent="0.25">
      <c r="B303" s="32">
        <v>288</v>
      </c>
      <c r="C303" s="229" t="s">
        <v>1334</v>
      </c>
      <c r="D303" s="229"/>
      <c r="E303" s="229"/>
      <c r="F303" s="229"/>
      <c r="G303" s="229"/>
      <c r="H303" s="229"/>
      <c r="I303" s="229"/>
      <c r="J303" s="32" t="s">
        <v>1335</v>
      </c>
      <c r="K303" s="1">
        <v>8850000</v>
      </c>
      <c r="L303" s="2">
        <v>44179</v>
      </c>
      <c r="M303" s="32"/>
      <c r="N303" s="32"/>
      <c r="O303" s="51" t="s">
        <v>1336</v>
      </c>
      <c r="P303" s="38" t="s">
        <v>1337</v>
      </c>
    </row>
    <row r="304" spans="2:16" x14ac:dyDescent="0.25">
      <c r="B304" s="32">
        <v>289</v>
      </c>
      <c r="C304" s="229" t="s">
        <v>1338</v>
      </c>
      <c r="D304" s="229"/>
      <c r="E304" s="229"/>
      <c r="F304" s="229"/>
      <c r="G304" s="229"/>
      <c r="H304" s="229"/>
      <c r="I304" s="229"/>
      <c r="J304" s="32" t="s">
        <v>702</v>
      </c>
      <c r="K304" s="1">
        <v>3950000</v>
      </c>
      <c r="L304" s="2">
        <v>44179</v>
      </c>
      <c r="M304" s="32"/>
      <c r="N304" s="32">
        <v>3104203649</v>
      </c>
      <c r="O304" s="51" t="s">
        <v>1257</v>
      </c>
      <c r="P304" s="38" t="s">
        <v>1258</v>
      </c>
    </row>
    <row r="305" spans="2:16" x14ac:dyDescent="0.25">
      <c r="B305" s="32">
        <v>290</v>
      </c>
      <c r="C305" s="229" t="s">
        <v>1339</v>
      </c>
      <c r="D305" s="229"/>
      <c r="E305" s="229"/>
      <c r="F305" s="229"/>
      <c r="G305" s="229"/>
      <c r="H305" s="229"/>
      <c r="I305" s="229"/>
      <c r="J305" s="32" t="s">
        <v>1129</v>
      </c>
      <c r="K305" s="1">
        <v>13800000</v>
      </c>
      <c r="L305" s="2">
        <v>44179</v>
      </c>
      <c r="M305" s="32"/>
      <c r="N305" s="32">
        <v>3208583595</v>
      </c>
      <c r="O305" s="51" t="s">
        <v>1340</v>
      </c>
      <c r="P305" s="38" t="s">
        <v>1341</v>
      </c>
    </row>
    <row r="306" spans="2:16" x14ac:dyDescent="0.25">
      <c r="B306" s="32">
        <v>291</v>
      </c>
      <c r="C306" s="229" t="s">
        <v>1342</v>
      </c>
      <c r="D306" s="229"/>
      <c r="E306" s="229"/>
      <c r="F306" s="229"/>
      <c r="G306" s="229"/>
      <c r="H306" s="229"/>
      <c r="I306" s="229"/>
      <c r="J306" s="32" t="s">
        <v>1343</v>
      </c>
      <c r="K306" s="1">
        <v>5250000</v>
      </c>
      <c r="L306" s="2">
        <v>44184</v>
      </c>
      <c r="M306" s="32"/>
      <c r="N306" s="32" t="s">
        <v>1253</v>
      </c>
      <c r="O306" s="51" t="s">
        <v>1023</v>
      </c>
      <c r="P306" s="38" t="s">
        <v>1024</v>
      </c>
    </row>
    <row r="307" spans="2:16" x14ac:dyDescent="0.25">
      <c r="B307" s="32">
        <v>292</v>
      </c>
      <c r="C307" s="229" t="s">
        <v>1344</v>
      </c>
      <c r="D307" s="229"/>
      <c r="E307" s="229"/>
      <c r="F307" s="229"/>
      <c r="G307" s="229"/>
      <c r="H307" s="229"/>
      <c r="I307" s="229"/>
      <c r="J307" s="32" t="s">
        <v>986</v>
      </c>
      <c r="K307" s="1">
        <v>2500000</v>
      </c>
      <c r="L307" s="2">
        <v>44186</v>
      </c>
      <c r="M307" s="32" t="s">
        <v>3923</v>
      </c>
      <c r="N307" s="32">
        <v>3014843289</v>
      </c>
      <c r="O307" s="51" t="s">
        <v>370</v>
      </c>
      <c r="P307" s="38" t="s">
        <v>987</v>
      </c>
    </row>
    <row r="308" spans="2:16" x14ac:dyDescent="0.25">
      <c r="B308" s="32">
        <v>293</v>
      </c>
      <c r="C308" s="263" t="s">
        <v>1345</v>
      </c>
      <c r="D308" s="229"/>
      <c r="E308" s="229"/>
      <c r="F308" s="229"/>
      <c r="G308" s="229"/>
      <c r="H308" s="229"/>
      <c r="I308" s="229"/>
      <c r="J308" s="32" t="s">
        <v>702</v>
      </c>
      <c r="K308" s="1">
        <v>600000</v>
      </c>
      <c r="L308" s="2">
        <v>44186</v>
      </c>
      <c r="M308" s="32"/>
      <c r="N308" s="32">
        <v>3104203649</v>
      </c>
      <c r="O308" s="51" t="s">
        <v>1257</v>
      </c>
      <c r="P308" s="38" t="s">
        <v>1258</v>
      </c>
    </row>
    <row r="309" spans="2:16" x14ac:dyDescent="0.25">
      <c r="B309" s="32">
        <v>294</v>
      </c>
      <c r="C309" s="229" t="s">
        <v>1346</v>
      </c>
      <c r="D309" s="229"/>
      <c r="E309" s="229"/>
      <c r="F309" s="229"/>
      <c r="G309" s="229"/>
      <c r="H309" s="229"/>
      <c r="I309" s="229"/>
      <c r="J309" s="32" t="s">
        <v>702</v>
      </c>
      <c r="K309" s="1">
        <v>11290000</v>
      </c>
      <c r="L309" s="2">
        <v>44186</v>
      </c>
      <c r="M309" s="32"/>
      <c r="N309" s="32">
        <v>3104203649</v>
      </c>
      <c r="O309" s="51" t="s">
        <v>1257</v>
      </c>
      <c r="P309" s="38" t="s">
        <v>1258</v>
      </c>
    </row>
    <row r="310" spans="2:16" x14ac:dyDescent="0.25">
      <c r="B310" s="32">
        <v>295</v>
      </c>
      <c r="C310" s="229"/>
      <c r="D310" s="229"/>
      <c r="E310" s="229"/>
      <c r="F310" s="229"/>
      <c r="G310" s="229"/>
      <c r="H310" s="229"/>
      <c r="I310" s="229"/>
      <c r="J310" s="32"/>
      <c r="K310" s="1"/>
      <c r="L310" s="2"/>
      <c r="M310" s="32"/>
      <c r="N310" s="32"/>
      <c r="O310" s="51"/>
      <c r="P310" s="51"/>
    </row>
    <row r="311" spans="2:16" x14ac:dyDescent="0.25">
      <c r="B311" s="32">
        <v>296</v>
      </c>
      <c r="C311" s="229"/>
      <c r="D311" s="229"/>
      <c r="E311" s="229"/>
      <c r="F311" s="229"/>
      <c r="G311" s="229"/>
      <c r="H311" s="229"/>
      <c r="I311" s="229"/>
      <c r="J311" s="32"/>
      <c r="K311" s="1"/>
      <c r="L311" s="2"/>
      <c r="M311" s="32"/>
      <c r="N311" s="32"/>
      <c r="O311" s="51"/>
      <c r="P311" s="51"/>
    </row>
    <row r="312" spans="2:16" x14ac:dyDescent="0.25">
      <c r="B312" s="32">
        <v>297</v>
      </c>
      <c r="C312" s="229"/>
      <c r="D312" s="229"/>
      <c r="E312" s="229"/>
      <c r="F312" s="229"/>
      <c r="G312" s="229"/>
      <c r="H312" s="229"/>
      <c r="I312" s="229"/>
      <c r="J312" s="32"/>
      <c r="K312" s="1"/>
      <c r="L312" s="2"/>
      <c r="M312" s="32"/>
      <c r="N312" s="32"/>
      <c r="O312" s="51"/>
      <c r="P312" s="51"/>
    </row>
    <row r="313" spans="2:16" x14ac:dyDescent="0.25">
      <c r="B313" s="32">
        <v>298</v>
      </c>
      <c r="C313" s="229"/>
      <c r="D313" s="229"/>
      <c r="E313" s="229"/>
      <c r="F313" s="229"/>
      <c r="G313" s="229"/>
      <c r="H313" s="229"/>
      <c r="I313" s="229"/>
      <c r="J313" s="32"/>
      <c r="K313" s="1"/>
      <c r="L313" s="2"/>
      <c r="M313" s="32"/>
      <c r="N313" s="32"/>
      <c r="O313" s="51"/>
      <c r="P313" s="51"/>
    </row>
    <row r="314" spans="2:16" x14ac:dyDescent="0.25">
      <c r="B314" s="32">
        <v>299</v>
      </c>
      <c r="C314" s="229"/>
      <c r="D314" s="229"/>
      <c r="E314" s="229"/>
      <c r="F314" s="229"/>
      <c r="G314" s="229"/>
      <c r="H314" s="229"/>
      <c r="I314" s="229"/>
      <c r="J314" s="32"/>
      <c r="K314" s="1"/>
      <c r="L314" s="2"/>
      <c r="M314" s="32"/>
      <c r="N314" s="32"/>
      <c r="O314" s="51"/>
      <c r="P314" s="51"/>
    </row>
    <row r="315" spans="2:16" x14ac:dyDescent="0.25">
      <c r="B315" s="32">
        <v>300</v>
      </c>
      <c r="C315" s="229"/>
      <c r="D315" s="229"/>
      <c r="E315" s="229"/>
      <c r="F315" s="229"/>
      <c r="G315" s="229"/>
      <c r="H315" s="229"/>
      <c r="I315" s="229"/>
      <c r="J315" s="32"/>
      <c r="K315" s="1"/>
      <c r="L315" s="2"/>
      <c r="M315" s="32"/>
      <c r="N315" s="32"/>
      <c r="O315" s="51"/>
      <c r="P315" s="51"/>
    </row>
    <row r="316" spans="2:16" x14ac:dyDescent="0.25">
      <c r="B316" s="32">
        <v>301</v>
      </c>
      <c r="C316" s="229"/>
      <c r="D316" s="229"/>
      <c r="E316" s="229"/>
      <c r="F316" s="229"/>
      <c r="G316" s="229"/>
      <c r="H316" s="229"/>
      <c r="I316" s="229"/>
      <c r="J316" s="32"/>
      <c r="K316" s="1"/>
      <c r="L316" s="2"/>
      <c r="M316" s="32"/>
      <c r="N316" s="32"/>
      <c r="O316" s="51"/>
      <c r="P316" s="51"/>
    </row>
    <row r="317" spans="2:16" x14ac:dyDescent="0.25">
      <c r="B317" s="32">
        <v>302</v>
      </c>
      <c r="C317" s="229"/>
      <c r="D317" s="229"/>
      <c r="E317" s="229"/>
      <c r="F317" s="229"/>
      <c r="G317" s="229"/>
      <c r="H317" s="229"/>
      <c r="I317" s="229"/>
      <c r="J317" s="32"/>
      <c r="K317" s="1"/>
      <c r="L317" s="2"/>
      <c r="M317" s="32"/>
      <c r="N317" s="32"/>
      <c r="O317" s="51"/>
      <c r="P317" s="51"/>
    </row>
    <row r="318" spans="2:16" x14ac:dyDescent="0.25">
      <c r="B318" s="32">
        <v>303</v>
      </c>
      <c r="C318" s="229"/>
      <c r="D318" s="229"/>
      <c r="E318" s="229"/>
      <c r="F318" s="229"/>
      <c r="G318" s="229"/>
      <c r="H318" s="229"/>
      <c r="I318" s="229"/>
      <c r="J318" s="32"/>
      <c r="K318" s="1"/>
      <c r="L318" s="2"/>
      <c r="M318" s="32"/>
      <c r="N318" s="32"/>
      <c r="O318" s="51"/>
      <c r="P318" s="51"/>
    </row>
    <row r="319" spans="2:16" x14ac:dyDescent="0.25">
      <c r="B319" s="32">
        <v>304</v>
      </c>
      <c r="C319" s="229"/>
      <c r="D319" s="229"/>
      <c r="E319" s="229"/>
      <c r="F319" s="229"/>
      <c r="G319" s="229"/>
      <c r="H319" s="229"/>
      <c r="I319" s="229"/>
      <c r="J319" s="32"/>
      <c r="K319" s="1"/>
      <c r="L319" s="2"/>
      <c r="M319" s="32"/>
      <c r="N319" s="32"/>
      <c r="O319" s="51"/>
      <c r="P319" s="51"/>
    </row>
    <row r="320" spans="2:16" x14ac:dyDescent="0.25">
      <c r="B320" s="32">
        <v>305</v>
      </c>
      <c r="C320" s="229"/>
      <c r="D320" s="229"/>
      <c r="E320" s="229"/>
      <c r="F320" s="229"/>
      <c r="G320" s="229"/>
      <c r="H320" s="229"/>
      <c r="I320" s="229"/>
      <c r="J320" s="32"/>
      <c r="K320" s="1"/>
      <c r="L320" s="2"/>
      <c r="M320" s="32"/>
      <c r="N320" s="32"/>
      <c r="O320" s="51"/>
      <c r="P320" s="51"/>
    </row>
    <row r="321" spans="2:16" x14ac:dyDescent="0.25">
      <c r="B321" s="32">
        <v>306</v>
      </c>
      <c r="C321" s="229"/>
      <c r="D321" s="229"/>
      <c r="E321" s="229"/>
      <c r="F321" s="229"/>
      <c r="G321" s="229"/>
      <c r="H321" s="229"/>
      <c r="I321" s="229"/>
      <c r="J321" s="32"/>
      <c r="K321" s="1"/>
      <c r="L321" s="2"/>
      <c r="M321" s="32"/>
      <c r="N321" s="32"/>
      <c r="O321" s="51"/>
      <c r="P321" s="51"/>
    </row>
    <row r="322" spans="2:16" x14ac:dyDescent="0.25">
      <c r="B322" s="32">
        <v>307</v>
      </c>
      <c r="C322" s="229"/>
      <c r="D322" s="229"/>
      <c r="E322" s="229"/>
      <c r="F322" s="229"/>
      <c r="G322" s="229"/>
      <c r="H322" s="229"/>
      <c r="I322" s="229"/>
      <c r="J322" s="32"/>
      <c r="K322" s="1"/>
      <c r="L322" s="2"/>
      <c r="M322" s="32"/>
      <c r="N322" s="32"/>
      <c r="O322" s="51"/>
      <c r="P322" s="51"/>
    </row>
    <row r="323" spans="2:16" x14ac:dyDescent="0.25">
      <c r="B323" s="32">
        <v>308</v>
      </c>
      <c r="C323" s="229"/>
      <c r="D323" s="229"/>
      <c r="E323" s="229"/>
      <c r="F323" s="229"/>
      <c r="G323" s="229"/>
      <c r="H323" s="229"/>
      <c r="I323" s="229"/>
      <c r="J323" s="32"/>
      <c r="K323" s="46"/>
      <c r="L323" s="2"/>
      <c r="M323" s="32"/>
      <c r="N323" s="32"/>
      <c r="O323" s="51"/>
      <c r="P323" s="51"/>
    </row>
    <row r="324" spans="2:16" x14ac:dyDescent="0.25">
      <c r="B324" s="32">
        <v>309</v>
      </c>
      <c r="C324" s="229"/>
      <c r="D324" s="229"/>
      <c r="E324" s="229"/>
      <c r="F324" s="229"/>
      <c r="G324" s="229"/>
      <c r="H324" s="229"/>
      <c r="I324" s="229"/>
      <c r="J324" s="32"/>
      <c r="K324" s="1"/>
      <c r="L324" s="2"/>
      <c r="M324" s="32"/>
      <c r="N324" s="32"/>
      <c r="O324" s="51"/>
      <c r="P324" s="51"/>
    </row>
    <row r="325" spans="2:16" x14ac:dyDescent="0.25">
      <c r="B325" s="32">
        <v>310</v>
      </c>
      <c r="C325" s="229"/>
      <c r="D325" s="229"/>
      <c r="E325" s="229"/>
      <c r="F325" s="229"/>
      <c r="G325" s="229"/>
      <c r="H325" s="229"/>
      <c r="I325" s="229"/>
      <c r="J325" s="32"/>
      <c r="K325" s="1"/>
      <c r="L325" s="2"/>
      <c r="M325" s="32"/>
      <c r="N325" s="32"/>
      <c r="O325" s="51"/>
      <c r="P325" s="51"/>
    </row>
    <row r="326" spans="2:16" x14ac:dyDescent="0.25">
      <c r="B326" s="32">
        <v>311</v>
      </c>
      <c r="C326" s="229"/>
      <c r="D326" s="229"/>
      <c r="E326" s="229"/>
      <c r="F326" s="229"/>
      <c r="G326" s="229"/>
      <c r="H326" s="229"/>
      <c r="I326" s="229"/>
      <c r="J326" s="32"/>
      <c r="K326" s="1"/>
      <c r="L326" s="2"/>
      <c r="M326" s="32"/>
      <c r="N326" s="32"/>
      <c r="O326" s="51"/>
      <c r="P326" s="51"/>
    </row>
    <row r="327" spans="2:16" x14ac:dyDescent="0.25">
      <c r="B327" s="32">
        <v>312</v>
      </c>
      <c r="C327" s="229"/>
      <c r="D327" s="229"/>
      <c r="E327" s="229"/>
      <c r="F327" s="229"/>
      <c r="G327" s="229"/>
      <c r="H327" s="229"/>
      <c r="I327" s="229"/>
      <c r="J327" s="32"/>
      <c r="K327" s="1"/>
      <c r="L327" s="2"/>
      <c r="M327" s="32"/>
      <c r="N327" s="32"/>
      <c r="O327" s="51"/>
      <c r="P327" s="51"/>
    </row>
    <row r="328" spans="2:16" x14ac:dyDescent="0.25">
      <c r="B328" s="32">
        <v>313</v>
      </c>
      <c r="C328" s="229"/>
      <c r="D328" s="229"/>
      <c r="E328" s="229"/>
      <c r="F328" s="229"/>
      <c r="G328" s="229"/>
      <c r="H328" s="229"/>
      <c r="I328" s="229"/>
      <c r="J328" s="32"/>
      <c r="K328" s="1"/>
      <c r="L328" s="2"/>
      <c r="M328" s="32"/>
      <c r="N328" s="32"/>
      <c r="O328" s="51"/>
      <c r="P328" s="51"/>
    </row>
    <row r="329" spans="2:16" x14ac:dyDescent="0.25">
      <c r="B329" s="32">
        <v>314</v>
      </c>
      <c r="C329" s="229"/>
      <c r="D329" s="229"/>
      <c r="E329" s="229"/>
      <c r="F329" s="229"/>
      <c r="G329" s="229"/>
      <c r="H329" s="229"/>
      <c r="I329" s="229"/>
      <c r="J329" s="32"/>
      <c r="K329" s="1"/>
      <c r="L329" s="2"/>
      <c r="M329" s="32"/>
      <c r="N329" s="32"/>
      <c r="O329" s="51"/>
      <c r="P329" s="51"/>
    </row>
    <row r="330" spans="2:16" x14ac:dyDescent="0.25">
      <c r="B330" s="32">
        <v>315</v>
      </c>
      <c r="C330" s="229"/>
      <c r="D330" s="229"/>
      <c r="E330" s="229"/>
      <c r="F330" s="229"/>
      <c r="G330" s="229"/>
      <c r="H330" s="229"/>
      <c r="I330" s="229"/>
      <c r="J330" s="32"/>
      <c r="K330" s="1"/>
      <c r="L330" s="2"/>
      <c r="M330" s="32"/>
      <c r="N330" s="32"/>
      <c r="O330" s="51"/>
      <c r="P330" s="51"/>
    </row>
    <row r="331" spans="2:16" x14ac:dyDescent="0.25">
      <c r="B331" s="32">
        <v>316</v>
      </c>
      <c r="C331" s="229"/>
      <c r="D331" s="229"/>
      <c r="E331" s="229"/>
      <c r="F331" s="229"/>
      <c r="G331" s="229"/>
      <c r="H331" s="229"/>
      <c r="I331" s="229"/>
      <c r="J331" s="32"/>
      <c r="K331" s="1"/>
      <c r="L331" s="2"/>
      <c r="M331" s="32"/>
      <c r="N331" s="32"/>
      <c r="O331" s="51"/>
      <c r="P331" s="51"/>
    </row>
    <row r="332" spans="2:16" x14ac:dyDescent="0.25">
      <c r="B332" s="32">
        <v>317</v>
      </c>
      <c r="C332" s="229"/>
      <c r="D332" s="229"/>
      <c r="E332" s="229"/>
      <c r="F332" s="229"/>
      <c r="G332" s="229"/>
      <c r="H332" s="229"/>
      <c r="I332" s="229"/>
      <c r="J332" s="32"/>
      <c r="K332" s="1"/>
      <c r="L332" s="2"/>
      <c r="M332" s="32"/>
      <c r="N332" s="32"/>
      <c r="O332" s="51"/>
      <c r="P332" s="51"/>
    </row>
    <row r="333" spans="2:16" x14ac:dyDescent="0.25">
      <c r="B333" s="32">
        <v>318</v>
      </c>
      <c r="C333" s="229"/>
      <c r="D333" s="229"/>
      <c r="E333" s="229"/>
      <c r="F333" s="229"/>
      <c r="G333" s="229"/>
      <c r="H333" s="229"/>
      <c r="I333" s="229"/>
      <c r="J333" s="32"/>
      <c r="K333" s="1"/>
      <c r="L333" s="2"/>
      <c r="M333" s="32"/>
      <c r="N333" s="32"/>
      <c r="O333" s="51"/>
      <c r="P333" s="51"/>
    </row>
    <row r="334" spans="2:16" x14ac:dyDescent="0.25">
      <c r="B334" s="32">
        <v>319</v>
      </c>
      <c r="C334" s="229"/>
      <c r="D334" s="229"/>
      <c r="E334" s="229"/>
      <c r="F334" s="229"/>
      <c r="G334" s="229"/>
      <c r="H334" s="229"/>
      <c r="I334" s="229"/>
      <c r="J334" s="32"/>
      <c r="K334" s="1"/>
      <c r="L334" s="2"/>
      <c r="M334" s="32"/>
      <c r="N334" s="32"/>
      <c r="O334" s="51"/>
      <c r="P334" s="51"/>
    </row>
    <row r="335" spans="2:16" x14ac:dyDescent="0.25">
      <c r="B335" s="32">
        <v>320</v>
      </c>
      <c r="C335" s="229"/>
      <c r="D335" s="229"/>
      <c r="E335" s="229"/>
      <c r="F335" s="229"/>
      <c r="G335" s="229"/>
      <c r="H335" s="229"/>
      <c r="I335" s="229"/>
      <c r="J335" s="32"/>
      <c r="K335" s="1"/>
      <c r="L335" s="2"/>
      <c r="M335" s="32"/>
      <c r="N335" s="32"/>
      <c r="O335" s="51"/>
      <c r="P335" s="51"/>
    </row>
    <row r="336" spans="2:16" x14ac:dyDescent="0.25">
      <c r="B336" s="32">
        <v>321</v>
      </c>
      <c r="C336" s="229"/>
      <c r="D336" s="229"/>
      <c r="E336" s="229"/>
      <c r="F336" s="229"/>
      <c r="G336" s="229"/>
      <c r="H336" s="229"/>
      <c r="I336" s="229"/>
      <c r="J336" s="32"/>
      <c r="K336" s="1"/>
      <c r="L336" s="2"/>
      <c r="M336" s="32"/>
      <c r="N336" s="32"/>
      <c r="O336" s="51"/>
      <c r="P336" s="51"/>
    </row>
    <row r="337" spans="2:16" x14ac:dyDescent="0.25">
      <c r="B337" s="32">
        <v>322</v>
      </c>
      <c r="C337" s="229"/>
      <c r="D337" s="229"/>
      <c r="E337" s="229"/>
      <c r="F337" s="229"/>
      <c r="G337" s="229"/>
      <c r="H337" s="229"/>
      <c r="I337" s="229"/>
      <c r="J337" s="32"/>
      <c r="K337" s="1"/>
      <c r="L337" s="2"/>
      <c r="M337" s="32"/>
      <c r="N337" s="32"/>
      <c r="O337" s="51"/>
      <c r="P337" s="51"/>
    </row>
    <row r="338" spans="2:16" x14ac:dyDescent="0.25">
      <c r="B338" s="32">
        <v>323</v>
      </c>
      <c r="C338" s="229"/>
      <c r="D338" s="229"/>
      <c r="E338" s="229"/>
      <c r="F338" s="229"/>
      <c r="G338" s="229"/>
      <c r="H338" s="229"/>
      <c r="I338" s="229"/>
      <c r="J338" s="32"/>
      <c r="K338" s="1"/>
      <c r="L338" s="2"/>
      <c r="M338" s="32"/>
      <c r="N338" s="32"/>
      <c r="O338" s="51"/>
      <c r="P338" s="51"/>
    </row>
    <row r="339" spans="2:16" x14ac:dyDescent="0.25">
      <c r="B339" s="32">
        <v>324</v>
      </c>
      <c r="C339" s="229"/>
      <c r="D339" s="229"/>
      <c r="E339" s="229"/>
      <c r="F339" s="229"/>
      <c r="G339" s="229"/>
      <c r="H339" s="229"/>
      <c r="I339" s="229"/>
      <c r="J339" s="32"/>
      <c r="K339" s="1"/>
      <c r="L339" s="2"/>
      <c r="M339" s="32"/>
      <c r="N339" s="32"/>
      <c r="O339" s="51"/>
      <c r="P339" s="51"/>
    </row>
    <row r="340" spans="2:16" x14ac:dyDescent="0.25">
      <c r="B340" s="32">
        <v>325</v>
      </c>
      <c r="C340" s="229"/>
      <c r="D340" s="229"/>
      <c r="E340" s="229"/>
      <c r="F340" s="229"/>
      <c r="G340" s="229"/>
      <c r="H340" s="229"/>
      <c r="I340" s="229"/>
      <c r="J340" s="32"/>
      <c r="K340" s="1"/>
      <c r="L340" s="2"/>
      <c r="M340" s="32"/>
      <c r="N340" s="32"/>
      <c r="O340" s="51"/>
      <c r="P340" s="51"/>
    </row>
    <row r="341" spans="2:16" x14ac:dyDescent="0.25">
      <c r="B341" s="32">
        <v>326</v>
      </c>
      <c r="C341" s="229"/>
      <c r="D341" s="229"/>
      <c r="E341" s="229"/>
      <c r="F341" s="229"/>
      <c r="G341" s="229"/>
      <c r="H341" s="229"/>
      <c r="I341" s="229"/>
      <c r="J341" s="32"/>
      <c r="K341" s="1"/>
      <c r="L341" s="2"/>
      <c r="M341" s="32"/>
      <c r="N341" s="32"/>
      <c r="O341" s="51"/>
      <c r="P341" s="51"/>
    </row>
    <row r="342" spans="2:16" x14ac:dyDescent="0.25">
      <c r="B342" s="32">
        <v>327</v>
      </c>
      <c r="C342" s="229"/>
      <c r="D342" s="229"/>
      <c r="E342" s="229"/>
      <c r="F342" s="229"/>
      <c r="G342" s="229"/>
      <c r="H342" s="229"/>
      <c r="I342" s="229"/>
      <c r="J342" s="32"/>
      <c r="K342" s="1"/>
      <c r="L342" s="2"/>
      <c r="M342" s="32"/>
      <c r="N342" s="32"/>
      <c r="O342" s="51"/>
      <c r="P342" s="51"/>
    </row>
    <row r="343" spans="2:16" x14ac:dyDescent="0.25">
      <c r="B343" s="32">
        <v>328</v>
      </c>
      <c r="C343" s="229"/>
      <c r="D343" s="229"/>
      <c r="E343" s="229"/>
      <c r="F343" s="229"/>
      <c r="G343" s="229"/>
      <c r="H343" s="229"/>
      <c r="I343" s="229"/>
      <c r="J343" s="32"/>
      <c r="K343" s="1"/>
      <c r="L343" s="2"/>
      <c r="M343" s="32"/>
      <c r="N343" s="32"/>
      <c r="O343" s="51"/>
      <c r="P343" s="51"/>
    </row>
    <row r="344" spans="2:16" x14ac:dyDescent="0.25">
      <c r="B344" s="32">
        <v>329</v>
      </c>
      <c r="C344" s="229"/>
      <c r="D344" s="229"/>
      <c r="E344" s="229"/>
      <c r="F344" s="229"/>
      <c r="G344" s="229"/>
      <c r="H344" s="229"/>
      <c r="I344" s="229"/>
      <c r="J344" s="32"/>
      <c r="K344" s="1"/>
      <c r="L344" s="2"/>
      <c r="M344" s="32"/>
      <c r="N344" s="32"/>
      <c r="O344" s="51"/>
      <c r="P344" s="51"/>
    </row>
    <row r="345" spans="2:16" x14ac:dyDescent="0.25">
      <c r="B345" s="32">
        <v>330</v>
      </c>
      <c r="C345" s="229"/>
      <c r="D345" s="229"/>
      <c r="E345" s="229"/>
      <c r="F345" s="229"/>
      <c r="G345" s="229"/>
      <c r="H345" s="229"/>
      <c r="I345" s="229"/>
      <c r="J345" s="32"/>
      <c r="K345" s="1"/>
      <c r="L345" s="32"/>
      <c r="M345" s="32"/>
      <c r="N345" s="32"/>
      <c r="O345" s="51"/>
      <c r="P345" s="51"/>
    </row>
    <row r="346" spans="2:16" x14ac:dyDescent="0.25">
      <c r="B346" s="32">
        <v>331</v>
      </c>
      <c r="C346" s="229"/>
      <c r="D346" s="229"/>
      <c r="E346" s="229"/>
      <c r="F346" s="229"/>
      <c r="G346" s="229"/>
      <c r="H346" s="229"/>
      <c r="I346" s="229"/>
      <c r="J346" s="32"/>
      <c r="K346" s="1"/>
      <c r="L346" s="32"/>
      <c r="M346" s="32"/>
      <c r="N346" s="32"/>
      <c r="O346" s="51"/>
      <c r="P346" s="51"/>
    </row>
    <row r="347" spans="2:16" x14ac:dyDescent="0.25">
      <c r="B347" s="32">
        <v>332</v>
      </c>
      <c r="C347" s="229"/>
      <c r="D347" s="229"/>
      <c r="E347" s="229"/>
      <c r="F347" s="229"/>
      <c r="G347" s="229"/>
      <c r="H347" s="229"/>
      <c r="I347" s="229"/>
      <c r="J347" s="32"/>
      <c r="K347" s="1"/>
      <c r="L347" s="32"/>
      <c r="M347" s="32"/>
      <c r="N347" s="32"/>
      <c r="O347" s="51"/>
      <c r="P347" s="51"/>
    </row>
    <row r="348" spans="2:16" x14ac:dyDescent="0.25">
      <c r="B348" s="32">
        <v>333</v>
      </c>
      <c r="C348" s="229"/>
      <c r="D348" s="229"/>
      <c r="E348" s="229"/>
      <c r="F348" s="229"/>
      <c r="G348" s="229"/>
      <c r="H348" s="229"/>
      <c r="I348" s="229"/>
      <c r="J348" s="32"/>
      <c r="K348" s="1"/>
      <c r="L348" s="32"/>
      <c r="M348" s="32"/>
      <c r="N348" s="32"/>
      <c r="O348" s="51"/>
      <c r="P348" s="51"/>
    </row>
    <row r="349" spans="2:16" x14ac:dyDescent="0.25">
      <c r="B349" s="32">
        <v>334</v>
      </c>
      <c r="C349" s="229"/>
      <c r="D349" s="229"/>
      <c r="E349" s="229"/>
      <c r="F349" s="229"/>
      <c r="G349" s="229"/>
      <c r="H349" s="229"/>
      <c r="I349" s="229"/>
      <c r="J349" s="32"/>
      <c r="K349" s="1"/>
      <c r="L349" s="32"/>
      <c r="M349" s="32"/>
      <c r="N349" s="32"/>
      <c r="O349" s="51"/>
      <c r="P349" s="51"/>
    </row>
    <row r="350" spans="2:16" x14ac:dyDescent="0.25">
      <c r="B350" s="32">
        <v>335</v>
      </c>
      <c r="C350" s="229"/>
      <c r="D350" s="229"/>
      <c r="E350" s="229"/>
      <c r="F350" s="229"/>
      <c r="G350" s="229"/>
      <c r="H350" s="229"/>
      <c r="I350" s="229"/>
      <c r="J350" s="32"/>
      <c r="K350" s="1"/>
      <c r="L350" s="32"/>
      <c r="M350" s="32"/>
      <c r="N350" s="32"/>
      <c r="O350" s="51"/>
      <c r="P350" s="51"/>
    </row>
    <row r="351" spans="2:16" x14ac:dyDescent="0.25">
      <c r="B351" s="32">
        <v>336</v>
      </c>
      <c r="C351" s="229"/>
      <c r="D351" s="229"/>
      <c r="E351" s="229"/>
      <c r="F351" s="229"/>
      <c r="G351" s="229"/>
      <c r="H351" s="229"/>
      <c r="I351" s="229"/>
      <c r="J351" s="32"/>
      <c r="K351" s="1"/>
      <c r="L351" s="32"/>
      <c r="M351" s="32"/>
      <c r="N351" s="32"/>
      <c r="O351" s="51"/>
      <c r="P351" s="51"/>
    </row>
    <row r="352" spans="2:16" x14ac:dyDescent="0.25">
      <c r="B352" s="32">
        <v>337</v>
      </c>
      <c r="C352" s="229"/>
      <c r="D352" s="229"/>
      <c r="E352" s="229"/>
      <c r="F352" s="229"/>
      <c r="G352" s="229"/>
      <c r="H352" s="229"/>
      <c r="I352" s="229"/>
      <c r="J352" s="32"/>
      <c r="K352" s="1"/>
      <c r="L352" s="32"/>
      <c r="M352" s="32"/>
      <c r="N352" s="32"/>
      <c r="O352" s="51"/>
      <c r="P352" s="51"/>
    </row>
    <row r="353" spans="2:16" x14ac:dyDescent="0.25">
      <c r="B353" s="32">
        <v>338</v>
      </c>
      <c r="C353" s="229"/>
      <c r="D353" s="229"/>
      <c r="E353" s="229"/>
      <c r="F353" s="229"/>
      <c r="G353" s="229"/>
      <c r="H353" s="229"/>
      <c r="I353" s="229"/>
      <c r="J353" s="32"/>
      <c r="K353" s="1"/>
      <c r="L353" s="32"/>
      <c r="M353" s="32"/>
      <c r="N353" s="32"/>
      <c r="O353" s="51"/>
      <c r="P353" s="51"/>
    </row>
    <row r="354" spans="2:16" x14ac:dyDescent="0.25">
      <c r="B354" s="32">
        <v>339</v>
      </c>
      <c r="C354" s="229"/>
      <c r="D354" s="229"/>
      <c r="E354" s="229"/>
      <c r="F354" s="229"/>
      <c r="G354" s="229"/>
      <c r="H354" s="229"/>
      <c r="I354" s="229"/>
      <c r="J354" s="32"/>
      <c r="K354" s="1"/>
      <c r="L354" s="32"/>
      <c r="M354" s="32"/>
      <c r="N354" s="32"/>
      <c r="O354" s="51"/>
      <c r="P354" s="51"/>
    </row>
    <row r="355" spans="2:16" x14ac:dyDescent="0.25">
      <c r="B355" s="32">
        <v>340</v>
      </c>
      <c r="C355" s="229"/>
      <c r="D355" s="229"/>
      <c r="E355" s="229"/>
      <c r="F355" s="229"/>
      <c r="G355" s="229"/>
      <c r="H355" s="229"/>
      <c r="I355" s="229"/>
      <c r="J355" s="32"/>
      <c r="K355" s="1"/>
      <c r="L355" s="32"/>
      <c r="M355" s="32"/>
      <c r="N355" s="32"/>
      <c r="O355" s="51"/>
      <c r="P355" s="51"/>
    </row>
    <row r="356" spans="2:16" x14ac:dyDescent="0.25">
      <c r="B356" s="32">
        <v>341</v>
      </c>
      <c r="C356" s="229"/>
      <c r="D356" s="229"/>
      <c r="E356" s="229"/>
      <c r="F356" s="229"/>
      <c r="G356" s="229"/>
      <c r="H356" s="229"/>
      <c r="I356" s="229"/>
      <c r="J356" s="32"/>
      <c r="K356" s="1"/>
      <c r="L356" s="32"/>
      <c r="M356" s="32"/>
      <c r="N356" s="32"/>
      <c r="O356" s="51"/>
      <c r="P356" s="51"/>
    </row>
    <row r="357" spans="2:16" x14ac:dyDescent="0.25">
      <c r="B357" s="32">
        <v>342</v>
      </c>
      <c r="C357" s="229"/>
      <c r="D357" s="229"/>
      <c r="E357" s="229"/>
      <c r="F357" s="229"/>
      <c r="G357" s="229"/>
      <c r="H357" s="229"/>
      <c r="I357" s="229"/>
      <c r="J357" s="32"/>
      <c r="K357" s="1"/>
      <c r="L357" s="32"/>
      <c r="M357" s="32"/>
      <c r="N357" s="32"/>
      <c r="O357" s="51"/>
      <c r="P357" s="51"/>
    </row>
    <row r="358" spans="2:16" x14ac:dyDescent="0.25">
      <c r="B358" s="32">
        <v>343</v>
      </c>
      <c r="C358" s="229"/>
      <c r="D358" s="229"/>
      <c r="E358" s="229"/>
      <c r="F358" s="229"/>
      <c r="G358" s="229"/>
      <c r="H358" s="229"/>
      <c r="I358" s="229"/>
      <c r="J358" s="32"/>
      <c r="K358" s="1"/>
      <c r="L358" s="32"/>
      <c r="M358" s="32"/>
      <c r="N358" s="32"/>
      <c r="O358" s="51"/>
      <c r="P358" s="51"/>
    </row>
    <row r="359" spans="2:16" x14ac:dyDescent="0.25">
      <c r="B359" s="32">
        <v>344</v>
      </c>
      <c r="C359" s="229"/>
      <c r="D359" s="229"/>
      <c r="E359" s="229"/>
      <c r="F359" s="229"/>
      <c r="G359" s="229"/>
      <c r="H359" s="229"/>
      <c r="I359" s="229"/>
      <c r="J359" s="32"/>
      <c r="K359" s="1"/>
      <c r="L359" s="32"/>
      <c r="M359" s="32"/>
      <c r="N359" s="32"/>
      <c r="O359" s="51"/>
      <c r="P359" s="51"/>
    </row>
    <row r="360" spans="2:16" x14ac:dyDescent="0.25">
      <c r="B360" s="32">
        <v>345</v>
      </c>
      <c r="C360" s="229"/>
      <c r="D360" s="229"/>
      <c r="E360" s="229"/>
      <c r="F360" s="229"/>
      <c r="G360" s="229"/>
      <c r="H360" s="229"/>
      <c r="I360" s="229"/>
      <c r="J360" s="32"/>
      <c r="K360" s="1"/>
      <c r="L360" s="32"/>
      <c r="M360" s="32"/>
      <c r="N360" s="32"/>
      <c r="O360" s="51"/>
      <c r="P360" s="51"/>
    </row>
    <row r="361" spans="2:16" x14ac:dyDescent="0.25">
      <c r="B361" s="32">
        <v>346</v>
      </c>
      <c r="C361" s="229"/>
      <c r="D361" s="229"/>
      <c r="E361" s="229"/>
      <c r="F361" s="229"/>
      <c r="G361" s="229"/>
      <c r="H361" s="229"/>
      <c r="I361" s="229"/>
      <c r="J361" s="32"/>
      <c r="K361" s="1"/>
      <c r="L361" s="32"/>
      <c r="M361" s="32"/>
      <c r="N361" s="32"/>
      <c r="O361" s="51"/>
      <c r="P361" s="51"/>
    </row>
    <row r="362" spans="2:16" x14ac:dyDescent="0.25">
      <c r="B362" s="32">
        <v>347</v>
      </c>
      <c r="C362" s="229"/>
      <c r="D362" s="229"/>
      <c r="E362" s="229"/>
      <c r="F362" s="229"/>
      <c r="G362" s="229"/>
      <c r="H362" s="229"/>
      <c r="I362" s="229"/>
      <c r="J362" s="32"/>
      <c r="K362" s="1"/>
      <c r="L362" s="32"/>
      <c r="M362" s="32"/>
      <c r="N362" s="32"/>
      <c r="O362" s="51"/>
      <c r="P362" s="51"/>
    </row>
    <row r="363" spans="2:16" x14ac:dyDescent="0.25">
      <c r="B363" s="32">
        <v>348</v>
      </c>
      <c r="C363" s="229"/>
      <c r="D363" s="229"/>
      <c r="E363" s="229"/>
      <c r="F363" s="229"/>
      <c r="G363" s="229"/>
      <c r="H363" s="229"/>
      <c r="I363" s="229"/>
      <c r="J363" s="32"/>
      <c r="K363" s="1"/>
      <c r="L363" s="32"/>
      <c r="M363" s="32"/>
      <c r="N363" s="32"/>
      <c r="O363" s="51"/>
      <c r="P363" s="51"/>
    </row>
    <row r="364" spans="2:16" x14ac:dyDescent="0.25">
      <c r="B364" s="32">
        <v>349</v>
      </c>
      <c r="C364" s="229"/>
      <c r="D364" s="229"/>
      <c r="E364" s="229"/>
      <c r="F364" s="229"/>
      <c r="G364" s="229"/>
      <c r="H364" s="229"/>
      <c r="I364" s="229"/>
      <c r="J364" s="32"/>
      <c r="K364" s="1"/>
      <c r="L364" s="32"/>
      <c r="M364" s="32"/>
      <c r="N364" s="32"/>
      <c r="O364" s="51"/>
      <c r="P364" s="51"/>
    </row>
    <row r="365" spans="2:16" x14ac:dyDescent="0.25">
      <c r="B365" s="32">
        <v>350</v>
      </c>
      <c r="C365" s="229"/>
      <c r="D365" s="229"/>
      <c r="E365" s="229"/>
      <c r="F365" s="229"/>
      <c r="G365" s="229"/>
      <c r="H365" s="229"/>
      <c r="I365" s="229"/>
      <c r="J365" s="32"/>
      <c r="K365" s="1"/>
      <c r="L365" s="32"/>
      <c r="M365" s="32"/>
      <c r="N365" s="32"/>
      <c r="O365" s="51"/>
      <c r="P365" s="51"/>
    </row>
    <row r="366" spans="2:16" x14ac:dyDescent="0.25">
      <c r="B366" s="32">
        <v>351</v>
      </c>
      <c r="C366" s="229"/>
      <c r="D366" s="229"/>
      <c r="E366" s="229"/>
      <c r="F366" s="229"/>
      <c r="G366" s="229"/>
      <c r="H366" s="229"/>
      <c r="I366" s="229"/>
      <c r="J366" s="32"/>
      <c r="K366" s="1"/>
      <c r="L366" s="32"/>
      <c r="M366" s="32"/>
      <c r="N366" s="32"/>
      <c r="O366" s="51"/>
      <c r="P366" s="51"/>
    </row>
    <row r="367" spans="2:16" x14ac:dyDescent="0.25">
      <c r="B367" s="32">
        <v>352</v>
      </c>
      <c r="C367" s="229"/>
      <c r="D367" s="229"/>
      <c r="E367" s="229"/>
      <c r="F367" s="229"/>
      <c r="G367" s="229"/>
      <c r="H367" s="229"/>
      <c r="I367" s="229"/>
      <c r="J367" s="32"/>
      <c r="K367" s="1"/>
      <c r="L367" s="32"/>
      <c r="M367" s="32"/>
      <c r="N367" s="32"/>
      <c r="O367" s="51"/>
      <c r="P367" s="51"/>
    </row>
    <row r="368" spans="2:16" x14ac:dyDescent="0.25">
      <c r="B368" s="32">
        <v>353</v>
      </c>
      <c r="C368" s="229"/>
      <c r="D368" s="229"/>
      <c r="E368" s="229"/>
      <c r="F368" s="229"/>
      <c r="G368" s="229"/>
      <c r="H368" s="229"/>
      <c r="I368" s="229"/>
      <c r="J368" s="32"/>
      <c r="K368" s="1"/>
      <c r="L368" s="32"/>
      <c r="M368" s="32"/>
      <c r="N368" s="32"/>
      <c r="O368" s="51"/>
      <c r="P368" s="51"/>
    </row>
    <row r="369" spans="2:16" x14ac:dyDescent="0.25">
      <c r="B369" s="32">
        <v>354</v>
      </c>
      <c r="C369" s="229"/>
      <c r="D369" s="229"/>
      <c r="E369" s="229"/>
      <c r="F369" s="229"/>
      <c r="G369" s="229"/>
      <c r="H369" s="229"/>
      <c r="I369" s="229"/>
      <c r="J369" s="32"/>
      <c r="K369" s="1"/>
      <c r="L369" s="32"/>
      <c r="M369" s="32"/>
      <c r="N369" s="32"/>
      <c r="O369" s="51"/>
      <c r="P369" s="51"/>
    </row>
    <row r="370" spans="2:16" x14ac:dyDescent="0.25">
      <c r="B370" s="32">
        <v>355</v>
      </c>
      <c r="C370" s="229"/>
      <c r="D370" s="229"/>
      <c r="E370" s="229"/>
      <c r="F370" s="229"/>
      <c r="G370" s="229"/>
      <c r="H370" s="229"/>
      <c r="I370" s="229"/>
      <c r="J370" s="32"/>
      <c r="K370" s="1"/>
      <c r="L370" s="32"/>
      <c r="M370" s="32"/>
      <c r="N370" s="32"/>
      <c r="O370" s="51"/>
      <c r="P370" s="51"/>
    </row>
    <row r="371" spans="2:16" x14ac:dyDescent="0.25">
      <c r="B371" s="32">
        <v>356</v>
      </c>
      <c r="C371" s="229"/>
      <c r="D371" s="229"/>
      <c r="E371" s="229"/>
      <c r="F371" s="229"/>
      <c r="G371" s="229"/>
      <c r="H371" s="229"/>
      <c r="I371" s="229"/>
      <c r="J371" s="32"/>
      <c r="K371" s="1"/>
      <c r="L371" s="32"/>
      <c r="M371" s="32"/>
      <c r="N371" s="32"/>
      <c r="O371" s="51"/>
      <c r="P371" s="51"/>
    </row>
    <row r="372" spans="2:16" x14ac:dyDescent="0.25">
      <c r="B372" s="32">
        <v>357</v>
      </c>
      <c r="C372" s="229"/>
      <c r="D372" s="229"/>
      <c r="E372" s="229"/>
      <c r="F372" s="229"/>
      <c r="G372" s="229"/>
      <c r="H372" s="229"/>
      <c r="I372" s="229"/>
      <c r="J372" s="32"/>
      <c r="K372" s="1"/>
      <c r="L372" s="32"/>
      <c r="M372" s="32"/>
      <c r="N372" s="32"/>
      <c r="O372" s="51"/>
      <c r="P372" s="51"/>
    </row>
    <row r="373" spans="2:16" x14ac:dyDescent="0.25">
      <c r="B373" s="32">
        <v>358</v>
      </c>
      <c r="C373" s="229"/>
      <c r="D373" s="229"/>
      <c r="E373" s="229"/>
      <c r="F373" s="229"/>
      <c r="G373" s="229"/>
      <c r="H373" s="229"/>
      <c r="I373" s="229"/>
      <c r="J373" s="32"/>
      <c r="K373" s="1"/>
      <c r="L373" s="32"/>
      <c r="M373" s="32"/>
      <c r="N373" s="32"/>
      <c r="O373" s="51"/>
      <c r="P373" s="51"/>
    </row>
    <row r="374" spans="2:16" x14ac:dyDescent="0.25">
      <c r="B374" s="32">
        <v>359</v>
      </c>
      <c r="C374" s="229"/>
      <c r="D374" s="229"/>
      <c r="E374" s="229"/>
      <c r="F374" s="229"/>
      <c r="G374" s="229"/>
      <c r="H374" s="229"/>
      <c r="I374" s="229"/>
      <c r="J374" s="32"/>
      <c r="K374" s="1"/>
      <c r="L374" s="32"/>
      <c r="M374" s="32"/>
      <c r="N374" s="32"/>
      <c r="O374" s="51"/>
      <c r="P374" s="51"/>
    </row>
    <row r="375" spans="2:16" x14ac:dyDescent="0.25">
      <c r="B375" s="32">
        <v>360</v>
      </c>
      <c r="C375" s="229"/>
      <c r="D375" s="229"/>
      <c r="E375" s="229"/>
      <c r="F375" s="229"/>
      <c r="G375" s="229"/>
      <c r="H375" s="229"/>
      <c r="I375" s="229"/>
      <c r="J375" s="32"/>
      <c r="K375" s="1"/>
      <c r="L375" s="32"/>
      <c r="M375" s="32"/>
      <c r="N375" s="32"/>
      <c r="O375" s="51"/>
      <c r="P375" s="51"/>
    </row>
    <row r="376" spans="2:16" x14ac:dyDescent="0.25">
      <c r="B376" s="32">
        <v>361</v>
      </c>
      <c r="C376" s="229"/>
      <c r="D376" s="229"/>
      <c r="E376" s="229"/>
      <c r="F376" s="229"/>
      <c r="G376" s="229"/>
      <c r="H376" s="229"/>
      <c r="I376" s="229"/>
      <c r="J376" s="32"/>
      <c r="K376" s="1"/>
      <c r="L376" s="32"/>
      <c r="M376" s="32"/>
      <c r="N376" s="32"/>
      <c r="O376" s="51"/>
      <c r="P376" s="51"/>
    </row>
    <row r="377" spans="2:16" x14ac:dyDescent="0.25">
      <c r="B377" s="32">
        <v>362</v>
      </c>
      <c r="C377" s="229"/>
      <c r="D377" s="229"/>
      <c r="E377" s="229"/>
      <c r="F377" s="229"/>
      <c r="G377" s="229"/>
      <c r="H377" s="229"/>
      <c r="I377" s="229"/>
      <c r="J377" s="32"/>
      <c r="K377" s="1"/>
      <c r="L377" s="32"/>
      <c r="M377" s="32"/>
      <c r="N377" s="32"/>
      <c r="O377" s="51"/>
      <c r="P377" s="51"/>
    </row>
    <row r="378" spans="2:16" x14ac:dyDescent="0.25">
      <c r="B378" s="32">
        <v>363</v>
      </c>
      <c r="C378" s="229"/>
      <c r="D378" s="229"/>
      <c r="E378" s="229"/>
      <c r="F378" s="229"/>
      <c r="G378" s="229"/>
      <c r="H378" s="229"/>
      <c r="I378" s="229"/>
      <c r="J378" s="32"/>
      <c r="K378" s="1"/>
      <c r="L378" s="32"/>
      <c r="M378" s="32"/>
      <c r="N378" s="32"/>
      <c r="O378" s="51"/>
      <c r="P378" s="51"/>
    </row>
    <row r="379" spans="2:16" x14ac:dyDescent="0.25">
      <c r="B379" s="32">
        <v>364</v>
      </c>
      <c r="C379" s="229"/>
      <c r="D379" s="229"/>
      <c r="E379" s="229"/>
      <c r="F379" s="229"/>
      <c r="G379" s="229"/>
      <c r="H379" s="229"/>
      <c r="I379" s="229"/>
      <c r="J379" s="32"/>
      <c r="K379" s="1"/>
      <c r="L379" s="32"/>
      <c r="M379" s="32"/>
      <c r="N379" s="32"/>
      <c r="O379" s="51"/>
      <c r="P379" s="51"/>
    </row>
    <row r="380" spans="2:16" x14ac:dyDescent="0.25">
      <c r="B380" s="32">
        <v>365</v>
      </c>
      <c r="C380" s="229"/>
      <c r="D380" s="229"/>
      <c r="E380" s="229"/>
      <c r="F380" s="229"/>
      <c r="G380" s="229"/>
      <c r="H380" s="229"/>
      <c r="I380" s="229"/>
      <c r="J380" s="32"/>
      <c r="K380" s="1"/>
      <c r="L380" s="32"/>
      <c r="M380" s="32"/>
      <c r="N380" s="32"/>
      <c r="O380" s="51"/>
      <c r="P380" s="51"/>
    </row>
    <row r="381" spans="2:16" x14ac:dyDescent="0.25">
      <c r="B381" s="32">
        <v>366</v>
      </c>
      <c r="C381" s="229"/>
      <c r="D381" s="229"/>
      <c r="E381" s="229"/>
      <c r="F381" s="229"/>
      <c r="G381" s="229"/>
      <c r="H381" s="229"/>
      <c r="I381" s="229"/>
      <c r="J381" s="32"/>
      <c r="K381" s="1"/>
      <c r="L381" s="32"/>
      <c r="M381" s="32"/>
      <c r="N381" s="32"/>
      <c r="O381" s="51"/>
      <c r="P381" s="51"/>
    </row>
    <row r="382" spans="2:16" x14ac:dyDescent="0.25">
      <c r="B382" s="32">
        <v>367</v>
      </c>
      <c r="C382" s="229"/>
      <c r="D382" s="229"/>
      <c r="E382" s="229"/>
      <c r="F382" s="229"/>
      <c r="G382" s="229"/>
      <c r="H382" s="229"/>
      <c r="I382" s="229"/>
      <c r="J382" s="32"/>
      <c r="K382" s="1"/>
      <c r="L382" s="32"/>
      <c r="M382" s="32"/>
      <c r="N382" s="32"/>
      <c r="O382" s="51"/>
      <c r="P382" s="51"/>
    </row>
    <row r="383" spans="2:16" x14ac:dyDescent="0.25">
      <c r="B383" s="32">
        <v>368</v>
      </c>
      <c r="C383" s="229"/>
      <c r="D383" s="229"/>
      <c r="E383" s="229"/>
      <c r="F383" s="229"/>
      <c r="G383" s="229"/>
      <c r="H383" s="229"/>
      <c r="I383" s="229"/>
      <c r="J383" s="32"/>
      <c r="K383" s="1"/>
      <c r="L383" s="32"/>
      <c r="M383" s="32"/>
      <c r="N383" s="32"/>
      <c r="O383" s="51"/>
      <c r="P383" s="51"/>
    </row>
    <row r="384" spans="2:16" x14ac:dyDescent="0.25">
      <c r="B384" s="32">
        <v>369</v>
      </c>
      <c r="C384" s="229"/>
      <c r="D384" s="229"/>
      <c r="E384" s="229"/>
      <c r="F384" s="229"/>
      <c r="G384" s="229"/>
      <c r="H384" s="229"/>
      <c r="I384" s="229"/>
      <c r="J384" s="32"/>
      <c r="K384" s="1"/>
      <c r="L384" s="32"/>
      <c r="M384" s="32"/>
      <c r="N384" s="32"/>
      <c r="O384" s="51"/>
      <c r="P384" s="51"/>
    </row>
    <row r="385" spans="2:16" x14ac:dyDescent="0.25">
      <c r="B385" s="32">
        <v>370</v>
      </c>
      <c r="C385" s="229"/>
      <c r="D385" s="229"/>
      <c r="E385" s="229"/>
      <c r="F385" s="229"/>
      <c r="G385" s="229"/>
      <c r="H385" s="229"/>
      <c r="I385" s="229"/>
      <c r="J385" s="32"/>
      <c r="K385" s="1"/>
      <c r="L385" s="32"/>
      <c r="M385" s="32"/>
      <c r="N385" s="32"/>
      <c r="O385" s="51"/>
      <c r="P385" s="51"/>
    </row>
    <row r="386" spans="2:16" x14ac:dyDescent="0.25">
      <c r="B386" s="32">
        <v>371</v>
      </c>
      <c r="C386" s="229"/>
      <c r="D386" s="229"/>
      <c r="E386" s="229"/>
      <c r="F386" s="229"/>
      <c r="G386" s="229"/>
      <c r="H386" s="229"/>
      <c r="I386" s="229"/>
      <c r="J386" s="32"/>
      <c r="K386" s="1"/>
      <c r="L386" s="32"/>
      <c r="M386" s="32"/>
      <c r="N386" s="32"/>
      <c r="O386" s="51"/>
      <c r="P386" s="51"/>
    </row>
    <row r="387" spans="2:16" x14ac:dyDescent="0.25">
      <c r="B387" s="32">
        <v>372</v>
      </c>
      <c r="C387" s="229"/>
      <c r="D387" s="229"/>
      <c r="E387" s="229"/>
      <c r="F387" s="229"/>
      <c r="G387" s="229"/>
      <c r="H387" s="229"/>
      <c r="I387" s="229"/>
      <c r="J387" s="32"/>
      <c r="K387" s="1"/>
      <c r="L387" s="32"/>
      <c r="M387" s="32"/>
      <c r="N387" s="32"/>
      <c r="O387" s="51"/>
      <c r="P387" s="51"/>
    </row>
    <row r="388" spans="2:16" x14ac:dyDescent="0.25">
      <c r="B388" s="32">
        <v>373</v>
      </c>
      <c r="C388" s="229"/>
      <c r="D388" s="229"/>
      <c r="E388" s="229"/>
      <c r="F388" s="229"/>
      <c r="G388" s="229"/>
      <c r="H388" s="229"/>
      <c r="I388" s="229"/>
      <c r="J388" s="32"/>
      <c r="K388" s="1"/>
      <c r="L388" s="32"/>
      <c r="M388" s="32"/>
      <c r="N388" s="32"/>
      <c r="O388" s="51"/>
      <c r="P388" s="51"/>
    </row>
    <row r="389" spans="2:16" x14ac:dyDescent="0.25">
      <c r="B389" s="32">
        <v>374</v>
      </c>
      <c r="C389" s="229"/>
      <c r="D389" s="229"/>
      <c r="E389" s="229"/>
      <c r="F389" s="229"/>
      <c r="G389" s="229"/>
      <c r="H389" s="229"/>
      <c r="I389" s="229"/>
      <c r="J389" s="32"/>
      <c r="K389" s="1"/>
      <c r="L389" s="32"/>
      <c r="M389" s="32"/>
      <c r="N389" s="32"/>
      <c r="O389" s="51"/>
      <c r="P389" s="51"/>
    </row>
    <row r="390" spans="2:16" x14ac:dyDescent="0.25">
      <c r="B390" s="32">
        <v>375</v>
      </c>
      <c r="C390" s="229"/>
      <c r="D390" s="229"/>
      <c r="E390" s="229"/>
      <c r="F390" s="229"/>
      <c r="G390" s="229"/>
      <c r="H390" s="229"/>
      <c r="I390" s="229"/>
      <c r="J390" s="32"/>
      <c r="K390" s="1"/>
      <c r="L390" s="32"/>
      <c r="M390" s="32"/>
      <c r="N390" s="32"/>
      <c r="O390" s="51"/>
      <c r="P390" s="51"/>
    </row>
    <row r="391" spans="2:16" x14ac:dyDescent="0.25">
      <c r="B391" s="32">
        <v>376</v>
      </c>
      <c r="C391" s="229"/>
      <c r="D391" s="229"/>
      <c r="E391" s="229"/>
      <c r="F391" s="229"/>
      <c r="G391" s="229"/>
      <c r="H391" s="229"/>
      <c r="I391" s="229"/>
      <c r="J391" s="32"/>
      <c r="K391" s="1"/>
      <c r="L391" s="32"/>
      <c r="M391" s="32"/>
      <c r="N391" s="32"/>
      <c r="O391" s="51"/>
      <c r="P391" s="51"/>
    </row>
    <row r="392" spans="2:16" x14ac:dyDescent="0.25">
      <c r="B392" s="32">
        <v>377</v>
      </c>
      <c r="C392" s="229"/>
      <c r="D392" s="229"/>
      <c r="E392" s="229"/>
      <c r="F392" s="229"/>
      <c r="G392" s="229"/>
      <c r="H392" s="229"/>
      <c r="I392" s="229"/>
      <c r="J392" s="32"/>
      <c r="K392" s="1"/>
      <c r="L392" s="32"/>
      <c r="M392" s="32"/>
      <c r="N392" s="32"/>
      <c r="O392" s="51"/>
      <c r="P392" s="51"/>
    </row>
    <row r="393" spans="2:16" x14ac:dyDescent="0.25">
      <c r="B393" s="32">
        <v>378</v>
      </c>
      <c r="C393" s="229"/>
      <c r="D393" s="229"/>
      <c r="E393" s="229"/>
      <c r="F393" s="229"/>
      <c r="G393" s="229"/>
      <c r="H393" s="229"/>
      <c r="I393" s="229"/>
      <c r="J393" s="32"/>
      <c r="K393" s="1"/>
      <c r="L393" s="32"/>
      <c r="M393" s="32"/>
      <c r="N393" s="32"/>
      <c r="O393" s="51"/>
      <c r="P393" s="51"/>
    </row>
    <row r="394" spans="2:16" x14ac:dyDescent="0.25">
      <c r="B394" s="32">
        <v>379</v>
      </c>
      <c r="C394" s="229"/>
      <c r="D394" s="229"/>
      <c r="E394" s="229"/>
      <c r="F394" s="229"/>
      <c r="G394" s="229"/>
      <c r="H394" s="229"/>
      <c r="I394" s="229"/>
      <c r="J394" s="32"/>
      <c r="K394" s="1"/>
      <c r="L394" s="32"/>
      <c r="M394" s="32"/>
      <c r="N394" s="32"/>
      <c r="O394" s="51"/>
      <c r="P394" s="51"/>
    </row>
    <row r="395" spans="2:16" x14ac:dyDescent="0.25">
      <c r="B395" s="32">
        <v>380</v>
      </c>
      <c r="C395" s="229"/>
      <c r="D395" s="229"/>
      <c r="E395" s="229"/>
      <c r="F395" s="229"/>
      <c r="G395" s="229"/>
      <c r="H395" s="229"/>
      <c r="I395" s="229"/>
      <c r="J395" s="32"/>
      <c r="K395" s="1"/>
      <c r="L395" s="32"/>
      <c r="M395" s="32"/>
      <c r="N395" s="32"/>
      <c r="O395" s="51"/>
      <c r="P395" s="51"/>
    </row>
    <row r="396" spans="2:16" x14ac:dyDescent="0.25">
      <c r="B396" s="32">
        <v>381</v>
      </c>
      <c r="C396" s="229"/>
      <c r="D396" s="229"/>
      <c r="E396" s="229"/>
      <c r="F396" s="229"/>
      <c r="G396" s="229"/>
      <c r="H396" s="229"/>
      <c r="I396" s="229"/>
      <c r="J396" s="32"/>
      <c r="K396" s="1"/>
      <c r="L396" s="32"/>
      <c r="M396" s="32"/>
      <c r="N396" s="32"/>
      <c r="O396" s="51"/>
      <c r="P396" s="51"/>
    </row>
    <row r="397" spans="2:16" x14ac:dyDescent="0.25">
      <c r="B397" s="32">
        <v>382</v>
      </c>
      <c r="C397" s="229"/>
      <c r="D397" s="229"/>
      <c r="E397" s="229"/>
      <c r="F397" s="229"/>
      <c r="G397" s="229"/>
      <c r="H397" s="229"/>
      <c r="I397" s="229"/>
      <c r="J397" s="32"/>
      <c r="K397" s="1"/>
      <c r="L397" s="32"/>
      <c r="M397" s="32"/>
      <c r="N397" s="32"/>
      <c r="O397" s="51"/>
      <c r="P397" s="51"/>
    </row>
    <row r="398" spans="2:16" x14ac:dyDescent="0.25">
      <c r="B398" s="32">
        <v>383</v>
      </c>
      <c r="C398" s="229"/>
      <c r="D398" s="229"/>
      <c r="E398" s="229"/>
      <c r="F398" s="229"/>
      <c r="G398" s="229"/>
      <c r="H398" s="229"/>
      <c r="I398" s="229"/>
      <c r="J398" s="32"/>
      <c r="K398" s="1"/>
      <c r="L398" s="32"/>
      <c r="M398" s="32"/>
      <c r="N398" s="32"/>
      <c r="O398" s="51"/>
      <c r="P398" s="51"/>
    </row>
    <row r="399" spans="2:16" x14ac:dyDescent="0.25">
      <c r="B399" s="32">
        <v>384</v>
      </c>
      <c r="C399" s="229"/>
      <c r="D399" s="229"/>
      <c r="E399" s="229"/>
      <c r="F399" s="229"/>
      <c r="G399" s="229"/>
      <c r="H399" s="229"/>
      <c r="I399" s="229"/>
      <c r="J399" s="32"/>
      <c r="K399" s="1"/>
      <c r="L399" s="32"/>
      <c r="M399" s="32"/>
      <c r="N399" s="32"/>
      <c r="O399" s="51"/>
      <c r="P399" s="51"/>
    </row>
    <row r="400" spans="2:16" x14ac:dyDescent="0.25">
      <c r="B400" s="32">
        <v>385</v>
      </c>
      <c r="C400" s="229"/>
      <c r="D400" s="229"/>
      <c r="E400" s="229"/>
      <c r="F400" s="229"/>
      <c r="G400" s="229"/>
      <c r="H400" s="229"/>
      <c r="I400" s="229"/>
      <c r="J400" s="32"/>
      <c r="K400" s="1"/>
      <c r="L400" s="32"/>
      <c r="M400" s="32"/>
      <c r="N400" s="32"/>
      <c r="O400" s="51"/>
      <c r="P400" s="51"/>
    </row>
    <row r="401" spans="2:16" x14ac:dyDescent="0.25">
      <c r="B401" s="32">
        <v>386</v>
      </c>
      <c r="C401" s="229"/>
      <c r="D401" s="229"/>
      <c r="E401" s="229"/>
      <c r="F401" s="229"/>
      <c r="G401" s="229"/>
      <c r="H401" s="229"/>
      <c r="I401" s="229"/>
      <c r="J401" s="32"/>
      <c r="K401" s="1"/>
      <c r="L401" s="32"/>
      <c r="M401" s="32"/>
      <c r="N401" s="32"/>
      <c r="O401" s="51"/>
      <c r="P401" s="51"/>
    </row>
    <row r="402" spans="2:16" x14ac:dyDescent="0.25">
      <c r="B402" s="32">
        <v>387</v>
      </c>
      <c r="C402" s="229"/>
      <c r="D402" s="229"/>
      <c r="E402" s="229"/>
      <c r="F402" s="229"/>
      <c r="G402" s="229"/>
      <c r="H402" s="229"/>
      <c r="I402" s="229"/>
      <c r="J402" s="32"/>
      <c r="K402" s="1"/>
      <c r="L402" s="32"/>
      <c r="M402" s="32"/>
      <c r="N402" s="32"/>
      <c r="O402" s="51"/>
      <c r="P402" s="51"/>
    </row>
    <row r="403" spans="2:16" x14ac:dyDescent="0.25">
      <c r="B403" s="32">
        <v>388</v>
      </c>
      <c r="C403" s="229"/>
      <c r="D403" s="229"/>
      <c r="E403" s="229"/>
      <c r="F403" s="229"/>
      <c r="G403" s="229"/>
      <c r="H403" s="229"/>
      <c r="I403" s="229"/>
      <c r="J403" s="32"/>
      <c r="K403" s="1"/>
      <c r="L403" s="32"/>
      <c r="M403" s="32"/>
      <c r="N403" s="32"/>
      <c r="O403" s="51"/>
      <c r="P403" s="51"/>
    </row>
    <row r="404" spans="2:16" x14ac:dyDescent="0.25">
      <c r="B404" s="32">
        <v>389</v>
      </c>
      <c r="C404" s="229"/>
      <c r="D404" s="229"/>
      <c r="E404" s="229"/>
      <c r="F404" s="229"/>
      <c r="G404" s="229"/>
      <c r="H404" s="229"/>
      <c r="I404" s="229"/>
      <c r="J404" s="32"/>
      <c r="K404" s="1"/>
      <c r="L404" s="32"/>
      <c r="M404" s="32"/>
      <c r="N404" s="32"/>
      <c r="O404" s="51"/>
      <c r="P404" s="51"/>
    </row>
    <row r="405" spans="2:16" x14ac:dyDescent="0.25">
      <c r="B405" s="32">
        <v>390</v>
      </c>
      <c r="C405" s="229"/>
      <c r="D405" s="229"/>
      <c r="E405" s="229"/>
      <c r="F405" s="229"/>
      <c r="G405" s="229"/>
      <c r="H405" s="229"/>
      <c r="I405" s="229"/>
      <c r="J405" s="32"/>
      <c r="K405" s="1"/>
      <c r="L405" s="32"/>
      <c r="M405" s="32"/>
      <c r="N405" s="32"/>
      <c r="O405" s="51"/>
      <c r="P405" s="51"/>
    </row>
    <row r="406" spans="2:16" x14ac:dyDescent="0.25">
      <c r="B406" s="32">
        <v>391</v>
      </c>
      <c r="C406" s="229"/>
      <c r="D406" s="229"/>
      <c r="E406" s="229"/>
      <c r="F406" s="229"/>
      <c r="G406" s="229"/>
      <c r="H406" s="229"/>
      <c r="I406" s="229"/>
      <c r="J406" s="32"/>
      <c r="K406" s="1"/>
      <c r="L406" s="32"/>
      <c r="M406" s="32"/>
      <c r="N406" s="32"/>
      <c r="O406" s="51"/>
      <c r="P406" s="51"/>
    </row>
    <row r="407" spans="2:16" x14ac:dyDescent="0.25">
      <c r="B407" s="32">
        <v>392</v>
      </c>
      <c r="C407" s="229"/>
      <c r="D407" s="229"/>
      <c r="E407" s="229"/>
      <c r="F407" s="229"/>
      <c r="G407" s="229"/>
      <c r="H407" s="229"/>
      <c r="I407" s="229"/>
      <c r="J407" s="32"/>
      <c r="K407" s="1"/>
      <c r="L407" s="32"/>
      <c r="M407" s="32"/>
      <c r="N407" s="32"/>
      <c r="O407" s="51"/>
      <c r="P407" s="51"/>
    </row>
    <row r="408" spans="2:16" x14ac:dyDescent="0.25">
      <c r="B408" s="32">
        <v>393</v>
      </c>
      <c r="C408" s="229"/>
      <c r="D408" s="229"/>
      <c r="E408" s="229"/>
      <c r="F408" s="229"/>
      <c r="G408" s="229"/>
      <c r="H408" s="229"/>
      <c r="I408" s="229"/>
      <c r="J408" s="32"/>
      <c r="K408" s="1"/>
      <c r="L408" s="32"/>
      <c r="M408" s="32"/>
      <c r="N408" s="32"/>
      <c r="O408" s="51"/>
      <c r="P408" s="51"/>
    </row>
    <row r="409" spans="2:16" x14ac:dyDescent="0.25">
      <c r="B409" s="32">
        <v>394</v>
      </c>
      <c r="C409" s="229"/>
      <c r="D409" s="229"/>
      <c r="E409" s="229"/>
      <c r="F409" s="229"/>
      <c r="G409" s="229"/>
      <c r="H409" s="229"/>
      <c r="I409" s="229"/>
      <c r="J409" s="32"/>
      <c r="K409" s="1"/>
      <c r="L409" s="32"/>
      <c r="M409" s="32"/>
      <c r="N409" s="32"/>
      <c r="O409" s="51"/>
      <c r="P409" s="51"/>
    </row>
    <row r="410" spans="2:16" x14ac:dyDescent="0.25">
      <c r="B410" s="32">
        <v>395</v>
      </c>
      <c r="C410" s="229"/>
      <c r="D410" s="229"/>
      <c r="E410" s="229"/>
      <c r="F410" s="229"/>
      <c r="G410" s="229"/>
      <c r="H410" s="229"/>
      <c r="I410" s="229"/>
      <c r="J410" s="32"/>
      <c r="K410" s="1"/>
      <c r="L410" s="32"/>
      <c r="M410" s="32"/>
      <c r="N410" s="32"/>
      <c r="O410" s="51"/>
      <c r="P410" s="51"/>
    </row>
    <row r="411" spans="2:16" x14ac:dyDescent="0.25">
      <c r="B411" s="32">
        <v>396</v>
      </c>
      <c r="C411" s="229"/>
      <c r="D411" s="229"/>
      <c r="E411" s="229"/>
      <c r="F411" s="229"/>
      <c r="G411" s="229"/>
      <c r="H411" s="229"/>
      <c r="I411" s="229"/>
      <c r="J411" s="32"/>
      <c r="K411" s="1"/>
      <c r="L411" s="32"/>
      <c r="M411" s="32"/>
      <c r="N411" s="32"/>
      <c r="O411" s="51"/>
      <c r="P411" s="51"/>
    </row>
    <row r="412" spans="2:16" x14ac:dyDescent="0.25">
      <c r="B412" s="32">
        <v>397</v>
      </c>
      <c r="C412" s="229"/>
      <c r="D412" s="229"/>
      <c r="E412" s="229"/>
      <c r="F412" s="229"/>
      <c r="G412" s="229"/>
      <c r="H412" s="229"/>
      <c r="I412" s="229"/>
      <c r="J412" s="32"/>
      <c r="K412" s="1"/>
      <c r="L412" s="32"/>
      <c r="M412" s="32"/>
      <c r="N412" s="32"/>
      <c r="O412" s="51"/>
      <c r="P412" s="51"/>
    </row>
    <row r="413" spans="2:16" x14ac:dyDescent="0.25">
      <c r="B413" s="32">
        <v>398</v>
      </c>
      <c r="C413" s="229"/>
      <c r="D413" s="229"/>
      <c r="E413" s="229"/>
      <c r="F413" s="229"/>
      <c r="G413" s="229"/>
      <c r="H413" s="229"/>
      <c r="I413" s="229"/>
      <c r="J413" s="32"/>
      <c r="K413" s="1"/>
      <c r="L413" s="32"/>
      <c r="M413" s="32"/>
      <c r="N413" s="32"/>
      <c r="O413" s="51"/>
      <c r="P413" s="51"/>
    </row>
    <row r="414" spans="2:16" x14ac:dyDescent="0.25">
      <c r="B414" s="32">
        <v>399</v>
      </c>
      <c r="C414" s="229"/>
      <c r="D414" s="229"/>
      <c r="E414" s="229"/>
      <c r="F414" s="229"/>
      <c r="G414" s="229"/>
      <c r="H414" s="229"/>
      <c r="I414" s="229"/>
      <c r="J414" s="32"/>
      <c r="K414" s="1"/>
      <c r="L414" s="32"/>
      <c r="M414" s="32"/>
      <c r="N414" s="32"/>
      <c r="O414" s="51"/>
      <c r="P414" s="51"/>
    </row>
    <row r="415" spans="2:16" x14ac:dyDescent="0.25">
      <c r="B415" s="32">
        <v>400</v>
      </c>
      <c r="C415" s="229"/>
      <c r="D415" s="229"/>
      <c r="E415" s="229"/>
      <c r="F415" s="229"/>
      <c r="G415" s="229"/>
      <c r="H415" s="229"/>
      <c r="I415" s="229"/>
      <c r="J415" s="32"/>
      <c r="K415" s="1"/>
      <c r="L415" s="32"/>
      <c r="M415" s="32"/>
      <c r="N415" s="32"/>
      <c r="O415" s="51"/>
      <c r="P415" s="51"/>
    </row>
    <row r="416" spans="2:16" x14ac:dyDescent="0.25">
      <c r="B416" s="32">
        <v>401</v>
      </c>
      <c r="C416" s="229"/>
      <c r="D416" s="229"/>
      <c r="E416" s="229"/>
      <c r="F416" s="229"/>
      <c r="G416" s="229"/>
      <c r="H416" s="229"/>
      <c r="I416" s="229"/>
      <c r="J416" s="32"/>
      <c r="K416" s="1"/>
      <c r="L416" s="32"/>
      <c r="M416" s="32"/>
      <c r="N416" s="32"/>
      <c r="O416" s="51"/>
      <c r="P416" s="51"/>
    </row>
    <row r="417" spans="2:16" x14ac:dyDescent="0.25">
      <c r="B417" s="32">
        <v>402</v>
      </c>
      <c r="C417" s="229"/>
      <c r="D417" s="229"/>
      <c r="E417" s="229"/>
      <c r="F417" s="229"/>
      <c r="G417" s="229"/>
      <c r="H417" s="229"/>
      <c r="I417" s="229"/>
      <c r="J417" s="32"/>
      <c r="K417" s="1"/>
      <c r="L417" s="32"/>
      <c r="M417" s="32"/>
      <c r="N417" s="32"/>
      <c r="O417" s="51"/>
      <c r="P417" s="51"/>
    </row>
    <row r="418" spans="2:16" x14ac:dyDescent="0.25">
      <c r="B418" s="32">
        <v>403</v>
      </c>
      <c r="C418" s="229"/>
      <c r="D418" s="229"/>
      <c r="E418" s="229"/>
      <c r="F418" s="229"/>
      <c r="G418" s="229"/>
      <c r="H418" s="229"/>
      <c r="I418" s="229"/>
      <c r="J418" s="32"/>
      <c r="K418" s="1"/>
      <c r="L418" s="32"/>
      <c r="M418" s="32"/>
      <c r="N418" s="32"/>
      <c r="O418" s="51"/>
      <c r="P418" s="51"/>
    </row>
    <row r="419" spans="2:16" x14ac:dyDescent="0.25">
      <c r="B419" s="32">
        <v>404</v>
      </c>
      <c r="C419" s="229"/>
      <c r="D419" s="229"/>
      <c r="E419" s="229"/>
      <c r="F419" s="229"/>
      <c r="G419" s="229"/>
      <c r="H419" s="229"/>
      <c r="I419" s="229"/>
      <c r="J419" s="32"/>
      <c r="K419" s="1"/>
      <c r="L419" s="32"/>
      <c r="M419" s="32"/>
      <c r="N419" s="32"/>
      <c r="O419" s="51"/>
      <c r="P419" s="51"/>
    </row>
    <row r="420" spans="2:16" x14ac:dyDescent="0.25">
      <c r="B420" s="32">
        <v>405</v>
      </c>
      <c r="C420" s="229"/>
      <c r="D420" s="229"/>
      <c r="E420" s="229"/>
      <c r="F420" s="229"/>
      <c r="G420" s="229"/>
      <c r="H420" s="229"/>
      <c r="I420" s="229"/>
      <c r="J420" s="32"/>
      <c r="K420" s="1"/>
      <c r="L420" s="32"/>
      <c r="M420" s="32"/>
      <c r="N420" s="32"/>
      <c r="O420" s="51"/>
      <c r="P420" s="51"/>
    </row>
    <row r="421" spans="2:16" x14ac:dyDescent="0.25">
      <c r="B421" s="32">
        <v>406</v>
      </c>
      <c r="C421" s="229"/>
      <c r="D421" s="229"/>
      <c r="E421" s="229"/>
      <c r="F421" s="229"/>
      <c r="G421" s="229"/>
      <c r="H421" s="229"/>
      <c r="I421" s="229"/>
      <c r="J421" s="32"/>
      <c r="K421" s="1"/>
      <c r="L421" s="32"/>
      <c r="M421" s="32"/>
      <c r="N421" s="32"/>
      <c r="O421" s="51"/>
      <c r="P421" s="51"/>
    </row>
    <row r="422" spans="2:16" x14ac:dyDescent="0.25">
      <c r="B422" s="32">
        <v>407</v>
      </c>
      <c r="C422" s="229"/>
      <c r="D422" s="229"/>
      <c r="E422" s="229"/>
      <c r="F422" s="229"/>
      <c r="G422" s="229"/>
      <c r="H422" s="229"/>
      <c r="I422" s="229"/>
      <c r="J422" s="32"/>
      <c r="K422" s="1"/>
      <c r="L422" s="32"/>
      <c r="M422" s="32"/>
      <c r="N422" s="32"/>
      <c r="O422" s="51"/>
      <c r="P422" s="51"/>
    </row>
    <row r="423" spans="2:16" x14ac:dyDescent="0.25">
      <c r="B423" s="32">
        <v>408</v>
      </c>
      <c r="C423" s="229"/>
      <c r="D423" s="229"/>
      <c r="E423" s="229"/>
      <c r="F423" s="229"/>
      <c r="G423" s="229"/>
      <c r="H423" s="229"/>
      <c r="I423" s="229"/>
      <c r="J423" s="32"/>
      <c r="K423" s="1"/>
      <c r="L423" s="32"/>
      <c r="M423" s="32"/>
      <c r="N423" s="32"/>
      <c r="O423" s="51"/>
      <c r="P423" s="51"/>
    </row>
    <row r="424" spans="2:16" x14ac:dyDescent="0.25">
      <c r="B424" s="32">
        <v>409</v>
      </c>
      <c r="C424" s="229"/>
      <c r="D424" s="229"/>
      <c r="E424" s="229"/>
      <c r="F424" s="229"/>
      <c r="G424" s="229"/>
      <c r="H424" s="229"/>
      <c r="I424" s="229"/>
      <c r="J424" s="32"/>
      <c r="K424" s="1"/>
      <c r="L424" s="32"/>
      <c r="M424" s="32"/>
      <c r="N424" s="32"/>
      <c r="O424" s="51"/>
      <c r="P424" s="51"/>
    </row>
    <row r="425" spans="2:16" x14ac:dyDescent="0.25">
      <c r="B425" s="32">
        <v>410</v>
      </c>
      <c r="C425" s="229"/>
      <c r="D425" s="229"/>
      <c r="E425" s="229"/>
      <c r="F425" s="229"/>
      <c r="G425" s="229"/>
      <c r="H425" s="229"/>
      <c r="I425" s="229"/>
      <c r="J425" s="32"/>
      <c r="K425" s="1"/>
      <c r="L425" s="32"/>
      <c r="M425" s="32"/>
      <c r="N425" s="32"/>
      <c r="O425" s="51"/>
      <c r="P425" s="51"/>
    </row>
    <row r="426" spans="2:16" x14ac:dyDescent="0.25">
      <c r="B426" s="32">
        <v>411</v>
      </c>
      <c r="C426" s="229"/>
      <c r="D426" s="229"/>
      <c r="E426" s="229"/>
      <c r="F426" s="229"/>
      <c r="G426" s="229"/>
      <c r="H426" s="229"/>
      <c r="I426" s="229"/>
      <c r="J426" s="32"/>
      <c r="K426" s="1"/>
      <c r="L426" s="32"/>
      <c r="M426" s="32"/>
      <c r="N426" s="32"/>
      <c r="O426" s="51"/>
      <c r="P426" s="51"/>
    </row>
    <row r="427" spans="2:16" x14ac:dyDescent="0.25">
      <c r="B427" s="32">
        <v>412</v>
      </c>
      <c r="C427" s="229"/>
      <c r="D427" s="229"/>
      <c r="E427" s="229"/>
      <c r="F427" s="229"/>
      <c r="G427" s="229"/>
      <c r="H427" s="229"/>
      <c r="I427" s="229"/>
      <c r="J427" s="32"/>
      <c r="K427" s="1"/>
      <c r="L427" s="32"/>
      <c r="M427" s="32"/>
      <c r="N427" s="32"/>
      <c r="O427" s="51"/>
      <c r="P427" s="51"/>
    </row>
    <row r="428" spans="2:16" x14ac:dyDescent="0.25">
      <c r="B428" s="32">
        <v>413</v>
      </c>
      <c r="C428" s="229"/>
      <c r="D428" s="229"/>
      <c r="E428" s="229"/>
      <c r="F428" s="229"/>
      <c r="G428" s="229"/>
      <c r="H428" s="229"/>
      <c r="I428" s="229"/>
      <c r="J428" s="32"/>
      <c r="K428" s="1"/>
      <c r="L428" s="32"/>
      <c r="M428" s="32"/>
      <c r="N428" s="32"/>
      <c r="O428" s="51"/>
      <c r="P428" s="51"/>
    </row>
    <row r="429" spans="2:16" x14ac:dyDescent="0.25">
      <c r="B429" s="32">
        <v>414</v>
      </c>
      <c r="C429" s="229"/>
      <c r="D429" s="229"/>
      <c r="E429" s="229"/>
      <c r="F429" s="229"/>
      <c r="G429" s="229"/>
      <c r="H429" s="229"/>
      <c r="I429" s="229"/>
      <c r="J429" s="32"/>
      <c r="K429" s="1"/>
      <c r="L429" s="32"/>
      <c r="M429" s="32"/>
      <c r="N429" s="32"/>
      <c r="O429" s="51"/>
      <c r="P429" s="51"/>
    </row>
    <row r="430" spans="2:16" x14ac:dyDescent="0.25">
      <c r="B430" s="32">
        <v>415</v>
      </c>
      <c r="C430" s="229"/>
      <c r="D430" s="229"/>
      <c r="E430" s="229"/>
      <c r="F430" s="229"/>
      <c r="G430" s="229"/>
      <c r="H430" s="229"/>
      <c r="I430" s="229"/>
      <c r="J430" s="32"/>
      <c r="K430" s="1"/>
      <c r="L430" s="32"/>
      <c r="M430" s="32"/>
      <c r="N430" s="32"/>
      <c r="O430" s="51"/>
      <c r="P430" s="51"/>
    </row>
    <row r="431" spans="2:16" x14ac:dyDescent="0.25">
      <c r="B431" s="32">
        <v>416</v>
      </c>
      <c r="C431" s="229"/>
      <c r="D431" s="229"/>
      <c r="E431" s="229"/>
      <c r="F431" s="229"/>
      <c r="G431" s="229"/>
      <c r="H431" s="229"/>
      <c r="I431" s="229"/>
      <c r="J431" s="32"/>
      <c r="K431" s="1"/>
      <c r="L431" s="32"/>
      <c r="M431" s="32"/>
      <c r="N431" s="32"/>
      <c r="O431" s="51"/>
      <c r="P431" s="51"/>
    </row>
    <row r="432" spans="2:16" x14ac:dyDescent="0.25">
      <c r="B432" s="32">
        <v>417</v>
      </c>
      <c r="C432" s="229"/>
      <c r="D432" s="229"/>
      <c r="E432" s="229"/>
      <c r="F432" s="229"/>
      <c r="G432" s="229"/>
      <c r="H432" s="229"/>
      <c r="I432" s="229"/>
      <c r="J432" s="32"/>
      <c r="K432" s="1"/>
      <c r="L432" s="32"/>
      <c r="M432" s="32"/>
      <c r="N432" s="32"/>
      <c r="O432" s="51"/>
      <c r="P432" s="51"/>
    </row>
    <row r="433" spans="2:16" x14ac:dyDescent="0.25">
      <c r="B433" s="32">
        <v>418</v>
      </c>
      <c r="C433" s="229"/>
      <c r="D433" s="229"/>
      <c r="E433" s="229"/>
      <c r="F433" s="229"/>
      <c r="G433" s="229"/>
      <c r="H433" s="229"/>
      <c r="I433" s="229"/>
      <c r="J433" s="32"/>
      <c r="K433" s="1"/>
      <c r="L433" s="32"/>
      <c r="M433" s="32"/>
      <c r="N433" s="32"/>
      <c r="O433" s="51"/>
      <c r="P433" s="51"/>
    </row>
    <row r="434" spans="2:16" x14ac:dyDescent="0.25">
      <c r="B434" s="32">
        <v>419</v>
      </c>
      <c r="C434" s="229"/>
      <c r="D434" s="229"/>
      <c r="E434" s="229"/>
      <c r="F434" s="229"/>
      <c r="G434" s="229"/>
      <c r="H434" s="229"/>
      <c r="I434" s="229"/>
      <c r="J434" s="32"/>
      <c r="K434" s="1"/>
      <c r="L434" s="32"/>
      <c r="M434" s="32"/>
      <c r="N434" s="32"/>
      <c r="O434" s="51"/>
      <c r="P434" s="51"/>
    </row>
    <row r="435" spans="2:16" x14ac:dyDescent="0.25">
      <c r="B435" s="32">
        <v>420</v>
      </c>
      <c r="C435" s="229"/>
      <c r="D435" s="229"/>
      <c r="E435" s="229"/>
      <c r="F435" s="229"/>
      <c r="G435" s="229"/>
      <c r="H435" s="229"/>
      <c r="I435" s="229"/>
      <c r="J435" s="32"/>
      <c r="K435" s="1"/>
      <c r="L435" s="32"/>
      <c r="M435" s="32"/>
      <c r="N435" s="32"/>
      <c r="O435" s="51"/>
      <c r="P435" s="51"/>
    </row>
    <row r="436" spans="2:16" x14ac:dyDescent="0.25">
      <c r="B436" s="32">
        <v>421</v>
      </c>
      <c r="C436" s="229"/>
      <c r="D436" s="229"/>
      <c r="E436" s="229"/>
      <c r="F436" s="229"/>
      <c r="G436" s="229"/>
      <c r="H436" s="229"/>
      <c r="I436" s="229"/>
      <c r="J436" s="32"/>
      <c r="K436" s="1"/>
      <c r="L436" s="32"/>
      <c r="M436" s="32"/>
      <c r="N436" s="32"/>
      <c r="O436" s="51"/>
      <c r="P436" s="51"/>
    </row>
    <row r="437" spans="2:16" x14ac:dyDescent="0.25">
      <c r="B437" s="32">
        <v>422</v>
      </c>
      <c r="C437" s="229"/>
      <c r="D437" s="229"/>
      <c r="E437" s="229"/>
      <c r="F437" s="229"/>
      <c r="G437" s="229"/>
      <c r="H437" s="229"/>
      <c r="I437" s="229"/>
      <c r="J437" s="32"/>
      <c r="K437" s="1"/>
      <c r="L437" s="32"/>
      <c r="M437" s="32"/>
      <c r="N437" s="32"/>
      <c r="O437" s="51"/>
      <c r="P437" s="51"/>
    </row>
    <row r="438" spans="2:16" x14ac:dyDescent="0.25">
      <c r="B438" s="32">
        <v>423</v>
      </c>
      <c r="C438" s="229"/>
      <c r="D438" s="229"/>
      <c r="E438" s="229"/>
      <c r="F438" s="229"/>
      <c r="G438" s="229"/>
      <c r="H438" s="229"/>
      <c r="I438" s="229"/>
      <c r="J438" s="32"/>
      <c r="K438" s="1"/>
      <c r="L438" s="32"/>
      <c r="M438" s="32"/>
      <c r="N438" s="32"/>
      <c r="O438" s="51"/>
      <c r="P438" s="51"/>
    </row>
    <row r="439" spans="2:16" x14ac:dyDescent="0.25">
      <c r="B439" s="32">
        <v>424</v>
      </c>
      <c r="C439" s="229"/>
      <c r="D439" s="229"/>
      <c r="E439" s="229"/>
      <c r="F439" s="229"/>
      <c r="G439" s="229"/>
      <c r="H439" s="229"/>
      <c r="I439" s="229"/>
      <c r="J439" s="32"/>
      <c r="K439" s="1"/>
      <c r="L439" s="32"/>
      <c r="M439" s="32"/>
      <c r="N439" s="32"/>
      <c r="O439" s="51"/>
      <c r="P439" s="51"/>
    </row>
    <row r="440" spans="2:16" x14ac:dyDescent="0.25">
      <c r="B440" s="32">
        <v>425</v>
      </c>
      <c r="C440" s="229"/>
      <c r="D440" s="229"/>
      <c r="E440" s="229"/>
      <c r="F440" s="229"/>
      <c r="G440" s="229"/>
      <c r="H440" s="229"/>
      <c r="I440" s="229"/>
      <c r="J440" s="32"/>
      <c r="K440" s="1"/>
      <c r="L440" s="32"/>
      <c r="M440" s="32"/>
      <c r="N440" s="32"/>
      <c r="O440" s="51"/>
      <c r="P440" s="51"/>
    </row>
    <row r="441" spans="2:16" x14ac:dyDescent="0.25">
      <c r="B441" s="32">
        <v>426</v>
      </c>
      <c r="C441" s="229"/>
      <c r="D441" s="229"/>
      <c r="E441" s="229"/>
      <c r="F441" s="229"/>
      <c r="G441" s="229"/>
      <c r="H441" s="229"/>
      <c r="I441" s="229"/>
      <c r="J441" s="32"/>
      <c r="K441" s="1"/>
      <c r="L441" s="32"/>
      <c r="M441" s="32"/>
      <c r="N441" s="32"/>
      <c r="O441" s="51"/>
      <c r="P441" s="51"/>
    </row>
    <row r="442" spans="2:16" x14ac:dyDescent="0.25">
      <c r="B442" s="32">
        <v>427</v>
      </c>
      <c r="C442" s="229"/>
      <c r="D442" s="229"/>
      <c r="E442" s="229"/>
      <c r="F442" s="229"/>
      <c r="G442" s="229"/>
      <c r="H442" s="229"/>
      <c r="I442" s="229"/>
      <c r="J442" s="32"/>
      <c r="K442" s="1"/>
      <c r="L442" s="32"/>
      <c r="M442" s="32"/>
      <c r="N442" s="32"/>
      <c r="O442" s="51"/>
      <c r="P442" s="51"/>
    </row>
    <row r="443" spans="2:16" x14ac:dyDescent="0.25">
      <c r="B443" s="32">
        <v>428</v>
      </c>
      <c r="C443" s="229"/>
      <c r="D443" s="229"/>
      <c r="E443" s="229"/>
      <c r="F443" s="229"/>
      <c r="G443" s="229"/>
      <c r="H443" s="229"/>
      <c r="I443" s="229"/>
      <c r="J443" s="32"/>
      <c r="K443" s="1"/>
      <c r="L443" s="32"/>
      <c r="M443" s="32"/>
      <c r="N443" s="32"/>
      <c r="O443" s="51"/>
      <c r="P443" s="51"/>
    </row>
    <row r="444" spans="2:16" x14ac:dyDescent="0.25">
      <c r="B444" s="32">
        <v>429</v>
      </c>
      <c r="C444" s="229"/>
      <c r="D444" s="229"/>
      <c r="E444" s="229"/>
      <c r="F444" s="229"/>
      <c r="G444" s="229"/>
      <c r="H444" s="229"/>
      <c r="I444" s="229"/>
      <c r="J444" s="32"/>
      <c r="K444" s="1"/>
      <c r="L444" s="32"/>
      <c r="M444" s="32"/>
      <c r="N444" s="32"/>
      <c r="O444" s="51"/>
      <c r="P444" s="51"/>
    </row>
    <row r="445" spans="2:16" x14ac:dyDescent="0.25">
      <c r="B445" s="32">
        <v>430</v>
      </c>
      <c r="C445" s="229"/>
      <c r="D445" s="229"/>
      <c r="E445" s="229"/>
      <c r="F445" s="229"/>
      <c r="G445" s="229"/>
      <c r="H445" s="229"/>
      <c r="I445" s="229"/>
      <c r="J445" s="32"/>
      <c r="K445" s="1"/>
      <c r="L445" s="32"/>
      <c r="M445" s="32"/>
      <c r="N445" s="32"/>
      <c r="O445" s="51"/>
      <c r="P445" s="51"/>
    </row>
    <row r="446" spans="2:16" x14ac:dyDescent="0.25">
      <c r="B446" s="32">
        <v>431</v>
      </c>
      <c r="C446" s="229"/>
      <c r="D446" s="229"/>
      <c r="E446" s="229"/>
      <c r="F446" s="229"/>
      <c r="G446" s="229"/>
      <c r="H446" s="229"/>
      <c r="I446" s="229"/>
      <c r="J446" s="32"/>
      <c r="K446" s="1"/>
      <c r="L446" s="32"/>
      <c r="M446" s="32"/>
      <c r="N446" s="32"/>
      <c r="O446" s="51"/>
      <c r="P446" s="51"/>
    </row>
    <row r="447" spans="2:16" x14ac:dyDescent="0.25">
      <c r="B447" s="32">
        <v>432</v>
      </c>
      <c r="C447" s="229"/>
      <c r="D447" s="229"/>
      <c r="E447" s="229"/>
      <c r="F447" s="229"/>
      <c r="G447" s="229"/>
      <c r="H447" s="229"/>
      <c r="I447" s="229"/>
      <c r="J447" s="32"/>
      <c r="K447" s="1"/>
      <c r="L447" s="32"/>
      <c r="M447" s="32"/>
      <c r="N447" s="32"/>
      <c r="O447" s="51"/>
      <c r="P447" s="51"/>
    </row>
    <row r="448" spans="2:16" x14ac:dyDescent="0.25">
      <c r="B448" s="32">
        <v>433</v>
      </c>
      <c r="C448" s="229"/>
      <c r="D448" s="229"/>
      <c r="E448" s="229"/>
      <c r="F448" s="229"/>
      <c r="G448" s="229"/>
      <c r="H448" s="229"/>
      <c r="I448" s="229"/>
      <c r="J448" s="32"/>
      <c r="K448" s="1"/>
      <c r="L448" s="32"/>
      <c r="M448" s="32"/>
      <c r="N448" s="32"/>
      <c r="O448" s="51"/>
      <c r="P448" s="51"/>
    </row>
    <row r="449" spans="2:16" x14ac:dyDescent="0.25">
      <c r="B449" s="32">
        <v>434</v>
      </c>
      <c r="C449" s="229"/>
      <c r="D449" s="229"/>
      <c r="E449" s="229"/>
      <c r="F449" s="229"/>
      <c r="G449" s="229"/>
      <c r="H449" s="229"/>
      <c r="I449" s="229"/>
      <c r="J449" s="32"/>
      <c r="K449" s="1"/>
      <c r="L449" s="32"/>
      <c r="M449" s="32"/>
      <c r="N449" s="32"/>
      <c r="O449" s="51"/>
      <c r="P449" s="51"/>
    </row>
    <row r="450" spans="2:16" x14ac:dyDescent="0.25">
      <c r="B450" s="32">
        <v>435</v>
      </c>
      <c r="C450" s="229"/>
      <c r="D450" s="229"/>
      <c r="E450" s="229"/>
      <c r="F450" s="229"/>
      <c r="G450" s="229"/>
      <c r="H450" s="229"/>
      <c r="I450" s="229"/>
      <c r="J450" s="32"/>
      <c r="K450" s="1"/>
      <c r="L450" s="32"/>
      <c r="M450" s="32"/>
      <c r="N450" s="32"/>
      <c r="O450" s="51"/>
      <c r="P450" s="51"/>
    </row>
    <row r="451" spans="2:16" x14ac:dyDescent="0.25">
      <c r="B451" s="32">
        <v>436</v>
      </c>
      <c r="C451" s="229"/>
      <c r="D451" s="229"/>
      <c r="E451" s="229"/>
      <c r="F451" s="229"/>
      <c r="G451" s="229"/>
      <c r="H451" s="229"/>
      <c r="I451" s="229"/>
      <c r="J451" s="32"/>
      <c r="K451" s="1"/>
      <c r="L451" s="32"/>
      <c r="M451" s="32"/>
      <c r="N451" s="32"/>
      <c r="O451" s="51"/>
      <c r="P451" s="51"/>
    </row>
    <row r="452" spans="2:16" x14ac:dyDescent="0.25">
      <c r="B452" s="32">
        <v>437</v>
      </c>
      <c r="C452" s="229"/>
      <c r="D452" s="229"/>
      <c r="E452" s="229"/>
      <c r="F452" s="229"/>
      <c r="G452" s="229"/>
      <c r="H452" s="229"/>
      <c r="I452" s="229"/>
      <c r="J452" s="32"/>
      <c r="K452" s="1"/>
      <c r="L452" s="32"/>
      <c r="M452" s="32"/>
      <c r="N452" s="32"/>
      <c r="O452" s="51"/>
      <c r="P452" s="51"/>
    </row>
    <row r="453" spans="2:16" x14ac:dyDescent="0.25">
      <c r="B453" s="32">
        <v>438</v>
      </c>
      <c r="C453" s="229"/>
      <c r="D453" s="229"/>
      <c r="E453" s="229"/>
      <c r="F453" s="229"/>
      <c r="G453" s="229"/>
      <c r="H453" s="229"/>
      <c r="I453" s="229"/>
      <c r="J453" s="32"/>
      <c r="K453" s="1"/>
      <c r="L453" s="32"/>
      <c r="M453" s="32"/>
      <c r="N453" s="32"/>
      <c r="O453" s="51"/>
      <c r="P453" s="51"/>
    </row>
    <row r="454" spans="2:16" x14ac:dyDescent="0.25">
      <c r="B454" s="32">
        <v>439</v>
      </c>
      <c r="C454" s="229"/>
      <c r="D454" s="229"/>
      <c r="E454" s="229"/>
      <c r="F454" s="229"/>
      <c r="G454" s="229"/>
      <c r="H454" s="229"/>
      <c r="I454" s="229"/>
      <c r="J454" s="32"/>
      <c r="K454" s="1"/>
      <c r="L454" s="32"/>
      <c r="M454" s="32"/>
      <c r="N454" s="32"/>
      <c r="O454" s="51"/>
      <c r="P454" s="51"/>
    </row>
    <row r="455" spans="2:16" x14ac:dyDescent="0.25">
      <c r="B455" s="32">
        <v>440</v>
      </c>
      <c r="C455" s="229"/>
      <c r="D455" s="229"/>
      <c r="E455" s="229"/>
      <c r="F455" s="229"/>
      <c r="G455" s="229"/>
      <c r="H455" s="229"/>
      <c r="I455" s="229"/>
      <c r="J455" s="32"/>
      <c r="K455" s="1"/>
      <c r="L455" s="32"/>
      <c r="M455" s="32"/>
      <c r="N455" s="32"/>
      <c r="O455" s="51"/>
      <c r="P455" s="51"/>
    </row>
    <row r="456" spans="2:16" x14ac:dyDescent="0.25">
      <c r="B456" s="32">
        <v>441</v>
      </c>
      <c r="C456" s="229"/>
      <c r="D456" s="229"/>
      <c r="E456" s="229"/>
      <c r="F456" s="229"/>
      <c r="G456" s="229"/>
      <c r="H456" s="229"/>
      <c r="I456" s="229"/>
      <c r="J456" s="32"/>
      <c r="K456" s="1"/>
      <c r="L456" s="32"/>
      <c r="M456" s="32"/>
      <c r="N456" s="32"/>
      <c r="O456" s="51"/>
      <c r="P456" s="51"/>
    </row>
    <row r="457" spans="2:16" x14ac:dyDescent="0.25">
      <c r="B457" s="32">
        <v>442</v>
      </c>
      <c r="C457" s="229"/>
      <c r="D457" s="229"/>
      <c r="E457" s="229"/>
      <c r="F457" s="229"/>
      <c r="G457" s="229"/>
      <c r="H457" s="229"/>
      <c r="I457" s="229"/>
      <c r="J457" s="32"/>
      <c r="K457" s="1"/>
      <c r="L457" s="32"/>
      <c r="M457" s="32"/>
      <c r="N457" s="32"/>
      <c r="O457" s="51"/>
      <c r="P457" s="51"/>
    </row>
    <row r="458" spans="2:16" x14ac:dyDescent="0.25">
      <c r="B458" s="32">
        <v>443</v>
      </c>
      <c r="C458" s="229"/>
      <c r="D458" s="229"/>
      <c r="E458" s="229"/>
      <c r="F458" s="229"/>
      <c r="G458" s="229"/>
      <c r="H458" s="229"/>
      <c r="I458" s="229"/>
      <c r="J458" s="32"/>
      <c r="K458" s="1"/>
      <c r="L458" s="32"/>
      <c r="M458" s="32"/>
      <c r="N458" s="32"/>
      <c r="O458" s="51"/>
      <c r="P458" s="51"/>
    </row>
    <row r="459" spans="2:16" x14ac:dyDescent="0.25">
      <c r="B459" s="32">
        <v>444</v>
      </c>
      <c r="C459" s="229"/>
      <c r="D459" s="229"/>
      <c r="E459" s="229"/>
      <c r="F459" s="229"/>
      <c r="G459" s="229"/>
      <c r="H459" s="229"/>
      <c r="I459" s="229"/>
      <c r="J459" s="32"/>
      <c r="K459" s="1"/>
      <c r="L459" s="32"/>
      <c r="M459" s="32"/>
      <c r="N459" s="32"/>
      <c r="O459" s="51"/>
      <c r="P459" s="51"/>
    </row>
    <row r="460" spans="2:16" x14ac:dyDescent="0.25">
      <c r="B460" s="32">
        <v>445</v>
      </c>
      <c r="C460" s="229"/>
      <c r="D460" s="229"/>
      <c r="E460" s="229"/>
      <c r="F460" s="229"/>
      <c r="G460" s="229"/>
      <c r="H460" s="229"/>
      <c r="I460" s="229"/>
      <c r="J460" s="32"/>
      <c r="K460" s="1"/>
      <c r="L460" s="32"/>
      <c r="M460" s="32"/>
      <c r="N460" s="32"/>
      <c r="O460" s="51"/>
      <c r="P460" s="51"/>
    </row>
    <row r="461" spans="2:16" x14ac:dyDescent="0.25">
      <c r="B461" s="32">
        <v>446</v>
      </c>
      <c r="C461" s="229"/>
      <c r="D461" s="229"/>
      <c r="E461" s="229"/>
      <c r="F461" s="229"/>
      <c r="G461" s="229"/>
      <c r="H461" s="229"/>
      <c r="I461" s="229"/>
      <c r="J461" s="32"/>
      <c r="K461" s="1"/>
      <c r="L461" s="32"/>
      <c r="M461" s="32"/>
      <c r="N461" s="32"/>
      <c r="O461" s="51"/>
      <c r="P461" s="51"/>
    </row>
    <row r="462" spans="2:16" x14ac:dyDescent="0.25">
      <c r="B462" s="32">
        <v>447</v>
      </c>
      <c r="C462" s="229"/>
      <c r="D462" s="229"/>
      <c r="E462" s="229"/>
      <c r="F462" s="229"/>
      <c r="G462" s="229"/>
      <c r="H462" s="229"/>
      <c r="I462" s="229"/>
      <c r="J462" s="32"/>
      <c r="K462" s="1"/>
      <c r="L462" s="32"/>
      <c r="M462" s="32"/>
      <c r="N462" s="32"/>
      <c r="O462" s="51"/>
      <c r="P462" s="51"/>
    </row>
    <row r="463" spans="2:16" x14ac:dyDescent="0.25">
      <c r="B463" s="32">
        <v>448</v>
      </c>
      <c r="C463" s="229"/>
      <c r="D463" s="229"/>
      <c r="E463" s="229"/>
      <c r="F463" s="229"/>
      <c r="G463" s="229"/>
      <c r="H463" s="229"/>
      <c r="I463" s="229"/>
      <c r="J463" s="32"/>
      <c r="K463" s="1"/>
      <c r="L463" s="32"/>
      <c r="M463" s="32"/>
      <c r="N463" s="32"/>
      <c r="O463" s="51"/>
      <c r="P463" s="51"/>
    </row>
    <row r="464" spans="2:16" x14ac:dyDescent="0.25">
      <c r="B464" s="32">
        <v>449</v>
      </c>
      <c r="C464" s="229"/>
      <c r="D464" s="229"/>
      <c r="E464" s="229"/>
      <c r="F464" s="229"/>
      <c r="G464" s="229"/>
      <c r="H464" s="229"/>
      <c r="I464" s="229"/>
      <c r="J464" s="32"/>
      <c r="K464" s="1"/>
      <c r="L464" s="32"/>
      <c r="M464" s="32"/>
      <c r="N464" s="32"/>
      <c r="O464" s="51"/>
      <c r="P464" s="51"/>
    </row>
    <row r="465" spans="2:16" x14ac:dyDescent="0.25">
      <c r="B465" s="32">
        <v>450</v>
      </c>
      <c r="C465" s="229"/>
      <c r="D465" s="229"/>
      <c r="E465" s="229"/>
      <c r="F465" s="229"/>
      <c r="G465" s="229"/>
      <c r="H465" s="229"/>
      <c r="I465" s="229"/>
      <c r="J465" s="32"/>
      <c r="K465" s="1"/>
      <c r="L465" s="32"/>
      <c r="M465" s="32"/>
      <c r="N465" s="32"/>
      <c r="O465" s="51"/>
      <c r="P465" s="51"/>
    </row>
    <row r="466" spans="2:16" x14ac:dyDescent="0.25">
      <c r="B466" s="32">
        <v>451</v>
      </c>
      <c r="C466" s="229"/>
      <c r="D466" s="229"/>
      <c r="E466" s="229"/>
      <c r="F466" s="229"/>
      <c r="G466" s="229"/>
      <c r="H466" s="229"/>
      <c r="I466" s="229"/>
      <c r="J466" s="32"/>
      <c r="K466" s="1"/>
      <c r="L466" s="32"/>
      <c r="M466" s="32"/>
      <c r="N466" s="32"/>
      <c r="O466" s="51"/>
      <c r="P466" s="51"/>
    </row>
    <row r="467" spans="2:16" x14ac:dyDescent="0.25">
      <c r="B467" s="32">
        <v>452</v>
      </c>
      <c r="C467" s="229"/>
      <c r="D467" s="229"/>
      <c r="E467" s="229"/>
      <c r="F467" s="229"/>
      <c r="G467" s="229"/>
      <c r="H467" s="229"/>
      <c r="I467" s="229"/>
      <c r="J467" s="32"/>
      <c r="K467" s="1"/>
      <c r="L467" s="32"/>
      <c r="M467" s="32"/>
      <c r="N467" s="32"/>
      <c r="O467" s="51"/>
      <c r="P467" s="51"/>
    </row>
    <row r="468" spans="2:16" x14ac:dyDescent="0.25">
      <c r="B468" s="32">
        <v>453</v>
      </c>
      <c r="C468" s="229"/>
      <c r="D468" s="229"/>
      <c r="E468" s="229"/>
      <c r="F468" s="229"/>
      <c r="G468" s="229"/>
      <c r="H468" s="229"/>
      <c r="I468" s="229"/>
      <c r="J468" s="32"/>
      <c r="K468" s="1"/>
      <c r="L468" s="32"/>
      <c r="M468" s="32"/>
      <c r="N468" s="32"/>
      <c r="O468" s="51"/>
      <c r="P468" s="51"/>
    </row>
    <row r="469" spans="2:16" x14ac:dyDescent="0.25">
      <c r="B469" s="32">
        <v>454</v>
      </c>
      <c r="C469" s="229"/>
      <c r="D469" s="229"/>
      <c r="E469" s="229"/>
      <c r="F469" s="229"/>
      <c r="G469" s="229"/>
      <c r="H469" s="229"/>
      <c r="I469" s="229"/>
      <c r="J469" s="32"/>
      <c r="K469" s="1"/>
      <c r="L469" s="32"/>
      <c r="M469" s="32"/>
      <c r="N469" s="32"/>
      <c r="O469" s="51"/>
      <c r="P469" s="51"/>
    </row>
    <row r="470" spans="2:16" x14ac:dyDescent="0.25">
      <c r="B470" s="32">
        <v>455</v>
      </c>
      <c r="C470" s="229"/>
      <c r="D470" s="229"/>
      <c r="E470" s="229"/>
      <c r="F470" s="229"/>
      <c r="G470" s="229"/>
      <c r="H470" s="229"/>
      <c r="I470" s="229"/>
      <c r="J470" s="32"/>
      <c r="K470" s="1"/>
      <c r="L470" s="32"/>
      <c r="M470" s="32"/>
      <c r="N470" s="32"/>
      <c r="O470" s="51"/>
      <c r="P470" s="51"/>
    </row>
    <row r="471" spans="2:16" x14ac:dyDescent="0.25">
      <c r="B471" s="32">
        <v>456</v>
      </c>
      <c r="C471" s="229"/>
      <c r="D471" s="229"/>
      <c r="E471" s="229"/>
      <c r="F471" s="229"/>
      <c r="G471" s="229"/>
      <c r="H471" s="229"/>
      <c r="I471" s="229"/>
      <c r="J471" s="32"/>
      <c r="K471" s="1"/>
      <c r="L471" s="32"/>
      <c r="M471" s="32"/>
      <c r="N471" s="32"/>
      <c r="O471" s="51"/>
      <c r="P471" s="51"/>
    </row>
    <row r="472" spans="2:16" x14ac:dyDescent="0.25">
      <c r="B472" s="32">
        <v>457</v>
      </c>
      <c r="C472" s="229"/>
      <c r="D472" s="229"/>
      <c r="E472" s="229"/>
      <c r="F472" s="229"/>
      <c r="G472" s="229"/>
      <c r="H472" s="229"/>
      <c r="I472" s="229"/>
      <c r="J472" s="32"/>
      <c r="K472" s="1"/>
      <c r="L472" s="32"/>
      <c r="M472" s="32"/>
      <c r="N472" s="32"/>
      <c r="O472" s="51"/>
      <c r="P472" s="51"/>
    </row>
    <row r="473" spans="2:16" x14ac:dyDescent="0.25">
      <c r="B473" s="32">
        <v>458</v>
      </c>
      <c r="C473" s="229"/>
      <c r="D473" s="229"/>
      <c r="E473" s="229"/>
      <c r="F473" s="229"/>
      <c r="G473" s="229"/>
      <c r="H473" s="229"/>
      <c r="I473" s="229"/>
      <c r="J473" s="32"/>
      <c r="K473" s="1"/>
      <c r="L473" s="32"/>
      <c r="M473" s="32"/>
      <c r="N473" s="32"/>
      <c r="O473" s="51"/>
      <c r="P473" s="51"/>
    </row>
    <row r="474" spans="2:16" x14ac:dyDescent="0.25">
      <c r="B474" s="32">
        <v>459</v>
      </c>
      <c r="C474" s="229"/>
      <c r="D474" s="229"/>
      <c r="E474" s="229"/>
      <c r="F474" s="229"/>
      <c r="G474" s="229"/>
      <c r="H474" s="229"/>
      <c r="I474" s="229"/>
      <c r="J474" s="32"/>
      <c r="K474" s="1"/>
      <c r="L474" s="32"/>
      <c r="M474" s="32"/>
      <c r="N474" s="32"/>
      <c r="O474" s="51"/>
      <c r="P474" s="51"/>
    </row>
    <row r="475" spans="2:16" x14ac:dyDescent="0.25">
      <c r="B475" s="32">
        <v>460</v>
      </c>
      <c r="C475" s="229"/>
      <c r="D475" s="229"/>
      <c r="E475" s="229"/>
      <c r="F475" s="229"/>
      <c r="G475" s="229"/>
      <c r="H475" s="229"/>
      <c r="I475" s="229"/>
      <c r="J475" s="32"/>
      <c r="K475" s="1"/>
      <c r="L475" s="32"/>
      <c r="M475" s="32"/>
      <c r="N475" s="32"/>
      <c r="O475" s="51"/>
      <c r="P475" s="51"/>
    </row>
    <row r="476" spans="2:16" x14ac:dyDescent="0.25">
      <c r="B476" s="32">
        <v>461</v>
      </c>
      <c r="C476" s="229"/>
      <c r="D476" s="229"/>
      <c r="E476" s="229"/>
      <c r="F476" s="229"/>
      <c r="G476" s="229"/>
      <c r="H476" s="229"/>
      <c r="I476" s="229"/>
      <c r="J476" s="32"/>
      <c r="K476" s="1"/>
      <c r="L476" s="32"/>
      <c r="M476" s="32"/>
      <c r="N476" s="32"/>
      <c r="O476" s="51"/>
      <c r="P476" s="51"/>
    </row>
    <row r="477" spans="2:16" x14ac:dyDescent="0.25">
      <c r="B477" s="32">
        <v>462</v>
      </c>
      <c r="C477" s="229"/>
      <c r="D477" s="229"/>
      <c r="E477" s="229"/>
      <c r="F477" s="229"/>
      <c r="G477" s="229"/>
      <c r="H477" s="229"/>
      <c r="I477" s="229"/>
      <c r="J477" s="32"/>
      <c r="K477" s="1"/>
      <c r="L477" s="32"/>
      <c r="M477" s="32"/>
      <c r="N477" s="32"/>
      <c r="O477" s="51"/>
      <c r="P477" s="51"/>
    </row>
    <row r="478" spans="2:16" x14ac:dyDescent="0.25">
      <c r="B478" s="32">
        <v>463</v>
      </c>
      <c r="C478" s="229"/>
      <c r="D478" s="229"/>
      <c r="E478" s="229"/>
      <c r="F478" s="229"/>
      <c r="G478" s="229"/>
      <c r="H478" s="229"/>
      <c r="I478" s="229"/>
      <c r="J478" s="32"/>
      <c r="K478" s="1"/>
      <c r="L478" s="32"/>
      <c r="M478" s="32"/>
      <c r="N478" s="32"/>
      <c r="O478" s="51"/>
      <c r="P478" s="51"/>
    </row>
    <row r="479" spans="2:16" x14ac:dyDescent="0.25">
      <c r="B479" s="32">
        <v>464</v>
      </c>
      <c r="C479" s="229"/>
      <c r="D479" s="229"/>
      <c r="E479" s="229"/>
      <c r="F479" s="229"/>
      <c r="G479" s="229"/>
      <c r="H479" s="229"/>
      <c r="I479" s="229"/>
      <c r="J479" s="32"/>
      <c r="K479" s="1"/>
      <c r="L479" s="32"/>
      <c r="M479" s="32"/>
      <c r="N479" s="32"/>
      <c r="O479" s="51"/>
      <c r="P479" s="51"/>
    </row>
    <row r="480" spans="2:16" x14ac:dyDescent="0.25">
      <c r="B480" s="32">
        <v>465</v>
      </c>
      <c r="C480" s="229"/>
      <c r="D480" s="229"/>
      <c r="E480" s="229"/>
      <c r="F480" s="229"/>
      <c r="G480" s="229"/>
      <c r="H480" s="229"/>
      <c r="I480" s="229"/>
      <c r="J480" s="32"/>
      <c r="K480" s="1"/>
      <c r="L480" s="32"/>
      <c r="M480" s="32"/>
      <c r="N480" s="32"/>
      <c r="O480" s="51"/>
      <c r="P480" s="51"/>
    </row>
    <row r="481" spans="2:16" x14ac:dyDescent="0.25">
      <c r="B481" s="32">
        <v>466</v>
      </c>
      <c r="C481" s="229"/>
      <c r="D481" s="229"/>
      <c r="E481" s="229"/>
      <c r="F481" s="229"/>
      <c r="G481" s="229"/>
      <c r="H481" s="229"/>
      <c r="I481" s="229"/>
      <c r="J481" s="32"/>
      <c r="K481" s="1"/>
      <c r="L481" s="32"/>
      <c r="M481" s="32"/>
      <c r="N481" s="32"/>
      <c r="O481" s="51"/>
      <c r="P481" s="51"/>
    </row>
    <row r="482" spans="2:16" x14ac:dyDescent="0.25">
      <c r="B482" s="32">
        <v>467</v>
      </c>
      <c r="C482" s="229"/>
      <c r="D482" s="229"/>
      <c r="E482" s="229"/>
      <c r="F482" s="229"/>
      <c r="G482" s="229"/>
      <c r="H482" s="229"/>
      <c r="I482" s="229"/>
      <c r="J482" s="32"/>
      <c r="K482" s="1"/>
      <c r="L482" s="32"/>
      <c r="M482" s="32"/>
      <c r="N482" s="32"/>
      <c r="O482" s="51"/>
      <c r="P482" s="51"/>
    </row>
    <row r="483" spans="2:16" x14ac:dyDescent="0.25">
      <c r="B483" s="32">
        <v>468</v>
      </c>
      <c r="C483" s="229"/>
      <c r="D483" s="229"/>
      <c r="E483" s="229"/>
      <c r="F483" s="229"/>
      <c r="G483" s="229"/>
      <c r="H483" s="229"/>
      <c r="I483" s="229"/>
      <c r="J483" s="32"/>
      <c r="K483" s="1"/>
      <c r="L483" s="32"/>
      <c r="M483" s="32"/>
      <c r="N483" s="32"/>
      <c r="O483" s="51"/>
      <c r="P483" s="51"/>
    </row>
    <row r="484" spans="2:16" x14ac:dyDescent="0.25">
      <c r="B484" s="32">
        <v>469</v>
      </c>
      <c r="C484" s="229"/>
      <c r="D484" s="229"/>
      <c r="E484" s="229"/>
      <c r="F484" s="229"/>
      <c r="G484" s="229"/>
      <c r="H484" s="229"/>
      <c r="I484" s="229"/>
      <c r="J484" s="32"/>
      <c r="K484" s="1"/>
      <c r="L484" s="32"/>
      <c r="M484" s="32"/>
      <c r="N484" s="32"/>
      <c r="O484" s="51"/>
      <c r="P484" s="51"/>
    </row>
    <row r="485" spans="2:16" x14ac:dyDescent="0.25">
      <c r="B485" s="32">
        <v>470</v>
      </c>
      <c r="C485" s="229"/>
      <c r="D485" s="229"/>
      <c r="E485" s="229"/>
      <c r="F485" s="229"/>
      <c r="G485" s="229"/>
      <c r="H485" s="229"/>
      <c r="I485" s="229"/>
      <c r="J485" s="32"/>
      <c r="K485" s="1"/>
      <c r="L485" s="32"/>
      <c r="M485" s="32"/>
      <c r="N485" s="32"/>
      <c r="O485" s="51"/>
      <c r="P485" s="51"/>
    </row>
    <row r="486" spans="2:16" x14ac:dyDescent="0.25">
      <c r="B486" s="32">
        <v>471</v>
      </c>
      <c r="C486" s="229"/>
      <c r="D486" s="229"/>
      <c r="E486" s="229"/>
      <c r="F486" s="229"/>
      <c r="G486" s="229"/>
      <c r="H486" s="229"/>
      <c r="I486" s="229"/>
      <c r="J486" s="32"/>
      <c r="K486" s="1"/>
      <c r="L486" s="32"/>
      <c r="M486" s="32"/>
      <c r="N486" s="32"/>
      <c r="O486" s="51"/>
      <c r="P486" s="51"/>
    </row>
    <row r="487" spans="2:16" x14ac:dyDescent="0.25">
      <c r="B487" s="32">
        <v>472</v>
      </c>
      <c r="C487" s="229"/>
      <c r="D487" s="229"/>
      <c r="E487" s="229"/>
      <c r="F487" s="229"/>
      <c r="G487" s="229"/>
      <c r="H487" s="229"/>
      <c r="I487" s="229"/>
      <c r="J487" s="32"/>
      <c r="K487" s="1"/>
      <c r="L487" s="32"/>
      <c r="M487" s="32"/>
      <c r="N487" s="32"/>
      <c r="O487" s="51"/>
      <c r="P487" s="51"/>
    </row>
    <row r="488" spans="2:16" x14ac:dyDescent="0.25">
      <c r="B488" s="32">
        <v>473</v>
      </c>
      <c r="C488" s="229"/>
      <c r="D488" s="229"/>
      <c r="E488" s="229"/>
      <c r="F488" s="229"/>
      <c r="G488" s="229"/>
      <c r="H488" s="229"/>
      <c r="I488" s="229"/>
      <c r="J488" s="32"/>
      <c r="K488" s="1"/>
      <c r="L488" s="32"/>
      <c r="M488" s="32"/>
      <c r="N488" s="32"/>
      <c r="O488" s="51"/>
      <c r="P488" s="51"/>
    </row>
    <row r="489" spans="2:16" x14ac:dyDescent="0.25">
      <c r="B489" s="32">
        <v>474</v>
      </c>
      <c r="C489" s="229"/>
      <c r="D489" s="229"/>
      <c r="E489" s="229"/>
      <c r="F489" s="229"/>
      <c r="G489" s="229"/>
      <c r="H489" s="229"/>
      <c r="I489" s="229"/>
      <c r="J489" s="32"/>
      <c r="K489" s="1"/>
      <c r="L489" s="32"/>
      <c r="M489" s="32"/>
      <c r="N489" s="32"/>
      <c r="O489" s="51"/>
      <c r="P489" s="51"/>
    </row>
    <row r="490" spans="2:16" x14ac:dyDescent="0.25">
      <c r="B490" s="32">
        <v>475</v>
      </c>
      <c r="C490" s="229"/>
      <c r="D490" s="229"/>
      <c r="E490" s="229"/>
      <c r="F490" s="229"/>
      <c r="G490" s="229"/>
      <c r="H490" s="229"/>
      <c r="I490" s="229"/>
      <c r="J490" s="32"/>
      <c r="K490" s="1"/>
      <c r="L490" s="32"/>
      <c r="M490" s="32"/>
      <c r="N490" s="32"/>
      <c r="O490" s="51"/>
      <c r="P490" s="51"/>
    </row>
    <row r="491" spans="2:16" x14ac:dyDescent="0.25">
      <c r="B491" s="32">
        <v>476</v>
      </c>
      <c r="C491" s="229"/>
      <c r="D491" s="229"/>
      <c r="E491" s="229"/>
      <c r="F491" s="229"/>
      <c r="G491" s="229"/>
      <c r="H491" s="229"/>
      <c r="I491" s="229"/>
      <c r="J491" s="32"/>
      <c r="K491" s="1"/>
      <c r="L491" s="32"/>
      <c r="M491" s="32"/>
      <c r="N491" s="32"/>
      <c r="O491" s="51"/>
      <c r="P491" s="51"/>
    </row>
    <row r="492" spans="2:16" x14ac:dyDescent="0.25">
      <c r="B492" s="32">
        <v>477</v>
      </c>
      <c r="C492" s="229"/>
      <c r="D492" s="229"/>
      <c r="E492" s="229"/>
      <c r="F492" s="229"/>
      <c r="G492" s="229"/>
      <c r="H492" s="229"/>
      <c r="I492" s="229"/>
      <c r="J492" s="32"/>
      <c r="K492" s="1"/>
      <c r="L492" s="32"/>
      <c r="M492" s="32"/>
      <c r="N492" s="32"/>
      <c r="O492" s="51"/>
      <c r="P492" s="51"/>
    </row>
    <row r="493" spans="2:16" x14ac:dyDescent="0.25">
      <c r="B493" s="32">
        <v>478</v>
      </c>
      <c r="C493" s="229"/>
      <c r="D493" s="229"/>
      <c r="E493" s="229"/>
      <c r="F493" s="229"/>
      <c r="G493" s="229"/>
      <c r="H493" s="229"/>
      <c r="I493" s="229"/>
      <c r="J493" s="32"/>
      <c r="K493" s="1"/>
      <c r="L493" s="32"/>
      <c r="M493" s="32"/>
      <c r="N493" s="32"/>
      <c r="O493" s="51"/>
      <c r="P493" s="51"/>
    </row>
    <row r="494" spans="2:16" x14ac:dyDescent="0.25">
      <c r="B494" s="32">
        <v>479</v>
      </c>
      <c r="C494" s="229"/>
      <c r="D494" s="229"/>
      <c r="E494" s="229"/>
      <c r="F494" s="229"/>
      <c r="G494" s="229"/>
      <c r="H494" s="229"/>
      <c r="I494" s="229"/>
      <c r="J494" s="32"/>
      <c r="K494" s="1"/>
      <c r="L494" s="32"/>
      <c r="M494" s="32"/>
      <c r="N494" s="32"/>
      <c r="O494" s="51"/>
      <c r="P494" s="51"/>
    </row>
    <row r="495" spans="2:16" x14ac:dyDescent="0.25">
      <c r="B495" s="32">
        <v>480</v>
      </c>
      <c r="C495" s="229"/>
      <c r="D495" s="229"/>
      <c r="E495" s="229"/>
      <c r="F495" s="229"/>
      <c r="G495" s="229"/>
      <c r="H495" s="229"/>
      <c r="I495" s="229"/>
      <c r="J495" s="32"/>
      <c r="K495" s="1"/>
      <c r="L495" s="32"/>
      <c r="M495" s="32"/>
      <c r="N495" s="32"/>
      <c r="O495" s="51"/>
      <c r="P495" s="51"/>
    </row>
    <row r="496" spans="2:16" x14ac:dyDescent="0.25">
      <c r="B496" s="32">
        <v>481</v>
      </c>
      <c r="C496" s="229"/>
      <c r="D496" s="229"/>
      <c r="E496" s="229"/>
      <c r="F496" s="229"/>
      <c r="G496" s="229"/>
      <c r="H496" s="229"/>
      <c r="I496" s="229"/>
      <c r="J496" s="32"/>
      <c r="K496" s="1"/>
      <c r="L496" s="32"/>
      <c r="M496" s="32"/>
      <c r="N496" s="32"/>
      <c r="O496" s="51"/>
      <c r="P496" s="51"/>
    </row>
    <row r="497" spans="2:16" x14ac:dyDescent="0.25">
      <c r="B497" s="32">
        <v>482</v>
      </c>
      <c r="C497" s="229"/>
      <c r="D497" s="229"/>
      <c r="E497" s="229"/>
      <c r="F497" s="229"/>
      <c r="G497" s="229"/>
      <c r="H497" s="229"/>
      <c r="I497" s="229"/>
      <c r="J497" s="32"/>
      <c r="K497" s="1"/>
      <c r="L497" s="32"/>
      <c r="M497" s="32"/>
      <c r="N497" s="32"/>
      <c r="O497" s="51"/>
      <c r="P497" s="51"/>
    </row>
    <row r="498" spans="2:16" x14ac:dyDescent="0.25">
      <c r="B498" s="32">
        <v>483</v>
      </c>
      <c r="C498" s="229"/>
      <c r="D498" s="229"/>
      <c r="E498" s="229"/>
      <c r="F498" s="229"/>
      <c r="G498" s="229"/>
      <c r="H498" s="229"/>
      <c r="I498" s="229"/>
      <c r="J498" s="32"/>
      <c r="K498" s="1"/>
      <c r="L498" s="32"/>
      <c r="M498" s="32"/>
      <c r="N498" s="32"/>
      <c r="O498" s="51"/>
      <c r="P498" s="51"/>
    </row>
    <row r="499" spans="2:16" x14ac:dyDescent="0.25">
      <c r="B499" s="32">
        <v>484</v>
      </c>
      <c r="C499" s="229"/>
      <c r="D499" s="229"/>
      <c r="E499" s="229"/>
      <c r="F499" s="229"/>
      <c r="G499" s="229"/>
      <c r="H499" s="229"/>
      <c r="I499" s="229"/>
      <c r="J499" s="32"/>
      <c r="K499" s="1"/>
      <c r="L499" s="32"/>
      <c r="M499" s="32"/>
      <c r="N499" s="32"/>
      <c r="O499" s="51"/>
      <c r="P499" s="51"/>
    </row>
    <row r="500" spans="2:16" x14ac:dyDescent="0.25">
      <c r="B500" s="32">
        <v>485</v>
      </c>
      <c r="C500" s="229"/>
      <c r="D500" s="229"/>
      <c r="E500" s="229"/>
      <c r="F500" s="229"/>
      <c r="G500" s="229"/>
      <c r="H500" s="229"/>
      <c r="I500" s="229"/>
      <c r="J500" s="32"/>
      <c r="K500" s="1"/>
      <c r="L500" s="32"/>
      <c r="M500" s="32"/>
      <c r="N500" s="32"/>
      <c r="O500" s="51"/>
      <c r="P500" s="51"/>
    </row>
    <row r="501" spans="2:16" x14ac:dyDescent="0.25">
      <c r="B501" s="32">
        <v>486</v>
      </c>
      <c r="C501" s="229"/>
      <c r="D501" s="229"/>
      <c r="E501" s="229"/>
      <c r="F501" s="229"/>
      <c r="G501" s="229"/>
      <c r="H501" s="229"/>
      <c r="I501" s="229"/>
      <c r="J501" s="32"/>
      <c r="K501" s="1"/>
      <c r="L501" s="32"/>
      <c r="M501" s="32"/>
      <c r="N501" s="32"/>
      <c r="O501" s="51"/>
      <c r="P501" s="51"/>
    </row>
    <row r="502" spans="2:16" x14ac:dyDescent="0.25">
      <c r="B502" s="32">
        <v>487</v>
      </c>
      <c r="C502" s="229"/>
      <c r="D502" s="229"/>
      <c r="E502" s="229"/>
      <c r="F502" s="229"/>
      <c r="G502" s="229"/>
      <c r="H502" s="229"/>
      <c r="I502" s="229"/>
      <c r="J502" s="32"/>
      <c r="K502" s="1"/>
      <c r="L502" s="32"/>
      <c r="M502" s="32"/>
      <c r="N502" s="32"/>
      <c r="O502" s="51"/>
      <c r="P502" s="51"/>
    </row>
    <row r="503" spans="2:16" x14ac:dyDescent="0.25">
      <c r="B503" s="32">
        <v>488</v>
      </c>
      <c r="C503" s="229"/>
      <c r="D503" s="229"/>
      <c r="E503" s="229"/>
      <c r="F503" s="229"/>
      <c r="G503" s="229"/>
      <c r="H503" s="229"/>
      <c r="I503" s="229"/>
      <c r="J503" s="32"/>
      <c r="K503" s="1"/>
      <c r="L503" s="32"/>
      <c r="M503" s="32"/>
      <c r="N503" s="32"/>
      <c r="O503" s="51"/>
      <c r="P503" s="51"/>
    </row>
    <row r="504" spans="2:16" x14ac:dyDescent="0.25">
      <c r="B504" s="32">
        <v>489</v>
      </c>
      <c r="C504" s="229"/>
      <c r="D504" s="229"/>
      <c r="E504" s="229"/>
      <c r="F504" s="229"/>
      <c r="G504" s="229"/>
      <c r="H504" s="229"/>
      <c r="I504" s="229"/>
      <c r="J504" s="32"/>
      <c r="K504" s="1"/>
      <c r="L504" s="32"/>
      <c r="M504" s="32"/>
      <c r="N504" s="32"/>
      <c r="O504" s="51"/>
      <c r="P504" s="51"/>
    </row>
    <row r="505" spans="2:16" x14ac:dyDescent="0.25">
      <c r="B505" s="32">
        <v>490</v>
      </c>
      <c r="C505" s="229"/>
      <c r="D505" s="229"/>
      <c r="E505" s="229"/>
      <c r="F505" s="229"/>
      <c r="G505" s="229"/>
      <c r="H505" s="229"/>
      <c r="I505" s="229"/>
      <c r="J505" s="32"/>
      <c r="K505" s="1"/>
      <c r="L505" s="32"/>
      <c r="M505" s="32"/>
      <c r="N505" s="32"/>
      <c r="O505" s="51"/>
      <c r="P505" s="51"/>
    </row>
    <row r="506" spans="2:16" x14ac:dyDescent="0.25">
      <c r="B506" s="32">
        <v>491</v>
      </c>
      <c r="C506" s="229"/>
      <c r="D506" s="229"/>
      <c r="E506" s="229"/>
      <c r="F506" s="229"/>
      <c r="G506" s="229"/>
      <c r="H506" s="229"/>
      <c r="I506" s="229"/>
      <c r="J506" s="32"/>
      <c r="K506" s="1"/>
      <c r="L506" s="32"/>
      <c r="M506" s="32"/>
      <c r="N506" s="32"/>
      <c r="O506" s="51"/>
      <c r="P506" s="51"/>
    </row>
    <row r="507" spans="2:16" x14ac:dyDescent="0.25">
      <c r="B507" s="32">
        <v>492</v>
      </c>
      <c r="C507" s="229"/>
      <c r="D507" s="229"/>
      <c r="E507" s="229"/>
      <c r="F507" s="229"/>
      <c r="G507" s="229"/>
      <c r="H507" s="229"/>
      <c r="I507" s="229"/>
      <c r="J507" s="32"/>
      <c r="K507" s="1"/>
      <c r="L507" s="32"/>
      <c r="M507" s="32"/>
      <c r="N507" s="32"/>
      <c r="O507" s="51"/>
      <c r="P507" s="51"/>
    </row>
    <row r="508" spans="2:16" x14ac:dyDescent="0.25">
      <c r="B508" s="32">
        <v>493</v>
      </c>
      <c r="C508" s="229"/>
      <c r="D508" s="229"/>
      <c r="E508" s="229"/>
      <c r="F508" s="229"/>
      <c r="G508" s="229"/>
      <c r="H508" s="229"/>
      <c r="I508" s="229"/>
      <c r="J508" s="32"/>
      <c r="K508" s="1"/>
      <c r="L508" s="32"/>
      <c r="M508" s="32"/>
      <c r="N508" s="32"/>
      <c r="O508" s="51"/>
      <c r="P508" s="51"/>
    </row>
    <row r="509" spans="2:16" x14ac:dyDescent="0.25">
      <c r="B509" s="32">
        <v>494</v>
      </c>
      <c r="C509" s="229"/>
      <c r="D509" s="229"/>
      <c r="E509" s="229"/>
      <c r="F509" s="229"/>
      <c r="G509" s="229"/>
      <c r="H509" s="229"/>
      <c r="I509" s="229"/>
      <c r="J509" s="32"/>
      <c r="K509" s="1"/>
      <c r="L509" s="32"/>
      <c r="M509" s="32"/>
      <c r="N509" s="32"/>
      <c r="O509" s="51"/>
      <c r="P509" s="51"/>
    </row>
    <row r="510" spans="2:16" x14ac:dyDescent="0.25">
      <c r="B510" s="32">
        <v>495</v>
      </c>
      <c r="C510" s="229"/>
      <c r="D510" s="229"/>
      <c r="E510" s="229"/>
      <c r="F510" s="229"/>
      <c r="G510" s="229"/>
      <c r="H510" s="229"/>
      <c r="I510" s="229"/>
      <c r="J510" s="32"/>
      <c r="K510" s="1"/>
      <c r="L510" s="32"/>
      <c r="M510" s="32"/>
      <c r="N510" s="32"/>
      <c r="O510" s="51"/>
      <c r="P510" s="51"/>
    </row>
    <row r="511" spans="2:16" x14ac:dyDescent="0.25">
      <c r="B511" s="32">
        <v>496</v>
      </c>
      <c r="C511" s="229"/>
      <c r="D511" s="229"/>
      <c r="E511" s="229"/>
      <c r="F511" s="229"/>
      <c r="G511" s="229"/>
      <c r="H511" s="229"/>
      <c r="I511" s="229"/>
      <c r="J511" s="32"/>
      <c r="K511" s="1"/>
      <c r="L511" s="32"/>
      <c r="M511" s="32"/>
      <c r="N511" s="32"/>
      <c r="O511" s="51"/>
      <c r="P511" s="51"/>
    </row>
    <row r="512" spans="2:16" x14ac:dyDescent="0.25">
      <c r="B512" s="32">
        <v>497</v>
      </c>
      <c r="C512" s="229"/>
      <c r="D512" s="229"/>
      <c r="E512" s="229"/>
      <c r="F512" s="229"/>
      <c r="G512" s="229"/>
      <c r="H512" s="229"/>
      <c r="I512" s="229"/>
      <c r="J512" s="32"/>
      <c r="K512" s="1"/>
      <c r="L512" s="32"/>
      <c r="M512" s="32"/>
      <c r="N512" s="32"/>
      <c r="O512" s="51"/>
      <c r="P512" s="51"/>
    </row>
    <row r="513" spans="2:16" x14ac:dyDescent="0.25">
      <c r="B513" s="32">
        <v>498</v>
      </c>
      <c r="C513" s="229"/>
      <c r="D513" s="229"/>
      <c r="E513" s="229"/>
      <c r="F513" s="229"/>
      <c r="G513" s="229"/>
      <c r="H513" s="229"/>
      <c r="I513" s="229"/>
      <c r="J513" s="32"/>
      <c r="K513" s="1"/>
      <c r="L513" s="32"/>
      <c r="M513" s="32"/>
      <c r="N513" s="32"/>
      <c r="O513" s="51"/>
      <c r="P513" s="51"/>
    </row>
    <row r="514" spans="2:16" x14ac:dyDescent="0.25">
      <c r="B514" s="32">
        <v>499</v>
      </c>
      <c r="C514" s="229"/>
      <c r="D514" s="229"/>
      <c r="E514" s="229"/>
      <c r="F514" s="229"/>
      <c r="G514" s="229"/>
      <c r="H514" s="229"/>
      <c r="I514" s="229"/>
      <c r="J514" s="32"/>
      <c r="K514" s="1"/>
      <c r="L514" s="32"/>
      <c r="M514" s="32"/>
      <c r="N514" s="32"/>
      <c r="O514" s="51"/>
      <c r="P514" s="51"/>
    </row>
    <row r="515" spans="2:16" x14ac:dyDescent="0.25">
      <c r="B515" s="32">
        <v>500</v>
      </c>
      <c r="C515" s="229"/>
      <c r="D515" s="229"/>
      <c r="E515" s="229"/>
      <c r="F515" s="229"/>
      <c r="G515" s="229"/>
      <c r="H515" s="229"/>
      <c r="I515" s="229"/>
      <c r="J515" s="32"/>
      <c r="K515" s="1"/>
      <c r="L515" s="32"/>
      <c r="M515" s="32"/>
      <c r="N515" s="32"/>
      <c r="O515" s="51"/>
      <c r="P515" s="51"/>
    </row>
    <row r="516" spans="2:16" x14ac:dyDescent="0.25">
      <c r="B516" s="32">
        <v>501</v>
      </c>
      <c r="C516" s="229"/>
      <c r="D516" s="229"/>
      <c r="E516" s="229"/>
      <c r="F516" s="229"/>
      <c r="G516" s="229"/>
      <c r="H516" s="229"/>
      <c r="I516" s="229"/>
      <c r="J516" s="32"/>
      <c r="K516" s="1"/>
      <c r="L516" s="32"/>
      <c r="M516" s="32"/>
      <c r="N516" s="32"/>
      <c r="O516" s="51"/>
      <c r="P516" s="51"/>
    </row>
    <row r="517" spans="2:16" x14ac:dyDescent="0.25">
      <c r="B517" s="32">
        <v>502</v>
      </c>
      <c r="C517" s="229"/>
      <c r="D517" s="229"/>
      <c r="E517" s="229"/>
      <c r="F517" s="229"/>
      <c r="G517" s="229"/>
      <c r="H517" s="229"/>
      <c r="I517" s="229"/>
      <c r="J517" s="32"/>
      <c r="K517" s="1"/>
      <c r="L517" s="32"/>
      <c r="M517" s="32"/>
      <c r="N517" s="32"/>
      <c r="O517" s="51"/>
      <c r="P517" s="51"/>
    </row>
    <row r="518" spans="2:16" x14ac:dyDescent="0.25">
      <c r="B518" s="32">
        <v>503</v>
      </c>
      <c r="C518" s="229"/>
      <c r="D518" s="229"/>
      <c r="E518" s="229"/>
      <c r="F518" s="229"/>
      <c r="G518" s="229"/>
      <c r="H518" s="229"/>
      <c r="I518" s="229"/>
      <c r="J518" s="32"/>
      <c r="K518" s="1"/>
      <c r="L518" s="32"/>
      <c r="M518" s="32"/>
      <c r="N518" s="32"/>
      <c r="O518" s="51"/>
      <c r="P518" s="51"/>
    </row>
    <row r="519" spans="2:16" x14ac:dyDescent="0.25">
      <c r="B519" s="32">
        <v>504</v>
      </c>
      <c r="C519" s="229"/>
      <c r="D519" s="229"/>
      <c r="E519" s="229"/>
      <c r="F519" s="229"/>
      <c r="G519" s="229"/>
      <c r="H519" s="229"/>
      <c r="I519" s="229"/>
      <c r="J519" s="32"/>
      <c r="K519" s="1"/>
      <c r="L519" s="32"/>
      <c r="M519" s="32"/>
      <c r="N519" s="32"/>
      <c r="O519" s="51"/>
      <c r="P519" s="51"/>
    </row>
    <row r="520" spans="2:16" x14ac:dyDescent="0.25">
      <c r="B520" s="32">
        <v>505</v>
      </c>
      <c r="C520" s="229"/>
      <c r="D520" s="229"/>
      <c r="E520" s="229"/>
      <c r="F520" s="229"/>
      <c r="G520" s="229"/>
      <c r="H520" s="229"/>
      <c r="I520" s="229"/>
      <c r="J520" s="32"/>
      <c r="K520" s="1"/>
      <c r="L520" s="32"/>
      <c r="M520" s="32"/>
      <c r="N520" s="32"/>
      <c r="O520" s="51"/>
      <c r="P520" s="51"/>
    </row>
    <row r="521" spans="2:16" x14ac:dyDescent="0.25">
      <c r="B521" s="32">
        <v>506</v>
      </c>
      <c r="C521" s="229"/>
      <c r="D521" s="229"/>
      <c r="E521" s="229"/>
      <c r="F521" s="229"/>
      <c r="G521" s="229"/>
      <c r="H521" s="229"/>
      <c r="I521" s="229"/>
      <c r="J521" s="32"/>
      <c r="K521" s="1"/>
      <c r="L521" s="32"/>
      <c r="M521" s="32"/>
      <c r="N521" s="32"/>
      <c r="O521" s="51"/>
      <c r="P521" s="51"/>
    </row>
    <row r="522" spans="2:16" x14ac:dyDescent="0.25">
      <c r="B522" s="32">
        <v>507</v>
      </c>
      <c r="C522" s="229"/>
      <c r="D522" s="229"/>
      <c r="E522" s="229"/>
      <c r="F522" s="229"/>
      <c r="G522" s="229"/>
      <c r="H522" s="229"/>
      <c r="I522" s="229"/>
      <c r="J522" s="32"/>
      <c r="K522" s="1"/>
      <c r="L522" s="32"/>
      <c r="M522" s="32"/>
      <c r="N522" s="32"/>
      <c r="O522" s="51"/>
      <c r="P522" s="51"/>
    </row>
    <row r="523" spans="2:16" x14ac:dyDescent="0.25">
      <c r="B523" s="32">
        <v>508</v>
      </c>
      <c r="C523" s="229"/>
      <c r="D523" s="229"/>
      <c r="E523" s="229"/>
      <c r="F523" s="229"/>
      <c r="G523" s="229"/>
      <c r="H523" s="229"/>
      <c r="I523" s="229"/>
      <c r="J523" s="32"/>
      <c r="K523" s="1"/>
      <c r="L523" s="32"/>
      <c r="M523" s="32"/>
      <c r="N523" s="32"/>
      <c r="O523" s="51"/>
      <c r="P523" s="51"/>
    </row>
    <row r="524" spans="2:16" x14ac:dyDescent="0.25">
      <c r="B524" s="32">
        <v>509</v>
      </c>
      <c r="C524" s="229"/>
      <c r="D524" s="229"/>
      <c r="E524" s="229"/>
      <c r="F524" s="229"/>
      <c r="G524" s="229"/>
      <c r="H524" s="229"/>
      <c r="I524" s="229"/>
      <c r="J524" s="32"/>
      <c r="K524" s="1"/>
      <c r="L524" s="32"/>
      <c r="M524" s="32"/>
      <c r="N524" s="32"/>
      <c r="O524" s="51"/>
      <c r="P524" s="51"/>
    </row>
    <row r="525" spans="2:16" x14ac:dyDescent="0.25">
      <c r="B525" s="32">
        <v>510</v>
      </c>
      <c r="C525" s="229"/>
      <c r="D525" s="229"/>
      <c r="E525" s="229"/>
      <c r="F525" s="229"/>
      <c r="G525" s="229"/>
      <c r="H525" s="229"/>
      <c r="I525" s="229"/>
      <c r="J525" s="32"/>
      <c r="K525" s="1"/>
      <c r="L525" s="32"/>
      <c r="M525" s="32"/>
      <c r="N525" s="32"/>
      <c r="O525" s="51"/>
      <c r="P525" s="51"/>
    </row>
    <row r="526" spans="2:16" x14ac:dyDescent="0.25">
      <c r="B526" s="32">
        <v>511</v>
      </c>
      <c r="C526" s="229"/>
      <c r="D526" s="229"/>
      <c r="E526" s="229"/>
      <c r="F526" s="229"/>
      <c r="G526" s="229"/>
      <c r="H526" s="229"/>
      <c r="I526" s="229"/>
      <c r="J526" s="32"/>
      <c r="K526" s="1"/>
      <c r="L526" s="32"/>
      <c r="M526" s="32"/>
      <c r="N526" s="32"/>
      <c r="O526" s="51"/>
      <c r="P526" s="51"/>
    </row>
    <row r="527" spans="2:16" x14ac:dyDescent="0.25">
      <c r="B527" s="32">
        <v>512</v>
      </c>
      <c r="C527" s="229"/>
      <c r="D527" s="229"/>
      <c r="E527" s="229"/>
      <c r="F527" s="229"/>
      <c r="G527" s="229"/>
      <c r="H527" s="229"/>
      <c r="I527" s="229"/>
      <c r="J527" s="32"/>
      <c r="K527" s="1"/>
      <c r="L527" s="32"/>
      <c r="M527" s="32"/>
      <c r="N527" s="32"/>
      <c r="O527" s="51"/>
      <c r="P527" s="51"/>
    </row>
    <row r="528" spans="2:16" x14ac:dyDescent="0.25">
      <c r="B528" s="32">
        <v>513</v>
      </c>
      <c r="C528" s="229"/>
      <c r="D528" s="229"/>
      <c r="E528" s="229"/>
      <c r="F528" s="229"/>
      <c r="G528" s="229"/>
      <c r="H528" s="229"/>
      <c r="I528" s="229"/>
      <c r="J528" s="32"/>
      <c r="K528" s="1"/>
      <c r="L528" s="32"/>
      <c r="M528" s="32"/>
      <c r="N528" s="32"/>
      <c r="O528" s="51"/>
      <c r="P528" s="51"/>
    </row>
    <row r="529" spans="2:16" x14ac:dyDescent="0.25">
      <c r="B529" s="32">
        <v>514</v>
      </c>
      <c r="C529" s="229"/>
      <c r="D529" s="229"/>
      <c r="E529" s="229"/>
      <c r="F529" s="229"/>
      <c r="G529" s="229"/>
      <c r="H529" s="229"/>
      <c r="I529" s="229"/>
      <c r="J529" s="32"/>
      <c r="K529" s="1"/>
      <c r="L529" s="32"/>
      <c r="M529" s="32"/>
      <c r="N529" s="32"/>
      <c r="O529" s="51"/>
      <c r="P529" s="51"/>
    </row>
    <row r="530" spans="2:16" x14ac:dyDescent="0.25">
      <c r="B530" s="32">
        <v>515</v>
      </c>
      <c r="C530" s="229"/>
      <c r="D530" s="229"/>
      <c r="E530" s="229"/>
      <c r="F530" s="229"/>
      <c r="G530" s="229"/>
      <c r="H530" s="229"/>
      <c r="I530" s="229"/>
      <c r="J530" s="32"/>
      <c r="K530" s="1"/>
      <c r="L530" s="32"/>
      <c r="M530" s="32"/>
      <c r="N530" s="32"/>
      <c r="O530" s="51"/>
      <c r="P530" s="51"/>
    </row>
    <row r="531" spans="2:16" x14ac:dyDescent="0.25">
      <c r="B531" s="32">
        <v>516</v>
      </c>
      <c r="C531" s="229"/>
      <c r="D531" s="229"/>
      <c r="E531" s="229"/>
      <c r="F531" s="229"/>
      <c r="G531" s="229"/>
      <c r="H531" s="229"/>
      <c r="I531" s="229"/>
      <c r="J531" s="32"/>
      <c r="K531" s="1"/>
      <c r="L531" s="32"/>
      <c r="M531" s="32"/>
      <c r="N531" s="32"/>
      <c r="O531" s="51"/>
      <c r="P531" s="51"/>
    </row>
    <row r="532" spans="2:16" x14ac:dyDescent="0.25">
      <c r="B532" s="32">
        <v>517</v>
      </c>
      <c r="C532" s="229"/>
      <c r="D532" s="229"/>
      <c r="E532" s="229"/>
      <c r="F532" s="229"/>
      <c r="G532" s="229"/>
      <c r="H532" s="229"/>
      <c r="I532" s="229"/>
      <c r="J532" s="32"/>
      <c r="K532" s="1"/>
      <c r="L532" s="32"/>
      <c r="M532" s="32"/>
      <c r="N532" s="32"/>
      <c r="O532" s="51"/>
      <c r="P532" s="51"/>
    </row>
    <row r="533" spans="2:16" x14ac:dyDescent="0.25">
      <c r="B533" s="32">
        <v>518</v>
      </c>
      <c r="C533" s="229"/>
      <c r="D533" s="229"/>
      <c r="E533" s="229"/>
      <c r="F533" s="229"/>
      <c r="G533" s="229"/>
      <c r="H533" s="229"/>
      <c r="I533" s="229"/>
      <c r="J533" s="32"/>
      <c r="K533" s="1"/>
      <c r="L533" s="32"/>
      <c r="M533" s="32"/>
      <c r="N533" s="32"/>
      <c r="O533" s="51"/>
      <c r="P533" s="51"/>
    </row>
    <row r="534" spans="2:16" x14ac:dyDescent="0.25">
      <c r="B534" s="32">
        <v>519</v>
      </c>
      <c r="C534" s="229"/>
      <c r="D534" s="229"/>
      <c r="E534" s="229"/>
      <c r="F534" s="229"/>
      <c r="G534" s="229"/>
      <c r="H534" s="229"/>
      <c r="I534" s="229"/>
      <c r="J534" s="32"/>
      <c r="K534" s="1"/>
      <c r="L534" s="32"/>
      <c r="M534" s="32"/>
      <c r="N534" s="32"/>
      <c r="O534" s="51"/>
      <c r="P534" s="51"/>
    </row>
    <row r="535" spans="2:16" x14ac:dyDescent="0.25">
      <c r="B535" s="32">
        <v>520</v>
      </c>
      <c r="C535" s="229"/>
      <c r="D535" s="229"/>
      <c r="E535" s="229"/>
      <c r="F535" s="229"/>
      <c r="G535" s="229"/>
      <c r="H535" s="229"/>
      <c r="I535" s="229"/>
      <c r="J535" s="32"/>
      <c r="K535" s="1"/>
      <c r="L535" s="32"/>
      <c r="M535" s="32"/>
      <c r="N535" s="32"/>
      <c r="O535" s="51"/>
      <c r="P535" s="51"/>
    </row>
    <row r="536" spans="2:16" x14ac:dyDescent="0.25">
      <c r="B536" s="32">
        <v>521</v>
      </c>
      <c r="C536" s="229"/>
      <c r="D536" s="229"/>
      <c r="E536" s="229"/>
      <c r="F536" s="229"/>
      <c r="G536" s="229"/>
      <c r="H536" s="229"/>
      <c r="I536" s="229"/>
      <c r="J536" s="32"/>
      <c r="K536" s="1"/>
      <c r="L536" s="32"/>
      <c r="M536" s="32"/>
      <c r="N536" s="32"/>
      <c r="O536" s="51"/>
      <c r="P536" s="51"/>
    </row>
    <row r="537" spans="2:16" x14ac:dyDescent="0.25">
      <c r="B537" s="32">
        <v>522</v>
      </c>
      <c r="C537" s="229"/>
      <c r="D537" s="229"/>
      <c r="E537" s="229"/>
      <c r="F537" s="229"/>
      <c r="G537" s="229"/>
      <c r="H537" s="229"/>
      <c r="I537" s="229"/>
      <c r="J537" s="32"/>
      <c r="K537" s="1"/>
      <c r="L537" s="32"/>
      <c r="M537" s="32"/>
      <c r="N537" s="32"/>
      <c r="O537" s="51"/>
      <c r="P537" s="51"/>
    </row>
    <row r="538" spans="2:16" x14ac:dyDescent="0.25">
      <c r="B538" s="32">
        <v>523</v>
      </c>
      <c r="C538" s="229"/>
      <c r="D538" s="229"/>
      <c r="E538" s="229"/>
      <c r="F538" s="229"/>
      <c r="G538" s="229"/>
      <c r="H538" s="229"/>
      <c r="I538" s="229"/>
      <c r="J538" s="32"/>
      <c r="K538" s="1"/>
      <c r="L538" s="32"/>
      <c r="M538" s="32"/>
      <c r="N538" s="32"/>
      <c r="O538" s="51"/>
      <c r="P538" s="51"/>
    </row>
    <row r="539" spans="2:16" x14ac:dyDescent="0.25">
      <c r="B539" s="32">
        <v>524</v>
      </c>
      <c r="C539" s="229"/>
      <c r="D539" s="229"/>
      <c r="E539" s="229"/>
      <c r="F539" s="229"/>
      <c r="G539" s="229"/>
      <c r="H539" s="229"/>
      <c r="I539" s="229"/>
      <c r="J539" s="32"/>
      <c r="K539" s="1"/>
      <c r="L539" s="32"/>
      <c r="M539" s="32"/>
      <c r="N539" s="32"/>
      <c r="O539" s="51"/>
      <c r="P539" s="51"/>
    </row>
    <row r="540" spans="2:16" x14ac:dyDescent="0.25">
      <c r="B540" s="32">
        <v>525</v>
      </c>
      <c r="C540" s="229"/>
      <c r="D540" s="229"/>
      <c r="E540" s="229"/>
      <c r="F540" s="229"/>
      <c r="G540" s="229"/>
      <c r="H540" s="229"/>
      <c r="I540" s="229"/>
      <c r="J540" s="32"/>
      <c r="K540" s="1"/>
      <c r="L540" s="32"/>
      <c r="M540" s="32"/>
      <c r="N540" s="32"/>
      <c r="O540" s="51"/>
      <c r="P540" s="51"/>
    </row>
    <row r="541" spans="2:16" x14ac:dyDescent="0.25">
      <c r="B541" s="32">
        <v>526</v>
      </c>
      <c r="C541" s="229"/>
      <c r="D541" s="229"/>
      <c r="E541" s="229"/>
      <c r="F541" s="229"/>
      <c r="G541" s="229"/>
      <c r="H541" s="229"/>
      <c r="I541" s="229"/>
      <c r="J541" s="32"/>
      <c r="K541" s="1"/>
      <c r="L541" s="32"/>
      <c r="M541" s="32"/>
      <c r="N541" s="32"/>
      <c r="O541" s="51"/>
      <c r="P541" s="51"/>
    </row>
    <row r="542" spans="2:16" x14ac:dyDescent="0.25">
      <c r="B542" s="32">
        <v>527</v>
      </c>
      <c r="C542" s="229"/>
      <c r="D542" s="229"/>
      <c r="E542" s="229"/>
      <c r="F542" s="229"/>
      <c r="G542" s="229"/>
      <c r="H542" s="229"/>
      <c r="I542" s="229"/>
      <c r="J542" s="32"/>
      <c r="K542" s="1"/>
      <c r="L542" s="32"/>
      <c r="M542" s="32"/>
      <c r="N542" s="32"/>
      <c r="O542" s="51"/>
      <c r="P542" s="51"/>
    </row>
    <row r="543" spans="2:16" x14ac:dyDescent="0.25">
      <c r="B543" s="32">
        <v>528</v>
      </c>
      <c r="C543" s="229"/>
      <c r="D543" s="229"/>
      <c r="E543" s="229"/>
      <c r="F543" s="229"/>
      <c r="G543" s="229"/>
      <c r="H543" s="229"/>
      <c r="I543" s="229"/>
      <c r="J543" s="32"/>
      <c r="K543" s="1"/>
      <c r="L543" s="32"/>
      <c r="M543" s="32"/>
      <c r="N543" s="32"/>
      <c r="O543" s="51"/>
      <c r="P543" s="51"/>
    </row>
    <row r="544" spans="2:16" x14ac:dyDescent="0.25">
      <c r="B544" s="32">
        <v>529</v>
      </c>
      <c r="C544" s="229"/>
      <c r="D544" s="229"/>
      <c r="E544" s="229"/>
      <c r="F544" s="229"/>
      <c r="G544" s="229"/>
      <c r="H544" s="229"/>
      <c r="I544" s="229"/>
      <c r="J544" s="32"/>
      <c r="K544" s="1"/>
      <c r="L544" s="32"/>
      <c r="M544" s="32"/>
      <c r="N544" s="32"/>
      <c r="O544" s="51"/>
      <c r="P544" s="51"/>
    </row>
    <row r="545" spans="2:16" x14ac:dyDescent="0.25">
      <c r="B545" s="32">
        <v>530</v>
      </c>
      <c r="C545" s="229"/>
      <c r="D545" s="229"/>
      <c r="E545" s="229"/>
      <c r="F545" s="229"/>
      <c r="G545" s="229"/>
      <c r="H545" s="229"/>
      <c r="I545" s="229"/>
      <c r="J545" s="32"/>
      <c r="K545" s="1"/>
      <c r="L545" s="32"/>
      <c r="M545" s="32"/>
      <c r="N545" s="32"/>
      <c r="O545" s="51"/>
      <c r="P545" s="51"/>
    </row>
    <row r="546" spans="2:16" x14ac:dyDescent="0.25">
      <c r="B546" s="32">
        <v>531</v>
      </c>
      <c r="C546" s="229"/>
      <c r="D546" s="229"/>
      <c r="E546" s="229"/>
      <c r="F546" s="229"/>
      <c r="G546" s="229"/>
      <c r="H546" s="229"/>
      <c r="I546" s="229"/>
      <c r="J546" s="32"/>
      <c r="K546" s="1"/>
      <c r="L546" s="32"/>
      <c r="M546" s="32"/>
      <c r="N546" s="32"/>
      <c r="O546" s="51"/>
      <c r="P546" s="51"/>
    </row>
    <row r="547" spans="2:16" x14ac:dyDescent="0.25">
      <c r="B547" s="32">
        <v>532</v>
      </c>
      <c r="C547" s="229"/>
      <c r="D547" s="229"/>
      <c r="E547" s="229"/>
      <c r="F547" s="229"/>
      <c r="G547" s="229"/>
      <c r="H547" s="229"/>
      <c r="I547" s="229"/>
      <c r="J547" s="32"/>
      <c r="K547" s="1"/>
      <c r="L547" s="32"/>
      <c r="M547" s="32"/>
      <c r="N547" s="32"/>
      <c r="O547" s="51"/>
      <c r="P547" s="51"/>
    </row>
    <row r="548" spans="2:16" x14ac:dyDescent="0.25">
      <c r="B548" s="32">
        <v>533</v>
      </c>
      <c r="C548" s="229"/>
      <c r="D548" s="229"/>
      <c r="E548" s="229"/>
      <c r="F548" s="229"/>
      <c r="G548" s="229"/>
      <c r="H548" s="229"/>
      <c r="I548" s="229"/>
      <c r="J548" s="32"/>
      <c r="K548" s="1"/>
      <c r="L548" s="32"/>
      <c r="M548" s="32"/>
      <c r="N548" s="32"/>
      <c r="O548" s="51"/>
      <c r="P548" s="51"/>
    </row>
    <row r="549" spans="2:16" x14ac:dyDescent="0.25">
      <c r="B549" s="32">
        <v>534</v>
      </c>
      <c r="C549" s="229"/>
      <c r="D549" s="229"/>
      <c r="E549" s="229"/>
      <c r="F549" s="229"/>
      <c r="G549" s="229"/>
      <c r="H549" s="229"/>
      <c r="I549" s="229"/>
      <c r="J549" s="32"/>
      <c r="K549" s="1"/>
      <c r="L549" s="32"/>
      <c r="M549" s="32"/>
      <c r="N549" s="32"/>
      <c r="O549" s="51"/>
      <c r="P549" s="51"/>
    </row>
    <row r="550" spans="2:16" x14ac:dyDescent="0.25">
      <c r="B550" s="32">
        <v>535</v>
      </c>
      <c r="C550" s="229"/>
      <c r="D550" s="229"/>
      <c r="E550" s="229"/>
      <c r="F550" s="229"/>
      <c r="G550" s="229"/>
      <c r="H550" s="229"/>
      <c r="I550" s="229"/>
      <c r="J550" s="32"/>
      <c r="K550" s="1"/>
      <c r="L550" s="32"/>
      <c r="M550" s="32"/>
      <c r="N550" s="32"/>
      <c r="O550" s="51"/>
      <c r="P550" s="51"/>
    </row>
    <row r="551" spans="2:16" x14ac:dyDescent="0.25">
      <c r="B551" s="32">
        <v>536</v>
      </c>
      <c r="C551" s="229"/>
      <c r="D551" s="229"/>
      <c r="E551" s="229"/>
      <c r="F551" s="229"/>
      <c r="G551" s="229"/>
      <c r="H551" s="229"/>
      <c r="I551" s="229"/>
      <c r="J551" s="32"/>
      <c r="K551" s="1"/>
      <c r="L551" s="32"/>
      <c r="M551" s="32"/>
      <c r="N551" s="32"/>
      <c r="O551" s="51"/>
      <c r="P551" s="51"/>
    </row>
    <row r="552" spans="2:16" x14ac:dyDescent="0.25">
      <c r="B552" s="32">
        <v>537</v>
      </c>
      <c r="C552" s="229"/>
      <c r="D552" s="229"/>
      <c r="E552" s="229"/>
      <c r="F552" s="229"/>
      <c r="G552" s="229"/>
      <c r="H552" s="229"/>
      <c r="I552" s="229"/>
      <c r="J552" s="32"/>
      <c r="K552" s="1"/>
      <c r="L552" s="32"/>
      <c r="M552" s="32"/>
      <c r="N552" s="32"/>
      <c r="O552" s="51"/>
      <c r="P552" s="51"/>
    </row>
    <row r="553" spans="2:16" x14ac:dyDescent="0.25">
      <c r="B553" s="32">
        <v>538</v>
      </c>
      <c r="C553" s="229"/>
      <c r="D553" s="229"/>
      <c r="E553" s="229"/>
      <c r="F553" s="229"/>
      <c r="G553" s="229"/>
      <c r="H553" s="229"/>
      <c r="I553" s="229"/>
      <c r="J553" s="32"/>
      <c r="K553" s="1"/>
      <c r="L553" s="32"/>
      <c r="M553" s="32"/>
      <c r="N553" s="32"/>
      <c r="O553" s="51"/>
      <c r="P553" s="51"/>
    </row>
    <row r="554" spans="2:16" x14ac:dyDescent="0.25">
      <c r="B554" s="32">
        <v>539</v>
      </c>
      <c r="C554" s="229"/>
      <c r="D554" s="229"/>
      <c r="E554" s="229"/>
      <c r="F554" s="229"/>
      <c r="G554" s="229"/>
      <c r="H554" s="229"/>
      <c r="I554" s="229"/>
      <c r="J554" s="32"/>
      <c r="K554" s="1"/>
      <c r="L554" s="32"/>
      <c r="M554" s="32"/>
      <c r="N554" s="32"/>
      <c r="O554" s="51"/>
      <c r="P554" s="51"/>
    </row>
    <row r="555" spans="2:16" x14ac:dyDescent="0.25">
      <c r="B555" s="32">
        <v>540</v>
      </c>
      <c r="C555" s="229"/>
      <c r="D555" s="229"/>
      <c r="E555" s="229"/>
      <c r="F555" s="229"/>
      <c r="G555" s="229"/>
      <c r="H555" s="229"/>
      <c r="I555" s="229"/>
      <c r="J555" s="32"/>
      <c r="K555" s="1"/>
      <c r="L555" s="32"/>
      <c r="M555" s="32"/>
      <c r="N555" s="32"/>
      <c r="O555" s="51"/>
      <c r="P555" s="51"/>
    </row>
    <row r="556" spans="2:16" x14ac:dyDescent="0.25">
      <c r="B556" s="32">
        <v>541</v>
      </c>
      <c r="C556" s="229"/>
      <c r="D556" s="229"/>
      <c r="E556" s="229"/>
      <c r="F556" s="229"/>
      <c r="G556" s="229"/>
      <c r="H556" s="229"/>
      <c r="I556" s="229"/>
      <c r="J556" s="32"/>
      <c r="K556" s="1"/>
      <c r="L556" s="32"/>
      <c r="M556" s="32"/>
      <c r="N556" s="32"/>
      <c r="O556" s="51"/>
      <c r="P556" s="51"/>
    </row>
    <row r="557" spans="2:16" x14ac:dyDescent="0.25">
      <c r="B557" s="32">
        <v>542</v>
      </c>
      <c r="C557" s="229"/>
      <c r="D557" s="229"/>
      <c r="E557" s="229"/>
      <c r="F557" s="229"/>
      <c r="G557" s="229"/>
      <c r="H557" s="229"/>
      <c r="I557" s="229"/>
      <c r="J557" s="32"/>
      <c r="K557" s="1"/>
      <c r="L557" s="32"/>
      <c r="M557" s="32"/>
      <c r="N557" s="32"/>
      <c r="O557" s="51"/>
      <c r="P557" s="51"/>
    </row>
    <row r="558" spans="2:16" x14ac:dyDescent="0.25">
      <c r="B558" s="32">
        <v>543</v>
      </c>
      <c r="C558" s="229"/>
      <c r="D558" s="229"/>
      <c r="E558" s="229"/>
      <c r="F558" s="229"/>
      <c r="G558" s="229"/>
      <c r="H558" s="229"/>
      <c r="I558" s="229"/>
      <c r="J558" s="32"/>
      <c r="K558" s="1"/>
      <c r="L558" s="32"/>
      <c r="M558" s="32"/>
      <c r="N558" s="32"/>
      <c r="O558" s="51"/>
      <c r="P558" s="51"/>
    </row>
    <row r="559" spans="2:16" x14ac:dyDescent="0.25">
      <c r="B559" s="32">
        <v>544</v>
      </c>
      <c r="C559" s="229"/>
      <c r="D559" s="229"/>
      <c r="E559" s="229"/>
      <c r="F559" s="229"/>
      <c r="G559" s="229"/>
      <c r="H559" s="229"/>
      <c r="I559" s="229"/>
      <c r="J559" s="32"/>
      <c r="K559" s="1"/>
      <c r="L559" s="32"/>
      <c r="M559" s="32"/>
      <c r="N559" s="32"/>
      <c r="O559" s="51"/>
      <c r="P559" s="51"/>
    </row>
    <row r="560" spans="2:16" x14ac:dyDescent="0.25">
      <c r="B560" s="32">
        <v>545</v>
      </c>
      <c r="C560" s="229"/>
      <c r="D560" s="229"/>
      <c r="E560" s="229"/>
      <c r="F560" s="229"/>
      <c r="G560" s="229"/>
      <c r="H560" s="229"/>
      <c r="I560" s="229"/>
      <c r="J560" s="32"/>
      <c r="K560" s="1"/>
      <c r="L560" s="32"/>
      <c r="M560" s="32"/>
      <c r="N560" s="32"/>
      <c r="O560" s="51"/>
      <c r="P560" s="51"/>
    </row>
    <row r="561" spans="2:16" x14ac:dyDescent="0.25">
      <c r="B561" s="32">
        <v>546</v>
      </c>
      <c r="C561" s="229"/>
      <c r="D561" s="229"/>
      <c r="E561" s="229"/>
      <c r="F561" s="229"/>
      <c r="G561" s="229"/>
      <c r="H561" s="229"/>
      <c r="I561" s="229"/>
      <c r="J561" s="32"/>
      <c r="K561" s="1"/>
      <c r="L561" s="32"/>
      <c r="M561" s="32"/>
      <c r="N561" s="32"/>
      <c r="O561" s="51"/>
      <c r="P561" s="51"/>
    </row>
    <row r="562" spans="2:16" x14ac:dyDescent="0.25">
      <c r="B562" s="32">
        <v>547</v>
      </c>
      <c r="C562" s="229"/>
      <c r="D562" s="229"/>
      <c r="E562" s="229"/>
      <c r="F562" s="229"/>
      <c r="G562" s="229"/>
      <c r="H562" s="229"/>
      <c r="I562" s="229"/>
      <c r="J562" s="32"/>
      <c r="K562" s="1"/>
      <c r="L562" s="32"/>
      <c r="M562" s="32"/>
      <c r="N562" s="32"/>
      <c r="O562" s="51"/>
      <c r="P562" s="51"/>
    </row>
    <row r="563" spans="2:16" x14ac:dyDescent="0.25">
      <c r="B563" s="32">
        <v>548</v>
      </c>
      <c r="C563" s="229"/>
      <c r="D563" s="229"/>
      <c r="E563" s="229"/>
      <c r="F563" s="229"/>
      <c r="G563" s="229"/>
      <c r="H563" s="229"/>
      <c r="I563" s="229"/>
      <c r="J563" s="32"/>
      <c r="K563" s="1"/>
      <c r="L563" s="32"/>
      <c r="M563" s="32"/>
      <c r="N563" s="32"/>
      <c r="O563" s="51"/>
      <c r="P563" s="51"/>
    </row>
    <row r="564" spans="2:16" x14ac:dyDescent="0.25">
      <c r="B564" s="32">
        <v>549</v>
      </c>
      <c r="C564" s="229"/>
      <c r="D564" s="229"/>
      <c r="E564" s="229"/>
      <c r="F564" s="229"/>
      <c r="G564" s="229"/>
      <c r="H564" s="229"/>
      <c r="I564" s="229"/>
      <c r="J564" s="32"/>
      <c r="K564" s="1"/>
      <c r="L564" s="32"/>
      <c r="M564" s="32"/>
      <c r="N564" s="32"/>
      <c r="O564" s="51"/>
      <c r="P564" s="51"/>
    </row>
    <row r="565" spans="2:16" x14ac:dyDescent="0.25">
      <c r="B565" s="32">
        <v>550</v>
      </c>
      <c r="C565" s="229"/>
      <c r="D565" s="229"/>
      <c r="E565" s="229"/>
      <c r="F565" s="229"/>
      <c r="G565" s="229"/>
      <c r="H565" s="229"/>
      <c r="I565" s="229"/>
      <c r="J565" s="32"/>
      <c r="K565" s="1"/>
      <c r="L565" s="32"/>
      <c r="M565" s="32"/>
      <c r="N565" s="32"/>
      <c r="O565" s="51"/>
      <c r="P565" s="51"/>
    </row>
    <row r="566" spans="2:16" x14ac:dyDescent="0.25">
      <c r="B566" s="32">
        <v>551</v>
      </c>
      <c r="C566" s="229"/>
      <c r="D566" s="229"/>
      <c r="E566" s="229"/>
      <c r="F566" s="229"/>
      <c r="G566" s="229"/>
      <c r="H566" s="229"/>
      <c r="I566" s="229"/>
      <c r="J566" s="32"/>
      <c r="K566" s="1"/>
      <c r="L566" s="32"/>
      <c r="M566" s="32"/>
      <c r="N566" s="32"/>
      <c r="O566" s="51"/>
      <c r="P566" s="51"/>
    </row>
    <row r="567" spans="2:16" x14ac:dyDescent="0.25">
      <c r="B567" s="32">
        <v>552</v>
      </c>
      <c r="C567" s="229"/>
      <c r="D567" s="229"/>
      <c r="E567" s="229"/>
      <c r="F567" s="229"/>
      <c r="G567" s="229"/>
      <c r="H567" s="229"/>
      <c r="I567" s="229"/>
      <c r="J567" s="32"/>
      <c r="K567" s="1"/>
      <c r="L567" s="32"/>
      <c r="M567" s="32"/>
      <c r="N567" s="32"/>
      <c r="O567" s="51"/>
      <c r="P567" s="51"/>
    </row>
    <row r="568" spans="2:16" x14ac:dyDescent="0.25">
      <c r="B568" s="32">
        <v>553</v>
      </c>
      <c r="C568" s="229"/>
      <c r="D568" s="229"/>
      <c r="E568" s="229"/>
      <c r="F568" s="229"/>
      <c r="G568" s="229"/>
      <c r="H568" s="229"/>
      <c r="I568" s="229"/>
      <c r="J568" s="32"/>
      <c r="K568" s="1"/>
      <c r="L568" s="32"/>
      <c r="M568" s="32"/>
      <c r="N568" s="32"/>
      <c r="O568" s="51"/>
      <c r="P568" s="51"/>
    </row>
    <row r="569" spans="2:16" x14ac:dyDescent="0.25">
      <c r="B569" s="32">
        <v>554</v>
      </c>
      <c r="C569" s="229"/>
      <c r="D569" s="229"/>
      <c r="E569" s="229"/>
      <c r="F569" s="229"/>
      <c r="G569" s="229"/>
      <c r="H569" s="229"/>
      <c r="I569" s="229"/>
      <c r="J569" s="32"/>
      <c r="K569" s="1"/>
      <c r="L569" s="32"/>
      <c r="M569" s="32"/>
      <c r="N569" s="32"/>
      <c r="O569" s="51"/>
      <c r="P569" s="51"/>
    </row>
    <row r="570" spans="2:16" x14ac:dyDescent="0.25">
      <c r="B570" s="32">
        <v>555</v>
      </c>
      <c r="C570" s="229"/>
      <c r="D570" s="229"/>
      <c r="E570" s="229"/>
      <c r="F570" s="229"/>
      <c r="G570" s="229"/>
      <c r="H570" s="229"/>
      <c r="I570" s="229"/>
      <c r="J570" s="32"/>
      <c r="K570" s="1"/>
      <c r="L570" s="32"/>
      <c r="M570" s="32"/>
      <c r="N570" s="32"/>
      <c r="O570" s="51"/>
      <c r="P570" s="51"/>
    </row>
    <row r="571" spans="2:16" x14ac:dyDescent="0.25">
      <c r="B571" s="32">
        <v>556</v>
      </c>
      <c r="C571" s="229"/>
      <c r="D571" s="229"/>
      <c r="E571" s="229"/>
      <c r="F571" s="229"/>
      <c r="G571" s="229"/>
      <c r="H571" s="229"/>
      <c r="I571" s="229"/>
      <c r="J571" s="32"/>
      <c r="K571" s="1"/>
      <c r="L571" s="32"/>
      <c r="M571" s="32"/>
      <c r="N571" s="32"/>
      <c r="O571" s="51"/>
      <c r="P571" s="51"/>
    </row>
    <row r="572" spans="2:16" x14ac:dyDescent="0.25">
      <c r="B572" s="32">
        <v>557</v>
      </c>
      <c r="C572" s="229"/>
      <c r="D572" s="229"/>
      <c r="E572" s="229"/>
      <c r="F572" s="229"/>
      <c r="G572" s="229"/>
      <c r="H572" s="229"/>
      <c r="I572" s="229"/>
      <c r="J572" s="32"/>
      <c r="K572" s="1"/>
      <c r="L572" s="32"/>
      <c r="M572" s="32"/>
      <c r="N572" s="32"/>
      <c r="O572" s="51"/>
      <c r="P572" s="51"/>
    </row>
    <row r="573" spans="2:16" x14ac:dyDescent="0.25">
      <c r="B573" s="32">
        <v>558</v>
      </c>
      <c r="C573" s="229"/>
      <c r="D573" s="229"/>
      <c r="E573" s="229"/>
      <c r="F573" s="229"/>
      <c r="G573" s="229"/>
      <c r="H573" s="229"/>
      <c r="I573" s="229"/>
      <c r="J573" s="32"/>
      <c r="K573" s="1"/>
      <c r="L573" s="32"/>
      <c r="M573" s="32"/>
      <c r="N573" s="32"/>
      <c r="O573" s="51"/>
      <c r="P573" s="51"/>
    </row>
    <row r="574" spans="2:16" x14ac:dyDescent="0.25">
      <c r="B574" s="32">
        <v>559</v>
      </c>
      <c r="C574" s="229"/>
      <c r="D574" s="229"/>
      <c r="E574" s="229"/>
      <c r="F574" s="229"/>
      <c r="G574" s="229"/>
      <c r="H574" s="229"/>
      <c r="I574" s="229"/>
      <c r="J574" s="32"/>
      <c r="K574" s="1"/>
      <c r="L574" s="32"/>
      <c r="M574" s="32"/>
      <c r="N574" s="32"/>
      <c r="O574" s="51"/>
      <c r="P574" s="51"/>
    </row>
    <row r="575" spans="2:16" x14ac:dyDescent="0.25">
      <c r="B575" s="32">
        <v>560</v>
      </c>
      <c r="C575" s="229"/>
      <c r="D575" s="229"/>
      <c r="E575" s="229"/>
      <c r="F575" s="229"/>
      <c r="G575" s="229"/>
      <c r="H575" s="229"/>
      <c r="I575" s="229"/>
      <c r="J575" s="32"/>
      <c r="K575" s="1"/>
      <c r="L575" s="32"/>
      <c r="M575" s="32"/>
      <c r="N575" s="32"/>
      <c r="O575" s="51"/>
      <c r="P575" s="51"/>
    </row>
    <row r="576" spans="2:16" x14ac:dyDescent="0.25">
      <c r="B576" s="32">
        <v>561</v>
      </c>
      <c r="C576" s="229"/>
      <c r="D576" s="229"/>
      <c r="E576" s="229"/>
      <c r="F576" s="229"/>
      <c r="G576" s="229"/>
      <c r="H576" s="229"/>
      <c r="I576" s="229"/>
      <c r="J576" s="32"/>
      <c r="K576" s="1"/>
      <c r="L576" s="32"/>
      <c r="M576" s="32"/>
      <c r="N576" s="32"/>
      <c r="O576" s="51"/>
      <c r="P576" s="51"/>
    </row>
    <row r="577" spans="2:16" x14ac:dyDescent="0.25">
      <c r="B577" s="32">
        <v>562</v>
      </c>
      <c r="C577" s="229"/>
      <c r="D577" s="229"/>
      <c r="E577" s="229"/>
      <c r="F577" s="229"/>
      <c r="G577" s="229"/>
      <c r="H577" s="229"/>
      <c r="I577" s="229"/>
      <c r="J577" s="32"/>
      <c r="K577" s="1"/>
      <c r="L577" s="32"/>
      <c r="M577" s="32"/>
      <c r="N577" s="32"/>
      <c r="O577" s="51"/>
      <c r="P577" s="51"/>
    </row>
    <row r="578" spans="2:16" x14ac:dyDescent="0.25">
      <c r="B578" s="32">
        <v>563</v>
      </c>
      <c r="C578" s="229"/>
      <c r="D578" s="229"/>
      <c r="E578" s="229"/>
      <c r="F578" s="229"/>
      <c r="G578" s="229"/>
      <c r="H578" s="229"/>
      <c r="I578" s="229"/>
      <c r="J578" s="32"/>
      <c r="K578" s="1"/>
      <c r="L578" s="32"/>
      <c r="M578" s="32"/>
      <c r="N578" s="32"/>
      <c r="O578" s="51"/>
      <c r="P578" s="51"/>
    </row>
    <row r="579" spans="2:16" x14ac:dyDescent="0.25">
      <c r="B579" s="32">
        <v>564</v>
      </c>
      <c r="C579" s="229"/>
      <c r="D579" s="229"/>
      <c r="E579" s="229"/>
      <c r="F579" s="229"/>
      <c r="G579" s="229"/>
      <c r="H579" s="229"/>
      <c r="I579" s="229"/>
      <c r="J579" s="32"/>
      <c r="K579" s="1"/>
      <c r="L579" s="32"/>
      <c r="M579" s="32"/>
      <c r="N579" s="32"/>
      <c r="O579" s="51"/>
      <c r="P579" s="51"/>
    </row>
    <row r="580" spans="2:16" x14ac:dyDescent="0.25">
      <c r="B580" s="32">
        <v>565</v>
      </c>
      <c r="C580" s="229"/>
      <c r="D580" s="229"/>
      <c r="E580" s="229"/>
      <c r="F580" s="229"/>
      <c r="G580" s="229"/>
      <c r="H580" s="229"/>
      <c r="I580" s="229"/>
      <c r="J580" s="32"/>
      <c r="K580" s="1"/>
      <c r="L580" s="32"/>
      <c r="M580" s="32"/>
      <c r="N580" s="32"/>
      <c r="O580" s="51"/>
      <c r="P580" s="51"/>
    </row>
    <row r="581" spans="2:16" x14ac:dyDescent="0.25">
      <c r="B581" s="32">
        <v>566</v>
      </c>
      <c r="C581" s="229"/>
      <c r="D581" s="229"/>
      <c r="E581" s="229"/>
      <c r="F581" s="229"/>
      <c r="G581" s="229"/>
      <c r="H581" s="229"/>
      <c r="I581" s="229"/>
      <c r="J581" s="32"/>
      <c r="K581" s="1"/>
      <c r="L581" s="32"/>
      <c r="M581" s="32"/>
      <c r="N581" s="32"/>
      <c r="O581" s="51"/>
      <c r="P581" s="51"/>
    </row>
    <row r="582" spans="2:16" x14ac:dyDescent="0.25">
      <c r="B582" s="32">
        <v>567</v>
      </c>
      <c r="C582" s="229"/>
      <c r="D582" s="229"/>
      <c r="E582" s="229"/>
      <c r="F582" s="229"/>
      <c r="G582" s="229"/>
      <c r="H582" s="229"/>
      <c r="I582" s="229"/>
      <c r="J582" s="32"/>
      <c r="K582" s="1"/>
      <c r="L582" s="32"/>
      <c r="M582" s="32"/>
      <c r="N582" s="32"/>
      <c r="O582" s="51"/>
      <c r="P582" s="51"/>
    </row>
    <row r="583" spans="2:16" x14ac:dyDescent="0.25">
      <c r="B583" s="32">
        <v>568</v>
      </c>
      <c r="C583" s="229"/>
      <c r="D583" s="229"/>
      <c r="E583" s="229"/>
      <c r="F583" s="229"/>
      <c r="G583" s="229"/>
      <c r="H583" s="229"/>
      <c r="I583" s="229"/>
      <c r="J583" s="32"/>
      <c r="K583" s="1"/>
      <c r="L583" s="32"/>
      <c r="M583" s="32"/>
      <c r="N583" s="32"/>
      <c r="O583" s="51"/>
      <c r="P583" s="51"/>
    </row>
    <row r="584" spans="2:16" x14ac:dyDescent="0.25">
      <c r="B584" s="32">
        <v>569</v>
      </c>
      <c r="C584" s="229"/>
      <c r="D584" s="229"/>
      <c r="E584" s="229"/>
      <c r="F584" s="229"/>
      <c r="G584" s="229"/>
      <c r="H584" s="229"/>
      <c r="I584" s="229"/>
      <c r="J584" s="32"/>
      <c r="K584" s="1"/>
      <c r="L584" s="32"/>
      <c r="M584" s="32"/>
      <c r="N584" s="32"/>
      <c r="O584" s="51"/>
      <c r="P584" s="51"/>
    </row>
    <row r="585" spans="2:16" x14ac:dyDescent="0.25">
      <c r="B585" s="32">
        <v>570</v>
      </c>
      <c r="C585" s="229"/>
      <c r="D585" s="229"/>
      <c r="E585" s="229"/>
      <c r="F585" s="229"/>
      <c r="G585" s="229"/>
      <c r="H585" s="229"/>
      <c r="I585" s="229"/>
      <c r="J585" s="32"/>
      <c r="K585" s="1"/>
      <c r="L585" s="32"/>
      <c r="M585" s="32"/>
      <c r="N585" s="32"/>
      <c r="O585" s="51"/>
      <c r="P585" s="51"/>
    </row>
    <row r="586" spans="2:16" x14ac:dyDescent="0.25">
      <c r="B586" s="32">
        <v>571</v>
      </c>
      <c r="C586" s="229"/>
      <c r="D586" s="229"/>
      <c r="E586" s="229"/>
      <c r="F586" s="229"/>
      <c r="G586" s="229"/>
      <c r="H586" s="229"/>
      <c r="I586" s="229"/>
      <c r="J586" s="32"/>
      <c r="K586" s="1"/>
      <c r="L586" s="32"/>
      <c r="M586" s="32"/>
      <c r="N586" s="32"/>
      <c r="O586" s="51"/>
      <c r="P586" s="51"/>
    </row>
    <row r="587" spans="2:16" x14ac:dyDescent="0.25">
      <c r="B587" s="32">
        <v>572</v>
      </c>
      <c r="C587" s="229"/>
      <c r="D587" s="229"/>
      <c r="E587" s="229"/>
      <c r="F587" s="229"/>
      <c r="G587" s="229"/>
      <c r="H587" s="229"/>
      <c r="I587" s="229"/>
      <c r="J587" s="32"/>
      <c r="K587" s="1"/>
      <c r="L587" s="32"/>
      <c r="M587" s="32"/>
      <c r="N587" s="32"/>
      <c r="O587" s="51"/>
      <c r="P587" s="51"/>
    </row>
    <row r="588" spans="2:16" x14ac:dyDescent="0.25">
      <c r="B588" s="32">
        <v>573</v>
      </c>
      <c r="C588" s="229"/>
      <c r="D588" s="229"/>
      <c r="E588" s="229"/>
      <c r="F588" s="229"/>
      <c r="G588" s="229"/>
      <c r="H588" s="229"/>
      <c r="I588" s="229"/>
      <c r="J588" s="32"/>
      <c r="K588" s="1"/>
      <c r="L588" s="32"/>
      <c r="M588" s="32"/>
      <c r="N588" s="32"/>
      <c r="O588" s="51"/>
      <c r="P588" s="51"/>
    </row>
    <row r="589" spans="2:16" x14ac:dyDescent="0.25">
      <c r="B589" s="32">
        <v>574</v>
      </c>
      <c r="C589" s="229"/>
      <c r="D589" s="229"/>
      <c r="E589" s="229"/>
      <c r="F589" s="229"/>
      <c r="G589" s="229"/>
      <c r="H589" s="229"/>
      <c r="I589" s="229"/>
      <c r="J589" s="32"/>
      <c r="K589" s="1"/>
      <c r="L589" s="32"/>
      <c r="M589" s="32"/>
      <c r="N589" s="32"/>
      <c r="O589" s="51"/>
      <c r="P589" s="51"/>
    </row>
    <row r="590" spans="2:16" x14ac:dyDescent="0.25">
      <c r="B590" s="32">
        <v>575</v>
      </c>
      <c r="C590" s="229"/>
      <c r="D590" s="229"/>
      <c r="E590" s="229"/>
      <c r="F590" s="229"/>
      <c r="G590" s="229"/>
      <c r="H590" s="229"/>
      <c r="I590" s="229"/>
      <c r="J590" s="32"/>
      <c r="K590" s="1"/>
      <c r="L590" s="32"/>
      <c r="M590" s="32"/>
      <c r="N590" s="32"/>
      <c r="O590" s="51"/>
      <c r="P590" s="51"/>
    </row>
    <row r="591" spans="2:16" x14ac:dyDescent="0.25">
      <c r="B591" s="32">
        <v>576</v>
      </c>
      <c r="C591" s="229"/>
      <c r="D591" s="229"/>
      <c r="E591" s="229"/>
      <c r="F591" s="229"/>
      <c r="G591" s="229"/>
      <c r="H591" s="229"/>
      <c r="I591" s="229"/>
      <c r="J591" s="32"/>
      <c r="K591" s="1"/>
      <c r="L591" s="32"/>
      <c r="M591" s="32"/>
      <c r="N591" s="32"/>
      <c r="O591" s="51"/>
      <c r="P591" s="51"/>
    </row>
    <row r="592" spans="2:16" x14ac:dyDescent="0.25">
      <c r="B592" s="32">
        <v>577</v>
      </c>
      <c r="C592" s="229"/>
      <c r="D592" s="229"/>
      <c r="E592" s="229"/>
      <c r="F592" s="229"/>
      <c r="G592" s="229"/>
      <c r="H592" s="229"/>
      <c r="I592" s="229"/>
      <c r="J592" s="32"/>
      <c r="K592" s="1"/>
      <c r="L592" s="32"/>
      <c r="M592" s="32"/>
      <c r="N592" s="32"/>
      <c r="O592" s="51"/>
      <c r="P592" s="51"/>
    </row>
    <row r="593" spans="2:16" x14ac:dyDescent="0.25">
      <c r="B593" s="32">
        <v>578</v>
      </c>
      <c r="C593" s="229"/>
      <c r="D593" s="229"/>
      <c r="E593" s="229"/>
      <c r="F593" s="229"/>
      <c r="G593" s="229"/>
      <c r="H593" s="229"/>
      <c r="I593" s="229"/>
      <c r="J593" s="32"/>
      <c r="K593" s="1"/>
      <c r="L593" s="32"/>
      <c r="M593" s="32"/>
      <c r="N593" s="32"/>
      <c r="O593" s="51"/>
      <c r="P593" s="51"/>
    </row>
    <row r="594" spans="2:16" x14ac:dyDescent="0.25">
      <c r="B594" s="32">
        <v>579</v>
      </c>
      <c r="C594" s="229"/>
      <c r="D594" s="229"/>
      <c r="E594" s="229"/>
      <c r="F594" s="229"/>
      <c r="G594" s="229"/>
      <c r="H594" s="229"/>
      <c r="I594" s="229"/>
      <c r="J594" s="32"/>
      <c r="K594" s="1"/>
      <c r="L594" s="32"/>
      <c r="M594" s="32"/>
      <c r="N594" s="32"/>
      <c r="O594" s="51"/>
      <c r="P594" s="51"/>
    </row>
    <row r="595" spans="2:16" x14ac:dyDescent="0.25">
      <c r="B595" s="32">
        <v>580</v>
      </c>
      <c r="C595" s="229"/>
      <c r="D595" s="229"/>
      <c r="E595" s="229"/>
      <c r="F595" s="229"/>
      <c r="G595" s="229"/>
      <c r="H595" s="229"/>
      <c r="I595" s="229"/>
      <c r="J595" s="32"/>
      <c r="K595" s="1"/>
      <c r="L595" s="32"/>
      <c r="M595" s="32"/>
      <c r="N595" s="32"/>
      <c r="O595" s="51"/>
      <c r="P595" s="51"/>
    </row>
    <row r="596" spans="2:16" x14ac:dyDescent="0.25">
      <c r="B596" s="32">
        <v>581</v>
      </c>
      <c r="C596" s="229"/>
      <c r="D596" s="229"/>
      <c r="E596" s="229"/>
      <c r="F596" s="229"/>
      <c r="G596" s="229"/>
      <c r="H596" s="229"/>
      <c r="I596" s="229"/>
      <c r="J596" s="32"/>
      <c r="K596" s="1"/>
      <c r="L596" s="32"/>
      <c r="M596" s="32"/>
      <c r="N596" s="32"/>
      <c r="O596" s="51"/>
      <c r="P596" s="51"/>
    </row>
    <row r="597" spans="2:16" x14ac:dyDescent="0.25">
      <c r="B597" s="32">
        <v>582</v>
      </c>
      <c r="C597" s="229"/>
      <c r="D597" s="229"/>
      <c r="E597" s="229"/>
      <c r="F597" s="229"/>
      <c r="G597" s="229"/>
      <c r="H597" s="229"/>
      <c r="I597" s="229"/>
      <c r="J597" s="32"/>
      <c r="K597" s="1"/>
      <c r="L597" s="32"/>
      <c r="M597" s="32"/>
      <c r="N597" s="32"/>
      <c r="O597" s="51"/>
      <c r="P597" s="51"/>
    </row>
    <row r="598" spans="2:16" x14ac:dyDescent="0.25">
      <c r="B598" s="32">
        <v>583</v>
      </c>
      <c r="C598" s="229"/>
      <c r="D598" s="229"/>
      <c r="E598" s="229"/>
      <c r="F598" s="229"/>
      <c r="G598" s="229"/>
      <c r="H598" s="229"/>
      <c r="I598" s="229"/>
      <c r="J598" s="32"/>
      <c r="K598" s="1"/>
      <c r="L598" s="32"/>
      <c r="M598" s="32"/>
      <c r="N598" s="32"/>
      <c r="O598" s="51"/>
      <c r="P598" s="51"/>
    </row>
    <row r="599" spans="2:16" x14ac:dyDescent="0.25">
      <c r="B599" s="32">
        <v>584</v>
      </c>
      <c r="C599" s="229"/>
      <c r="D599" s="229"/>
      <c r="E599" s="229"/>
      <c r="F599" s="229"/>
      <c r="G599" s="229"/>
      <c r="H599" s="229"/>
      <c r="I599" s="229"/>
      <c r="J599" s="32"/>
      <c r="K599" s="1"/>
      <c r="L599" s="32"/>
      <c r="M599" s="32"/>
      <c r="N599" s="32"/>
      <c r="O599" s="51"/>
      <c r="P599" s="51"/>
    </row>
    <row r="600" spans="2:16" x14ac:dyDescent="0.25">
      <c r="B600" s="32">
        <v>585</v>
      </c>
      <c r="C600" s="229"/>
      <c r="D600" s="229"/>
      <c r="E600" s="229"/>
      <c r="F600" s="229"/>
      <c r="G600" s="229"/>
      <c r="H600" s="229"/>
      <c r="I600" s="229"/>
      <c r="J600" s="32"/>
      <c r="K600" s="1"/>
      <c r="L600" s="32"/>
      <c r="M600" s="32"/>
      <c r="N600" s="32"/>
      <c r="O600" s="51"/>
      <c r="P600" s="51"/>
    </row>
    <row r="601" spans="2:16" x14ac:dyDescent="0.25">
      <c r="B601" s="32">
        <v>586</v>
      </c>
      <c r="C601" s="229"/>
      <c r="D601" s="229"/>
      <c r="E601" s="229"/>
      <c r="F601" s="229"/>
      <c r="G601" s="229"/>
      <c r="H601" s="229"/>
      <c r="I601" s="229"/>
      <c r="J601" s="32"/>
      <c r="K601" s="1"/>
      <c r="L601" s="32"/>
      <c r="M601" s="32"/>
      <c r="N601" s="32"/>
      <c r="O601" s="51"/>
      <c r="P601" s="51"/>
    </row>
    <row r="602" spans="2:16" x14ac:dyDescent="0.25">
      <c r="B602" s="32">
        <v>587</v>
      </c>
      <c r="C602" s="229"/>
      <c r="D602" s="229"/>
      <c r="E602" s="229"/>
      <c r="F602" s="229"/>
      <c r="G602" s="229"/>
      <c r="H602" s="229"/>
      <c r="I602" s="229"/>
      <c r="J602" s="32"/>
      <c r="K602" s="1"/>
      <c r="L602" s="32"/>
      <c r="M602" s="32"/>
      <c r="N602" s="32"/>
      <c r="O602" s="51"/>
      <c r="P602" s="51"/>
    </row>
    <row r="603" spans="2:16" x14ac:dyDescent="0.25">
      <c r="B603" s="32">
        <v>588</v>
      </c>
      <c r="C603" s="229"/>
      <c r="D603" s="229"/>
      <c r="E603" s="229"/>
      <c r="F603" s="229"/>
      <c r="G603" s="229"/>
      <c r="H603" s="229"/>
      <c r="I603" s="229"/>
      <c r="J603" s="32"/>
      <c r="K603" s="1"/>
      <c r="L603" s="32"/>
      <c r="M603" s="32"/>
      <c r="N603" s="32"/>
      <c r="O603" s="51"/>
      <c r="P603" s="51"/>
    </row>
    <row r="604" spans="2:16" x14ac:dyDescent="0.25">
      <c r="B604" s="32">
        <v>589</v>
      </c>
      <c r="C604" s="229"/>
      <c r="D604" s="229"/>
      <c r="E604" s="229"/>
      <c r="F604" s="229"/>
      <c r="G604" s="229"/>
      <c r="H604" s="229"/>
      <c r="I604" s="229"/>
      <c r="J604" s="32"/>
      <c r="K604" s="1"/>
      <c r="L604" s="32"/>
      <c r="M604" s="32"/>
      <c r="N604" s="32"/>
      <c r="O604" s="51"/>
      <c r="P604" s="51"/>
    </row>
    <row r="605" spans="2:16" x14ac:dyDescent="0.25">
      <c r="B605" s="32">
        <v>590</v>
      </c>
      <c r="C605" s="229"/>
      <c r="D605" s="229"/>
      <c r="E605" s="229"/>
      <c r="F605" s="229"/>
      <c r="G605" s="229"/>
      <c r="H605" s="229"/>
      <c r="I605" s="229"/>
      <c r="J605" s="32"/>
      <c r="K605" s="1"/>
      <c r="L605" s="32"/>
      <c r="M605" s="32"/>
      <c r="N605" s="32"/>
      <c r="O605" s="51"/>
      <c r="P605" s="51"/>
    </row>
    <row r="606" spans="2:16" x14ac:dyDescent="0.25">
      <c r="B606" s="32">
        <v>591</v>
      </c>
      <c r="C606" s="229"/>
      <c r="D606" s="229"/>
      <c r="E606" s="229"/>
      <c r="F606" s="229"/>
      <c r="G606" s="229"/>
      <c r="H606" s="229"/>
      <c r="I606" s="229"/>
      <c r="J606" s="32"/>
      <c r="K606" s="1"/>
      <c r="L606" s="32"/>
      <c r="M606" s="32"/>
      <c r="N606" s="32"/>
      <c r="O606" s="51"/>
      <c r="P606" s="51"/>
    </row>
    <row r="607" spans="2:16" x14ac:dyDescent="0.25">
      <c r="B607" s="32">
        <v>592</v>
      </c>
      <c r="C607" s="229"/>
      <c r="D607" s="229"/>
      <c r="E607" s="229"/>
      <c r="F607" s="229"/>
      <c r="G607" s="229"/>
      <c r="H607" s="229"/>
      <c r="I607" s="229"/>
      <c r="J607" s="32"/>
      <c r="K607" s="1"/>
      <c r="L607" s="32"/>
      <c r="M607" s="32"/>
      <c r="N607" s="32"/>
      <c r="O607" s="51"/>
      <c r="P607" s="51"/>
    </row>
    <row r="608" spans="2:16" x14ac:dyDescent="0.25">
      <c r="B608" s="32">
        <v>593</v>
      </c>
      <c r="C608" s="229"/>
      <c r="D608" s="229"/>
      <c r="E608" s="229"/>
      <c r="F608" s="229"/>
      <c r="G608" s="229"/>
      <c r="H608" s="229"/>
      <c r="I608" s="229"/>
      <c r="J608" s="32"/>
      <c r="K608" s="1"/>
      <c r="L608" s="32"/>
      <c r="M608" s="32"/>
      <c r="N608" s="32"/>
      <c r="O608" s="51"/>
      <c r="P608" s="51"/>
    </row>
    <row r="609" spans="2:16" x14ac:dyDescent="0.25">
      <c r="B609" s="32">
        <v>594</v>
      </c>
      <c r="C609" s="229"/>
      <c r="D609" s="229"/>
      <c r="E609" s="229"/>
      <c r="F609" s="229"/>
      <c r="G609" s="229"/>
      <c r="H609" s="229"/>
      <c r="I609" s="229"/>
      <c r="J609" s="32"/>
      <c r="K609" s="1"/>
      <c r="L609" s="32"/>
      <c r="M609" s="32"/>
      <c r="N609" s="32"/>
      <c r="O609" s="51"/>
      <c r="P609" s="51"/>
    </row>
    <row r="610" spans="2:16" x14ac:dyDescent="0.25">
      <c r="B610" s="32">
        <v>595</v>
      </c>
      <c r="C610" s="229"/>
      <c r="D610" s="229"/>
      <c r="E610" s="229"/>
      <c r="F610" s="229"/>
      <c r="G610" s="229"/>
      <c r="H610" s="229"/>
      <c r="I610" s="229"/>
      <c r="J610" s="32"/>
      <c r="K610" s="1"/>
      <c r="L610" s="32"/>
      <c r="M610" s="32"/>
      <c r="N610" s="32"/>
      <c r="O610" s="51"/>
      <c r="P610" s="51"/>
    </row>
    <row r="611" spans="2:16" x14ac:dyDescent="0.25">
      <c r="B611" s="32">
        <v>596</v>
      </c>
      <c r="C611" s="229"/>
      <c r="D611" s="229"/>
      <c r="E611" s="229"/>
      <c r="F611" s="229"/>
      <c r="G611" s="229"/>
      <c r="H611" s="229"/>
      <c r="I611" s="229"/>
      <c r="J611" s="32"/>
      <c r="K611" s="1"/>
      <c r="L611" s="32"/>
      <c r="M611" s="32"/>
      <c r="N611" s="32"/>
      <c r="O611" s="51"/>
      <c r="P611" s="51"/>
    </row>
    <row r="612" spans="2:16" x14ac:dyDescent="0.25">
      <c r="B612" s="32">
        <v>597</v>
      </c>
      <c r="C612" s="229"/>
      <c r="D612" s="229"/>
      <c r="E612" s="229"/>
      <c r="F612" s="229"/>
      <c r="G612" s="229"/>
      <c r="H612" s="229"/>
      <c r="I612" s="229"/>
      <c r="J612" s="32"/>
      <c r="K612" s="1"/>
      <c r="L612" s="32"/>
      <c r="M612" s="32"/>
      <c r="N612" s="32"/>
      <c r="O612" s="51"/>
      <c r="P612" s="51"/>
    </row>
    <row r="613" spans="2:16" x14ac:dyDescent="0.25">
      <c r="B613" s="32">
        <v>598</v>
      </c>
      <c r="C613" s="229"/>
      <c r="D613" s="229"/>
      <c r="E613" s="229"/>
      <c r="F613" s="229"/>
      <c r="G613" s="229"/>
      <c r="H613" s="229"/>
      <c r="I613" s="229"/>
      <c r="J613" s="32"/>
      <c r="K613" s="1"/>
      <c r="L613" s="32"/>
      <c r="M613" s="32"/>
      <c r="N613" s="32"/>
      <c r="O613" s="51"/>
      <c r="P613" s="51"/>
    </row>
    <row r="614" spans="2:16" x14ac:dyDescent="0.25">
      <c r="B614" s="32">
        <v>599</v>
      </c>
      <c r="C614" s="229"/>
      <c r="D614" s="229"/>
      <c r="E614" s="229"/>
      <c r="F614" s="229"/>
      <c r="G614" s="229"/>
      <c r="H614" s="229"/>
      <c r="I614" s="229"/>
      <c r="J614" s="32"/>
      <c r="K614" s="1"/>
      <c r="L614" s="32"/>
      <c r="M614" s="32"/>
      <c r="N614" s="32"/>
      <c r="O614" s="51"/>
      <c r="P614" s="51"/>
    </row>
    <row r="615" spans="2:16" x14ac:dyDescent="0.25">
      <c r="B615" s="32">
        <v>600</v>
      </c>
      <c r="C615" s="229"/>
      <c r="D615" s="229"/>
      <c r="E615" s="229"/>
      <c r="F615" s="229"/>
      <c r="G615" s="229"/>
      <c r="H615" s="229"/>
      <c r="I615" s="229"/>
      <c r="J615" s="32"/>
      <c r="K615" s="1"/>
      <c r="L615" s="32"/>
      <c r="M615" s="32"/>
      <c r="N615" s="32"/>
      <c r="O615" s="51"/>
      <c r="P615" s="51"/>
    </row>
    <row r="616" spans="2:16" x14ac:dyDescent="0.25">
      <c r="B616" s="32">
        <v>601</v>
      </c>
      <c r="C616" s="229"/>
      <c r="D616" s="229"/>
      <c r="E616" s="229"/>
      <c r="F616" s="229"/>
      <c r="G616" s="229"/>
      <c r="H616" s="229"/>
      <c r="I616" s="229"/>
      <c r="J616" s="32"/>
      <c r="K616" s="1"/>
      <c r="L616" s="32"/>
      <c r="M616" s="32"/>
      <c r="N616" s="32"/>
      <c r="O616" s="51"/>
      <c r="P616" s="51"/>
    </row>
    <row r="617" spans="2:16" x14ac:dyDescent="0.25">
      <c r="B617" s="32">
        <v>602</v>
      </c>
      <c r="C617" s="229"/>
      <c r="D617" s="229"/>
      <c r="E617" s="229"/>
      <c r="F617" s="229"/>
      <c r="G617" s="229"/>
      <c r="H617" s="229"/>
      <c r="I617" s="229"/>
      <c r="J617" s="32"/>
      <c r="K617" s="1"/>
      <c r="L617" s="32"/>
      <c r="M617" s="32"/>
      <c r="N617" s="32"/>
      <c r="O617" s="51"/>
      <c r="P617" s="51"/>
    </row>
    <row r="618" spans="2:16" x14ac:dyDescent="0.25">
      <c r="B618" s="32">
        <v>603</v>
      </c>
      <c r="C618" s="229"/>
      <c r="D618" s="229"/>
      <c r="E618" s="229"/>
      <c r="F618" s="229"/>
      <c r="G618" s="229"/>
      <c r="H618" s="229"/>
      <c r="I618" s="229"/>
      <c r="J618" s="32"/>
      <c r="K618" s="1"/>
      <c r="L618" s="32"/>
      <c r="M618" s="32"/>
      <c r="N618" s="32"/>
      <c r="O618" s="51"/>
      <c r="P618" s="51"/>
    </row>
    <row r="619" spans="2:16" x14ac:dyDescent="0.25">
      <c r="B619" s="32">
        <v>604</v>
      </c>
      <c r="C619" s="229"/>
      <c r="D619" s="229"/>
      <c r="E619" s="229"/>
      <c r="F619" s="229"/>
      <c r="G619" s="229"/>
      <c r="H619" s="229"/>
      <c r="I619" s="229"/>
      <c r="J619" s="32"/>
      <c r="K619" s="1"/>
      <c r="L619" s="32"/>
      <c r="M619" s="32"/>
      <c r="N619" s="32"/>
      <c r="O619" s="51"/>
      <c r="P619" s="51"/>
    </row>
    <row r="620" spans="2:16" x14ac:dyDescent="0.25">
      <c r="B620" s="32">
        <v>605</v>
      </c>
      <c r="C620" s="229"/>
      <c r="D620" s="229"/>
      <c r="E620" s="229"/>
      <c r="F620" s="229"/>
      <c r="G620" s="229"/>
      <c r="H620" s="229"/>
      <c r="I620" s="229"/>
      <c r="J620" s="32"/>
      <c r="K620" s="1"/>
      <c r="L620" s="32"/>
      <c r="M620" s="32"/>
      <c r="N620" s="32"/>
      <c r="O620" s="51"/>
      <c r="P620" s="51"/>
    </row>
    <row r="621" spans="2:16" x14ac:dyDescent="0.25">
      <c r="B621" s="32">
        <v>606</v>
      </c>
      <c r="C621" s="229"/>
      <c r="D621" s="229"/>
      <c r="E621" s="229"/>
      <c r="F621" s="229"/>
      <c r="G621" s="229"/>
      <c r="H621" s="229"/>
      <c r="I621" s="229"/>
      <c r="J621" s="32"/>
      <c r="K621" s="1"/>
      <c r="L621" s="32"/>
      <c r="M621" s="32"/>
      <c r="N621" s="32"/>
      <c r="O621" s="51"/>
      <c r="P621" s="51"/>
    </row>
    <row r="622" spans="2:16" x14ac:dyDescent="0.25">
      <c r="B622" s="32">
        <v>607</v>
      </c>
      <c r="C622" s="229"/>
      <c r="D622" s="229"/>
      <c r="E622" s="229"/>
      <c r="F622" s="229"/>
      <c r="G622" s="229"/>
      <c r="H622" s="229"/>
      <c r="I622" s="229"/>
      <c r="J622" s="32"/>
      <c r="K622" s="1"/>
      <c r="L622" s="32"/>
      <c r="M622" s="32"/>
      <c r="N622" s="32"/>
      <c r="O622" s="51"/>
      <c r="P622" s="51"/>
    </row>
    <row r="623" spans="2:16" x14ac:dyDescent="0.25">
      <c r="B623" s="32">
        <v>608</v>
      </c>
      <c r="C623" s="229"/>
      <c r="D623" s="229"/>
      <c r="E623" s="229"/>
      <c r="F623" s="229"/>
      <c r="G623" s="229"/>
      <c r="H623" s="229"/>
      <c r="I623" s="229"/>
      <c r="J623" s="32"/>
      <c r="K623" s="1"/>
      <c r="L623" s="32"/>
      <c r="M623" s="32"/>
      <c r="N623" s="32"/>
      <c r="O623" s="51"/>
      <c r="P623" s="51"/>
    </row>
    <row r="624" spans="2:16" x14ac:dyDescent="0.25">
      <c r="B624" s="32">
        <v>609</v>
      </c>
      <c r="C624" s="229"/>
      <c r="D624" s="229"/>
      <c r="E624" s="229"/>
      <c r="F624" s="229"/>
      <c r="G624" s="229"/>
      <c r="H624" s="229"/>
      <c r="I624" s="229"/>
      <c r="J624" s="32"/>
      <c r="K624" s="1"/>
      <c r="L624" s="32"/>
      <c r="M624" s="32"/>
      <c r="N624" s="32"/>
      <c r="O624" s="51"/>
      <c r="P624" s="51"/>
    </row>
    <row r="625" spans="2:16" x14ac:dyDescent="0.25">
      <c r="B625" s="32">
        <v>610</v>
      </c>
      <c r="C625" s="229"/>
      <c r="D625" s="229"/>
      <c r="E625" s="229"/>
      <c r="F625" s="229"/>
      <c r="G625" s="229"/>
      <c r="H625" s="229"/>
      <c r="I625" s="229"/>
      <c r="J625" s="32"/>
      <c r="K625" s="1"/>
      <c r="L625" s="32"/>
      <c r="M625" s="32"/>
      <c r="N625" s="32"/>
      <c r="O625" s="51"/>
      <c r="P625" s="51"/>
    </row>
    <row r="626" spans="2:16" x14ac:dyDescent="0.25">
      <c r="B626" s="32">
        <v>611</v>
      </c>
      <c r="C626" s="229"/>
      <c r="D626" s="229"/>
      <c r="E626" s="229"/>
      <c r="F626" s="229"/>
      <c r="G626" s="229"/>
      <c r="H626" s="229"/>
      <c r="I626" s="229"/>
      <c r="J626" s="32"/>
      <c r="K626" s="1"/>
      <c r="L626" s="32"/>
      <c r="M626" s="32"/>
      <c r="N626" s="32"/>
      <c r="O626" s="51"/>
      <c r="P626" s="51"/>
    </row>
    <row r="627" spans="2:16" x14ac:dyDescent="0.25">
      <c r="B627" s="32">
        <v>612</v>
      </c>
      <c r="C627" s="229"/>
      <c r="D627" s="229"/>
      <c r="E627" s="229"/>
      <c r="F627" s="229"/>
      <c r="G627" s="229"/>
      <c r="H627" s="229"/>
      <c r="I627" s="229"/>
      <c r="J627" s="32"/>
      <c r="K627" s="1"/>
      <c r="L627" s="32"/>
      <c r="M627" s="32"/>
      <c r="N627" s="32"/>
      <c r="O627" s="51"/>
      <c r="P627" s="51"/>
    </row>
    <row r="628" spans="2:16" x14ac:dyDescent="0.25">
      <c r="B628" s="32">
        <v>613</v>
      </c>
      <c r="C628" s="229"/>
      <c r="D628" s="229"/>
      <c r="E628" s="229"/>
      <c r="F628" s="229"/>
      <c r="G628" s="229"/>
      <c r="H628" s="229"/>
      <c r="I628" s="229"/>
      <c r="J628" s="32"/>
      <c r="K628" s="1"/>
      <c r="L628" s="32"/>
      <c r="M628" s="32"/>
      <c r="N628" s="32"/>
      <c r="O628" s="51"/>
      <c r="P628" s="51"/>
    </row>
    <row r="629" spans="2:16" x14ac:dyDescent="0.25">
      <c r="B629" s="32">
        <v>614</v>
      </c>
      <c r="C629" s="229"/>
      <c r="D629" s="229"/>
      <c r="E629" s="229"/>
      <c r="F629" s="229"/>
      <c r="G629" s="229"/>
      <c r="H629" s="229"/>
      <c r="I629" s="229"/>
      <c r="J629" s="32"/>
      <c r="K629" s="1"/>
      <c r="L629" s="32"/>
      <c r="M629" s="32"/>
      <c r="N629" s="32"/>
      <c r="O629" s="51"/>
      <c r="P629" s="51"/>
    </row>
    <row r="630" spans="2:16" x14ac:dyDescent="0.25">
      <c r="B630" s="32">
        <v>615</v>
      </c>
      <c r="C630" s="229"/>
      <c r="D630" s="229"/>
      <c r="E630" s="229"/>
      <c r="F630" s="229"/>
      <c r="G630" s="229"/>
      <c r="H630" s="229"/>
      <c r="I630" s="229"/>
      <c r="J630" s="32"/>
      <c r="K630" s="1"/>
      <c r="L630" s="32"/>
      <c r="M630" s="32"/>
      <c r="N630" s="32"/>
      <c r="O630" s="51"/>
      <c r="P630" s="51"/>
    </row>
    <row r="631" spans="2:16" x14ac:dyDescent="0.25">
      <c r="B631" s="32">
        <v>616</v>
      </c>
      <c r="C631" s="229"/>
      <c r="D631" s="229"/>
      <c r="E631" s="229"/>
      <c r="F631" s="229"/>
      <c r="G631" s="229"/>
      <c r="H631" s="229"/>
      <c r="I631" s="229"/>
      <c r="J631" s="32"/>
      <c r="K631" s="1"/>
      <c r="L631" s="32"/>
      <c r="M631" s="32"/>
      <c r="N631" s="32"/>
      <c r="O631" s="51"/>
      <c r="P631" s="51"/>
    </row>
    <row r="632" spans="2:16" x14ac:dyDescent="0.25">
      <c r="B632" s="32">
        <v>617</v>
      </c>
      <c r="C632" s="229"/>
      <c r="D632" s="229"/>
      <c r="E632" s="229"/>
      <c r="F632" s="229"/>
      <c r="G632" s="229"/>
      <c r="H632" s="229"/>
      <c r="I632" s="229"/>
      <c r="J632" s="32"/>
      <c r="K632" s="1"/>
      <c r="L632" s="32"/>
      <c r="M632" s="32"/>
      <c r="N632" s="32"/>
      <c r="O632" s="51"/>
      <c r="P632" s="51"/>
    </row>
    <row r="633" spans="2:16" x14ac:dyDescent="0.25">
      <c r="B633" s="32">
        <v>618</v>
      </c>
      <c r="C633" s="229"/>
      <c r="D633" s="229"/>
      <c r="E633" s="229"/>
      <c r="F633" s="229"/>
      <c r="G633" s="229"/>
      <c r="H633" s="229"/>
      <c r="I633" s="229"/>
      <c r="J633" s="32"/>
      <c r="K633" s="1"/>
      <c r="L633" s="32"/>
      <c r="M633" s="32"/>
      <c r="N633" s="32"/>
      <c r="O633" s="51"/>
      <c r="P633" s="51"/>
    </row>
    <row r="634" spans="2:16" x14ac:dyDescent="0.25">
      <c r="B634" s="32">
        <v>619</v>
      </c>
      <c r="C634" s="229"/>
      <c r="D634" s="229"/>
      <c r="E634" s="229"/>
      <c r="F634" s="229"/>
      <c r="G634" s="229"/>
      <c r="H634" s="229"/>
      <c r="I634" s="229"/>
      <c r="J634" s="32"/>
      <c r="K634" s="1"/>
      <c r="L634" s="32"/>
      <c r="M634" s="32"/>
      <c r="N634" s="32"/>
      <c r="O634" s="51"/>
      <c r="P634" s="51"/>
    </row>
    <row r="635" spans="2:16" x14ac:dyDescent="0.25">
      <c r="B635" s="32">
        <v>620</v>
      </c>
      <c r="C635" s="229"/>
      <c r="D635" s="229"/>
      <c r="E635" s="229"/>
      <c r="F635" s="229"/>
      <c r="G635" s="229"/>
      <c r="H635" s="229"/>
      <c r="I635" s="229"/>
      <c r="J635" s="32"/>
      <c r="K635" s="1"/>
      <c r="L635" s="32"/>
      <c r="M635" s="32"/>
      <c r="N635" s="32"/>
      <c r="O635" s="51"/>
      <c r="P635" s="51"/>
    </row>
    <row r="636" spans="2:16" x14ac:dyDescent="0.25">
      <c r="B636" s="32">
        <v>621</v>
      </c>
      <c r="C636" s="229"/>
      <c r="D636" s="229"/>
      <c r="E636" s="229"/>
      <c r="F636" s="229"/>
      <c r="G636" s="229"/>
      <c r="H636" s="229"/>
      <c r="I636" s="229"/>
      <c r="J636" s="32"/>
      <c r="K636" s="1"/>
      <c r="L636" s="32"/>
      <c r="M636" s="32"/>
      <c r="N636" s="32"/>
      <c r="O636" s="51"/>
      <c r="P636" s="51"/>
    </row>
    <row r="637" spans="2:16" x14ac:dyDescent="0.25">
      <c r="B637" s="32">
        <v>622</v>
      </c>
      <c r="C637" s="229"/>
      <c r="D637" s="229"/>
      <c r="E637" s="229"/>
      <c r="F637" s="229"/>
      <c r="G637" s="229"/>
      <c r="H637" s="229"/>
      <c r="I637" s="229"/>
      <c r="J637" s="32"/>
      <c r="K637" s="1"/>
      <c r="L637" s="32"/>
      <c r="M637" s="32"/>
      <c r="N637" s="32"/>
      <c r="O637" s="51"/>
      <c r="P637" s="51"/>
    </row>
    <row r="638" spans="2:16" x14ac:dyDescent="0.25">
      <c r="B638" s="32">
        <v>623</v>
      </c>
      <c r="C638" s="229"/>
      <c r="D638" s="229"/>
      <c r="E638" s="229"/>
      <c r="F638" s="229"/>
      <c r="G638" s="229"/>
      <c r="H638" s="229"/>
      <c r="I638" s="229"/>
      <c r="J638" s="32"/>
      <c r="K638" s="1"/>
      <c r="L638" s="32"/>
      <c r="M638" s="32"/>
      <c r="N638" s="32"/>
      <c r="O638" s="51"/>
      <c r="P638" s="51"/>
    </row>
    <row r="639" spans="2:16" x14ac:dyDescent="0.25">
      <c r="B639" s="32">
        <v>624</v>
      </c>
      <c r="C639" s="229"/>
      <c r="D639" s="229"/>
      <c r="E639" s="229"/>
      <c r="F639" s="229"/>
      <c r="G639" s="229"/>
      <c r="H639" s="229"/>
      <c r="I639" s="229"/>
      <c r="J639" s="32"/>
      <c r="K639" s="1"/>
      <c r="L639" s="32"/>
      <c r="M639" s="32"/>
      <c r="N639" s="32"/>
      <c r="O639" s="51"/>
      <c r="P639" s="51"/>
    </row>
    <row r="640" spans="2:16" x14ac:dyDescent="0.25">
      <c r="B640" s="32">
        <v>625</v>
      </c>
      <c r="C640" s="229"/>
      <c r="D640" s="229"/>
      <c r="E640" s="229"/>
      <c r="F640" s="229"/>
      <c r="G640" s="229"/>
      <c r="H640" s="229"/>
      <c r="I640" s="229"/>
      <c r="J640" s="32"/>
      <c r="K640" s="1"/>
      <c r="L640" s="32"/>
      <c r="M640" s="32"/>
      <c r="N640" s="32"/>
      <c r="O640" s="51"/>
      <c r="P640" s="51"/>
    </row>
    <row r="641" spans="2:16" x14ac:dyDescent="0.25">
      <c r="B641" s="32">
        <v>626</v>
      </c>
      <c r="C641" s="229"/>
      <c r="D641" s="229"/>
      <c r="E641" s="229"/>
      <c r="F641" s="229"/>
      <c r="G641" s="229"/>
      <c r="H641" s="229"/>
      <c r="I641" s="229"/>
      <c r="J641" s="32"/>
      <c r="K641" s="1"/>
      <c r="L641" s="32"/>
      <c r="M641" s="32"/>
      <c r="N641" s="32"/>
      <c r="O641" s="51"/>
      <c r="P641" s="51"/>
    </row>
    <row r="642" spans="2:16" x14ac:dyDescent="0.25">
      <c r="B642" s="32">
        <v>627</v>
      </c>
      <c r="C642" s="229"/>
      <c r="D642" s="229"/>
      <c r="E642" s="229"/>
      <c r="F642" s="229"/>
      <c r="G642" s="229"/>
      <c r="H642" s="229"/>
      <c r="I642" s="229"/>
      <c r="J642" s="32"/>
      <c r="K642" s="1"/>
      <c r="L642" s="32"/>
      <c r="M642" s="32"/>
      <c r="N642" s="32"/>
      <c r="O642" s="51"/>
      <c r="P642" s="51"/>
    </row>
    <row r="643" spans="2:16" x14ac:dyDescent="0.25">
      <c r="B643" s="32">
        <v>628</v>
      </c>
      <c r="C643" s="229"/>
      <c r="D643" s="229"/>
      <c r="E643" s="229"/>
      <c r="F643" s="229"/>
      <c r="G643" s="229"/>
      <c r="H643" s="229"/>
      <c r="I643" s="229"/>
      <c r="J643" s="32"/>
      <c r="K643" s="1"/>
      <c r="L643" s="32"/>
      <c r="M643" s="32"/>
      <c r="N643" s="32"/>
      <c r="O643" s="51"/>
      <c r="P643" s="51"/>
    </row>
    <row r="644" spans="2:16" x14ac:dyDescent="0.25">
      <c r="B644" s="32">
        <v>629</v>
      </c>
      <c r="C644" s="229"/>
      <c r="D644" s="229"/>
      <c r="E644" s="229"/>
      <c r="F644" s="229"/>
      <c r="G644" s="229"/>
      <c r="H644" s="229"/>
      <c r="I644" s="229"/>
      <c r="J644" s="32"/>
      <c r="K644" s="1"/>
      <c r="L644" s="32"/>
      <c r="M644" s="32"/>
      <c r="N644" s="32"/>
      <c r="O644" s="51"/>
      <c r="P644" s="51"/>
    </row>
    <row r="645" spans="2:16" x14ac:dyDescent="0.25">
      <c r="B645" s="32">
        <v>630</v>
      </c>
      <c r="C645" s="229"/>
      <c r="D645" s="229"/>
      <c r="E645" s="229"/>
      <c r="F645" s="229"/>
      <c r="G645" s="229"/>
      <c r="H645" s="229"/>
      <c r="I645" s="229"/>
      <c r="J645" s="32"/>
      <c r="K645" s="1"/>
      <c r="L645" s="32"/>
      <c r="M645" s="32"/>
      <c r="N645" s="32"/>
      <c r="O645" s="51"/>
      <c r="P645" s="51"/>
    </row>
    <row r="646" spans="2:16" x14ac:dyDescent="0.25">
      <c r="B646" s="32">
        <v>631</v>
      </c>
      <c r="C646" s="229"/>
      <c r="D646" s="229"/>
      <c r="E646" s="229"/>
      <c r="F646" s="229"/>
      <c r="G646" s="229"/>
      <c r="H646" s="229"/>
      <c r="I646" s="229"/>
      <c r="J646" s="32"/>
      <c r="K646" s="1"/>
      <c r="L646" s="32"/>
      <c r="M646" s="32"/>
      <c r="N646" s="32"/>
      <c r="O646" s="51"/>
      <c r="P646" s="51"/>
    </row>
    <row r="647" spans="2:16" x14ac:dyDescent="0.25">
      <c r="B647" s="32">
        <v>632</v>
      </c>
      <c r="C647" s="229"/>
      <c r="D647" s="229"/>
      <c r="E647" s="229"/>
      <c r="F647" s="229"/>
      <c r="G647" s="229"/>
      <c r="H647" s="229"/>
      <c r="I647" s="229"/>
      <c r="J647" s="32"/>
      <c r="K647" s="1"/>
      <c r="L647" s="32"/>
      <c r="M647" s="32"/>
      <c r="N647" s="32"/>
      <c r="O647" s="51"/>
      <c r="P647" s="51"/>
    </row>
    <row r="648" spans="2:16" x14ac:dyDescent="0.25">
      <c r="B648" s="32">
        <v>633</v>
      </c>
      <c r="C648" s="229"/>
      <c r="D648" s="229"/>
      <c r="E648" s="229"/>
      <c r="F648" s="229"/>
      <c r="G648" s="229"/>
      <c r="H648" s="229"/>
      <c r="I648" s="229"/>
      <c r="J648" s="32"/>
      <c r="K648" s="1"/>
      <c r="L648" s="32"/>
      <c r="M648" s="32"/>
      <c r="N648" s="32"/>
      <c r="O648" s="51"/>
      <c r="P648" s="51"/>
    </row>
    <row r="649" spans="2:16" x14ac:dyDescent="0.25">
      <c r="B649" s="32">
        <v>634</v>
      </c>
      <c r="C649" s="229"/>
      <c r="D649" s="229"/>
      <c r="E649" s="229"/>
      <c r="F649" s="229"/>
      <c r="G649" s="229"/>
      <c r="H649" s="229"/>
      <c r="I649" s="229"/>
      <c r="J649" s="32"/>
      <c r="K649" s="1"/>
      <c r="L649" s="32"/>
      <c r="M649" s="32"/>
      <c r="N649" s="32"/>
      <c r="O649" s="51"/>
      <c r="P649" s="51"/>
    </row>
    <row r="650" spans="2:16" x14ac:dyDescent="0.25">
      <c r="B650" s="32">
        <v>635</v>
      </c>
      <c r="C650" s="229"/>
      <c r="D650" s="229"/>
      <c r="E650" s="229"/>
      <c r="F650" s="229"/>
      <c r="G650" s="229"/>
      <c r="H650" s="229"/>
      <c r="I650" s="229"/>
      <c r="J650" s="32"/>
      <c r="K650" s="1"/>
      <c r="L650" s="32"/>
      <c r="M650" s="32"/>
      <c r="N650" s="32"/>
      <c r="O650" s="51"/>
      <c r="P650" s="51"/>
    </row>
    <row r="651" spans="2:16" x14ac:dyDescent="0.25">
      <c r="B651" s="32">
        <v>636</v>
      </c>
      <c r="C651" s="229"/>
      <c r="D651" s="229"/>
      <c r="E651" s="229"/>
      <c r="F651" s="229"/>
      <c r="G651" s="229"/>
      <c r="H651" s="229"/>
      <c r="I651" s="229"/>
      <c r="J651" s="32"/>
      <c r="K651" s="1"/>
      <c r="L651" s="32"/>
      <c r="M651" s="32"/>
      <c r="N651" s="32"/>
      <c r="O651" s="51"/>
      <c r="P651" s="51"/>
    </row>
    <row r="652" spans="2:16" x14ac:dyDescent="0.25">
      <c r="B652" s="32">
        <v>637</v>
      </c>
      <c r="C652" s="229"/>
      <c r="D652" s="229"/>
      <c r="E652" s="229"/>
      <c r="F652" s="229"/>
      <c r="G652" s="229"/>
      <c r="H652" s="229"/>
      <c r="I652" s="229"/>
      <c r="J652" s="32"/>
      <c r="K652" s="1"/>
      <c r="L652" s="32"/>
      <c r="M652" s="32"/>
      <c r="N652" s="32"/>
      <c r="O652" s="51"/>
      <c r="P652" s="51"/>
    </row>
    <row r="653" spans="2:16" x14ac:dyDescent="0.25">
      <c r="B653" s="32">
        <v>638</v>
      </c>
      <c r="C653" s="229"/>
      <c r="D653" s="229"/>
      <c r="E653" s="229"/>
      <c r="F653" s="229"/>
      <c r="G653" s="229"/>
      <c r="H653" s="229"/>
      <c r="I653" s="229"/>
      <c r="J653" s="32"/>
      <c r="K653" s="1"/>
      <c r="L653" s="32"/>
      <c r="M653" s="32"/>
      <c r="N653" s="32"/>
      <c r="O653" s="51"/>
      <c r="P653" s="51"/>
    </row>
    <row r="654" spans="2:16" x14ac:dyDescent="0.25">
      <c r="B654" s="32">
        <v>639</v>
      </c>
      <c r="C654" s="229"/>
      <c r="D654" s="229"/>
      <c r="E654" s="229"/>
      <c r="F654" s="229"/>
      <c r="G654" s="229"/>
      <c r="H654" s="229"/>
      <c r="I654" s="229"/>
      <c r="J654" s="32"/>
      <c r="K654" s="1"/>
      <c r="L654" s="32"/>
      <c r="M654" s="32"/>
      <c r="N654" s="32"/>
      <c r="O654" s="51"/>
      <c r="P654" s="51"/>
    </row>
    <row r="655" spans="2:16" x14ac:dyDescent="0.25">
      <c r="B655" s="32">
        <v>640</v>
      </c>
      <c r="C655" s="229"/>
      <c r="D655" s="229"/>
      <c r="E655" s="229"/>
      <c r="F655" s="229"/>
      <c r="G655" s="229"/>
      <c r="H655" s="229"/>
      <c r="I655" s="229"/>
      <c r="J655" s="32"/>
      <c r="K655" s="1"/>
      <c r="L655" s="32"/>
      <c r="M655" s="32"/>
      <c r="N655" s="32"/>
      <c r="O655" s="51"/>
      <c r="P655" s="51"/>
    </row>
    <row r="656" spans="2:16" x14ac:dyDescent="0.25">
      <c r="B656" s="32">
        <v>641</v>
      </c>
      <c r="C656" s="229"/>
      <c r="D656" s="229"/>
      <c r="E656" s="229"/>
      <c r="F656" s="229"/>
      <c r="G656" s="229"/>
      <c r="H656" s="229"/>
      <c r="I656" s="229"/>
      <c r="J656" s="32"/>
      <c r="K656" s="1"/>
      <c r="L656" s="32"/>
      <c r="M656" s="32"/>
      <c r="N656" s="32"/>
      <c r="O656" s="51"/>
      <c r="P656" s="51"/>
    </row>
    <row r="657" spans="2:16" x14ac:dyDescent="0.25">
      <c r="B657" s="32">
        <v>642</v>
      </c>
      <c r="C657" s="229"/>
      <c r="D657" s="229"/>
      <c r="E657" s="229"/>
      <c r="F657" s="229"/>
      <c r="G657" s="229"/>
      <c r="H657" s="229"/>
      <c r="I657" s="229"/>
      <c r="J657" s="32"/>
      <c r="K657" s="1"/>
      <c r="L657" s="32"/>
      <c r="M657" s="32"/>
      <c r="N657" s="32"/>
      <c r="O657" s="51"/>
      <c r="P657" s="51"/>
    </row>
    <row r="658" spans="2:16" x14ac:dyDescent="0.25">
      <c r="B658" s="32">
        <v>643</v>
      </c>
      <c r="C658" s="229"/>
      <c r="D658" s="229"/>
      <c r="E658" s="229"/>
      <c r="F658" s="229"/>
      <c r="G658" s="229"/>
      <c r="H658" s="229"/>
      <c r="I658" s="229"/>
      <c r="J658" s="32"/>
      <c r="K658" s="1"/>
      <c r="L658" s="32"/>
      <c r="M658" s="32"/>
      <c r="N658" s="32"/>
      <c r="O658" s="51"/>
      <c r="P658" s="51"/>
    </row>
    <row r="659" spans="2:16" x14ac:dyDescent="0.25">
      <c r="B659" s="32">
        <v>644</v>
      </c>
      <c r="C659" s="229"/>
      <c r="D659" s="229"/>
      <c r="E659" s="229"/>
      <c r="F659" s="229"/>
      <c r="G659" s="229"/>
      <c r="H659" s="229"/>
      <c r="I659" s="229"/>
      <c r="J659" s="32"/>
      <c r="K659" s="1"/>
      <c r="L659" s="32"/>
      <c r="M659" s="32"/>
      <c r="N659" s="32"/>
      <c r="O659" s="51"/>
      <c r="P659" s="51"/>
    </row>
    <row r="660" spans="2:16" x14ac:dyDescent="0.25">
      <c r="B660" s="32">
        <v>645</v>
      </c>
      <c r="C660" s="229"/>
      <c r="D660" s="229"/>
      <c r="E660" s="229"/>
      <c r="F660" s="229"/>
      <c r="G660" s="229"/>
      <c r="H660" s="229"/>
      <c r="I660" s="229"/>
      <c r="J660" s="32"/>
      <c r="K660" s="1"/>
      <c r="L660" s="32"/>
      <c r="M660" s="32"/>
      <c r="N660" s="32"/>
      <c r="O660" s="51"/>
      <c r="P660" s="51"/>
    </row>
    <row r="661" spans="2:16" x14ac:dyDescent="0.25">
      <c r="B661" s="32">
        <v>646</v>
      </c>
      <c r="C661" s="229"/>
      <c r="D661" s="229"/>
      <c r="E661" s="229"/>
      <c r="F661" s="229"/>
      <c r="G661" s="229"/>
      <c r="H661" s="229"/>
      <c r="I661" s="229"/>
      <c r="J661" s="32"/>
      <c r="K661" s="1"/>
      <c r="L661" s="32"/>
      <c r="M661" s="32"/>
      <c r="N661" s="32"/>
      <c r="O661" s="51"/>
      <c r="P661" s="51"/>
    </row>
    <row r="662" spans="2:16" x14ac:dyDescent="0.25">
      <c r="B662" s="32">
        <v>647</v>
      </c>
      <c r="C662" s="229"/>
      <c r="D662" s="229"/>
      <c r="E662" s="229"/>
      <c r="F662" s="229"/>
      <c r="G662" s="229"/>
      <c r="H662" s="229"/>
      <c r="I662" s="229"/>
      <c r="J662" s="32"/>
      <c r="K662" s="1"/>
      <c r="L662" s="32"/>
      <c r="M662" s="32"/>
      <c r="N662" s="32"/>
      <c r="O662" s="51"/>
      <c r="P662" s="51"/>
    </row>
    <row r="663" spans="2:16" x14ac:dyDescent="0.25">
      <c r="B663" s="32">
        <v>648</v>
      </c>
      <c r="C663" s="229"/>
      <c r="D663" s="229"/>
      <c r="E663" s="229"/>
      <c r="F663" s="229"/>
      <c r="G663" s="229"/>
      <c r="H663" s="229"/>
      <c r="I663" s="229"/>
      <c r="J663" s="32"/>
      <c r="K663" s="1"/>
      <c r="L663" s="32"/>
      <c r="M663" s="32"/>
      <c r="N663" s="32"/>
      <c r="O663" s="51"/>
      <c r="P663" s="51"/>
    </row>
    <row r="664" spans="2:16" x14ac:dyDescent="0.25">
      <c r="B664" s="32">
        <v>649</v>
      </c>
      <c r="C664" s="229"/>
      <c r="D664" s="229"/>
      <c r="E664" s="229"/>
      <c r="F664" s="229"/>
      <c r="G664" s="229"/>
      <c r="H664" s="229"/>
      <c r="I664" s="229"/>
      <c r="J664" s="32"/>
      <c r="K664" s="1"/>
      <c r="L664" s="32"/>
      <c r="M664" s="32"/>
      <c r="N664" s="32"/>
      <c r="O664" s="51"/>
      <c r="P664" s="51"/>
    </row>
    <row r="665" spans="2:16" x14ac:dyDescent="0.25">
      <c r="B665" s="32">
        <v>650</v>
      </c>
      <c r="C665" s="229"/>
      <c r="D665" s="229"/>
      <c r="E665" s="229"/>
      <c r="F665" s="229"/>
      <c r="G665" s="229"/>
      <c r="H665" s="229"/>
      <c r="I665" s="229"/>
      <c r="J665" s="32"/>
      <c r="K665" s="1"/>
      <c r="L665" s="32"/>
      <c r="M665" s="32"/>
      <c r="N665" s="32"/>
      <c r="O665" s="51"/>
      <c r="P665" s="51"/>
    </row>
    <row r="666" spans="2:16" x14ac:dyDescent="0.25">
      <c r="B666" s="32">
        <v>651</v>
      </c>
      <c r="C666" s="229"/>
      <c r="D666" s="229"/>
      <c r="E666" s="229"/>
      <c r="F666" s="229"/>
      <c r="G666" s="229"/>
      <c r="H666" s="229"/>
      <c r="I666" s="229"/>
      <c r="J666" s="32"/>
      <c r="K666" s="1"/>
      <c r="L666" s="32"/>
      <c r="M666" s="32"/>
      <c r="N666" s="32"/>
      <c r="O666" s="51"/>
      <c r="P666" s="51"/>
    </row>
    <row r="667" spans="2:16" x14ac:dyDescent="0.25">
      <c r="B667" s="32">
        <v>652</v>
      </c>
      <c r="C667" s="229"/>
      <c r="D667" s="229"/>
      <c r="E667" s="229"/>
      <c r="F667" s="229"/>
      <c r="G667" s="229"/>
      <c r="H667" s="229"/>
      <c r="I667" s="229"/>
      <c r="J667" s="32"/>
      <c r="K667" s="1"/>
      <c r="L667" s="32"/>
      <c r="M667" s="32"/>
      <c r="N667" s="32"/>
      <c r="O667" s="51"/>
      <c r="P667" s="51"/>
    </row>
    <row r="668" spans="2:16" x14ac:dyDescent="0.25">
      <c r="B668" s="32">
        <v>653</v>
      </c>
      <c r="C668" s="229"/>
      <c r="D668" s="229"/>
      <c r="E668" s="229"/>
      <c r="F668" s="229"/>
      <c r="G668" s="229"/>
      <c r="H668" s="229"/>
      <c r="I668" s="229"/>
      <c r="J668" s="32"/>
      <c r="K668" s="1"/>
      <c r="L668" s="32"/>
      <c r="M668" s="32"/>
      <c r="N668" s="32"/>
      <c r="O668" s="51"/>
      <c r="P668" s="51"/>
    </row>
    <row r="669" spans="2:16" x14ac:dyDescent="0.25">
      <c r="B669" s="32">
        <v>654</v>
      </c>
      <c r="C669" s="229"/>
      <c r="D669" s="229"/>
      <c r="E669" s="229"/>
      <c r="F669" s="229"/>
      <c r="G669" s="229"/>
      <c r="H669" s="229"/>
      <c r="I669" s="229"/>
      <c r="J669" s="32"/>
      <c r="K669" s="1"/>
      <c r="L669" s="32"/>
      <c r="M669" s="32"/>
      <c r="N669" s="32"/>
      <c r="O669" s="51"/>
      <c r="P669" s="51"/>
    </row>
    <row r="670" spans="2:16" x14ac:dyDescent="0.25">
      <c r="B670" s="32">
        <v>655</v>
      </c>
      <c r="C670" s="229"/>
      <c r="D670" s="229"/>
      <c r="E670" s="229"/>
      <c r="F670" s="229"/>
      <c r="G670" s="229"/>
      <c r="H670" s="229"/>
      <c r="I670" s="229"/>
      <c r="J670" s="32"/>
      <c r="K670" s="1"/>
      <c r="L670" s="32"/>
      <c r="M670" s="32"/>
      <c r="N670" s="32"/>
      <c r="O670" s="51"/>
      <c r="P670" s="51"/>
    </row>
    <row r="671" spans="2:16" x14ac:dyDescent="0.25">
      <c r="B671" s="32">
        <v>656</v>
      </c>
      <c r="C671" s="229"/>
      <c r="D671" s="229"/>
      <c r="E671" s="229"/>
      <c r="F671" s="229"/>
      <c r="G671" s="229"/>
      <c r="H671" s="229"/>
      <c r="I671" s="229"/>
      <c r="J671" s="32"/>
      <c r="K671" s="1"/>
      <c r="L671" s="32"/>
      <c r="M671" s="32"/>
      <c r="N671" s="32"/>
      <c r="O671" s="51"/>
      <c r="P671" s="51"/>
    </row>
    <row r="672" spans="2:16" x14ac:dyDescent="0.25">
      <c r="B672" s="32">
        <v>657</v>
      </c>
      <c r="C672" s="229"/>
      <c r="D672" s="229"/>
      <c r="E672" s="229"/>
      <c r="F672" s="229"/>
      <c r="G672" s="229"/>
      <c r="H672" s="229"/>
      <c r="I672" s="229"/>
      <c r="J672" s="32"/>
      <c r="K672" s="1"/>
      <c r="L672" s="32"/>
      <c r="M672" s="32"/>
      <c r="N672" s="32"/>
      <c r="O672" s="51"/>
      <c r="P672" s="51"/>
    </row>
    <row r="673" spans="2:16" x14ac:dyDescent="0.25">
      <c r="B673" s="32">
        <v>658</v>
      </c>
      <c r="C673" s="229"/>
      <c r="D673" s="229"/>
      <c r="E673" s="229"/>
      <c r="F673" s="229"/>
      <c r="G673" s="229"/>
      <c r="H673" s="229"/>
      <c r="I673" s="229"/>
      <c r="J673" s="32"/>
      <c r="K673" s="1"/>
      <c r="L673" s="32"/>
      <c r="M673" s="32"/>
      <c r="N673" s="32"/>
      <c r="O673" s="51"/>
      <c r="P673" s="51"/>
    </row>
    <row r="674" spans="2:16" x14ac:dyDescent="0.25">
      <c r="B674" s="32">
        <v>659</v>
      </c>
      <c r="C674" s="229"/>
      <c r="D674" s="229"/>
      <c r="E674" s="229"/>
      <c r="F674" s="229"/>
      <c r="G674" s="229"/>
      <c r="H674" s="229"/>
      <c r="I674" s="229"/>
      <c r="J674" s="32"/>
      <c r="K674" s="1"/>
      <c r="L674" s="32"/>
      <c r="M674" s="32"/>
      <c r="N674" s="32"/>
      <c r="O674" s="51"/>
      <c r="P674" s="51"/>
    </row>
    <row r="675" spans="2:16" x14ac:dyDescent="0.25">
      <c r="B675" s="32">
        <v>660</v>
      </c>
      <c r="C675" s="229"/>
      <c r="D675" s="229"/>
      <c r="E675" s="229"/>
      <c r="F675" s="229"/>
      <c r="G675" s="229"/>
      <c r="H675" s="229"/>
      <c r="I675" s="229"/>
      <c r="J675" s="32"/>
      <c r="K675" s="1"/>
      <c r="L675" s="32"/>
      <c r="M675" s="32"/>
      <c r="N675" s="32"/>
      <c r="O675" s="51"/>
      <c r="P675" s="51"/>
    </row>
    <row r="676" spans="2:16" x14ac:dyDescent="0.25">
      <c r="B676" s="32">
        <v>661</v>
      </c>
      <c r="C676" s="229"/>
      <c r="D676" s="229"/>
      <c r="E676" s="229"/>
      <c r="F676" s="229"/>
      <c r="G676" s="229"/>
      <c r="H676" s="229"/>
      <c r="I676" s="229"/>
      <c r="J676" s="32"/>
      <c r="K676" s="1"/>
      <c r="L676" s="32"/>
      <c r="M676" s="32"/>
      <c r="N676" s="32"/>
      <c r="O676" s="51"/>
      <c r="P676" s="51"/>
    </row>
    <row r="677" spans="2:16" x14ac:dyDescent="0.25">
      <c r="B677" s="32">
        <v>662</v>
      </c>
      <c r="C677" s="229"/>
      <c r="D677" s="229"/>
      <c r="E677" s="229"/>
      <c r="F677" s="229"/>
      <c r="G677" s="229"/>
      <c r="H677" s="229"/>
      <c r="I677" s="229"/>
      <c r="J677" s="32"/>
      <c r="K677" s="1"/>
      <c r="L677" s="32"/>
      <c r="M677" s="32"/>
      <c r="N677" s="32"/>
      <c r="O677" s="51"/>
      <c r="P677" s="51"/>
    </row>
    <row r="678" spans="2:16" x14ac:dyDescent="0.25">
      <c r="B678" s="32">
        <v>663</v>
      </c>
      <c r="C678" s="229"/>
      <c r="D678" s="229"/>
      <c r="E678" s="229"/>
      <c r="F678" s="229"/>
      <c r="G678" s="229"/>
      <c r="H678" s="229"/>
      <c r="I678" s="229"/>
      <c r="J678" s="32"/>
      <c r="K678" s="1"/>
      <c r="L678" s="32"/>
      <c r="M678" s="32"/>
      <c r="N678" s="32"/>
      <c r="O678" s="51"/>
      <c r="P678" s="51"/>
    </row>
    <row r="679" spans="2:16" x14ac:dyDescent="0.25">
      <c r="B679" s="32">
        <v>664</v>
      </c>
      <c r="C679" s="229"/>
      <c r="D679" s="229"/>
      <c r="E679" s="229"/>
      <c r="F679" s="229"/>
      <c r="G679" s="229"/>
      <c r="H679" s="229"/>
      <c r="I679" s="229"/>
      <c r="J679" s="32"/>
      <c r="K679" s="1"/>
      <c r="L679" s="32"/>
      <c r="M679" s="32"/>
      <c r="N679" s="32"/>
      <c r="O679" s="51"/>
      <c r="P679" s="51"/>
    </row>
    <row r="680" spans="2:16" x14ac:dyDescent="0.25">
      <c r="B680" s="32">
        <v>665</v>
      </c>
      <c r="C680" s="229"/>
      <c r="D680" s="229"/>
      <c r="E680" s="229"/>
      <c r="F680" s="229"/>
      <c r="G680" s="229"/>
      <c r="H680" s="229"/>
      <c r="I680" s="229"/>
      <c r="J680" s="32"/>
      <c r="K680" s="1"/>
      <c r="L680" s="32"/>
      <c r="M680" s="32"/>
      <c r="N680" s="32"/>
      <c r="O680" s="51"/>
      <c r="P680" s="51"/>
    </row>
    <row r="681" spans="2:16" x14ac:dyDescent="0.25">
      <c r="B681" s="32">
        <v>666</v>
      </c>
      <c r="C681" s="229"/>
      <c r="D681" s="229"/>
      <c r="E681" s="229"/>
      <c r="F681" s="229"/>
      <c r="G681" s="229"/>
      <c r="H681" s="229"/>
      <c r="I681" s="229"/>
      <c r="J681" s="32"/>
      <c r="K681" s="1"/>
      <c r="L681" s="32"/>
      <c r="M681" s="32"/>
      <c r="N681" s="32"/>
      <c r="O681" s="51"/>
      <c r="P681" s="51"/>
    </row>
    <row r="682" spans="2:16" x14ac:dyDescent="0.25">
      <c r="B682" s="32">
        <v>667</v>
      </c>
      <c r="C682" s="229"/>
      <c r="D682" s="229"/>
      <c r="E682" s="229"/>
      <c r="F682" s="229"/>
      <c r="G682" s="229"/>
      <c r="H682" s="229"/>
      <c r="I682" s="229"/>
      <c r="J682" s="32"/>
      <c r="K682" s="1"/>
      <c r="L682" s="32"/>
      <c r="M682" s="32"/>
      <c r="N682" s="32"/>
      <c r="O682" s="51"/>
      <c r="P682" s="51"/>
    </row>
    <row r="683" spans="2:16" x14ac:dyDescent="0.25">
      <c r="B683" s="32">
        <v>668</v>
      </c>
      <c r="C683" s="229"/>
      <c r="D683" s="229"/>
      <c r="E683" s="229"/>
      <c r="F683" s="229"/>
      <c r="G683" s="229"/>
      <c r="H683" s="229"/>
      <c r="I683" s="229"/>
      <c r="J683" s="32"/>
      <c r="K683" s="1"/>
      <c r="L683" s="32"/>
      <c r="M683" s="32"/>
      <c r="N683" s="32"/>
      <c r="O683" s="51"/>
      <c r="P683" s="51"/>
    </row>
    <row r="684" spans="2:16" x14ac:dyDescent="0.25">
      <c r="B684" s="32">
        <v>669</v>
      </c>
      <c r="C684" s="229"/>
      <c r="D684" s="229"/>
      <c r="E684" s="229"/>
      <c r="F684" s="229"/>
      <c r="G684" s="229"/>
      <c r="H684" s="229"/>
      <c r="I684" s="229"/>
      <c r="J684" s="32"/>
      <c r="K684" s="1"/>
      <c r="L684" s="32"/>
      <c r="M684" s="32"/>
      <c r="N684" s="32"/>
      <c r="O684" s="51"/>
      <c r="P684" s="51"/>
    </row>
    <row r="685" spans="2:16" x14ac:dyDescent="0.25">
      <c r="B685" s="32">
        <v>670</v>
      </c>
      <c r="C685" s="229"/>
      <c r="D685" s="229"/>
      <c r="E685" s="229"/>
      <c r="F685" s="229"/>
      <c r="G685" s="229"/>
      <c r="H685" s="229"/>
      <c r="I685" s="229"/>
      <c r="J685" s="32"/>
      <c r="K685" s="1"/>
      <c r="L685" s="32"/>
      <c r="M685" s="32"/>
      <c r="N685" s="32"/>
      <c r="O685" s="51"/>
      <c r="P685" s="51"/>
    </row>
    <row r="686" spans="2:16" x14ac:dyDescent="0.25">
      <c r="B686" s="32">
        <v>671</v>
      </c>
      <c r="C686" s="229"/>
      <c r="D686" s="229"/>
      <c r="E686" s="229"/>
      <c r="F686" s="229"/>
      <c r="G686" s="229"/>
      <c r="H686" s="229"/>
      <c r="I686" s="229"/>
      <c r="J686" s="32"/>
      <c r="K686" s="1"/>
      <c r="L686" s="32"/>
      <c r="M686" s="32"/>
      <c r="N686" s="32"/>
      <c r="O686" s="51"/>
      <c r="P686" s="51"/>
    </row>
    <row r="687" spans="2:16" x14ac:dyDescent="0.25">
      <c r="B687" s="32">
        <v>672</v>
      </c>
      <c r="C687" s="229"/>
      <c r="D687" s="229"/>
      <c r="E687" s="229"/>
      <c r="F687" s="229"/>
      <c r="G687" s="229"/>
      <c r="H687" s="229"/>
      <c r="I687" s="229"/>
      <c r="J687" s="32"/>
      <c r="K687" s="1"/>
      <c r="L687" s="32"/>
      <c r="M687" s="32"/>
      <c r="N687" s="32"/>
      <c r="O687" s="51"/>
      <c r="P687" s="51"/>
    </row>
    <row r="688" spans="2:16" x14ac:dyDescent="0.25">
      <c r="B688" s="32">
        <v>673</v>
      </c>
      <c r="C688" s="229"/>
      <c r="D688" s="229"/>
      <c r="E688" s="229"/>
      <c r="F688" s="229"/>
      <c r="G688" s="229"/>
      <c r="H688" s="229"/>
      <c r="I688" s="229"/>
      <c r="J688" s="32"/>
      <c r="K688" s="1"/>
      <c r="L688" s="32"/>
      <c r="M688" s="32"/>
      <c r="N688" s="32"/>
      <c r="O688" s="51"/>
      <c r="P688" s="51"/>
    </row>
    <row r="689" spans="2:16" x14ac:dyDescent="0.25">
      <c r="B689" s="32">
        <v>674</v>
      </c>
      <c r="C689" s="229"/>
      <c r="D689" s="229"/>
      <c r="E689" s="229"/>
      <c r="F689" s="229"/>
      <c r="G689" s="229"/>
      <c r="H689" s="229"/>
      <c r="I689" s="229"/>
      <c r="J689" s="32"/>
      <c r="K689" s="1"/>
      <c r="L689" s="32"/>
      <c r="M689" s="32"/>
      <c r="N689" s="32"/>
      <c r="O689" s="51"/>
      <c r="P689" s="51"/>
    </row>
    <row r="690" spans="2:16" x14ac:dyDescent="0.25">
      <c r="B690" s="32">
        <v>675</v>
      </c>
      <c r="C690" s="229"/>
      <c r="D690" s="229"/>
      <c r="E690" s="229"/>
      <c r="F690" s="229"/>
      <c r="G690" s="229"/>
      <c r="H690" s="229"/>
      <c r="I690" s="229"/>
      <c r="J690" s="32"/>
      <c r="K690" s="1"/>
      <c r="L690" s="32"/>
      <c r="M690" s="32"/>
      <c r="N690" s="32"/>
      <c r="O690" s="51"/>
      <c r="P690" s="51"/>
    </row>
    <row r="691" spans="2:16" x14ac:dyDescent="0.25">
      <c r="B691" s="32">
        <v>676</v>
      </c>
      <c r="C691" s="229"/>
      <c r="D691" s="229"/>
      <c r="E691" s="229"/>
      <c r="F691" s="229"/>
      <c r="G691" s="229"/>
      <c r="H691" s="229"/>
      <c r="I691" s="229"/>
      <c r="J691" s="32"/>
      <c r="K691" s="1"/>
      <c r="L691" s="32"/>
      <c r="M691" s="32"/>
      <c r="N691" s="32"/>
      <c r="O691" s="51"/>
      <c r="P691" s="51"/>
    </row>
    <row r="692" spans="2:16" x14ac:dyDescent="0.25">
      <c r="B692" s="32">
        <v>677</v>
      </c>
      <c r="C692" s="229"/>
      <c r="D692" s="229"/>
      <c r="E692" s="229"/>
      <c r="F692" s="229"/>
      <c r="G692" s="229"/>
      <c r="H692" s="229"/>
      <c r="I692" s="229"/>
      <c r="J692" s="32"/>
      <c r="K692" s="1"/>
      <c r="L692" s="32"/>
      <c r="M692" s="32"/>
      <c r="N692" s="32"/>
      <c r="O692" s="51"/>
      <c r="P692" s="51"/>
    </row>
    <row r="693" spans="2:16" x14ac:dyDescent="0.25">
      <c r="B693" s="32">
        <v>678</v>
      </c>
      <c r="C693" s="229"/>
      <c r="D693" s="229"/>
      <c r="E693" s="229"/>
      <c r="F693" s="229"/>
      <c r="G693" s="229"/>
      <c r="H693" s="229"/>
      <c r="I693" s="229"/>
      <c r="J693" s="32"/>
      <c r="K693" s="1"/>
      <c r="L693" s="32"/>
      <c r="M693" s="32"/>
      <c r="N693" s="32"/>
      <c r="O693" s="51"/>
      <c r="P693" s="51"/>
    </row>
    <row r="694" spans="2:16" x14ac:dyDescent="0.25">
      <c r="B694" s="32">
        <v>679</v>
      </c>
      <c r="C694" s="229"/>
      <c r="D694" s="229"/>
      <c r="E694" s="229"/>
      <c r="F694" s="229"/>
      <c r="G694" s="229"/>
      <c r="H694" s="229"/>
      <c r="I694" s="229"/>
      <c r="J694" s="32"/>
      <c r="K694" s="1"/>
      <c r="L694" s="32"/>
      <c r="M694" s="32"/>
      <c r="N694" s="32"/>
      <c r="O694" s="51"/>
      <c r="P694" s="51"/>
    </row>
    <row r="695" spans="2:16" x14ac:dyDescent="0.25">
      <c r="B695" s="32">
        <v>680</v>
      </c>
      <c r="C695" s="229"/>
      <c r="D695" s="229"/>
      <c r="E695" s="229"/>
      <c r="F695" s="229"/>
      <c r="G695" s="229"/>
      <c r="H695" s="229"/>
      <c r="I695" s="229"/>
      <c r="J695" s="32"/>
      <c r="K695" s="1"/>
      <c r="L695" s="32"/>
      <c r="M695" s="32"/>
      <c r="N695" s="32"/>
      <c r="O695" s="51"/>
      <c r="P695" s="51"/>
    </row>
    <row r="696" spans="2:16" x14ac:dyDescent="0.25">
      <c r="B696" s="32">
        <v>681</v>
      </c>
      <c r="C696" s="229"/>
      <c r="D696" s="229"/>
      <c r="E696" s="229"/>
      <c r="F696" s="229"/>
      <c r="G696" s="229"/>
      <c r="H696" s="229"/>
      <c r="I696" s="229"/>
      <c r="J696" s="32"/>
      <c r="K696" s="1"/>
      <c r="L696" s="32"/>
      <c r="M696" s="32"/>
      <c r="N696" s="32"/>
      <c r="O696" s="51"/>
      <c r="P696" s="51"/>
    </row>
    <row r="697" spans="2:16" x14ac:dyDescent="0.25">
      <c r="B697" s="32">
        <v>682</v>
      </c>
      <c r="C697" s="229"/>
      <c r="D697" s="229"/>
      <c r="E697" s="229"/>
      <c r="F697" s="229"/>
      <c r="G697" s="229"/>
      <c r="H697" s="229"/>
      <c r="I697" s="229"/>
      <c r="J697" s="32"/>
      <c r="K697" s="1"/>
      <c r="L697" s="32"/>
      <c r="M697" s="32"/>
      <c r="N697" s="32"/>
      <c r="O697" s="51"/>
      <c r="P697" s="51"/>
    </row>
    <row r="698" spans="2:16" x14ac:dyDescent="0.25">
      <c r="B698" s="32">
        <v>683</v>
      </c>
      <c r="C698" s="229"/>
      <c r="D698" s="229"/>
      <c r="E698" s="229"/>
      <c r="F698" s="229"/>
      <c r="G698" s="229"/>
      <c r="H698" s="229"/>
      <c r="I698" s="229"/>
      <c r="J698" s="32"/>
      <c r="K698" s="1"/>
      <c r="L698" s="32"/>
      <c r="M698" s="32"/>
      <c r="N698" s="32"/>
      <c r="O698" s="51"/>
      <c r="P698" s="51"/>
    </row>
    <row r="699" spans="2:16" x14ac:dyDescent="0.25">
      <c r="B699" s="32">
        <v>684</v>
      </c>
      <c r="C699" s="229"/>
      <c r="D699" s="229"/>
      <c r="E699" s="229"/>
      <c r="F699" s="229"/>
      <c r="G699" s="229"/>
      <c r="H699" s="229"/>
      <c r="I699" s="229"/>
      <c r="J699" s="32"/>
      <c r="K699" s="1"/>
      <c r="L699" s="32"/>
      <c r="M699" s="32"/>
      <c r="N699" s="32"/>
      <c r="O699" s="51"/>
      <c r="P699" s="51"/>
    </row>
    <row r="700" spans="2:16" x14ac:dyDescent="0.25">
      <c r="B700" s="32">
        <v>685</v>
      </c>
      <c r="C700" s="229"/>
      <c r="D700" s="229"/>
      <c r="E700" s="229"/>
      <c r="F700" s="229"/>
      <c r="G700" s="229"/>
      <c r="H700" s="229"/>
      <c r="I700" s="229"/>
      <c r="J700" s="32"/>
      <c r="K700" s="1"/>
      <c r="L700" s="32"/>
      <c r="M700" s="32"/>
      <c r="N700" s="32"/>
      <c r="O700" s="51"/>
      <c r="P700" s="51"/>
    </row>
    <row r="701" spans="2:16" x14ac:dyDescent="0.25">
      <c r="B701" s="32">
        <v>686</v>
      </c>
      <c r="C701" s="229"/>
      <c r="D701" s="229"/>
      <c r="E701" s="229"/>
      <c r="F701" s="229"/>
      <c r="G701" s="229"/>
      <c r="H701" s="229"/>
      <c r="I701" s="229"/>
      <c r="J701" s="32"/>
      <c r="K701" s="1"/>
      <c r="L701" s="32"/>
      <c r="M701" s="32"/>
      <c r="N701" s="32"/>
      <c r="O701" s="51"/>
      <c r="P701" s="51"/>
    </row>
    <row r="702" spans="2:16" x14ac:dyDescent="0.25">
      <c r="B702" s="32">
        <v>687</v>
      </c>
      <c r="C702" s="229"/>
      <c r="D702" s="229"/>
      <c r="E702" s="229"/>
      <c r="F702" s="229"/>
      <c r="G702" s="229"/>
      <c r="H702" s="229"/>
      <c r="I702" s="229"/>
      <c r="J702" s="32"/>
      <c r="K702" s="1"/>
      <c r="L702" s="32"/>
      <c r="M702" s="32"/>
      <c r="N702" s="32"/>
      <c r="O702" s="51"/>
      <c r="P702" s="51"/>
    </row>
    <row r="703" spans="2:16" x14ac:dyDescent="0.25">
      <c r="B703" s="32">
        <v>688</v>
      </c>
      <c r="C703" s="229"/>
      <c r="D703" s="229"/>
      <c r="E703" s="229"/>
      <c r="F703" s="229"/>
      <c r="G703" s="229"/>
      <c r="H703" s="229"/>
      <c r="I703" s="229"/>
      <c r="J703" s="32"/>
      <c r="K703" s="1"/>
      <c r="L703" s="32"/>
      <c r="M703" s="32"/>
      <c r="N703" s="32"/>
      <c r="O703" s="51"/>
      <c r="P703" s="51"/>
    </row>
    <row r="704" spans="2:16" x14ac:dyDescent="0.25">
      <c r="B704" s="32">
        <v>689</v>
      </c>
      <c r="C704" s="229"/>
      <c r="D704" s="229"/>
      <c r="E704" s="229"/>
      <c r="F704" s="229"/>
      <c r="G704" s="229"/>
      <c r="H704" s="229"/>
      <c r="I704" s="229"/>
      <c r="J704" s="32"/>
      <c r="K704" s="1"/>
      <c r="L704" s="32"/>
      <c r="M704" s="32"/>
      <c r="N704" s="32"/>
      <c r="O704" s="51"/>
      <c r="P704" s="51"/>
    </row>
    <row r="705" spans="2:16" x14ac:dyDescent="0.25">
      <c r="B705" s="32">
        <v>690</v>
      </c>
      <c r="C705" s="229"/>
      <c r="D705" s="229"/>
      <c r="E705" s="229"/>
      <c r="F705" s="229"/>
      <c r="G705" s="229"/>
      <c r="H705" s="229"/>
      <c r="I705" s="229"/>
      <c r="J705" s="32"/>
      <c r="K705" s="1"/>
      <c r="L705" s="32"/>
      <c r="M705" s="32"/>
      <c r="N705" s="32"/>
      <c r="O705" s="51"/>
      <c r="P705" s="51"/>
    </row>
    <row r="706" spans="2:16" x14ac:dyDescent="0.25">
      <c r="B706" s="32">
        <v>691</v>
      </c>
      <c r="C706" s="229"/>
      <c r="D706" s="229"/>
      <c r="E706" s="229"/>
      <c r="F706" s="229"/>
      <c r="G706" s="229"/>
      <c r="H706" s="229"/>
      <c r="I706" s="229"/>
      <c r="J706" s="32"/>
      <c r="K706" s="1"/>
      <c r="L706" s="32"/>
      <c r="M706" s="32"/>
      <c r="N706" s="32"/>
      <c r="O706" s="51"/>
      <c r="P706" s="51"/>
    </row>
    <row r="707" spans="2:16" x14ac:dyDescent="0.25">
      <c r="B707" s="32">
        <v>692</v>
      </c>
      <c r="C707" s="229"/>
      <c r="D707" s="229"/>
      <c r="E707" s="229"/>
      <c r="F707" s="229"/>
      <c r="G707" s="229"/>
      <c r="H707" s="229"/>
      <c r="I707" s="229"/>
      <c r="J707" s="32"/>
      <c r="K707" s="1"/>
      <c r="L707" s="32"/>
      <c r="M707" s="32"/>
      <c r="N707" s="32"/>
      <c r="O707" s="51"/>
      <c r="P707" s="51"/>
    </row>
    <row r="708" spans="2:16" x14ac:dyDescent="0.25">
      <c r="B708" s="32">
        <v>693</v>
      </c>
      <c r="C708" s="229"/>
      <c r="D708" s="229"/>
      <c r="E708" s="229"/>
      <c r="F708" s="229"/>
      <c r="G708" s="229"/>
      <c r="H708" s="229"/>
      <c r="I708" s="229"/>
      <c r="J708" s="32"/>
      <c r="K708" s="1"/>
      <c r="L708" s="32"/>
      <c r="M708" s="32"/>
      <c r="N708" s="32"/>
      <c r="O708" s="51"/>
      <c r="P708" s="51"/>
    </row>
    <row r="709" spans="2:16" x14ac:dyDescent="0.25">
      <c r="B709" s="32">
        <v>694</v>
      </c>
      <c r="C709" s="229"/>
      <c r="D709" s="229"/>
      <c r="E709" s="229"/>
      <c r="F709" s="229"/>
      <c r="G709" s="229"/>
      <c r="H709" s="229"/>
      <c r="I709" s="229"/>
      <c r="J709" s="32"/>
      <c r="K709" s="1"/>
      <c r="L709" s="32"/>
      <c r="M709" s="32"/>
      <c r="N709" s="32"/>
      <c r="O709" s="51"/>
      <c r="P709" s="51"/>
    </row>
    <row r="710" spans="2:16" x14ac:dyDescent="0.25">
      <c r="B710" s="32">
        <v>695</v>
      </c>
      <c r="C710" s="229"/>
      <c r="D710" s="229"/>
      <c r="E710" s="229"/>
      <c r="F710" s="229"/>
      <c r="G710" s="229"/>
      <c r="H710" s="229"/>
      <c r="I710" s="229"/>
      <c r="J710" s="32"/>
      <c r="K710" s="1"/>
      <c r="L710" s="32"/>
      <c r="M710" s="32"/>
      <c r="N710" s="32"/>
      <c r="O710" s="51"/>
      <c r="P710" s="51"/>
    </row>
    <row r="711" spans="2:16" x14ac:dyDescent="0.25">
      <c r="B711" s="32">
        <v>696</v>
      </c>
      <c r="C711" s="229"/>
      <c r="D711" s="229"/>
      <c r="E711" s="229"/>
      <c r="F711" s="229"/>
      <c r="G711" s="229"/>
      <c r="H711" s="229"/>
      <c r="I711" s="229"/>
      <c r="J711" s="32"/>
      <c r="K711" s="1"/>
      <c r="L711" s="32"/>
      <c r="M711" s="32"/>
      <c r="N711" s="32"/>
      <c r="O711" s="51"/>
      <c r="P711" s="51"/>
    </row>
    <row r="712" spans="2:16" x14ac:dyDescent="0.25">
      <c r="B712" s="32">
        <v>697</v>
      </c>
      <c r="C712" s="229"/>
      <c r="D712" s="229"/>
      <c r="E712" s="229"/>
      <c r="F712" s="229"/>
      <c r="G712" s="229"/>
      <c r="H712" s="229"/>
      <c r="I712" s="229"/>
      <c r="J712" s="32"/>
      <c r="K712" s="1"/>
      <c r="L712" s="32"/>
      <c r="M712" s="32"/>
      <c r="N712" s="32"/>
      <c r="O712" s="51"/>
      <c r="P712" s="51"/>
    </row>
    <row r="713" spans="2:16" x14ac:dyDescent="0.25">
      <c r="B713" s="32">
        <v>698</v>
      </c>
      <c r="C713" s="229"/>
      <c r="D713" s="229"/>
      <c r="E713" s="229"/>
      <c r="F713" s="229"/>
      <c r="G713" s="229"/>
      <c r="H713" s="229"/>
      <c r="I713" s="229"/>
      <c r="J713" s="32"/>
      <c r="K713" s="1"/>
      <c r="L713" s="32"/>
      <c r="M713" s="32"/>
      <c r="N713" s="32"/>
      <c r="O713" s="51"/>
      <c r="P713" s="51"/>
    </row>
    <row r="714" spans="2:16" x14ac:dyDescent="0.25">
      <c r="B714" s="32">
        <v>699</v>
      </c>
      <c r="C714" s="229"/>
      <c r="D714" s="229"/>
      <c r="E714" s="229"/>
      <c r="F714" s="229"/>
      <c r="G714" s="229"/>
      <c r="H714" s="229"/>
      <c r="I714" s="229"/>
      <c r="J714" s="32"/>
      <c r="K714" s="1"/>
      <c r="L714" s="32"/>
      <c r="M714" s="32"/>
      <c r="N714" s="32"/>
      <c r="O714" s="51"/>
      <c r="P714" s="51"/>
    </row>
    <row r="715" spans="2:16" x14ac:dyDescent="0.25">
      <c r="B715" s="32">
        <v>700</v>
      </c>
      <c r="C715" s="229"/>
      <c r="D715" s="229"/>
      <c r="E715" s="229"/>
      <c r="F715" s="229"/>
      <c r="G715" s="229"/>
      <c r="H715" s="229"/>
      <c r="I715" s="229"/>
      <c r="J715" s="32"/>
      <c r="K715" s="1"/>
      <c r="L715" s="32"/>
      <c r="M715" s="32"/>
      <c r="N715" s="32"/>
      <c r="O715" s="51"/>
      <c r="P715" s="51"/>
    </row>
    <row r="716" spans="2:16" x14ac:dyDescent="0.25">
      <c r="B716" s="32">
        <v>701</v>
      </c>
      <c r="C716" s="229"/>
      <c r="D716" s="229"/>
      <c r="E716" s="229"/>
      <c r="F716" s="229"/>
      <c r="G716" s="229"/>
      <c r="H716" s="229"/>
      <c r="I716" s="229"/>
      <c r="J716" s="32"/>
      <c r="K716" s="1"/>
      <c r="L716" s="32"/>
      <c r="M716" s="32"/>
      <c r="N716" s="32"/>
      <c r="O716" s="51"/>
      <c r="P716" s="51"/>
    </row>
    <row r="717" spans="2:16" x14ac:dyDescent="0.25">
      <c r="B717" s="32">
        <v>702</v>
      </c>
      <c r="C717" s="229"/>
      <c r="D717" s="229"/>
      <c r="E717" s="229"/>
      <c r="F717" s="229"/>
      <c r="G717" s="229"/>
      <c r="H717" s="229"/>
      <c r="I717" s="229"/>
      <c r="J717" s="32"/>
      <c r="K717" s="1"/>
      <c r="L717" s="32"/>
      <c r="M717" s="32"/>
      <c r="N717" s="32"/>
      <c r="O717" s="51"/>
      <c r="P717" s="51"/>
    </row>
    <row r="718" spans="2:16" x14ac:dyDescent="0.25">
      <c r="B718" s="32">
        <v>703</v>
      </c>
      <c r="C718" s="229"/>
      <c r="D718" s="229"/>
      <c r="E718" s="229"/>
      <c r="F718" s="229"/>
      <c r="G718" s="229"/>
      <c r="H718" s="229"/>
      <c r="I718" s="229"/>
      <c r="J718" s="32"/>
      <c r="K718" s="1"/>
      <c r="L718" s="32"/>
      <c r="M718" s="32"/>
      <c r="N718" s="32"/>
      <c r="O718" s="51"/>
      <c r="P718" s="51"/>
    </row>
    <row r="719" spans="2:16" x14ac:dyDescent="0.25">
      <c r="B719" s="32">
        <v>704</v>
      </c>
      <c r="C719" s="229"/>
      <c r="D719" s="229"/>
      <c r="E719" s="229"/>
      <c r="F719" s="229"/>
      <c r="G719" s="229"/>
      <c r="H719" s="229"/>
      <c r="I719" s="229"/>
      <c r="J719" s="32"/>
      <c r="K719" s="1"/>
      <c r="L719" s="32"/>
      <c r="M719" s="32"/>
      <c r="N719" s="32"/>
      <c r="O719" s="51"/>
      <c r="P719" s="51"/>
    </row>
    <row r="720" spans="2:16" x14ac:dyDescent="0.25">
      <c r="B720" s="32">
        <v>705</v>
      </c>
      <c r="C720" s="229"/>
      <c r="D720" s="229"/>
      <c r="E720" s="229"/>
      <c r="F720" s="229"/>
      <c r="G720" s="229"/>
      <c r="H720" s="229"/>
      <c r="I720" s="229"/>
      <c r="J720" s="32"/>
      <c r="K720" s="1"/>
      <c r="L720" s="32"/>
      <c r="M720" s="32"/>
      <c r="N720" s="32"/>
      <c r="O720" s="51"/>
      <c r="P720" s="51"/>
    </row>
    <row r="721" spans="2:16" x14ac:dyDescent="0.25">
      <c r="B721" s="32">
        <v>706</v>
      </c>
      <c r="C721" s="229"/>
      <c r="D721" s="229"/>
      <c r="E721" s="229"/>
      <c r="F721" s="229"/>
      <c r="G721" s="229"/>
      <c r="H721" s="229"/>
      <c r="I721" s="229"/>
      <c r="J721" s="32"/>
      <c r="K721" s="1"/>
      <c r="L721" s="32"/>
      <c r="M721" s="32"/>
      <c r="N721" s="32"/>
      <c r="O721" s="51"/>
      <c r="P721" s="51"/>
    </row>
    <row r="722" spans="2:16" x14ac:dyDescent="0.25">
      <c r="B722" s="32">
        <v>707</v>
      </c>
      <c r="C722" s="229"/>
      <c r="D722" s="229"/>
      <c r="E722" s="229"/>
      <c r="F722" s="229"/>
      <c r="G722" s="229"/>
      <c r="H722" s="229"/>
      <c r="I722" s="229"/>
      <c r="J722" s="32"/>
      <c r="K722" s="1"/>
      <c r="L722" s="32"/>
      <c r="M722" s="32"/>
      <c r="N722" s="32"/>
      <c r="O722" s="51"/>
      <c r="P722" s="51"/>
    </row>
    <row r="723" spans="2:16" x14ac:dyDescent="0.25">
      <c r="B723" s="32">
        <v>708</v>
      </c>
      <c r="C723" s="229"/>
      <c r="D723" s="229"/>
      <c r="E723" s="229"/>
      <c r="F723" s="229"/>
      <c r="G723" s="229"/>
      <c r="H723" s="229"/>
      <c r="I723" s="229"/>
      <c r="J723" s="32"/>
      <c r="K723" s="1"/>
      <c r="L723" s="32"/>
      <c r="M723" s="32"/>
      <c r="N723" s="32"/>
      <c r="O723" s="51"/>
      <c r="P723" s="51"/>
    </row>
    <row r="724" spans="2:16" x14ac:dyDescent="0.25">
      <c r="B724" s="32">
        <v>709</v>
      </c>
      <c r="C724" s="229"/>
      <c r="D724" s="229"/>
      <c r="E724" s="229"/>
      <c r="F724" s="229"/>
      <c r="G724" s="229"/>
      <c r="H724" s="229"/>
      <c r="I724" s="229"/>
      <c r="J724" s="32"/>
      <c r="K724" s="1"/>
      <c r="L724" s="32"/>
      <c r="M724" s="32"/>
      <c r="N724" s="32"/>
      <c r="O724" s="51"/>
      <c r="P724" s="51"/>
    </row>
    <row r="725" spans="2:16" x14ac:dyDescent="0.25">
      <c r="B725" s="32">
        <v>710</v>
      </c>
      <c r="C725" s="229"/>
      <c r="D725" s="229"/>
      <c r="E725" s="229"/>
      <c r="F725" s="229"/>
      <c r="G725" s="229"/>
      <c r="H725" s="229"/>
      <c r="I725" s="229"/>
      <c r="J725" s="32"/>
      <c r="K725" s="1"/>
      <c r="L725" s="32"/>
      <c r="M725" s="32"/>
      <c r="N725" s="32"/>
      <c r="O725" s="51"/>
      <c r="P725" s="51"/>
    </row>
    <row r="726" spans="2:16" x14ac:dyDescent="0.25">
      <c r="B726" s="32">
        <v>711</v>
      </c>
      <c r="C726" s="229"/>
      <c r="D726" s="229"/>
      <c r="E726" s="229"/>
      <c r="F726" s="229"/>
      <c r="G726" s="229"/>
      <c r="H726" s="229"/>
      <c r="I726" s="229"/>
      <c r="J726" s="32"/>
      <c r="K726" s="1"/>
      <c r="L726" s="32"/>
      <c r="M726" s="32"/>
      <c r="N726" s="32"/>
      <c r="O726" s="51"/>
      <c r="P726" s="51"/>
    </row>
    <row r="727" spans="2:16" x14ac:dyDescent="0.25">
      <c r="B727" s="32">
        <v>712</v>
      </c>
      <c r="C727" s="229"/>
      <c r="D727" s="229"/>
      <c r="E727" s="229"/>
      <c r="F727" s="229"/>
      <c r="G727" s="229"/>
      <c r="H727" s="229"/>
      <c r="I727" s="229"/>
      <c r="J727" s="32"/>
      <c r="K727" s="1"/>
      <c r="L727" s="32"/>
      <c r="M727" s="32"/>
      <c r="N727" s="32"/>
      <c r="O727" s="51"/>
      <c r="P727" s="51"/>
    </row>
    <row r="728" spans="2:16" x14ac:dyDescent="0.25">
      <c r="B728" s="32">
        <v>713</v>
      </c>
      <c r="C728" s="229"/>
      <c r="D728" s="229"/>
      <c r="E728" s="229"/>
      <c r="F728" s="229"/>
      <c r="G728" s="229"/>
      <c r="H728" s="229"/>
      <c r="I728" s="229"/>
      <c r="J728" s="32"/>
      <c r="K728" s="1"/>
      <c r="L728" s="32"/>
      <c r="M728" s="32"/>
      <c r="N728" s="32"/>
      <c r="O728" s="51"/>
      <c r="P728" s="51"/>
    </row>
    <row r="729" spans="2:16" x14ac:dyDescent="0.25">
      <c r="B729" s="32">
        <v>714</v>
      </c>
      <c r="C729" s="229"/>
      <c r="D729" s="229"/>
      <c r="E729" s="229"/>
      <c r="F729" s="229"/>
      <c r="G729" s="229"/>
      <c r="H729" s="229"/>
      <c r="I729" s="229"/>
      <c r="J729" s="32"/>
      <c r="K729" s="1"/>
      <c r="L729" s="32"/>
      <c r="M729" s="32"/>
      <c r="N729" s="32"/>
      <c r="O729" s="51"/>
      <c r="P729" s="51"/>
    </row>
    <row r="730" spans="2:16" x14ac:dyDescent="0.25">
      <c r="B730" s="32">
        <v>715</v>
      </c>
      <c r="C730" s="229"/>
      <c r="D730" s="229"/>
      <c r="E730" s="229"/>
      <c r="F730" s="229"/>
      <c r="G730" s="229"/>
      <c r="H730" s="229"/>
      <c r="I730" s="229"/>
      <c r="J730" s="32"/>
      <c r="K730" s="1"/>
      <c r="L730" s="32"/>
      <c r="M730" s="32"/>
      <c r="N730" s="32"/>
      <c r="O730" s="51"/>
      <c r="P730" s="51"/>
    </row>
    <row r="731" spans="2:16" x14ac:dyDescent="0.25">
      <c r="B731" s="32">
        <v>716</v>
      </c>
      <c r="C731" s="229"/>
      <c r="D731" s="229"/>
      <c r="E731" s="229"/>
      <c r="F731" s="229"/>
      <c r="G731" s="229"/>
      <c r="H731" s="229"/>
      <c r="I731" s="229"/>
      <c r="J731" s="32"/>
      <c r="K731" s="1"/>
      <c r="L731" s="32"/>
      <c r="M731" s="32"/>
      <c r="N731" s="32"/>
      <c r="O731" s="51"/>
      <c r="P731" s="51"/>
    </row>
    <row r="732" spans="2:16" x14ac:dyDescent="0.25">
      <c r="B732" s="32">
        <v>717</v>
      </c>
      <c r="C732" s="229"/>
      <c r="D732" s="229"/>
      <c r="E732" s="229"/>
      <c r="F732" s="229"/>
      <c r="G732" s="229"/>
      <c r="H732" s="229"/>
      <c r="I732" s="229"/>
      <c r="J732" s="32"/>
      <c r="K732" s="1"/>
      <c r="L732" s="32"/>
      <c r="M732" s="32"/>
      <c r="N732" s="32"/>
      <c r="O732" s="51"/>
      <c r="P732" s="51"/>
    </row>
    <row r="733" spans="2:16" x14ac:dyDescent="0.25">
      <c r="B733" s="32">
        <v>718</v>
      </c>
      <c r="C733" s="229"/>
      <c r="D733" s="229"/>
      <c r="E733" s="229"/>
      <c r="F733" s="229"/>
      <c r="G733" s="229"/>
      <c r="H733" s="229"/>
      <c r="I733" s="229"/>
      <c r="J733" s="32"/>
      <c r="K733" s="1"/>
      <c r="L733" s="32"/>
      <c r="M733" s="32"/>
      <c r="N733" s="32"/>
      <c r="O733" s="51"/>
      <c r="P733" s="51"/>
    </row>
    <row r="734" spans="2:16" x14ac:dyDescent="0.25">
      <c r="B734" s="32">
        <v>719</v>
      </c>
      <c r="C734" s="229"/>
      <c r="D734" s="229"/>
      <c r="E734" s="229"/>
      <c r="F734" s="229"/>
      <c r="G734" s="229"/>
      <c r="H734" s="229"/>
      <c r="I734" s="229"/>
      <c r="J734" s="32"/>
      <c r="K734" s="1"/>
      <c r="L734" s="32"/>
      <c r="M734" s="32"/>
      <c r="N734" s="32"/>
      <c r="O734" s="51"/>
      <c r="P734" s="51"/>
    </row>
    <row r="735" spans="2:16" x14ac:dyDescent="0.25">
      <c r="B735" s="32">
        <v>720</v>
      </c>
      <c r="C735" s="229"/>
      <c r="D735" s="229"/>
      <c r="E735" s="229"/>
      <c r="F735" s="229"/>
      <c r="G735" s="229"/>
      <c r="H735" s="229"/>
      <c r="I735" s="229"/>
      <c r="J735" s="32"/>
      <c r="K735" s="1"/>
      <c r="L735" s="32"/>
      <c r="M735" s="32"/>
      <c r="N735" s="32"/>
      <c r="O735" s="51"/>
      <c r="P735" s="51"/>
    </row>
    <row r="736" spans="2:16" x14ac:dyDescent="0.25">
      <c r="B736" s="32">
        <v>721</v>
      </c>
      <c r="C736" s="229"/>
      <c r="D736" s="229"/>
      <c r="E736" s="229"/>
      <c r="F736" s="229"/>
      <c r="G736" s="229"/>
      <c r="H736" s="229"/>
      <c r="I736" s="229"/>
      <c r="J736" s="32"/>
      <c r="K736" s="1"/>
      <c r="L736" s="32"/>
      <c r="M736" s="32"/>
      <c r="N736" s="32"/>
      <c r="O736" s="51"/>
      <c r="P736" s="51"/>
    </row>
    <row r="737" spans="2:16" x14ac:dyDescent="0.25">
      <c r="B737" s="32">
        <v>722</v>
      </c>
      <c r="C737" s="229"/>
      <c r="D737" s="229"/>
      <c r="E737" s="229"/>
      <c r="F737" s="229"/>
      <c r="G737" s="229"/>
      <c r="H737" s="229"/>
      <c r="I737" s="229"/>
      <c r="J737" s="32"/>
      <c r="K737" s="1"/>
      <c r="L737" s="32"/>
      <c r="M737" s="32"/>
      <c r="N737" s="32"/>
      <c r="O737" s="51"/>
      <c r="P737" s="51"/>
    </row>
    <row r="738" spans="2:16" x14ac:dyDescent="0.25">
      <c r="B738" s="32">
        <v>723</v>
      </c>
      <c r="C738" s="229"/>
      <c r="D738" s="229"/>
      <c r="E738" s="229"/>
      <c r="F738" s="229"/>
      <c r="G738" s="229"/>
      <c r="H738" s="229"/>
      <c r="I738" s="229"/>
      <c r="J738" s="32"/>
      <c r="K738" s="1"/>
      <c r="L738" s="32"/>
      <c r="M738" s="32"/>
      <c r="N738" s="32"/>
      <c r="O738" s="51"/>
      <c r="P738" s="51"/>
    </row>
    <row r="739" spans="2:16" x14ac:dyDescent="0.25">
      <c r="B739" s="32">
        <v>724</v>
      </c>
      <c r="C739" s="229"/>
      <c r="D739" s="229"/>
      <c r="E739" s="229"/>
      <c r="F739" s="229"/>
      <c r="G739" s="229"/>
      <c r="H739" s="229"/>
      <c r="I739" s="229"/>
      <c r="J739" s="32"/>
      <c r="K739" s="1"/>
      <c r="L739" s="32"/>
      <c r="M739" s="32"/>
      <c r="N739" s="32"/>
      <c r="O739" s="51"/>
      <c r="P739" s="51"/>
    </row>
    <row r="740" spans="2:16" x14ac:dyDescent="0.25">
      <c r="B740" s="32">
        <v>725</v>
      </c>
      <c r="C740" s="229"/>
      <c r="D740" s="229"/>
      <c r="E740" s="229"/>
      <c r="F740" s="229"/>
      <c r="G740" s="229"/>
      <c r="H740" s="229"/>
      <c r="I740" s="229"/>
      <c r="J740" s="32"/>
      <c r="K740" s="1"/>
      <c r="L740" s="32"/>
      <c r="M740" s="32"/>
      <c r="N740" s="32"/>
      <c r="O740" s="51"/>
      <c r="P740" s="51"/>
    </row>
    <row r="741" spans="2:16" x14ac:dyDescent="0.25">
      <c r="B741" s="32">
        <v>726</v>
      </c>
      <c r="C741" s="229"/>
      <c r="D741" s="229"/>
      <c r="E741" s="229"/>
      <c r="F741" s="229"/>
      <c r="G741" s="229"/>
      <c r="H741" s="229"/>
      <c r="I741" s="229"/>
      <c r="J741" s="32"/>
      <c r="K741" s="1"/>
      <c r="L741" s="32"/>
      <c r="M741" s="32"/>
      <c r="N741" s="32"/>
      <c r="O741" s="51"/>
      <c r="P741" s="51"/>
    </row>
    <row r="742" spans="2:16" x14ac:dyDescent="0.25">
      <c r="B742" s="32">
        <v>727</v>
      </c>
      <c r="C742" s="229"/>
      <c r="D742" s="229"/>
      <c r="E742" s="229"/>
      <c r="F742" s="229"/>
      <c r="G742" s="229"/>
      <c r="H742" s="229"/>
      <c r="I742" s="229"/>
      <c r="J742" s="32"/>
      <c r="K742" s="1"/>
      <c r="L742" s="32"/>
      <c r="M742" s="32"/>
      <c r="N742" s="32"/>
      <c r="O742" s="51"/>
      <c r="P742" s="51"/>
    </row>
    <row r="743" spans="2:16" x14ac:dyDescent="0.25">
      <c r="B743" s="32">
        <v>728</v>
      </c>
      <c r="C743" s="229"/>
      <c r="D743" s="229"/>
      <c r="E743" s="229"/>
      <c r="F743" s="229"/>
      <c r="G743" s="229"/>
      <c r="H743" s="229"/>
      <c r="I743" s="229"/>
      <c r="J743" s="32"/>
      <c r="K743" s="1"/>
      <c r="L743" s="32"/>
      <c r="M743" s="32"/>
      <c r="N743" s="32"/>
      <c r="O743" s="51"/>
      <c r="P743" s="51"/>
    </row>
    <row r="744" spans="2:16" x14ac:dyDescent="0.25">
      <c r="B744" s="32">
        <v>729</v>
      </c>
      <c r="C744" s="229"/>
      <c r="D744" s="229"/>
      <c r="E744" s="229"/>
      <c r="F744" s="229"/>
      <c r="G744" s="229"/>
      <c r="H744" s="229"/>
      <c r="I744" s="229"/>
      <c r="J744" s="32"/>
      <c r="K744" s="1"/>
      <c r="L744" s="32"/>
      <c r="M744" s="32"/>
      <c r="N744" s="32"/>
      <c r="O744" s="51"/>
      <c r="P744" s="51"/>
    </row>
    <row r="745" spans="2:16" x14ac:dyDescent="0.25">
      <c r="B745" s="32">
        <v>730</v>
      </c>
      <c r="C745" s="229"/>
      <c r="D745" s="229"/>
      <c r="E745" s="229"/>
      <c r="F745" s="229"/>
      <c r="G745" s="229"/>
      <c r="H745" s="229"/>
      <c r="I745" s="229"/>
      <c r="J745" s="32"/>
      <c r="K745" s="1"/>
      <c r="L745" s="32"/>
      <c r="M745" s="32"/>
      <c r="N745" s="32"/>
      <c r="O745" s="51"/>
      <c r="P745" s="51"/>
    </row>
    <row r="746" spans="2:16" x14ac:dyDescent="0.25">
      <c r="B746" s="32">
        <v>731</v>
      </c>
      <c r="C746" s="229"/>
      <c r="D746" s="229"/>
      <c r="E746" s="229"/>
      <c r="F746" s="229"/>
      <c r="G746" s="229"/>
      <c r="H746" s="229"/>
      <c r="I746" s="229"/>
      <c r="J746" s="32"/>
      <c r="K746" s="1"/>
      <c r="L746" s="32"/>
      <c r="M746" s="32"/>
      <c r="N746" s="32"/>
      <c r="O746" s="51"/>
      <c r="P746" s="51"/>
    </row>
    <row r="747" spans="2:16" x14ac:dyDescent="0.25">
      <c r="B747" s="32">
        <v>732</v>
      </c>
      <c r="C747" s="229"/>
      <c r="D747" s="229"/>
      <c r="E747" s="229"/>
      <c r="F747" s="229"/>
      <c r="G747" s="229"/>
      <c r="H747" s="229"/>
      <c r="I747" s="229"/>
      <c r="J747" s="32"/>
      <c r="K747" s="1"/>
      <c r="L747" s="32"/>
      <c r="M747" s="32"/>
      <c r="N747" s="32"/>
      <c r="O747" s="51"/>
      <c r="P747" s="51"/>
    </row>
    <row r="748" spans="2:16" x14ac:dyDescent="0.25">
      <c r="B748" s="32">
        <v>733</v>
      </c>
      <c r="C748" s="229"/>
      <c r="D748" s="229"/>
      <c r="E748" s="229"/>
      <c r="F748" s="229"/>
      <c r="G748" s="229"/>
      <c r="H748" s="229"/>
      <c r="I748" s="229"/>
      <c r="J748" s="32"/>
      <c r="K748" s="1"/>
      <c r="L748" s="32"/>
      <c r="M748" s="32"/>
      <c r="N748" s="32"/>
      <c r="O748" s="51"/>
      <c r="P748" s="51"/>
    </row>
    <row r="749" spans="2:16" x14ac:dyDescent="0.25">
      <c r="B749" s="32">
        <v>734</v>
      </c>
      <c r="C749" s="229"/>
      <c r="D749" s="229"/>
      <c r="E749" s="229"/>
      <c r="F749" s="229"/>
      <c r="G749" s="229"/>
      <c r="H749" s="229"/>
      <c r="I749" s="229"/>
      <c r="J749" s="32"/>
      <c r="K749" s="1"/>
      <c r="L749" s="32"/>
      <c r="M749" s="32"/>
      <c r="N749" s="32"/>
      <c r="O749" s="51"/>
      <c r="P749" s="51"/>
    </row>
    <row r="750" spans="2:16" x14ac:dyDescent="0.25">
      <c r="B750" s="32">
        <v>735</v>
      </c>
      <c r="C750" s="229"/>
      <c r="D750" s="229"/>
      <c r="E750" s="229"/>
      <c r="F750" s="229"/>
      <c r="G750" s="229"/>
      <c r="H750" s="229"/>
      <c r="I750" s="229"/>
      <c r="J750" s="32"/>
      <c r="K750" s="1"/>
      <c r="L750" s="32"/>
      <c r="M750" s="32"/>
      <c r="N750" s="32"/>
      <c r="O750" s="51"/>
      <c r="P750" s="51"/>
    </row>
    <row r="751" spans="2:16" x14ac:dyDescent="0.25">
      <c r="B751" s="32">
        <v>736</v>
      </c>
      <c r="C751" s="229"/>
      <c r="D751" s="229"/>
      <c r="E751" s="229"/>
      <c r="F751" s="229"/>
      <c r="G751" s="229"/>
      <c r="H751" s="229"/>
      <c r="I751" s="229"/>
      <c r="J751" s="32"/>
      <c r="K751" s="1"/>
      <c r="L751" s="32"/>
      <c r="M751" s="32"/>
      <c r="N751" s="32"/>
      <c r="O751" s="51"/>
      <c r="P751" s="51"/>
    </row>
    <row r="752" spans="2:16" x14ac:dyDescent="0.25">
      <c r="B752" s="32">
        <v>737</v>
      </c>
      <c r="C752" s="229"/>
      <c r="D752" s="229"/>
      <c r="E752" s="229"/>
      <c r="F752" s="229"/>
      <c r="G752" s="229"/>
      <c r="H752" s="229"/>
      <c r="I752" s="229"/>
      <c r="J752" s="32"/>
      <c r="K752" s="1"/>
      <c r="L752" s="32"/>
      <c r="M752" s="32"/>
      <c r="N752" s="32"/>
      <c r="O752" s="51"/>
      <c r="P752" s="51"/>
    </row>
    <row r="753" spans="2:16" x14ac:dyDescent="0.25">
      <c r="B753" s="32">
        <v>738</v>
      </c>
      <c r="C753" s="229"/>
      <c r="D753" s="229"/>
      <c r="E753" s="229"/>
      <c r="F753" s="229"/>
      <c r="G753" s="229"/>
      <c r="H753" s="229"/>
      <c r="I753" s="229"/>
      <c r="J753" s="32"/>
      <c r="K753" s="1"/>
      <c r="L753" s="32"/>
      <c r="M753" s="32"/>
      <c r="N753" s="32"/>
      <c r="O753" s="51"/>
      <c r="P753" s="51"/>
    </row>
    <row r="754" spans="2:16" x14ac:dyDescent="0.25">
      <c r="B754" s="32">
        <v>739</v>
      </c>
      <c r="C754" s="229"/>
      <c r="D754" s="229"/>
      <c r="E754" s="229"/>
      <c r="F754" s="229"/>
      <c r="G754" s="229"/>
      <c r="H754" s="229"/>
      <c r="I754" s="229"/>
      <c r="J754" s="32"/>
      <c r="K754" s="1"/>
      <c r="L754" s="32"/>
      <c r="M754" s="32"/>
      <c r="N754" s="32"/>
      <c r="O754" s="51"/>
      <c r="P754" s="51"/>
    </row>
    <row r="755" spans="2:16" x14ac:dyDescent="0.25">
      <c r="B755" s="32">
        <v>740</v>
      </c>
      <c r="C755" s="229"/>
      <c r="D755" s="229"/>
      <c r="E755" s="229"/>
      <c r="F755" s="229"/>
      <c r="G755" s="229"/>
      <c r="H755" s="229"/>
      <c r="I755" s="229"/>
      <c r="J755" s="32"/>
      <c r="K755" s="1"/>
      <c r="L755" s="32"/>
      <c r="M755" s="32"/>
      <c r="N755" s="32"/>
      <c r="O755" s="51"/>
      <c r="P755" s="51"/>
    </row>
    <row r="756" spans="2:16" x14ac:dyDescent="0.25">
      <c r="B756" s="32">
        <v>741</v>
      </c>
      <c r="C756" s="229"/>
      <c r="D756" s="229"/>
      <c r="E756" s="229"/>
      <c r="F756" s="229"/>
      <c r="G756" s="229"/>
      <c r="H756" s="229"/>
      <c r="I756" s="229"/>
      <c r="J756" s="32"/>
      <c r="K756" s="1"/>
      <c r="L756" s="32"/>
      <c r="M756" s="32"/>
      <c r="N756" s="32"/>
      <c r="O756" s="51"/>
      <c r="P756" s="51"/>
    </row>
    <row r="757" spans="2:16" x14ac:dyDescent="0.25">
      <c r="B757" s="32">
        <v>742</v>
      </c>
      <c r="C757" s="229"/>
      <c r="D757" s="229"/>
      <c r="E757" s="229"/>
      <c r="F757" s="229"/>
      <c r="G757" s="229"/>
      <c r="H757" s="229"/>
      <c r="I757" s="229"/>
      <c r="J757" s="32"/>
      <c r="K757" s="1"/>
      <c r="L757" s="32"/>
      <c r="M757" s="32"/>
      <c r="N757" s="32"/>
      <c r="O757" s="51"/>
      <c r="P757" s="51"/>
    </row>
    <row r="758" spans="2:16" x14ac:dyDescent="0.25">
      <c r="B758" s="32">
        <v>743</v>
      </c>
      <c r="C758" s="229"/>
      <c r="D758" s="229"/>
      <c r="E758" s="229"/>
      <c r="F758" s="229"/>
      <c r="G758" s="229"/>
      <c r="H758" s="229"/>
      <c r="I758" s="229"/>
      <c r="J758" s="32"/>
      <c r="K758" s="1"/>
      <c r="L758" s="32"/>
      <c r="M758" s="32"/>
      <c r="N758" s="32"/>
      <c r="O758" s="51"/>
      <c r="P758" s="51"/>
    </row>
    <row r="759" spans="2:16" x14ac:dyDescent="0.25">
      <c r="B759" s="32">
        <v>744</v>
      </c>
      <c r="C759" s="229"/>
      <c r="D759" s="229"/>
      <c r="E759" s="229"/>
      <c r="F759" s="229"/>
      <c r="G759" s="229"/>
      <c r="H759" s="229"/>
      <c r="I759" s="229"/>
      <c r="J759" s="32"/>
      <c r="K759" s="1"/>
      <c r="L759" s="32"/>
      <c r="M759" s="32"/>
      <c r="N759" s="32"/>
      <c r="O759" s="51"/>
      <c r="P759" s="51"/>
    </row>
    <row r="760" spans="2:16" x14ac:dyDescent="0.25">
      <c r="B760" s="32">
        <v>745</v>
      </c>
      <c r="C760" s="229"/>
      <c r="D760" s="229"/>
      <c r="E760" s="229"/>
      <c r="F760" s="229"/>
      <c r="G760" s="229"/>
      <c r="H760" s="229"/>
      <c r="I760" s="229"/>
      <c r="J760" s="32"/>
      <c r="K760" s="1"/>
      <c r="L760" s="32"/>
      <c r="M760" s="32"/>
      <c r="N760" s="32"/>
      <c r="O760" s="51"/>
      <c r="P760" s="51"/>
    </row>
    <row r="761" spans="2:16" x14ac:dyDescent="0.25">
      <c r="B761" s="32">
        <v>746</v>
      </c>
      <c r="C761" s="229"/>
      <c r="D761" s="229"/>
      <c r="E761" s="229"/>
      <c r="F761" s="229"/>
      <c r="G761" s="229"/>
      <c r="H761" s="229"/>
      <c r="I761" s="229"/>
      <c r="J761" s="32"/>
      <c r="K761" s="1"/>
      <c r="L761" s="32"/>
      <c r="M761" s="32"/>
      <c r="N761" s="32"/>
      <c r="O761" s="51"/>
      <c r="P761" s="51"/>
    </row>
    <row r="762" spans="2:16" x14ac:dyDescent="0.25">
      <c r="B762" s="32">
        <v>747</v>
      </c>
      <c r="C762" s="229"/>
      <c r="D762" s="229"/>
      <c r="E762" s="229"/>
      <c r="F762" s="229"/>
      <c r="G762" s="229"/>
      <c r="H762" s="229"/>
      <c r="I762" s="229"/>
      <c r="J762" s="32"/>
      <c r="K762" s="1"/>
      <c r="L762" s="32"/>
      <c r="M762" s="32"/>
      <c r="N762" s="32"/>
      <c r="O762" s="51"/>
      <c r="P762" s="51"/>
    </row>
    <row r="763" spans="2:16" x14ac:dyDescent="0.25">
      <c r="B763" s="32">
        <v>748</v>
      </c>
      <c r="C763" s="229"/>
      <c r="D763" s="229"/>
      <c r="E763" s="229"/>
      <c r="F763" s="229"/>
      <c r="G763" s="229"/>
      <c r="H763" s="229"/>
      <c r="I763" s="229"/>
      <c r="J763" s="32"/>
      <c r="K763" s="1"/>
      <c r="L763" s="32"/>
      <c r="M763" s="32"/>
      <c r="N763" s="32"/>
      <c r="O763" s="51"/>
      <c r="P763" s="51"/>
    </row>
    <row r="764" spans="2:16" x14ac:dyDescent="0.25">
      <c r="B764" s="32">
        <v>749</v>
      </c>
      <c r="C764" s="229"/>
      <c r="D764" s="229"/>
      <c r="E764" s="229"/>
      <c r="F764" s="229"/>
      <c r="G764" s="229"/>
      <c r="H764" s="229"/>
      <c r="I764" s="229"/>
      <c r="J764" s="32"/>
      <c r="K764" s="1"/>
      <c r="L764" s="32"/>
      <c r="M764" s="32"/>
      <c r="N764" s="32"/>
      <c r="O764" s="51"/>
      <c r="P764" s="51"/>
    </row>
    <row r="765" spans="2:16" x14ac:dyDescent="0.25">
      <c r="B765" s="32">
        <v>750</v>
      </c>
      <c r="C765" s="229"/>
      <c r="D765" s="229"/>
      <c r="E765" s="229"/>
      <c r="F765" s="229"/>
      <c r="G765" s="229"/>
      <c r="H765" s="229"/>
      <c r="I765" s="229"/>
      <c r="J765" s="32"/>
      <c r="K765" s="1"/>
      <c r="L765" s="32"/>
      <c r="M765" s="32"/>
      <c r="N765" s="32"/>
      <c r="O765" s="51"/>
      <c r="P765" s="51"/>
    </row>
    <row r="766" spans="2:16" x14ac:dyDescent="0.25">
      <c r="B766" s="32">
        <v>751</v>
      </c>
      <c r="C766" s="229"/>
      <c r="D766" s="229"/>
      <c r="E766" s="229"/>
      <c r="F766" s="229"/>
      <c r="G766" s="229"/>
      <c r="H766" s="229"/>
      <c r="I766" s="229"/>
      <c r="J766" s="32"/>
      <c r="K766" s="1"/>
      <c r="L766" s="32"/>
      <c r="M766" s="32"/>
      <c r="N766" s="32"/>
      <c r="O766" s="51"/>
      <c r="P766" s="51"/>
    </row>
    <row r="767" spans="2:16" x14ac:dyDescent="0.25">
      <c r="B767" s="32">
        <v>752</v>
      </c>
      <c r="C767" s="229"/>
      <c r="D767" s="229"/>
      <c r="E767" s="229"/>
      <c r="F767" s="229"/>
      <c r="G767" s="229"/>
      <c r="H767" s="229"/>
      <c r="I767" s="229"/>
      <c r="J767" s="32"/>
      <c r="K767" s="1"/>
      <c r="L767" s="32"/>
      <c r="M767" s="32"/>
      <c r="N767" s="32"/>
      <c r="O767" s="51"/>
      <c r="P767" s="51"/>
    </row>
    <row r="768" spans="2:16" x14ac:dyDescent="0.25">
      <c r="B768" s="32">
        <v>753</v>
      </c>
      <c r="C768" s="229"/>
      <c r="D768" s="229"/>
      <c r="E768" s="229"/>
      <c r="F768" s="229"/>
      <c r="G768" s="229"/>
      <c r="H768" s="229"/>
      <c r="I768" s="229"/>
      <c r="J768" s="32"/>
      <c r="K768" s="1"/>
      <c r="L768" s="32"/>
      <c r="M768" s="32"/>
      <c r="N768" s="32"/>
      <c r="O768" s="51"/>
      <c r="P768" s="51"/>
    </row>
    <row r="769" spans="2:16" x14ac:dyDescent="0.25">
      <c r="B769" s="32">
        <v>754</v>
      </c>
      <c r="C769" s="229"/>
      <c r="D769" s="229"/>
      <c r="E769" s="229"/>
      <c r="F769" s="229"/>
      <c r="G769" s="229"/>
      <c r="H769" s="229"/>
      <c r="I769" s="229"/>
      <c r="J769" s="32"/>
      <c r="K769" s="1"/>
      <c r="L769" s="32"/>
      <c r="M769" s="32"/>
      <c r="N769" s="32"/>
      <c r="O769" s="51"/>
      <c r="P769" s="51"/>
    </row>
    <row r="770" spans="2:16" x14ac:dyDescent="0.25">
      <c r="B770" s="32">
        <v>755</v>
      </c>
      <c r="C770" s="229"/>
      <c r="D770" s="229"/>
      <c r="E770" s="229"/>
      <c r="F770" s="229"/>
      <c r="G770" s="229"/>
      <c r="H770" s="229"/>
      <c r="I770" s="229"/>
      <c r="J770" s="32"/>
      <c r="K770" s="1"/>
      <c r="L770" s="32"/>
      <c r="M770" s="32"/>
      <c r="N770" s="32"/>
      <c r="O770" s="51"/>
      <c r="P770" s="51"/>
    </row>
    <row r="771" spans="2:16" x14ac:dyDescent="0.25">
      <c r="B771" s="32">
        <v>756</v>
      </c>
      <c r="C771" s="229"/>
      <c r="D771" s="229"/>
      <c r="E771" s="229"/>
      <c r="F771" s="229"/>
      <c r="G771" s="229"/>
      <c r="H771" s="229"/>
      <c r="I771" s="229"/>
      <c r="J771" s="32"/>
      <c r="K771" s="1"/>
      <c r="L771" s="32"/>
      <c r="M771" s="32"/>
      <c r="N771" s="32"/>
      <c r="O771" s="51"/>
      <c r="P771" s="51"/>
    </row>
    <row r="772" spans="2:16" x14ac:dyDescent="0.25">
      <c r="B772" s="32">
        <v>757</v>
      </c>
      <c r="C772" s="229"/>
      <c r="D772" s="229"/>
      <c r="E772" s="229"/>
      <c r="F772" s="229"/>
      <c r="G772" s="229"/>
      <c r="H772" s="229"/>
      <c r="I772" s="229"/>
      <c r="J772" s="32"/>
      <c r="K772" s="1"/>
      <c r="L772" s="32"/>
      <c r="M772" s="32"/>
      <c r="N772" s="32"/>
      <c r="O772" s="51"/>
      <c r="P772" s="51"/>
    </row>
    <row r="773" spans="2:16" x14ac:dyDescent="0.25">
      <c r="B773" s="32">
        <v>758</v>
      </c>
      <c r="C773" s="229"/>
      <c r="D773" s="229"/>
      <c r="E773" s="229"/>
      <c r="F773" s="229"/>
      <c r="G773" s="229"/>
      <c r="H773" s="229"/>
      <c r="I773" s="229"/>
      <c r="J773" s="32"/>
      <c r="K773" s="1"/>
      <c r="L773" s="32"/>
      <c r="M773" s="32"/>
      <c r="N773" s="32"/>
      <c r="O773" s="51"/>
      <c r="P773" s="51"/>
    </row>
    <row r="774" spans="2:16" x14ac:dyDescent="0.25">
      <c r="B774" s="32">
        <v>759</v>
      </c>
      <c r="C774" s="229"/>
      <c r="D774" s="229"/>
      <c r="E774" s="229"/>
      <c r="F774" s="229"/>
      <c r="G774" s="229"/>
      <c r="H774" s="229"/>
      <c r="I774" s="229"/>
      <c r="J774" s="32"/>
      <c r="K774" s="1"/>
      <c r="L774" s="32"/>
      <c r="M774" s="32"/>
      <c r="N774" s="32"/>
      <c r="O774" s="51"/>
      <c r="P774" s="51"/>
    </row>
    <row r="775" spans="2:16" x14ac:dyDescent="0.25">
      <c r="B775" s="32">
        <v>760</v>
      </c>
      <c r="C775" s="229"/>
      <c r="D775" s="229"/>
      <c r="E775" s="229"/>
      <c r="F775" s="229"/>
      <c r="G775" s="229"/>
      <c r="H775" s="229"/>
      <c r="I775" s="229"/>
      <c r="J775" s="32"/>
      <c r="K775" s="1"/>
      <c r="L775" s="32"/>
      <c r="M775" s="32"/>
      <c r="N775" s="32"/>
      <c r="O775" s="51"/>
      <c r="P775" s="51"/>
    </row>
    <row r="776" spans="2:16" x14ac:dyDescent="0.25">
      <c r="B776" s="32">
        <v>761</v>
      </c>
      <c r="C776" s="229"/>
      <c r="D776" s="229"/>
      <c r="E776" s="229"/>
      <c r="F776" s="229"/>
      <c r="G776" s="229"/>
      <c r="H776" s="229"/>
      <c r="I776" s="229"/>
      <c r="J776" s="32"/>
      <c r="K776" s="1"/>
      <c r="L776" s="32"/>
      <c r="M776" s="32"/>
      <c r="N776" s="32"/>
      <c r="O776" s="51"/>
      <c r="P776" s="51"/>
    </row>
    <row r="777" spans="2:16" x14ac:dyDescent="0.25">
      <c r="B777" s="32">
        <v>762</v>
      </c>
      <c r="C777" s="229"/>
      <c r="D777" s="229"/>
      <c r="E777" s="229"/>
      <c r="F777" s="229"/>
      <c r="G777" s="229"/>
      <c r="H777" s="229"/>
      <c r="I777" s="229"/>
      <c r="J777" s="32"/>
      <c r="K777" s="1"/>
      <c r="L777" s="32"/>
      <c r="M777" s="32"/>
      <c r="N777" s="32"/>
      <c r="O777" s="51"/>
      <c r="P777" s="51"/>
    </row>
    <row r="778" spans="2:16" x14ac:dyDescent="0.25">
      <c r="B778" s="32">
        <v>763</v>
      </c>
      <c r="C778" s="229"/>
      <c r="D778" s="229"/>
      <c r="E778" s="229"/>
      <c r="F778" s="229"/>
      <c r="G778" s="229"/>
      <c r="H778" s="229"/>
      <c r="I778" s="229"/>
      <c r="J778" s="32"/>
      <c r="K778" s="1"/>
      <c r="L778" s="32"/>
      <c r="M778" s="32"/>
      <c r="N778" s="32"/>
      <c r="O778" s="51"/>
      <c r="P778" s="51"/>
    </row>
    <row r="779" spans="2:16" x14ac:dyDescent="0.25">
      <c r="B779" s="32">
        <v>764</v>
      </c>
      <c r="C779" s="229"/>
      <c r="D779" s="229"/>
      <c r="E779" s="229"/>
      <c r="F779" s="229"/>
      <c r="G779" s="229"/>
      <c r="H779" s="229"/>
      <c r="I779" s="229"/>
      <c r="J779" s="32"/>
      <c r="K779" s="1"/>
      <c r="L779" s="32"/>
      <c r="M779" s="32"/>
      <c r="N779" s="32"/>
      <c r="O779" s="51"/>
      <c r="P779" s="51"/>
    </row>
    <row r="780" spans="2:16" x14ac:dyDescent="0.25">
      <c r="B780" s="32">
        <v>765</v>
      </c>
      <c r="C780" s="229"/>
      <c r="D780" s="229"/>
      <c r="E780" s="229"/>
      <c r="F780" s="229"/>
      <c r="G780" s="229"/>
      <c r="H780" s="229"/>
      <c r="I780" s="229"/>
      <c r="J780" s="32"/>
      <c r="K780" s="1"/>
      <c r="L780" s="32"/>
      <c r="M780" s="32"/>
      <c r="N780" s="32"/>
      <c r="O780" s="51"/>
      <c r="P780" s="51"/>
    </row>
    <row r="781" spans="2:16" x14ac:dyDescent="0.25">
      <c r="B781" s="32">
        <v>766</v>
      </c>
      <c r="C781" s="229"/>
      <c r="D781" s="229"/>
      <c r="E781" s="229"/>
      <c r="F781" s="229"/>
      <c r="G781" s="229"/>
      <c r="H781" s="229"/>
      <c r="I781" s="229"/>
      <c r="J781" s="32"/>
      <c r="K781" s="1"/>
      <c r="L781" s="32"/>
      <c r="M781" s="32"/>
      <c r="N781" s="32"/>
      <c r="O781" s="51"/>
      <c r="P781" s="51"/>
    </row>
    <row r="782" spans="2:16" x14ac:dyDescent="0.25">
      <c r="B782" s="32">
        <v>767</v>
      </c>
      <c r="C782" s="229"/>
      <c r="D782" s="229"/>
      <c r="E782" s="229"/>
      <c r="F782" s="229"/>
      <c r="G782" s="229"/>
      <c r="H782" s="229"/>
      <c r="I782" s="229"/>
      <c r="J782" s="32"/>
      <c r="K782" s="1"/>
      <c r="L782" s="32"/>
      <c r="M782" s="32"/>
      <c r="N782" s="32"/>
      <c r="O782" s="51"/>
      <c r="P782" s="51"/>
    </row>
    <row r="783" spans="2:16" x14ac:dyDescent="0.25">
      <c r="B783" s="32">
        <v>768</v>
      </c>
      <c r="C783" s="229"/>
      <c r="D783" s="229"/>
      <c r="E783" s="229"/>
      <c r="F783" s="229"/>
      <c r="G783" s="229"/>
      <c r="H783" s="229"/>
      <c r="I783" s="229"/>
      <c r="J783" s="32"/>
      <c r="K783" s="1"/>
      <c r="L783" s="32"/>
      <c r="M783" s="32"/>
      <c r="N783" s="32"/>
      <c r="O783" s="51"/>
      <c r="P783" s="51"/>
    </row>
    <row r="784" spans="2:16" x14ac:dyDescent="0.25">
      <c r="B784" s="32">
        <v>769</v>
      </c>
      <c r="C784" s="229"/>
      <c r="D784" s="229"/>
      <c r="E784" s="229"/>
      <c r="F784" s="229"/>
      <c r="G784" s="229"/>
      <c r="H784" s="229"/>
      <c r="I784" s="229"/>
      <c r="J784" s="32"/>
      <c r="K784" s="1"/>
      <c r="L784" s="32"/>
      <c r="M784" s="32"/>
      <c r="N784" s="32"/>
      <c r="O784" s="51"/>
      <c r="P784" s="51"/>
    </row>
    <row r="785" spans="2:16" x14ac:dyDescent="0.25">
      <c r="B785" s="32">
        <v>770</v>
      </c>
      <c r="C785" s="229"/>
      <c r="D785" s="229"/>
      <c r="E785" s="229"/>
      <c r="F785" s="229"/>
      <c r="G785" s="229"/>
      <c r="H785" s="229"/>
      <c r="I785" s="229"/>
      <c r="J785" s="32"/>
      <c r="K785" s="1"/>
      <c r="L785" s="32"/>
      <c r="M785" s="32"/>
      <c r="N785" s="32"/>
      <c r="O785" s="51"/>
      <c r="P785" s="51"/>
    </row>
    <row r="786" spans="2:16" x14ac:dyDescent="0.25">
      <c r="B786" s="32">
        <v>771</v>
      </c>
      <c r="C786" s="229"/>
      <c r="D786" s="229"/>
      <c r="E786" s="229"/>
      <c r="F786" s="229"/>
      <c r="G786" s="229"/>
      <c r="H786" s="229"/>
      <c r="I786" s="229"/>
      <c r="J786" s="32"/>
      <c r="K786" s="1"/>
      <c r="L786" s="32"/>
      <c r="M786" s="32"/>
      <c r="N786" s="32"/>
      <c r="O786" s="51"/>
      <c r="P786" s="51"/>
    </row>
    <row r="787" spans="2:16" x14ac:dyDescent="0.25">
      <c r="B787" s="32">
        <v>772</v>
      </c>
      <c r="C787" s="229"/>
      <c r="D787" s="229"/>
      <c r="E787" s="229"/>
      <c r="F787" s="229"/>
      <c r="G787" s="229"/>
      <c r="H787" s="229"/>
      <c r="I787" s="229"/>
      <c r="J787" s="32"/>
      <c r="K787" s="1"/>
      <c r="L787" s="32"/>
      <c r="M787" s="32"/>
      <c r="N787" s="32"/>
      <c r="O787" s="51"/>
      <c r="P787" s="51"/>
    </row>
    <row r="788" spans="2:16" x14ac:dyDescent="0.25">
      <c r="B788" s="32">
        <v>773</v>
      </c>
      <c r="C788" s="229"/>
      <c r="D788" s="229"/>
      <c r="E788" s="229"/>
      <c r="F788" s="229"/>
      <c r="G788" s="229"/>
      <c r="H788" s="229"/>
      <c r="I788" s="229"/>
      <c r="J788" s="32"/>
      <c r="K788" s="1"/>
      <c r="L788" s="32"/>
      <c r="M788" s="32"/>
      <c r="N788" s="32"/>
      <c r="O788" s="51"/>
      <c r="P788" s="51"/>
    </row>
    <row r="789" spans="2:16" x14ac:dyDescent="0.25">
      <c r="B789" s="32">
        <v>774</v>
      </c>
      <c r="C789" s="229"/>
      <c r="D789" s="229"/>
      <c r="E789" s="229"/>
      <c r="F789" s="229"/>
      <c r="G789" s="229"/>
      <c r="H789" s="229"/>
      <c r="I789" s="229"/>
      <c r="J789" s="32"/>
      <c r="K789" s="1"/>
      <c r="L789" s="32"/>
      <c r="M789" s="32"/>
      <c r="N789" s="32"/>
      <c r="O789" s="51"/>
      <c r="P789" s="51"/>
    </row>
    <row r="790" spans="2:16" x14ac:dyDescent="0.25">
      <c r="B790" s="32">
        <v>775</v>
      </c>
      <c r="C790" s="229"/>
      <c r="D790" s="229"/>
      <c r="E790" s="229"/>
      <c r="F790" s="229"/>
      <c r="G790" s="229"/>
      <c r="H790" s="229"/>
      <c r="I790" s="229"/>
      <c r="J790" s="32"/>
      <c r="K790" s="1"/>
      <c r="L790" s="32"/>
      <c r="M790" s="32"/>
      <c r="N790" s="32"/>
      <c r="O790" s="51"/>
      <c r="P790" s="51"/>
    </row>
    <row r="791" spans="2:16" x14ac:dyDescent="0.25">
      <c r="B791" s="32">
        <v>776</v>
      </c>
      <c r="C791" s="229"/>
      <c r="D791" s="229"/>
      <c r="E791" s="229"/>
      <c r="F791" s="229"/>
      <c r="G791" s="229"/>
      <c r="H791" s="229"/>
      <c r="I791" s="229"/>
      <c r="J791" s="32"/>
      <c r="K791" s="1"/>
      <c r="L791" s="32"/>
      <c r="M791" s="32"/>
      <c r="N791" s="32"/>
      <c r="O791" s="51"/>
      <c r="P791" s="51"/>
    </row>
    <row r="792" spans="2:16" x14ac:dyDescent="0.25">
      <c r="B792" s="32">
        <v>777</v>
      </c>
      <c r="C792" s="229"/>
      <c r="D792" s="229"/>
      <c r="E792" s="229"/>
      <c r="F792" s="229"/>
      <c r="G792" s="229"/>
      <c r="H792" s="229"/>
      <c r="I792" s="229"/>
      <c r="J792" s="32"/>
      <c r="K792" s="1"/>
      <c r="L792" s="32"/>
      <c r="M792" s="32"/>
      <c r="N792" s="32"/>
      <c r="O792" s="51"/>
      <c r="P792" s="51"/>
    </row>
    <row r="793" spans="2:16" x14ac:dyDescent="0.25">
      <c r="B793" s="32">
        <v>778</v>
      </c>
      <c r="C793" s="229"/>
      <c r="D793" s="229"/>
      <c r="E793" s="229"/>
      <c r="F793" s="229"/>
      <c r="G793" s="229"/>
      <c r="H793" s="229"/>
      <c r="I793" s="229"/>
      <c r="J793" s="32"/>
      <c r="K793" s="1"/>
      <c r="L793" s="32"/>
      <c r="M793" s="32"/>
      <c r="N793" s="32"/>
      <c r="O793" s="51"/>
      <c r="P793" s="51"/>
    </row>
    <row r="794" spans="2:16" x14ac:dyDescent="0.25">
      <c r="B794" s="32">
        <v>779</v>
      </c>
      <c r="C794" s="229"/>
      <c r="D794" s="229"/>
      <c r="E794" s="229"/>
      <c r="F794" s="229"/>
      <c r="G794" s="229"/>
      <c r="H794" s="229"/>
      <c r="I794" s="229"/>
      <c r="J794" s="32"/>
      <c r="K794" s="1"/>
      <c r="L794" s="32"/>
      <c r="M794" s="32"/>
      <c r="N794" s="32"/>
      <c r="O794" s="51"/>
      <c r="P794" s="51"/>
    </row>
    <row r="795" spans="2:16" x14ac:dyDescent="0.25">
      <c r="B795" s="32">
        <v>780</v>
      </c>
      <c r="C795" s="229"/>
      <c r="D795" s="229"/>
      <c r="E795" s="229"/>
      <c r="F795" s="229"/>
      <c r="G795" s="229"/>
      <c r="H795" s="229"/>
      <c r="I795" s="229"/>
      <c r="J795" s="32"/>
      <c r="K795" s="1"/>
      <c r="L795" s="32"/>
      <c r="M795" s="32"/>
      <c r="N795" s="32"/>
      <c r="O795" s="51"/>
      <c r="P795" s="51"/>
    </row>
    <row r="796" spans="2:16" x14ac:dyDescent="0.25">
      <c r="B796" s="32">
        <v>781</v>
      </c>
      <c r="C796" s="229"/>
      <c r="D796" s="229"/>
      <c r="E796" s="229"/>
      <c r="F796" s="229"/>
      <c r="G796" s="229"/>
      <c r="H796" s="229"/>
      <c r="I796" s="229"/>
      <c r="J796" s="32"/>
      <c r="K796" s="1"/>
      <c r="L796" s="32"/>
      <c r="M796" s="32"/>
      <c r="N796" s="32"/>
      <c r="O796" s="51"/>
      <c r="P796" s="51"/>
    </row>
    <row r="797" spans="2:16" x14ac:dyDescent="0.25">
      <c r="B797" s="32">
        <v>782</v>
      </c>
      <c r="C797" s="229"/>
      <c r="D797" s="229"/>
      <c r="E797" s="229"/>
      <c r="F797" s="229"/>
      <c r="G797" s="229"/>
      <c r="H797" s="229"/>
      <c r="I797" s="229"/>
      <c r="J797" s="32"/>
      <c r="K797" s="1"/>
      <c r="L797" s="32"/>
      <c r="M797" s="32"/>
      <c r="N797" s="32"/>
      <c r="O797" s="51"/>
      <c r="P797" s="51"/>
    </row>
    <row r="798" spans="2:16" x14ac:dyDescent="0.25">
      <c r="B798" s="32">
        <v>783</v>
      </c>
      <c r="C798" s="229"/>
      <c r="D798" s="229"/>
      <c r="E798" s="229"/>
      <c r="F798" s="229"/>
      <c r="G798" s="229"/>
      <c r="H798" s="229"/>
      <c r="I798" s="229"/>
      <c r="J798" s="32"/>
      <c r="K798" s="1"/>
      <c r="L798" s="32"/>
      <c r="M798" s="32"/>
      <c r="N798" s="32"/>
      <c r="O798" s="51"/>
      <c r="P798" s="51"/>
    </row>
    <row r="799" spans="2:16" x14ac:dyDescent="0.25">
      <c r="B799" s="32">
        <v>784</v>
      </c>
      <c r="C799" s="229"/>
      <c r="D799" s="229"/>
      <c r="E799" s="229"/>
      <c r="F799" s="229"/>
      <c r="G799" s="229"/>
      <c r="H799" s="229"/>
      <c r="I799" s="229"/>
      <c r="J799" s="32"/>
      <c r="K799" s="1"/>
      <c r="L799" s="32"/>
      <c r="M799" s="32"/>
      <c r="N799" s="32"/>
      <c r="O799" s="51"/>
      <c r="P799" s="51"/>
    </row>
    <row r="800" spans="2:16" x14ac:dyDescent="0.25">
      <c r="B800" s="32">
        <v>785</v>
      </c>
      <c r="C800" s="229"/>
      <c r="D800" s="229"/>
      <c r="E800" s="229"/>
      <c r="F800" s="229"/>
      <c r="G800" s="229"/>
      <c r="H800" s="229"/>
      <c r="I800" s="229"/>
      <c r="J800" s="32"/>
      <c r="K800" s="1"/>
      <c r="L800" s="32"/>
      <c r="M800" s="32"/>
      <c r="N800" s="32"/>
      <c r="O800" s="51"/>
      <c r="P800" s="51"/>
    </row>
    <row r="801" spans="2:16" x14ac:dyDescent="0.25">
      <c r="B801" s="32">
        <v>786</v>
      </c>
      <c r="C801" s="229"/>
      <c r="D801" s="229"/>
      <c r="E801" s="229"/>
      <c r="F801" s="229"/>
      <c r="G801" s="229"/>
      <c r="H801" s="229"/>
      <c r="I801" s="229"/>
      <c r="J801" s="32"/>
      <c r="K801" s="1"/>
      <c r="L801" s="32"/>
      <c r="M801" s="32"/>
      <c r="N801" s="32"/>
      <c r="O801" s="51"/>
      <c r="P801" s="51"/>
    </row>
    <row r="802" spans="2:16" x14ac:dyDescent="0.25">
      <c r="B802" s="32">
        <v>787</v>
      </c>
      <c r="C802" s="229"/>
      <c r="D802" s="229"/>
      <c r="E802" s="229"/>
      <c r="F802" s="229"/>
      <c r="G802" s="229"/>
      <c r="H802" s="229"/>
      <c r="I802" s="229"/>
      <c r="J802" s="32"/>
      <c r="K802" s="1"/>
      <c r="L802" s="32"/>
      <c r="M802" s="32"/>
      <c r="N802" s="32"/>
      <c r="O802" s="51"/>
      <c r="P802" s="51"/>
    </row>
    <row r="803" spans="2:16" x14ac:dyDescent="0.25">
      <c r="B803" s="32">
        <v>788</v>
      </c>
      <c r="C803" s="229"/>
      <c r="D803" s="229"/>
      <c r="E803" s="229"/>
      <c r="F803" s="229"/>
      <c r="G803" s="229"/>
      <c r="H803" s="229"/>
      <c r="I803" s="229"/>
      <c r="J803" s="32"/>
      <c r="K803" s="1"/>
      <c r="L803" s="32"/>
      <c r="M803" s="32"/>
      <c r="N803" s="32"/>
      <c r="O803" s="51"/>
      <c r="P803" s="51"/>
    </row>
    <row r="804" spans="2:16" x14ac:dyDescent="0.25">
      <c r="B804" s="32">
        <v>789</v>
      </c>
      <c r="C804" s="229"/>
      <c r="D804" s="229"/>
      <c r="E804" s="229"/>
      <c r="F804" s="229"/>
      <c r="G804" s="229"/>
      <c r="H804" s="229"/>
      <c r="I804" s="229"/>
      <c r="J804" s="32"/>
      <c r="K804" s="1"/>
      <c r="L804" s="32"/>
      <c r="M804" s="32"/>
      <c r="N804" s="32"/>
      <c r="O804" s="51"/>
      <c r="P804" s="51"/>
    </row>
    <row r="805" spans="2:16" x14ac:dyDescent="0.25">
      <c r="B805" s="32">
        <v>790</v>
      </c>
      <c r="C805" s="229"/>
      <c r="D805" s="229"/>
      <c r="E805" s="229"/>
      <c r="F805" s="229"/>
      <c r="G805" s="229"/>
      <c r="H805" s="229"/>
      <c r="I805" s="229"/>
      <c r="J805" s="32"/>
      <c r="K805" s="1"/>
      <c r="L805" s="32"/>
      <c r="M805" s="32"/>
      <c r="N805" s="32"/>
      <c r="O805" s="51"/>
      <c r="P805" s="51"/>
    </row>
    <row r="806" spans="2:16" x14ac:dyDescent="0.25">
      <c r="B806" s="32">
        <v>791</v>
      </c>
      <c r="C806" s="229"/>
      <c r="D806" s="229"/>
      <c r="E806" s="229"/>
      <c r="F806" s="229"/>
      <c r="G806" s="229"/>
      <c r="H806" s="229"/>
      <c r="I806" s="229"/>
      <c r="J806" s="32"/>
      <c r="K806" s="1"/>
      <c r="L806" s="32"/>
      <c r="M806" s="32"/>
      <c r="N806" s="32"/>
      <c r="O806" s="51"/>
      <c r="P806" s="51"/>
    </row>
    <row r="807" spans="2:16" x14ac:dyDescent="0.25">
      <c r="B807" s="32">
        <v>792</v>
      </c>
      <c r="C807" s="229"/>
      <c r="D807" s="229"/>
      <c r="E807" s="229"/>
      <c r="F807" s="229"/>
      <c r="G807" s="229"/>
      <c r="H807" s="229"/>
      <c r="I807" s="229"/>
      <c r="J807" s="32"/>
      <c r="K807" s="1"/>
      <c r="L807" s="32"/>
      <c r="M807" s="32"/>
      <c r="N807" s="32"/>
      <c r="O807" s="51"/>
      <c r="P807" s="51"/>
    </row>
    <row r="808" spans="2:16" x14ac:dyDescent="0.25">
      <c r="B808" s="32">
        <v>793</v>
      </c>
      <c r="C808" s="229"/>
      <c r="D808" s="229"/>
      <c r="E808" s="229"/>
      <c r="F808" s="229"/>
      <c r="G808" s="229"/>
      <c r="H808" s="229"/>
      <c r="I808" s="229"/>
      <c r="J808" s="32"/>
      <c r="K808" s="1"/>
      <c r="L808" s="32"/>
      <c r="M808" s="32"/>
      <c r="N808" s="32"/>
      <c r="O808" s="51"/>
      <c r="P808" s="51"/>
    </row>
    <row r="809" spans="2:16" x14ac:dyDescent="0.25">
      <c r="B809" s="32">
        <v>794</v>
      </c>
      <c r="C809" s="229"/>
      <c r="D809" s="229"/>
      <c r="E809" s="229"/>
      <c r="F809" s="229"/>
      <c r="G809" s="229"/>
      <c r="H809" s="229"/>
      <c r="I809" s="229"/>
      <c r="J809" s="32"/>
      <c r="K809" s="1"/>
      <c r="L809" s="32"/>
      <c r="M809" s="32"/>
      <c r="N809" s="32"/>
      <c r="O809" s="51"/>
      <c r="P809" s="51"/>
    </row>
    <row r="810" spans="2:16" x14ac:dyDescent="0.25">
      <c r="B810" s="32">
        <v>795</v>
      </c>
      <c r="C810" s="229"/>
      <c r="D810" s="229"/>
      <c r="E810" s="229"/>
      <c r="F810" s="229"/>
      <c r="G810" s="229"/>
      <c r="H810" s="229"/>
      <c r="I810" s="229"/>
      <c r="J810" s="32"/>
      <c r="K810" s="1"/>
      <c r="L810" s="32"/>
      <c r="M810" s="32"/>
      <c r="N810" s="32"/>
      <c r="O810" s="51"/>
      <c r="P810" s="51"/>
    </row>
    <row r="811" spans="2:16" x14ac:dyDescent="0.25">
      <c r="B811" s="32">
        <v>796</v>
      </c>
      <c r="C811" s="229"/>
      <c r="D811" s="229"/>
      <c r="E811" s="229"/>
      <c r="F811" s="229"/>
      <c r="G811" s="229"/>
      <c r="H811" s="229"/>
      <c r="I811" s="229"/>
      <c r="J811" s="32"/>
      <c r="K811" s="1"/>
      <c r="L811" s="32"/>
      <c r="M811" s="32"/>
      <c r="N811" s="32"/>
      <c r="O811" s="51"/>
      <c r="P811" s="51"/>
    </row>
    <row r="812" spans="2:16" x14ac:dyDescent="0.25">
      <c r="B812" s="32">
        <v>797</v>
      </c>
      <c r="C812" s="229"/>
      <c r="D812" s="229"/>
      <c r="E812" s="229"/>
      <c r="F812" s="229"/>
      <c r="G812" s="229"/>
      <c r="H812" s="229"/>
      <c r="I812" s="229"/>
      <c r="J812" s="32"/>
      <c r="K812" s="1"/>
      <c r="L812" s="32"/>
      <c r="M812" s="32"/>
      <c r="N812" s="32"/>
      <c r="O812" s="51"/>
      <c r="P812" s="51"/>
    </row>
    <row r="813" spans="2:16" x14ac:dyDescent="0.25">
      <c r="B813" s="32">
        <v>798</v>
      </c>
      <c r="C813" s="229"/>
      <c r="D813" s="229"/>
      <c r="E813" s="229"/>
      <c r="F813" s="229"/>
      <c r="G813" s="229"/>
      <c r="H813" s="229"/>
      <c r="I813" s="229"/>
      <c r="J813" s="32"/>
      <c r="K813" s="1"/>
      <c r="L813" s="32"/>
      <c r="M813" s="32"/>
      <c r="N813" s="32"/>
      <c r="O813" s="51"/>
      <c r="P813" s="51"/>
    </row>
    <row r="814" spans="2:16" x14ac:dyDescent="0.25">
      <c r="B814" s="32">
        <v>799</v>
      </c>
      <c r="C814" s="229"/>
      <c r="D814" s="229"/>
      <c r="E814" s="229"/>
      <c r="F814" s="229"/>
      <c r="G814" s="229"/>
      <c r="H814" s="229"/>
      <c r="I814" s="229"/>
      <c r="J814" s="32"/>
      <c r="K814" s="1"/>
      <c r="L814" s="32"/>
      <c r="M814" s="32"/>
      <c r="N814" s="32"/>
      <c r="O814" s="51"/>
      <c r="P814" s="51"/>
    </row>
    <row r="815" spans="2:16" x14ac:dyDescent="0.25">
      <c r="B815" s="32">
        <v>800</v>
      </c>
      <c r="C815" s="229"/>
      <c r="D815" s="229"/>
      <c r="E815" s="229"/>
      <c r="F815" s="229"/>
      <c r="G815" s="229"/>
      <c r="H815" s="229"/>
      <c r="I815" s="229"/>
      <c r="J815" s="32"/>
      <c r="K815" s="1"/>
      <c r="L815" s="32"/>
      <c r="M815" s="32"/>
      <c r="N815" s="32"/>
      <c r="O815" s="51"/>
      <c r="P815" s="51"/>
    </row>
    <row r="816" spans="2:16" x14ac:dyDescent="0.25">
      <c r="B816" s="32">
        <v>801</v>
      </c>
      <c r="C816" s="229"/>
      <c r="D816" s="229"/>
      <c r="E816" s="229"/>
      <c r="F816" s="229"/>
      <c r="G816" s="229"/>
      <c r="H816" s="229"/>
      <c r="I816" s="229"/>
      <c r="J816" s="32"/>
      <c r="K816" s="1"/>
      <c r="L816" s="32"/>
      <c r="M816" s="32"/>
      <c r="N816" s="32"/>
      <c r="O816" s="51"/>
      <c r="P816" s="51"/>
    </row>
    <row r="817" spans="2:16" x14ac:dyDescent="0.25">
      <c r="B817" s="32">
        <v>802</v>
      </c>
      <c r="C817" s="229"/>
      <c r="D817" s="229"/>
      <c r="E817" s="229"/>
      <c r="F817" s="229"/>
      <c r="G817" s="229"/>
      <c r="H817" s="229"/>
      <c r="I817" s="229"/>
      <c r="J817" s="32"/>
      <c r="K817" s="1"/>
      <c r="L817" s="32"/>
      <c r="M817" s="32"/>
      <c r="N817" s="32"/>
      <c r="O817" s="51"/>
      <c r="P817" s="51"/>
    </row>
    <row r="818" spans="2:16" x14ac:dyDescent="0.25">
      <c r="B818" s="32">
        <v>803</v>
      </c>
      <c r="C818" s="229"/>
      <c r="D818" s="229"/>
      <c r="E818" s="229"/>
      <c r="F818" s="229"/>
      <c r="G818" s="229"/>
      <c r="H818" s="229"/>
      <c r="I818" s="229"/>
      <c r="J818" s="32"/>
      <c r="K818" s="1"/>
      <c r="L818" s="32"/>
      <c r="M818" s="32"/>
      <c r="N818" s="32"/>
      <c r="O818" s="51"/>
      <c r="P818" s="51"/>
    </row>
    <row r="819" spans="2:16" x14ac:dyDescent="0.25">
      <c r="B819" s="32">
        <v>804</v>
      </c>
      <c r="C819" s="229"/>
      <c r="D819" s="229"/>
      <c r="E819" s="229"/>
      <c r="F819" s="229"/>
      <c r="G819" s="229"/>
      <c r="H819" s="229"/>
      <c r="I819" s="229"/>
      <c r="J819" s="32"/>
      <c r="K819" s="1"/>
      <c r="L819" s="32"/>
      <c r="M819" s="32"/>
      <c r="N819" s="32"/>
      <c r="O819" s="51"/>
      <c r="P819" s="51"/>
    </row>
    <row r="820" spans="2:16" x14ac:dyDescent="0.25">
      <c r="B820" s="32">
        <v>805</v>
      </c>
      <c r="C820" s="229"/>
      <c r="D820" s="229"/>
      <c r="E820" s="229"/>
      <c r="F820" s="229"/>
      <c r="G820" s="229"/>
      <c r="H820" s="229"/>
      <c r="I820" s="229"/>
      <c r="J820" s="32"/>
      <c r="K820" s="1"/>
      <c r="L820" s="32"/>
      <c r="M820" s="32"/>
      <c r="N820" s="32"/>
      <c r="O820" s="51"/>
      <c r="P820" s="51"/>
    </row>
    <row r="821" spans="2:16" x14ac:dyDescent="0.25">
      <c r="B821" s="32">
        <v>806</v>
      </c>
      <c r="C821" s="229"/>
      <c r="D821" s="229"/>
      <c r="E821" s="229"/>
      <c r="F821" s="229"/>
      <c r="G821" s="229"/>
      <c r="H821" s="229"/>
      <c r="I821" s="229"/>
      <c r="J821" s="32"/>
      <c r="K821" s="1"/>
      <c r="L821" s="32"/>
      <c r="M821" s="32"/>
      <c r="N821" s="32"/>
      <c r="O821" s="51"/>
      <c r="P821" s="51"/>
    </row>
    <row r="822" spans="2:16" x14ac:dyDescent="0.25">
      <c r="B822" s="32">
        <v>807</v>
      </c>
      <c r="C822" s="229"/>
      <c r="D822" s="229"/>
      <c r="E822" s="229"/>
      <c r="F822" s="229"/>
      <c r="G822" s="229"/>
      <c r="H822" s="229"/>
      <c r="I822" s="229"/>
      <c r="J822" s="32"/>
      <c r="K822" s="1"/>
      <c r="L822" s="32"/>
      <c r="M822" s="32"/>
      <c r="N822" s="32"/>
      <c r="O822" s="51"/>
      <c r="P822" s="51"/>
    </row>
    <row r="823" spans="2:16" x14ac:dyDescent="0.25">
      <c r="B823" s="32">
        <v>808</v>
      </c>
      <c r="C823" s="229"/>
      <c r="D823" s="229"/>
      <c r="E823" s="229"/>
      <c r="F823" s="229"/>
      <c r="G823" s="229"/>
      <c r="H823" s="229"/>
      <c r="I823" s="229"/>
      <c r="J823" s="32"/>
      <c r="K823" s="1"/>
      <c r="L823" s="32"/>
      <c r="M823" s="32"/>
      <c r="N823" s="32"/>
      <c r="O823" s="51"/>
      <c r="P823" s="51"/>
    </row>
    <row r="824" spans="2:16" x14ac:dyDescent="0.25">
      <c r="B824" s="32">
        <v>809</v>
      </c>
      <c r="C824" s="229"/>
      <c r="D824" s="229"/>
      <c r="E824" s="229"/>
      <c r="F824" s="229"/>
      <c r="G824" s="229"/>
      <c r="H824" s="229"/>
      <c r="I824" s="229"/>
      <c r="J824" s="32"/>
      <c r="K824" s="1"/>
      <c r="L824" s="32"/>
      <c r="M824" s="32"/>
      <c r="N824" s="32"/>
      <c r="O824" s="51"/>
      <c r="P824" s="51"/>
    </row>
    <row r="825" spans="2:16" x14ac:dyDescent="0.25">
      <c r="B825" s="32">
        <v>810</v>
      </c>
      <c r="C825" s="229"/>
      <c r="D825" s="229"/>
      <c r="E825" s="229"/>
      <c r="F825" s="229"/>
      <c r="G825" s="229"/>
      <c r="H825" s="229"/>
      <c r="I825" s="229"/>
      <c r="J825" s="32"/>
      <c r="K825" s="1"/>
      <c r="L825" s="32"/>
      <c r="M825" s="32"/>
      <c r="N825" s="32"/>
      <c r="O825" s="51"/>
      <c r="P825" s="51"/>
    </row>
    <row r="826" spans="2:16" x14ac:dyDescent="0.25">
      <c r="B826" s="32">
        <v>811</v>
      </c>
      <c r="C826" s="229"/>
      <c r="D826" s="229"/>
      <c r="E826" s="229"/>
      <c r="F826" s="229"/>
      <c r="G826" s="229"/>
      <c r="H826" s="229"/>
      <c r="I826" s="229"/>
      <c r="J826" s="32"/>
      <c r="K826" s="1"/>
      <c r="L826" s="32"/>
      <c r="M826" s="32"/>
      <c r="N826" s="32"/>
      <c r="O826" s="51"/>
      <c r="P826" s="51"/>
    </row>
    <row r="827" spans="2:16" x14ac:dyDescent="0.25">
      <c r="B827" s="32">
        <v>812</v>
      </c>
      <c r="C827" s="229"/>
      <c r="D827" s="229"/>
      <c r="E827" s="229"/>
      <c r="F827" s="229"/>
      <c r="G827" s="229"/>
      <c r="H827" s="229"/>
      <c r="I827" s="229"/>
      <c r="J827" s="32"/>
      <c r="K827" s="1"/>
      <c r="L827" s="32"/>
      <c r="M827" s="32"/>
      <c r="N827" s="32"/>
      <c r="O827" s="51"/>
      <c r="P827" s="51"/>
    </row>
    <row r="828" spans="2:16" x14ac:dyDescent="0.25">
      <c r="B828" s="32">
        <v>813</v>
      </c>
      <c r="C828" s="229"/>
      <c r="D828" s="229"/>
      <c r="E828" s="229"/>
      <c r="F828" s="229"/>
      <c r="G828" s="229"/>
      <c r="H828" s="229"/>
      <c r="I828" s="229"/>
      <c r="J828" s="32"/>
      <c r="K828" s="1"/>
      <c r="L828" s="32"/>
      <c r="M828" s="32"/>
      <c r="N828" s="32"/>
      <c r="O828" s="51"/>
      <c r="P828" s="51"/>
    </row>
    <row r="829" spans="2:16" x14ac:dyDescent="0.25">
      <c r="B829" s="32">
        <v>814</v>
      </c>
      <c r="C829" s="229"/>
      <c r="D829" s="229"/>
      <c r="E829" s="229"/>
      <c r="F829" s="229"/>
      <c r="G829" s="229"/>
      <c r="H829" s="229"/>
      <c r="I829" s="229"/>
      <c r="J829" s="32"/>
      <c r="K829" s="1"/>
      <c r="L829" s="32"/>
      <c r="M829" s="32"/>
      <c r="N829" s="32"/>
      <c r="O829" s="51"/>
      <c r="P829" s="51"/>
    </row>
    <row r="830" spans="2:16" x14ac:dyDescent="0.25">
      <c r="B830" s="32">
        <v>815</v>
      </c>
      <c r="C830" s="229"/>
      <c r="D830" s="229"/>
      <c r="E830" s="229"/>
      <c r="F830" s="229"/>
      <c r="G830" s="229"/>
      <c r="H830" s="229"/>
      <c r="I830" s="229"/>
      <c r="J830" s="32"/>
      <c r="K830" s="1"/>
      <c r="L830" s="32"/>
      <c r="M830" s="32"/>
      <c r="N830" s="32"/>
      <c r="O830" s="51"/>
      <c r="P830" s="51"/>
    </row>
    <row r="831" spans="2:16" x14ac:dyDescent="0.25">
      <c r="B831" s="32">
        <v>816</v>
      </c>
      <c r="C831" s="229"/>
      <c r="D831" s="229"/>
      <c r="E831" s="229"/>
      <c r="F831" s="229"/>
      <c r="G831" s="229"/>
      <c r="H831" s="229"/>
      <c r="I831" s="229"/>
      <c r="J831" s="32"/>
      <c r="K831" s="1"/>
      <c r="L831" s="32"/>
      <c r="M831" s="32"/>
      <c r="N831" s="32"/>
      <c r="O831" s="51"/>
      <c r="P831" s="51"/>
    </row>
    <row r="832" spans="2:16" x14ac:dyDescent="0.25">
      <c r="B832" s="32">
        <v>817</v>
      </c>
      <c r="C832" s="229"/>
      <c r="D832" s="229"/>
      <c r="E832" s="229"/>
      <c r="F832" s="229"/>
      <c r="G832" s="229"/>
      <c r="H832" s="229"/>
      <c r="I832" s="229"/>
      <c r="J832" s="32"/>
      <c r="K832" s="1"/>
      <c r="L832" s="32"/>
      <c r="M832" s="32"/>
      <c r="N832" s="32"/>
      <c r="O832" s="51"/>
      <c r="P832" s="51"/>
    </row>
    <row r="833" spans="2:16" x14ac:dyDescent="0.25">
      <c r="B833" s="32">
        <v>818</v>
      </c>
      <c r="C833" s="229"/>
      <c r="D833" s="229"/>
      <c r="E833" s="229"/>
      <c r="F833" s="229"/>
      <c r="G833" s="229"/>
      <c r="H833" s="229"/>
      <c r="I833" s="229"/>
      <c r="J833" s="32"/>
      <c r="K833" s="1"/>
      <c r="L833" s="32"/>
      <c r="M833" s="32"/>
      <c r="N833" s="32"/>
      <c r="O833" s="51"/>
      <c r="P833" s="51"/>
    </row>
    <row r="834" spans="2:16" x14ac:dyDescent="0.25">
      <c r="B834" s="32">
        <v>819</v>
      </c>
      <c r="C834" s="229"/>
      <c r="D834" s="229"/>
      <c r="E834" s="229"/>
      <c r="F834" s="229"/>
      <c r="G834" s="229"/>
      <c r="H834" s="229"/>
      <c r="I834" s="229"/>
      <c r="J834" s="32"/>
      <c r="K834" s="1"/>
      <c r="L834" s="32"/>
      <c r="M834" s="32"/>
      <c r="N834" s="32"/>
      <c r="O834" s="51"/>
      <c r="P834" s="51"/>
    </row>
    <row r="835" spans="2:16" x14ac:dyDescent="0.25">
      <c r="B835" s="32">
        <v>820</v>
      </c>
      <c r="C835" s="229"/>
      <c r="D835" s="229"/>
      <c r="E835" s="229"/>
      <c r="F835" s="229"/>
      <c r="G835" s="229"/>
      <c r="H835" s="229"/>
      <c r="I835" s="229"/>
      <c r="J835" s="32"/>
      <c r="K835" s="1"/>
      <c r="L835" s="32"/>
      <c r="M835" s="32"/>
      <c r="N835" s="32"/>
      <c r="O835" s="51"/>
      <c r="P835" s="51"/>
    </row>
    <row r="836" spans="2:16" x14ac:dyDescent="0.25">
      <c r="B836" s="32">
        <v>821</v>
      </c>
      <c r="C836" s="229"/>
      <c r="D836" s="229"/>
      <c r="E836" s="229"/>
      <c r="F836" s="229"/>
      <c r="G836" s="229"/>
      <c r="H836" s="229"/>
      <c r="I836" s="229"/>
      <c r="J836" s="32"/>
      <c r="K836" s="1"/>
      <c r="L836" s="32"/>
      <c r="M836" s="32"/>
      <c r="N836" s="32"/>
      <c r="O836" s="51"/>
      <c r="P836" s="51"/>
    </row>
    <row r="837" spans="2:16" x14ac:dyDescent="0.25">
      <c r="B837" s="32">
        <v>822</v>
      </c>
      <c r="C837" s="229"/>
      <c r="D837" s="229"/>
      <c r="E837" s="229"/>
      <c r="F837" s="229"/>
      <c r="G837" s="229"/>
      <c r="H837" s="229"/>
      <c r="I837" s="229"/>
      <c r="J837" s="32"/>
      <c r="K837" s="1"/>
      <c r="L837" s="32"/>
      <c r="M837" s="32"/>
      <c r="N837" s="32"/>
      <c r="O837" s="51"/>
      <c r="P837" s="51"/>
    </row>
    <row r="838" spans="2:16" x14ac:dyDescent="0.25">
      <c r="B838" s="32">
        <v>823</v>
      </c>
      <c r="C838" s="229"/>
      <c r="D838" s="229"/>
      <c r="E838" s="229"/>
      <c r="F838" s="229"/>
      <c r="G838" s="229"/>
      <c r="H838" s="229"/>
      <c r="I838" s="229"/>
      <c r="J838" s="32"/>
      <c r="K838" s="1"/>
      <c r="L838" s="32"/>
      <c r="M838" s="32"/>
      <c r="N838" s="32"/>
      <c r="O838" s="51"/>
      <c r="P838" s="51"/>
    </row>
    <row r="839" spans="2:16" x14ac:dyDescent="0.25">
      <c r="B839" s="32">
        <v>824</v>
      </c>
      <c r="C839" s="229"/>
      <c r="D839" s="229"/>
      <c r="E839" s="229"/>
      <c r="F839" s="229"/>
      <c r="G839" s="229"/>
      <c r="H839" s="229"/>
      <c r="I839" s="229"/>
      <c r="J839" s="32"/>
      <c r="K839" s="1"/>
      <c r="L839" s="32"/>
      <c r="M839" s="32"/>
      <c r="N839" s="32"/>
      <c r="O839" s="51"/>
      <c r="P839" s="51"/>
    </row>
    <row r="840" spans="2:16" x14ac:dyDescent="0.25">
      <c r="B840" s="32">
        <v>825</v>
      </c>
      <c r="C840" s="229"/>
      <c r="D840" s="229"/>
      <c r="E840" s="229"/>
      <c r="F840" s="229"/>
      <c r="G840" s="229"/>
      <c r="H840" s="229"/>
      <c r="I840" s="229"/>
      <c r="J840" s="32"/>
      <c r="K840" s="1"/>
      <c r="L840" s="32"/>
      <c r="M840" s="32"/>
      <c r="N840" s="32"/>
      <c r="O840" s="51"/>
      <c r="P840" s="51"/>
    </row>
    <row r="841" spans="2:16" x14ac:dyDescent="0.25">
      <c r="B841" s="32">
        <v>826</v>
      </c>
      <c r="C841" s="229"/>
      <c r="D841" s="229"/>
      <c r="E841" s="229"/>
      <c r="F841" s="229"/>
      <c r="G841" s="229"/>
      <c r="H841" s="229"/>
      <c r="I841" s="229"/>
      <c r="J841" s="32"/>
      <c r="K841" s="1"/>
      <c r="L841" s="32"/>
      <c r="M841" s="32"/>
      <c r="N841" s="32"/>
      <c r="O841" s="51"/>
      <c r="P841" s="51"/>
    </row>
    <row r="842" spans="2:16" x14ac:dyDescent="0.25">
      <c r="B842" s="32">
        <v>827</v>
      </c>
      <c r="C842" s="229"/>
      <c r="D842" s="229"/>
      <c r="E842" s="229"/>
      <c r="F842" s="229"/>
      <c r="G842" s="229"/>
      <c r="H842" s="229"/>
      <c r="I842" s="229"/>
      <c r="J842" s="32"/>
      <c r="K842" s="1"/>
      <c r="L842" s="32"/>
      <c r="M842" s="32"/>
      <c r="N842" s="32"/>
      <c r="O842" s="51"/>
      <c r="P842" s="51"/>
    </row>
    <row r="843" spans="2:16" x14ac:dyDescent="0.25">
      <c r="B843" s="32">
        <v>828</v>
      </c>
      <c r="C843" s="229"/>
      <c r="D843" s="229"/>
      <c r="E843" s="229"/>
      <c r="F843" s="229"/>
      <c r="G843" s="229"/>
      <c r="H843" s="229"/>
      <c r="I843" s="229"/>
      <c r="J843" s="32"/>
      <c r="K843" s="1"/>
      <c r="L843" s="32"/>
      <c r="M843" s="32"/>
      <c r="N843" s="32"/>
      <c r="O843" s="51"/>
      <c r="P843" s="51"/>
    </row>
    <row r="844" spans="2:16" x14ac:dyDescent="0.25">
      <c r="B844" s="32">
        <v>829</v>
      </c>
      <c r="C844" s="229"/>
      <c r="D844" s="229"/>
      <c r="E844" s="229"/>
      <c r="F844" s="229"/>
      <c r="G844" s="229"/>
      <c r="H844" s="229"/>
      <c r="I844" s="229"/>
      <c r="J844" s="32"/>
      <c r="K844" s="1"/>
      <c r="L844" s="32"/>
      <c r="M844" s="32"/>
      <c r="N844" s="32"/>
      <c r="O844" s="51"/>
      <c r="P844" s="51"/>
    </row>
    <row r="845" spans="2:16" x14ac:dyDescent="0.25">
      <c r="B845" s="32">
        <v>830</v>
      </c>
      <c r="C845" s="229"/>
      <c r="D845" s="229"/>
      <c r="E845" s="229"/>
      <c r="F845" s="229"/>
      <c r="G845" s="229"/>
      <c r="H845" s="229"/>
      <c r="I845" s="229"/>
      <c r="J845" s="32"/>
      <c r="K845" s="1"/>
      <c r="L845" s="32"/>
      <c r="M845" s="32"/>
      <c r="N845" s="32"/>
      <c r="O845" s="51"/>
      <c r="P845" s="51"/>
    </row>
    <row r="846" spans="2:16" x14ac:dyDescent="0.25">
      <c r="B846" s="32">
        <v>831</v>
      </c>
      <c r="C846" s="229"/>
      <c r="D846" s="229"/>
      <c r="E846" s="229"/>
      <c r="F846" s="229"/>
      <c r="G846" s="229"/>
      <c r="H846" s="229"/>
      <c r="I846" s="229"/>
      <c r="J846" s="32"/>
      <c r="K846" s="1"/>
      <c r="L846" s="32"/>
      <c r="M846" s="32"/>
      <c r="N846" s="32"/>
      <c r="O846" s="51"/>
      <c r="P846" s="51"/>
    </row>
    <row r="847" spans="2:16" x14ac:dyDescent="0.25">
      <c r="B847" s="32">
        <v>832</v>
      </c>
      <c r="C847" s="229"/>
      <c r="D847" s="229"/>
      <c r="E847" s="229"/>
      <c r="F847" s="229"/>
      <c r="G847" s="229"/>
      <c r="H847" s="229"/>
      <c r="I847" s="229"/>
      <c r="J847" s="32"/>
      <c r="K847" s="1"/>
      <c r="L847" s="32"/>
      <c r="M847" s="32"/>
      <c r="N847" s="32"/>
      <c r="O847" s="51"/>
      <c r="P847" s="51"/>
    </row>
    <row r="848" spans="2:16" x14ac:dyDescent="0.25">
      <c r="B848" s="32">
        <v>833</v>
      </c>
      <c r="C848" s="229"/>
      <c r="D848" s="229"/>
      <c r="E848" s="229"/>
      <c r="F848" s="229"/>
      <c r="G848" s="229"/>
      <c r="H848" s="229"/>
      <c r="I848" s="229"/>
      <c r="J848" s="32"/>
      <c r="K848" s="1"/>
      <c r="L848" s="32"/>
      <c r="M848" s="32"/>
      <c r="N848" s="32"/>
      <c r="O848" s="51"/>
      <c r="P848" s="51"/>
    </row>
    <row r="849" spans="2:16" x14ac:dyDescent="0.25">
      <c r="B849" s="32">
        <v>834</v>
      </c>
      <c r="C849" s="229"/>
      <c r="D849" s="229"/>
      <c r="E849" s="229"/>
      <c r="F849" s="229"/>
      <c r="G849" s="229"/>
      <c r="H849" s="229"/>
      <c r="I849" s="229"/>
      <c r="J849" s="32"/>
      <c r="K849" s="1"/>
      <c r="L849" s="32"/>
      <c r="M849" s="32"/>
      <c r="N849" s="32"/>
      <c r="O849" s="51"/>
      <c r="P849" s="51"/>
    </row>
    <row r="850" spans="2:16" x14ac:dyDescent="0.25">
      <c r="B850" s="32">
        <v>835</v>
      </c>
      <c r="C850" s="229"/>
      <c r="D850" s="229"/>
      <c r="E850" s="229"/>
      <c r="F850" s="229"/>
      <c r="G850" s="229"/>
      <c r="H850" s="229"/>
      <c r="I850" s="229"/>
      <c r="J850" s="32"/>
      <c r="K850" s="1"/>
      <c r="L850" s="32"/>
      <c r="M850" s="32"/>
      <c r="N850" s="32"/>
      <c r="O850" s="51"/>
      <c r="P850" s="51"/>
    </row>
    <row r="851" spans="2:16" x14ac:dyDescent="0.25">
      <c r="B851" s="32">
        <v>836</v>
      </c>
      <c r="C851" s="229"/>
      <c r="D851" s="229"/>
      <c r="E851" s="229"/>
      <c r="F851" s="229"/>
      <c r="G851" s="229"/>
      <c r="H851" s="229"/>
      <c r="I851" s="229"/>
      <c r="J851" s="32"/>
      <c r="K851" s="1"/>
      <c r="L851" s="32"/>
      <c r="M851" s="32"/>
      <c r="N851" s="32"/>
      <c r="O851" s="51"/>
      <c r="P851" s="51"/>
    </row>
    <row r="852" spans="2:16" x14ac:dyDescent="0.25">
      <c r="B852" s="32">
        <v>837</v>
      </c>
      <c r="C852" s="229"/>
      <c r="D852" s="229"/>
      <c r="E852" s="229"/>
      <c r="F852" s="229"/>
      <c r="G852" s="229"/>
      <c r="H852" s="229"/>
      <c r="I852" s="229"/>
      <c r="J852" s="32"/>
      <c r="K852" s="1"/>
      <c r="L852" s="32"/>
      <c r="M852" s="32"/>
      <c r="N852" s="32"/>
      <c r="O852" s="51"/>
      <c r="P852" s="51"/>
    </row>
    <row r="853" spans="2:16" x14ac:dyDescent="0.25">
      <c r="B853" s="32">
        <v>838</v>
      </c>
      <c r="C853" s="229"/>
      <c r="D853" s="229"/>
      <c r="E853" s="229"/>
      <c r="F853" s="229"/>
      <c r="G853" s="229"/>
      <c r="H853" s="229"/>
      <c r="I853" s="229"/>
      <c r="J853" s="32"/>
      <c r="K853" s="1"/>
      <c r="L853" s="32"/>
      <c r="M853" s="32"/>
      <c r="N853" s="32"/>
      <c r="O853" s="51"/>
      <c r="P853" s="51"/>
    </row>
    <row r="854" spans="2:16" x14ac:dyDescent="0.25">
      <c r="B854" s="32">
        <v>839</v>
      </c>
      <c r="C854" s="229"/>
      <c r="D854" s="229"/>
      <c r="E854" s="229"/>
      <c r="F854" s="229"/>
      <c r="G854" s="229"/>
      <c r="H854" s="229"/>
      <c r="I854" s="229"/>
      <c r="J854" s="32"/>
      <c r="K854" s="1"/>
      <c r="L854" s="32"/>
      <c r="M854" s="32"/>
      <c r="N854" s="32"/>
      <c r="O854" s="51"/>
      <c r="P854" s="51"/>
    </row>
    <row r="855" spans="2:16" x14ac:dyDescent="0.25">
      <c r="B855" s="32">
        <v>840</v>
      </c>
      <c r="C855" s="229"/>
      <c r="D855" s="229"/>
      <c r="E855" s="229"/>
      <c r="F855" s="229"/>
      <c r="G855" s="229"/>
      <c r="H855" s="229"/>
      <c r="I855" s="229"/>
      <c r="J855" s="32"/>
      <c r="K855" s="1"/>
      <c r="L855" s="32"/>
      <c r="M855" s="32"/>
      <c r="N855" s="32"/>
      <c r="O855" s="51"/>
      <c r="P855" s="51"/>
    </row>
    <row r="856" spans="2:16" x14ac:dyDescent="0.25">
      <c r="B856" s="32">
        <v>841</v>
      </c>
      <c r="C856" s="229"/>
      <c r="D856" s="229"/>
      <c r="E856" s="229"/>
      <c r="F856" s="229"/>
      <c r="G856" s="229"/>
      <c r="H856" s="229"/>
      <c r="I856" s="229"/>
      <c r="J856" s="32"/>
      <c r="K856" s="1"/>
      <c r="L856" s="32"/>
      <c r="M856" s="32"/>
      <c r="N856" s="32"/>
      <c r="O856" s="51"/>
      <c r="P856" s="51"/>
    </row>
    <row r="857" spans="2:16" x14ac:dyDescent="0.25">
      <c r="B857" s="32">
        <v>842</v>
      </c>
      <c r="C857" s="229"/>
      <c r="D857" s="229"/>
      <c r="E857" s="229"/>
      <c r="F857" s="229"/>
      <c r="G857" s="229"/>
      <c r="H857" s="229"/>
      <c r="I857" s="229"/>
      <c r="J857" s="32"/>
      <c r="K857" s="1"/>
      <c r="L857" s="32"/>
      <c r="M857" s="32"/>
      <c r="N857" s="32"/>
      <c r="O857" s="51"/>
      <c r="P857" s="51"/>
    </row>
    <row r="858" spans="2:16" x14ac:dyDescent="0.25">
      <c r="B858" s="32">
        <v>843</v>
      </c>
      <c r="C858" s="229"/>
      <c r="D858" s="229"/>
      <c r="E858" s="229"/>
      <c r="F858" s="229"/>
      <c r="G858" s="229"/>
      <c r="H858" s="229"/>
      <c r="I858" s="229"/>
      <c r="J858" s="32"/>
      <c r="K858" s="1"/>
      <c r="L858" s="32"/>
      <c r="M858" s="32"/>
      <c r="N858" s="32"/>
      <c r="O858" s="51"/>
      <c r="P858" s="51"/>
    </row>
    <row r="859" spans="2:16" x14ac:dyDescent="0.25">
      <c r="B859" s="32">
        <v>844</v>
      </c>
      <c r="C859" s="229"/>
      <c r="D859" s="229"/>
      <c r="E859" s="229"/>
      <c r="F859" s="229"/>
      <c r="G859" s="229"/>
      <c r="H859" s="229"/>
      <c r="I859" s="229"/>
      <c r="J859" s="32"/>
      <c r="K859" s="1"/>
      <c r="L859" s="32"/>
      <c r="M859" s="32"/>
      <c r="N859" s="32"/>
      <c r="O859" s="51"/>
      <c r="P859" s="51"/>
    </row>
    <row r="860" spans="2:16" x14ac:dyDescent="0.25">
      <c r="B860" s="32">
        <v>845</v>
      </c>
      <c r="C860" s="229"/>
      <c r="D860" s="229"/>
      <c r="E860" s="229"/>
      <c r="F860" s="229"/>
      <c r="G860" s="229"/>
      <c r="H860" s="229"/>
      <c r="I860" s="229"/>
      <c r="J860" s="32"/>
      <c r="K860" s="1"/>
      <c r="L860" s="32"/>
      <c r="M860" s="32"/>
      <c r="N860" s="32"/>
      <c r="O860" s="51"/>
      <c r="P860" s="51"/>
    </row>
    <row r="861" spans="2:16" x14ac:dyDescent="0.25">
      <c r="B861" s="32">
        <v>846</v>
      </c>
      <c r="C861" s="229"/>
      <c r="D861" s="229"/>
      <c r="E861" s="229"/>
      <c r="F861" s="229"/>
      <c r="G861" s="229"/>
      <c r="H861" s="229"/>
      <c r="I861" s="229"/>
      <c r="J861" s="32"/>
      <c r="K861" s="1"/>
      <c r="L861" s="32"/>
      <c r="M861" s="32"/>
      <c r="N861" s="32"/>
      <c r="O861" s="51"/>
      <c r="P861" s="51"/>
    </row>
    <row r="862" spans="2:16" x14ac:dyDescent="0.25">
      <c r="B862" s="32">
        <v>847</v>
      </c>
      <c r="C862" s="229"/>
      <c r="D862" s="229"/>
      <c r="E862" s="229"/>
      <c r="F862" s="229"/>
      <c r="G862" s="229"/>
      <c r="H862" s="229"/>
      <c r="I862" s="229"/>
      <c r="J862" s="32"/>
      <c r="K862" s="1"/>
      <c r="L862" s="32"/>
      <c r="M862" s="32"/>
      <c r="N862" s="32"/>
      <c r="O862" s="51"/>
      <c r="P862" s="51"/>
    </row>
    <row r="863" spans="2:16" x14ac:dyDescent="0.25">
      <c r="B863" s="32">
        <v>848</v>
      </c>
      <c r="C863" s="229"/>
      <c r="D863" s="229"/>
      <c r="E863" s="229"/>
      <c r="F863" s="229"/>
      <c r="G863" s="229"/>
      <c r="H863" s="229"/>
      <c r="I863" s="229"/>
      <c r="J863" s="32"/>
      <c r="K863" s="1"/>
      <c r="L863" s="32"/>
      <c r="M863" s="32"/>
      <c r="N863" s="32"/>
      <c r="O863" s="51"/>
      <c r="P863" s="51"/>
    </row>
    <row r="864" spans="2:16" x14ac:dyDescent="0.25">
      <c r="B864" s="32">
        <v>849</v>
      </c>
      <c r="C864" s="229"/>
      <c r="D864" s="229"/>
      <c r="E864" s="229"/>
      <c r="F864" s="229"/>
      <c r="G864" s="229"/>
      <c r="H864" s="229"/>
      <c r="I864" s="229"/>
      <c r="J864" s="32"/>
      <c r="K864" s="1"/>
      <c r="L864" s="32"/>
      <c r="M864" s="32"/>
      <c r="N864" s="32"/>
      <c r="O864" s="51"/>
      <c r="P864" s="51"/>
    </row>
    <row r="865" spans="2:16" x14ac:dyDescent="0.25">
      <c r="B865" s="32">
        <v>850</v>
      </c>
      <c r="C865" s="229"/>
      <c r="D865" s="229"/>
      <c r="E865" s="229"/>
      <c r="F865" s="229"/>
      <c r="G865" s="229"/>
      <c r="H865" s="229"/>
      <c r="I865" s="229"/>
      <c r="J865" s="32"/>
      <c r="K865" s="1"/>
      <c r="L865" s="32"/>
      <c r="M865" s="32"/>
      <c r="N865" s="32"/>
      <c r="O865" s="51"/>
      <c r="P865" s="51"/>
    </row>
    <row r="866" spans="2:16" x14ac:dyDescent="0.25">
      <c r="B866" s="32">
        <v>851</v>
      </c>
      <c r="C866" s="229"/>
      <c r="D866" s="229"/>
      <c r="E866" s="229"/>
      <c r="F866" s="229"/>
      <c r="G866" s="229"/>
      <c r="H866" s="229"/>
      <c r="I866" s="229"/>
      <c r="J866" s="32"/>
      <c r="K866" s="1"/>
      <c r="L866" s="32"/>
      <c r="M866" s="32"/>
      <c r="N866" s="32"/>
      <c r="O866" s="51"/>
      <c r="P866" s="51"/>
    </row>
    <row r="867" spans="2:16" x14ac:dyDescent="0.25">
      <c r="B867" s="32">
        <v>852</v>
      </c>
      <c r="C867" s="229"/>
      <c r="D867" s="229"/>
      <c r="E867" s="229"/>
      <c r="F867" s="229"/>
      <c r="G867" s="229"/>
      <c r="H867" s="229"/>
      <c r="I867" s="229"/>
      <c r="J867" s="32"/>
      <c r="K867" s="1"/>
      <c r="L867" s="32"/>
      <c r="M867" s="32"/>
      <c r="N867" s="32"/>
      <c r="O867" s="51"/>
      <c r="P867" s="51"/>
    </row>
    <row r="868" spans="2:16" x14ac:dyDescent="0.25">
      <c r="B868" s="32">
        <v>853</v>
      </c>
      <c r="C868" s="229"/>
      <c r="D868" s="229"/>
      <c r="E868" s="229"/>
      <c r="F868" s="229"/>
      <c r="G868" s="229"/>
      <c r="H868" s="229"/>
      <c r="I868" s="229"/>
      <c r="J868" s="32"/>
      <c r="K868" s="1"/>
      <c r="L868" s="32"/>
      <c r="M868" s="32"/>
      <c r="N868" s="32"/>
      <c r="O868" s="51"/>
      <c r="P868" s="51"/>
    </row>
    <row r="869" spans="2:16" x14ac:dyDescent="0.25">
      <c r="B869" s="32">
        <v>854</v>
      </c>
      <c r="C869" s="229"/>
      <c r="D869" s="229"/>
      <c r="E869" s="229"/>
      <c r="F869" s="229"/>
      <c r="G869" s="229"/>
      <c r="H869" s="229"/>
      <c r="I869" s="229"/>
      <c r="J869" s="32"/>
      <c r="K869" s="1"/>
      <c r="L869" s="32"/>
      <c r="M869" s="32"/>
      <c r="N869" s="32"/>
      <c r="O869" s="51"/>
      <c r="P869" s="51"/>
    </row>
    <row r="870" spans="2:16" x14ac:dyDescent="0.25">
      <c r="B870" s="32">
        <v>855</v>
      </c>
      <c r="C870" s="229"/>
      <c r="D870" s="229"/>
      <c r="E870" s="229"/>
      <c r="F870" s="229"/>
      <c r="G870" s="229"/>
      <c r="H870" s="229"/>
      <c r="I870" s="229"/>
      <c r="J870" s="32"/>
      <c r="K870" s="1"/>
      <c r="L870" s="32"/>
      <c r="M870" s="32"/>
      <c r="N870" s="32"/>
      <c r="O870" s="51"/>
      <c r="P870" s="51"/>
    </row>
    <row r="871" spans="2:16" x14ac:dyDescent="0.25">
      <c r="B871" s="32">
        <v>856</v>
      </c>
      <c r="C871" s="229"/>
      <c r="D871" s="229"/>
      <c r="E871" s="229"/>
      <c r="F871" s="229"/>
      <c r="G871" s="229"/>
      <c r="H871" s="229"/>
      <c r="I871" s="229"/>
      <c r="J871" s="32"/>
      <c r="K871" s="1"/>
      <c r="L871" s="32"/>
      <c r="M871" s="32"/>
      <c r="N871" s="32"/>
      <c r="O871" s="51"/>
      <c r="P871" s="51"/>
    </row>
    <row r="872" spans="2:16" x14ac:dyDescent="0.25">
      <c r="B872" s="32">
        <v>857</v>
      </c>
      <c r="C872" s="229"/>
      <c r="D872" s="229"/>
      <c r="E872" s="229"/>
      <c r="F872" s="229"/>
      <c r="G872" s="229"/>
      <c r="H872" s="229"/>
      <c r="I872" s="229"/>
      <c r="J872" s="32"/>
      <c r="K872" s="1"/>
      <c r="L872" s="32"/>
      <c r="M872" s="32"/>
      <c r="N872" s="32"/>
      <c r="O872" s="51"/>
      <c r="P872" s="51"/>
    </row>
    <row r="873" spans="2:16" x14ac:dyDescent="0.25">
      <c r="B873" s="32">
        <v>858</v>
      </c>
      <c r="C873" s="229"/>
      <c r="D873" s="229"/>
      <c r="E873" s="229"/>
      <c r="F873" s="229"/>
      <c r="G873" s="229"/>
      <c r="H873" s="229"/>
      <c r="I873" s="229"/>
      <c r="J873" s="32"/>
      <c r="K873" s="1"/>
      <c r="L873" s="32"/>
      <c r="M873" s="32"/>
      <c r="N873" s="32"/>
      <c r="O873" s="51"/>
      <c r="P873" s="51"/>
    </row>
    <row r="874" spans="2:16" x14ac:dyDescent="0.25">
      <c r="B874" s="32">
        <v>859</v>
      </c>
      <c r="C874" s="229"/>
      <c r="D874" s="229"/>
      <c r="E874" s="229"/>
      <c r="F874" s="229"/>
      <c r="G874" s="229"/>
      <c r="H874" s="229"/>
      <c r="I874" s="229"/>
      <c r="J874" s="32"/>
      <c r="K874" s="1"/>
      <c r="L874" s="32"/>
      <c r="M874" s="32"/>
      <c r="N874" s="32"/>
      <c r="O874" s="51"/>
      <c r="P874" s="51"/>
    </row>
    <row r="875" spans="2:16" x14ac:dyDescent="0.25">
      <c r="B875" s="32">
        <v>860</v>
      </c>
      <c r="C875" s="229"/>
      <c r="D875" s="229"/>
      <c r="E875" s="229"/>
      <c r="F875" s="229"/>
      <c r="G875" s="229"/>
      <c r="H875" s="229"/>
      <c r="I875" s="229"/>
      <c r="J875" s="32"/>
      <c r="K875" s="1"/>
      <c r="L875" s="32"/>
      <c r="M875" s="32"/>
      <c r="N875" s="32"/>
      <c r="O875" s="51"/>
      <c r="P875" s="51"/>
    </row>
    <row r="876" spans="2:16" x14ac:dyDescent="0.25">
      <c r="B876" s="32">
        <v>861</v>
      </c>
      <c r="C876" s="229"/>
      <c r="D876" s="229"/>
      <c r="E876" s="229"/>
      <c r="F876" s="229"/>
      <c r="G876" s="229"/>
      <c r="H876" s="229"/>
      <c r="I876" s="229"/>
      <c r="J876" s="32"/>
      <c r="K876" s="1"/>
      <c r="L876" s="32"/>
      <c r="M876" s="32"/>
      <c r="N876" s="32"/>
      <c r="O876" s="51"/>
      <c r="P876" s="51"/>
    </row>
    <row r="877" spans="2:16" x14ac:dyDescent="0.25">
      <c r="B877" s="32">
        <v>862</v>
      </c>
      <c r="C877" s="229"/>
      <c r="D877" s="229"/>
      <c r="E877" s="229"/>
      <c r="F877" s="229"/>
      <c r="G877" s="229"/>
      <c r="H877" s="229"/>
      <c r="I877" s="229"/>
      <c r="J877" s="32"/>
      <c r="K877" s="1"/>
      <c r="L877" s="32"/>
      <c r="M877" s="32"/>
      <c r="N877" s="32"/>
      <c r="O877" s="51"/>
      <c r="P877" s="51"/>
    </row>
    <row r="878" spans="2:16" x14ac:dyDescent="0.25">
      <c r="B878" s="32">
        <v>863</v>
      </c>
      <c r="C878" s="229"/>
      <c r="D878" s="229"/>
      <c r="E878" s="229"/>
      <c r="F878" s="229"/>
      <c r="G878" s="229"/>
      <c r="H878" s="229"/>
      <c r="I878" s="229"/>
      <c r="J878" s="32"/>
      <c r="K878" s="1"/>
      <c r="L878" s="32"/>
      <c r="M878" s="32"/>
      <c r="N878" s="32"/>
      <c r="O878" s="51"/>
      <c r="P878" s="51"/>
    </row>
    <row r="879" spans="2:16" x14ac:dyDescent="0.25">
      <c r="B879" s="32">
        <v>864</v>
      </c>
      <c r="C879" s="229"/>
      <c r="D879" s="229"/>
      <c r="E879" s="229"/>
      <c r="F879" s="229"/>
      <c r="G879" s="229"/>
      <c r="H879" s="229"/>
      <c r="I879" s="229"/>
      <c r="J879" s="32"/>
      <c r="K879" s="1"/>
      <c r="L879" s="32"/>
      <c r="M879" s="32"/>
      <c r="N879" s="32"/>
      <c r="O879" s="51"/>
      <c r="P879" s="51"/>
    </row>
    <row r="880" spans="2:16" x14ac:dyDescent="0.25">
      <c r="B880" s="32">
        <v>865</v>
      </c>
      <c r="C880" s="229"/>
      <c r="D880" s="229"/>
      <c r="E880" s="229"/>
      <c r="F880" s="229"/>
      <c r="G880" s="229"/>
      <c r="H880" s="229"/>
      <c r="I880" s="229"/>
      <c r="J880" s="32"/>
      <c r="K880" s="1"/>
      <c r="L880" s="32"/>
      <c r="M880" s="32"/>
      <c r="N880" s="32"/>
      <c r="O880" s="51"/>
      <c r="P880" s="51"/>
    </row>
    <row r="881" spans="2:16" x14ac:dyDescent="0.25">
      <c r="B881" s="32">
        <v>866</v>
      </c>
      <c r="C881" s="229"/>
      <c r="D881" s="229"/>
      <c r="E881" s="229"/>
      <c r="F881" s="229"/>
      <c r="G881" s="229"/>
      <c r="H881" s="229"/>
      <c r="I881" s="229"/>
      <c r="J881" s="32"/>
      <c r="K881" s="1"/>
      <c r="L881" s="32"/>
      <c r="M881" s="32"/>
      <c r="N881" s="32"/>
      <c r="O881" s="51"/>
      <c r="P881" s="51"/>
    </row>
    <row r="882" spans="2:16" x14ac:dyDescent="0.25">
      <c r="B882" s="32">
        <v>867</v>
      </c>
      <c r="C882" s="229"/>
      <c r="D882" s="229"/>
      <c r="E882" s="229"/>
      <c r="F882" s="229"/>
      <c r="G882" s="229"/>
      <c r="H882" s="229"/>
      <c r="I882" s="229"/>
      <c r="J882" s="32"/>
      <c r="K882" s="1"/>
      <c r="L882" s="32"/>
      <c r="M882" s="32"/>
      <c r="N882" s="32"/>
      <c r="O882" s="51"/>
      <c r="P882" s="51"/>
    </row>
    <row r="883" spans="2:16" x14ac:dyDescent="0.25">
      <c r="B883" s="32">
        <v>868</v>
      </c>
      <c r="C883" s="229"/>
      <c r="D883" s="229"/>
      <c r="E883" s="229"/>
      <c r="F883" s="229"/>
      <c r="G883" s="229"/>
      <c r="H883" s="229"/>
      <c r="I883" s="229"/>
      <c r="J883" s="32"/>
      <c r="K883" s="1"/>
      <c r="L883" s="32"/>
      <c r="M883" s="32"/>
      <c r="N883" s="32"/>
      <c r="O883" s="51"/>
      <c r="P883" s="51"/>
    </row>
    <row r="884" spans="2:16" x14ac:dyDescent="0.25">
      <c r="B884" s="32">
        <v>869</v>
      </c>
      <c r="C884" s="229"/>
      <c r="D884" s="229"/>
      <c r="E884" s="229"/>
      <c r="F884" s="229"/>
      <c r="G884" s="229"/>
      <c r="H884" s="229"/>
      <c r="I884" s="229"/>
      <c r="J884" s="32"/>
      <c r="K884" s="1"/>
      <c r="L884" s="32"/>
      <c r="M884" s="32"/>
      <c r="N884" s="32"/>
      <c r="O884" s="51"/>
      <c r="P884" s="51"/>
    </row>
    <row r="885" spans="2:16" x14ac:dyDescent="0.25">
      <c r="B885" s="32">
        <v>870</v>
      </c>
      <c r="C885" s="229"/>
      <c r="D885" s="229"/>
      <c r="E885" s="229"/>
      <c r="F885" s="229"/>
      <c r="G885" s="229"/>
      <c r="H885" s="229"/>
      <c r="I885" s="229"/>
      <c r="J885" s="32"/>
      <c r="K885" s="1"/>
      <c r="L885" s="32"/>
      <c r="M885" s="32"/>
      <c r="N885" s="32"/>
      <c r="O885" s="51"/>
      <c r="P885" s="51"/>
    </row>
    <row r="886" spans="2:16" x14ac:dyDescent="0.25">
      <c r="B886" s="32">
        <v>871</v>
      </c>
      <c r="C886" s="229"/>
      <c r="D886" s="229"/>
      <c r="E886" s="229"/>
      <c r="F886" s="229"/>
      <c r="G886" s="229"/>
      <c r="H886" s="229"/>
      <c r="I886" s="229"/>
      <c r="J886" s="32"/>
      <c r="K886" s="1"/>
      <c r="L886" s="32"/>
      <c r="M886" s="32"/>
      <c r="N886" s="32"/>
      <c r="O886" s="51"/>
      <c r="P886" s="51"/>
    </row>
    <row r="887" spans="2:16" x14ac:dyDescent="0.25">
      <c r="B887" s="32">
        <v>872</v>
      </c>
      <c r="C887" s="229"/>
      <c r="D887" s="229"/>
      <c r="E887" s="229"/>
      <c r="F887" s="229"/>
      <c r="G887" s="229"/>
      <c r="H887" s="229"/>
      <c r="I887" s="229"/>
      <c r="J887" s="32"/>
      <c r="K887" s="1"/>
      <c r="L887" s="32"/>
      <c r="M887" s="32"/>
      <c r="N887" s="32"/>
      <c r="O887" s="51"/>
      <c r="P887" s="51"/>
    </row>
    <row r="888" spans="2:16" x14ac:dyDescent="0.25">
      <c r="B888" s="32">
        <v>873</v>
      </c>
      <c r="C888" s="229"/>
      <c r="D888" s="229"/>
      <c r="E888" s="229"/>
      <c r="F888" s="229"/>
      <c r="G888" s="229"/>
      <c r="H888" s="229"/>
      <c r="I888" s="229"/>
      <c r="J888" s="32"/>
      <c r="K888" s="1"/>
      <c r="L888" s="32"/>
      <c r="M888" s="32"/>
      <c r="N888" s="32"/>
      <c r="O888" s="51"/>
      <c r="P888" s="51"/>
    </row>
    <row r="889" spans="2:16" x14ac:dyDescent="0.25">
      <c r="B889" s="32">
        <v>874</v>
      </c>
      <c r="C889" s="229"/>
      <c r="D889" s="229"/>
      <c r="E889" s="229"/>
      <c r="F889" s="229"/>
      <c r="G889" s="229"/>
      <c r="H889" s="229"/>
      <c r="I889" s="229"/>
      <c r="J889" s="32"/>
      <c r="K889" s="1"/>
      <c r="L889" s="32"/>
      <c r="M889" s="32"/>
      <c r="N889" s="32"/>
      <c r="O889" s="51"/>
      <c r="P889" s="51"/>
    </row>
    <row r="890" spans="2:16" x14ac:dyDescent="0.25">
      <c r="B890" s="32">
        <v>875</v>
      </c>
      <c r="C890" s="229"/>
      <c r="D890" s="229"/>
      <c r="E890" s="229"/>
      <c r="F890" s="229"/>
      <c r="G890" s="229"/>
      <c r="H890" s="229"/>
      <c r="I890" s="229"/>
      <c r="J890" s="32"/>
      <c r="K890" s="1"/>
      <c r="L890" s="32"/>
      <c r="M890" s="32"/>
      <c r="N890" s="32"/>
      <c r="O890" s="51"/>
      <c r="P890" s="51"/>
    </row>
    <row r="891" spans="2:16" x14ac:dyDescent="0.25">
      <c r="B891" s="32">
        <v>876</v>
      </c>
      <c r="C891" s="229"/>
      <c r="D891" s="229"/>
      <c r="E891" s="229"/>
      <c r="F891" s="229"/>
      <c r="G891" s="229"/>
      <c r="H891" s="229"/>
      <c r="I891" s="229"/>
      <c r="J891" s="32"/>
      <c r="K891" s="1"/>
      <c r="L891" s="32"/>
      <c r="M891" s="32"/>
      <c r="N891" s="32"/>
      <c r="O891" s="51"/>
      <c r="P891" s="51"/>
    </row>
    <row r="892" spans="2:16" x14ac:dyDescent="0.25">
      <c r="B892" s="32">
        <v>877</v>
      </c>
      <c r="C892" s="229"/>
      <c r="D892" s="229"/>
      <c r="E892" s="229"/>
      <c r="F892" s="229"/>
      <c r="G892" s="229"/>
      <c r="H892" s="229"/>
      <c r="I892" s="229"/>
      <c r="J892" s="32"/>
      <c r="K892" s="1"/>
      <c r="L892" s="32"/>
      <c r="M892" s="32"/>
      <c r="N892" s="32"/>
      <c r="O892" s="51"/>
      <c r="P892" s="51"/>
    </row>
    <row r="893" spans="2:16" x14ac:dyDescent="0.25">
      <c r="B893" s="32">
        <v>878</v>
      </c>
      <c r="C893" s="229"/>
      <c r="D893" s="229"/>
      <c r="E893" s="229"/>
      <c r="F893" s="229"/>
      <c r="G893" s="229"/>
      <c r="H893" s="229"/>
      <c r="I893" s="229"/>
      <c r="J893" s="32"/>
      <c r="K893" s="1"/>
      <c r="L893" s="32"/>
      <c r="M893" s="32"/>
      <c r="N893" s="32"/>
      <c r="O893" s="51"/>
      <c r="P893" s="51"/>
    </row>
    <row r="894" spans="2:16" x14ac:dyDescent="0.25">
      <c r="B894" s="32">
        <v>879</v>
      </c>
      <c r="C894" s="229"/>
      <c r="D894" s="229"/>
      <c r="E894" s="229"/>
      <c r="F894" s="229"/>
      <c r="G894" s="229"/>
      <c r="H894" s="229"/>
      <c r="I894" s="229"/>
      <c r="J894" s="32"/>
      <c r="K894" s="1"/>
      <c r="L894" s="32"/>
      <c r="M894" s="32"/>
      <c r="N894" s="32"/>
      <c r="O894" s="51"/>
      <c r="P894" s="51"/>
    </row>
    <row r="895" spans="2:16" x14ac:dyDescent="0.25">
      <c r="B895" s="32">
        <v>880</v>
      </c>
      <c r="C895" s="229"/>
      <c r="D895" s="229"/>
      <c r="E895" s="229"/>
      <c r="F895" s="229"/>
      <c r="G895" s="229"/>
      <c r="H895" s="229"/>
      <c r="I895" s="229"/>
      <c r="J895" s="32"/>
      <c r="K895" s="1"/>
      <c r="L895" s="32"/>
      <c r="M895" s="32"/>
      <c r="N895" s="32"/>
      <c r="O895" s="51"/>
      <c r="P895" s="51"/>
    </row>
    <row r="896" spans="2:16" x14ac:dyDescent="0.25">
      <c r="B896" s="32">
        <v>881</v>
      </c>
      <c r="C896" s="229"/>
      <c r="D896" s="229"/>
      <c r="E896" s="229"/>
      <c r="F896" s="229"/>
      <c r="G896" s="229"/>
      <c r="H896" s="229"/>
      <c r="I896" s="229"/>
      <c r="J896" s="32"/>
      <c r="K896" s="1"/>
      <c r="L896" s="32"/>
      <c r="M896" s="32"/>
      <c r="N896" s="32"/>
      <c r="O896" s="51"/>
      <c r="P896" s="51"/>
    </row>
    <row r="897" spans="2:16" x14ac:dyDescent="0.25">
      <c r="B897" s="32">
        <v>882</v>
      </c>
      <c r="C897" s="229"/>
      <c r="D897" s="229"/>
      <c r="E897" s="229"/>
      <c r="F897" s="229"/>
      <c r="G897" s="229"/>
      <c r="H897" s="229"/>
      <c r="I897" s="229"/>
      <c r="J897" s="32"/>
      <c r="K897" s="1"/>
      <c r="L897" s="32"/>
      <c r="M897" s="32"/>
      <c r="N897" s="32"/>
      <c r="O897" s="51"/>
      <c r="P897" s="51"/>
    </row>
    <row r="898" spans="2:16" x14ac:dyDescent="0.25">
      <c r="B898" s="32">
        <v>883</v>
      </c>
      <c r="C898" s="229"/>
      <c r="D898" s="229"/>
      <c r="E898" s="229"/>
      <c r="F898" s="229"/>
      <c r="G898" s="229"/>
      <c r="H898" s="229"/>
      <c r="I898" s="229"/>
      <c r="J898" s="32"/>
      <c r="K898" s="1"/>
      <c r="L898" s="32"/>
      <c r="M898" s="32"/>
      <c r="N898" s="32"/>
      <c r="O898" s="51"/>
      <c r="P898" s="51"/>
    </row>
    <row r="899" spans="2:16" x14ac:dyDescent="0.25">
      <c r="B899" s="32">
        <v>884</v>
      </c>
      <c r="C899" s="229"/>
      <c r="D899" s="229"/>
      <c r="E899" s="229"/>
      <c r="F899" s="229"/>
      <c r="G899" s="229"/>
      <c r="H899" s="229"/>
      <c r="I899" s="229"/>
      <c r="J899" s="32"/>
      <c r="K899" s="1"/>
      <c r="L899" s="32"/>
      <c r="M899" s="32"/>
      <c r="N899" s="32"/>
      <c r="O899" s="51"/>
      <c r="P899" s="51"/>
    </row>
    <row r="900" spans="2:16" x14ac:dyDescent="0.25">
      <c r="B900" s="32">
        <v>885</v>
      </c>
      <c r="C900" s="229"/>
      <c r="D900" s="229"/>
      <c r="E900" s="229"/>
      <c r="F900" s="229"/>
      <c r="G900" s="229"/>
      <c r="H900" s="229"/>
      <c r="I900" s="229"/>
      <c r="J900" s="32"/>
      <c r="K900" s="1"/>
      <c r="L900" s="32"/>
      <c r="M900" s="32"/>
      <c r="N900" s="32"/>
      <c r="O900" s="51"/>
      <c r="P900" s="51"/>
    </row>
    <row r="901" spans="2:16" x14ac:dyDescent="0.25">
      <c r="B901" s="32">
        <v>886</v>
      </c>
      <c r="C901" s="229"/>
      <c r="D901" s="229"/>
      <c r="E901" s="229"/>
      <c r="F901" s="229"/>
      <c r="G901" s="229"/>
      <c r="H901" s="229"/>
      <c r="I901" s="229"/>
      <c r="J901" s="32"/>
      <c r="K901" s="1"/>
      <c r="L901" s="32"/>
      <c r="M901" s="32"/>
      <c r="N901" s="32"/>
      <c r="O901" s="51"/>
      <c r="P901" s="51"/>
    </row>
    <row r="902" spans="2:16" x14ac:dyDescent="0.25">
      <c r="B902" s="32">
        <v>887</v>
      </c>
      <c r="C902" s="229"/>
      <c r="D902" s="229"/>
      <c r="E902" s="229"/>
      <c r="F902" s="229"/>
      <c r="G902" s="229"/>
      <c r="H902" s="229"/>
      <c r="I902" s="229"/>
      <c r="J902" s="32"/>
      <c r="K902" s="1"/>
      <c r="L902" s="32"/>
      <c r="M902" s="32"/>
      <c r="N902" s="32"/>
      <c r="O902" s="51"/>
      <c r="P902" s="51"/>
    </row>
    <row r="903" spans="2:16" x14ac:dyDescent="0.25">
      <c r="B903" s="32">
        <v>888</v>
      </c>
      <c r="C903" s="229"/>
      <c r="D903" s="229"/>
      <c r="E903" s="229"/>
      <c r="F903" s="229"/>
      <c r="G903" s="229"/>
      <c r="H903" s="229"/>
      <c r="I903" s="229"/>
      <c r="J903" s="32"/>
      <c r="K903" s="1"/>
      <c r="L903" s="32"/>
      <c r="M903" s="32"/>
      <c r="N903" s="32"/>
      <c r="O903" s="51"/>
      <c r="P903" s="51"/>
    </row>
    <row r="904" spans="2:16" x14ac:dyDescent="0.25">
      <c r="B904" s="32">
        <v>889</v>
      </c>
      <c r="C904" s="229"/>
      <c r="D904" s="229"/>
      <c r="E904" s="229"/>
      <c r="F904" s="229"/>
      <c r="G904" s="229"/>
      <c r="H904" s="229"/>
      <c r="I904" s="229"/>
      <c r="J904" s="32"/>
      <c r="K904" s="1"/>
      <c r="L904" s="32"/>
      <c r="M904" s="32"/>
      <c r="N904" s="32"/>
      <c r="O904" s="51"/>
      <c r="P904" s="51"/>
    </row>
    <row r="905" spans="2:16" x14ac:dyDescent="0.25">
      <c r="B905" s="32">
        <v>890</v>
      </c>
      <c r="C905" s="229"/>
      <c r="D905" s="229"/>
      <c r="E905" s="229"/>
      <c r="F905" s="229"/>
      <c r="G905" s="229"/>
      <c r="H905" s="229"/>
      <c r="I905" s="229"/>
      <c r="J905" s="32"/>
      <c r="K905" s="1"/>
      <c r="L905" s="32"/>
      <c r="M905" s="32"/>
      <c r="N905" s="32"/>
      <c r="O905" s="51"/>
      <c r="P905" s="51"/>
    </row>
    <row r="906" spans="2:16" x14ac:dyDescent="0.25">
      <c r="B906" s="32">
        <v>891</v>
      </c>
      <c r="C906" s="229"/>
      <c r="D906" s="229"/>
      <c r="E906" s="229"/>
      <c r="F906" s="229"/>
      <c r="G906" s="229"/>
      <c r="H906" s="229"/>
      <c r="I906" s="229"/>
      <c r="J906" s="32"/>
      <c r="K906" s="1"/>
      <c r="L906" s="32"/>
      <c r="M906" s="32"/>
      <c r="N906" s="32"/>
      <c r="O906" s="51"/>
      <c r="P906" s="51"/>
    </row>
    <row r="907" spans="2:16" x14ac:dyDescent="0.25">
      <c r="B907" s="32">
        <v>892</v>
      </c>
      <c r="C907" s="229"/>
      <c r="D907" s="229"/>
      <c r="E907" s="229"/>
      <c r="F907" s="229"/>
      <c r="G907" s="229"/>
      <c r="H907" s="229"/>
      <c r="I907" s="229"/>
      <c r="J907" s="32"/>
      <c r="K907" s="1"/>
      <c r="L907" s="32"/>
      <c r="M907" s="32"/>
      <c r="N907" s="32"/>
      <c r="O907" s="51"/>
      <c r="P907" s="51"/>
    </row>
    <row r="908" spans="2:16" x14ac:dyDescent="0.25">
      <c r="B908" s="32">
        <v>893</v>
      </c>
      <c r="C908" s="229"/>
      <c r="D908" s="229"/>
      <c r="E908" s="229"/>
      <c r="F908" s="229"/>
      <c r="G908" s="229"/>
      <c r="H908" s="229"/>
      <c r="I908" s="229"/>
      <c r="J908" s="32"/>
      <c r="K908" s="1"/>
      <c r="L908" s="32"/>
      <c r="M908" s="32"/>
      <c r="N908" s="32"/>
      <c r="O908" s="51"/>
      <c r="P908" s="51"/>
    </row>
    <row r="909" spans="2:16" x14ac:dyDescent="0.25">
      <c r="B909" s="32">
        <v>894</v>
      </c>
      <c r="C909" s="229"/>
      <c r="D909" s="229"/>
      <c r="E909" s="229"/>
      <c r="F909" s="229"/>
      <c r="G909" s="229"/>
      <c r="H909" s="229"/>
      <c r="I909" s="229"/>
      <c r="J909" s="32"/>
      <c r="K909" s="1"/>
      <c r="L909" s="32"/>
      <c r="M909" s="32"/>
      <c r="N909" s="32"/>
      <c r="O909" s="51"/>
      <c r="P909" s="51"/>
    </row>
    <row r="910" spans="2:16" x14ac:dyDescent="0.25">
      <c r="B910" s="32">
        <v>895</v>
      </c>
      <c r="C910" s="229"/>
      <c r="D910" s="229"/>
      <c r="E910" s="229"/>
      <c r="F910" s="229"/>
      <c r="G910" s="229"/>
      <c r="H910" s="229"/>
      <c r="I910" s="229"/>
      <c r="J910" s="32"/>
      <c r="K910" s="1"/>
      <c r="L910" s="32"/>
      <c r="M910" s="32"/>
      <c r="N910" s="32"/>
      <c r="O910" s="51"/>
      <c r="P910" s="51"/>
    </row>
    <row r="911" spans="2:16" x14ac:dyDescent="0.25">
      <c r="B911" s="32">
        <v>896</v>
      </c>
      <c r="C911" s="229"/>
      <c r="D911" s="229"/>
      <c r="E911" s="229"/>
      <c r="F911" s="229"/>
      <c r="G911" s="229"/>
      <c r="H911" s="229"/>
      <c r="I911" s="229"/>
      <c r="J911" s="32"/>
      <c r="K911" s="1"/>
      <c r="L911" s="32"/>
      <c r="M911" s="32"/>
      <c r="N911" s="32"/>
      <c r="O911" s="51"/>
      <c r="P911" s="51"/>
    </row>
    <row r="912" spans="2:16" x14ac:dyDescent="0.25">
      <c r="B912" s="32">
        <v>897</v>
      </c>
      <c r="C912" s="229"/>
      <c r="D912" s="229"/>
      <c r="E912" s="229"/>
      <c r="F912" s="229"/>
      <c r="G912" s="229"/>
      <c r="H912" s="229"/>
      <c r="I912" s="229"/>
      <c r="J912" s="32"/>
      <c r="K912" s="1"/>
      <c r="L912" s="32"/>
      <c r="M912" s="32"/>
      <c r="N912" s="32"/>
      <c r="O912" s="51"/>
      <c r="P912" s="51"/>
    </row>
    <row r="913" spans="2:16" x14ac:dyDescent="0.25">
      <c r="B913" s="32">
        <v>898</v>
      </c>
      <c r="C913" s="229"/>
      <c r="D913" s="229"/>
      <c r="E913" s="229"/>
      <c r="F913" s="229"/>
      <c r="G913" s="229"/>
      <c r="H913" s="229"/>
      <c r="I913" s="229"/>
      <c r="J913" s="32"/>
      <c r="K913" s="1"/>
      <c r="L913" s="32"/>
      <c r="M913" s="32"/>
      <c r="N913" s="32"/>
      <c r="O913" s="51"/>
      <c r="P913" s="51"/>
    </row>
    <row r="914" spans="2:16" x14ac:dyDescent="0.25">
      <c r="B914" s="32">
        <v>899</v>
      </c>
      <c r="C914" s="229"/>
      <c r="D914" s="229"/>
      <c r="E914" s="229"/>
      <c r="F914" s="229"/>
      <c r="G914" s="229"/>
      <c r="H914" s="229"/>
      <c r="I914" s="229"/>
      <c r="J914" s="32"/>
      <c r="K914" s="1"/>
      <c r="L914" s="32"/>
      <c r="M914" s="32"/>
      <c r="N914" s="32"/>
      <c r="O914" s="51"/>
      <c r="P914" s="51"/>
    </row>
    <row r="915" spans="2:16" x14ac:dyDescent="0.25">
      <c r="B915" s="32">
        <v>900</v>
      </c>
      <c r="C915" s="229"/>
      <c r="D915" s="229"/>
      <c r="E915" s="229"/>
      <c r="F915" s="229"/>
      <c r="G915" s="229"/>
      <c r="H915" s="229"/>
      <c r="I915" s="229"/>
      <c r="J915" s="32"/>
      <c r="K915" s="1"/>
      <c r="L915" s="32"/>
      <c r="M915" s="32"/>
      <c r="N915" s="32"/>
      <c r="O915" s="51"/>
      <c r="P915" s="51"/>
    </row>
    <row r="916" spans="2:16" x14ac:dyDescent="0.25">
      <c r="B916" s="32">
        <v>901</v>
      </c>
      <c r="C916" s="229"/>
      <c r="D916" s="229"/>
      <c r="E916" s="229"/>
      <c r="F916" s="229"/>
      <c r="G916" s="229"/>
      <c r="H916" s="229"/>
      <c r="I916" s="229"/>
      <c r="J916" s="32"/>
      <c r="K916" s="1"/>
      <c r="L916" s="32"/>
      <c r="M916" s="32"/>
      <c r="N916" s="32"/>
      <c r="O916" s="51"/>
      <c r="P916" s="51"/>
    </row>
    <row r="917" spans="2:16" x14ac:dyDescent="0.25">
      <c r="B917" s="32">
        <v>902</v>
      </c>
      <c r="C917" s="229"/>
      <c r="D917" s="229"/>
      <c r="E917" s="229"/>
      <c r="F917" s="229"/>
      <c r="G917" s="229"/>
      <c r="H917" s="229"/>
      <c r="I917" s="229"/>
      <c r="J917" s="32"/>
      <c r="K917" s="1"/>
      <c r="L917" s="32"/>
      <c r="M917" s="32"/>
      <c r="N917" s="32"/>
      <c r="O917" s="51"/>
      <c r="P917" s="51"/>
    </row>
    <row r="918" spans="2:16" x14ac:dyDescent="0.25">
      <c r="B918" s="32">
        <v>903</v>
      </c>
      <c r="C918" s="229"/>
      <c r="D918" s="229"/>
      <c r="E918" s="229"/>
      <c r="F918" s="229"/>
      <c r="G918" s="229"/>
      <c r="H918" s="229"/>
      <c r="I918" s="229"/>
      <c r="J918" s="32"/>
      <c r="K918" s="1"/>
      <c r="L918" s="32"/>
      <c r="M918" s="32"/>
      <c r="N918" s="32"/>
      <c r="O918" s="51"/>
      <c r="P918" s="51"/>
    </row>
    <row r="919" spans="2:16" x14ac:dyDescent="0.25">
      <c r="B919" s="32">
        <v>904</v>
      </c>
      <c r="C919" s="229"/>
      <c r="D919" s="229"/>
      <c r="E919" s="229"/>
      <c r="F919" s="229"/>
      <c r="G919" s="229"/>
      <c r="H919" s="229"/>
      <c r="I919" s="229"/>
      <c r="J919" s="32"/>
      <c r="K919" s="1"/>
      <c r="L919" s="32"/>
      <c r="M919" s="32"/>
      <c r="N919" s="32"/>
      <c r="O919" s="51"/>
      <c r="P919" s="51"/>
    </row>
    <row r="920" spans="2:16" x14ac:dyDescent="0.25">
      <c r="B920" s="32">
        <v>905</v>
      </c>
      <c r="C920" s="229"/>
      <c r="D920" s="229"/>
      <c r="E920" s="229"/>
      <c r="F920" s="229"/>
      <c r="G920" s="229"/>
      <c r="H920" s="229"/>
      <c r="I920" s="229"/>
      <c r="J920" s="32"/>
      <c r="K920" s="1"/>
      <c r="L920" s="32"/>
      <c r="M920" s="32"/>
      <c r="N920" s="32"/>
      <c r="O920" s="51"/>
      <c r="P920" s="51"/>
    </row>
    <row r="921" spans="2:16" x14ac:dyDescent="0.25">
      <c r="B921" s="32">
        <v>906</v>
      </c>
      <c r="C921" s="229"/>
      <c r="D921" s="229"/>
      <c r="E921" s="229"/>
      <c r="F921" s="229"/>
      <c r="G921" s="229"/>
      <c r="H921" s="229"/>
      <c r="I921" s="229"/>
      <c r="J921" s="32"/>
      <c r="K921" s="1"/>
      <c r="L921" s="32"/>
      <c r="M921" s="32"/>
      <c r="N921" s="32"/>
      <c r="O921" s="51"/>
      <c r="P921" s="51"/>
    </row>
    <row r="922" spans="2:16" x14ac:dyDescent="0.25">
      <c r="B922" s="32">
        <v>907</v>
      </c>
      <c r="C922" s="229"/>
      <c r="D922" s="229"/>
      <c r="E922" s="229"/>
      <c r="F922" s="229"/>
      <c r="G922" s="229"/>
      <c r="H922" s="229"/>
      <c r="I922" s="229"/>
      <c r="J922" s="32"/>
      <c r="K922" s="1"/>
      <c r="L922" s="32"/>
      <c r="M922" s="32"/>
      <c r="N922" s="32"/>
      <c r="O922" s="51"/>
      <c r="P922" s="51"/>
    </row>
    <row r="923" spans="2:16" x14ac:dyDescent="0.25">
      <c r="B923" s="32">
        <v>908</v>
      </c>
      <c r="C923" s="229"/>
      <c r="D923" s="229"/>
      <c r="E923" s="229"/>
      <c r="F923" s="229"/>
      <c r="G923" s="229"/>
      <c r="H923" s="229"/>
      <c r="I923" s="229"/>
      <c r="J923" s="32"/>
      <c r="K923" s="1"/>
      <c r="L923" s="32"/>
      <c r="M923" s="32"/>
      <c r="N923" s="32"/>
      <c r="O923" s="51"/>
      <c r="P923" s="51"/>
    </row>
    <row r="924" spans="2:16" x14ac:dyDescent="0.25">
      <c r="B924" s="32">
        <v>909</v>
      </c>
      <c r="C924" s="229"/>
      <c r="D924" s="229"/>
      <c r="E924" s="229"/>
      <c r="F924" s="229"/>
      <c r="G924" s="229"/>
      <c r="H924" s="229"/>
      <c r="I924" s="229"/>
      <c r="J924" s="32"/>
      <c r="K924" s="1"/>
      <c r="L924" s="32"/>
      <c r="M924" s="32"/>
      <c r="N924" s="32"/>
      <c r="O924" s="51"/>
      <c r="P924" s="51"/>
    </row>
    <row r="925" spans="2:16" x14ac:dyDescent="0.25">
      <c r="B925" s="32">
        <v>910</v>
      </c>
      <c r="C925" s="229"/>
      <c r="D925" s="229"/>
      <c r="E925" s="229"/>
      <c r="F925" s="229"/>
      <c r="G925" s="229"/>
      <c r="H925" s="229"/>
      <c r="I925" s="229"/>
      <c r="J925" s="32"/>
      <c r="K925" s="1"/>
      <c r="L925" s="32"/>
      <c r="M925" s="32"/>
      <c r="N925" s="32"/>
      <c r="O925" s="51"/>
      <c r="P925" s="51"/>
    </row>
    <row r="926" spans="2:16" x14ac:dyDescent="0.25">
      <c r="B926" s="32">
        <v>911</v>
      </c>
      <c r="C926" s="229"/>
      <c r="D926" s="229"/>
      <c r="E926" s="229"/>
      <c r="F926" s="229"/>
      <c r="G926" s="229"/>
      <c r="H926" s="229"/>
      <c r="I926" s="229"/>
      <c r="J926" s="32"/>
      <c r="K926" s="1"/>
      <c r="L926" s="32"/>
      <c r="M926" s="32"/>
      <c r="N926" s="32"/>
      <c r="O926" s="51"/>
      <c r="P926" s="51"/>
    </row>
    <row r="927" spans="2:16" x14ac:dyDescent="0.25">
      <c r="B927" s="32">
        <v>912</v>
      </c>
      <c r="C927" s="229"/>
      <c r="D927" s="229"/>
      <c r="E927" s="229"/>
      <c r="F927" s="229"/>
      <c r="G927" s="229"/>
      <c r="H927" s="229"/>
      <c r="I927" s="229"/>
      <c r="J927" s="32"/>
      <c r="K927" s="1"/>
      <c r="L927" s="32"/>
      <c r="M927" s="32"/>
      <c r="N927" s="32"/>
      <c r="O927" s="51"/>
      <c r="P927" s="51"/>
    </row>
    <row r="928" spans="2:16" x14ac:dyDescent="0.25">
      <c r="B928" s="32">
        <v>913</v>
      </c>
      <c r="C928" s="229"/>
      <c r="D928" s="229"/>
      <c r="E928" s="229"/>
      <c r="F928" s="229"/>
      <c r="G928" s="229"/>
      <c r="H928" s="229"/>
      <c r="I928" s="229"/>
      <c r="J928" s="32"/>
      <c r="K928" s="1"/>
      <c r="L928" s="32"/>
      <c r="M928" s="32"/>
      <c r="N928" s="32"/>
      <c r="O928" s="51"/>
      <c r="P928" s="51"/>
    </row>
    <row r="929" spans="2:16" x14ac:dyDescent="0.25">
      <c r="B929" s="32">
        <v>914</v>
      </c>
      <c r="C929" s="229"/>
      <c r="D929" s="229"/>
      <c r="E929" s="229"/>
      <c r="F929" s="229"/>
      <c r="G929" s="229"/>
      <c r="H929" s="229"/>
      <c r="I929" s="229"/>
      <c r="J929" s="32"/>
      <c r="K929" s="1"/>
      <c r="L929" s="32"/>
      <c r="M929" s="32"/>
      <c r="N929" s="32"/>
      <c r="O929" s="51"/>
      <c r="P929" s="51"/>
    </row>
    <row r="930" spans="2:16" x14ac:dyDescent="0.25">
      <c r="B930" s="32">
        <v>915</v>
      </c>
      <c r="C930" s="229"/>
      <c r="D930" s="229"/>
      <c r="E930" s="229"/>
      <c r="F930" s="229"/>
      <c r="G930" s="229"/>
      <c r="H930" s="229"/>
      <c r="I930" s="229"/>
      <c r="J930" s="32"/>
      <c r="K930" s="1"/>
      <c r="L930" s="32"/>
      <c r="M930" s="32"/>
      <c r="N930" s="32"/>
      <c r="O930" s="51"/>
      <c r="P930" s="51"/>
    </row>
    <row r="931" spans="2:16" x14ac:dyDescent="0.25">
      <c r="B931" s="32">
        <v>916</v>
      </c>
      <c r="C931" s="229"/>
      <c r="D931" s="229"/>
      <c r="E931" s="229"/>
      <c r="F931" s="229"/>
      <c r="G931" s="229"/>
      <c r="H931" s="229"/>
      <c r="I931" s="229"/>
      <c r="J931" s="32"/>
      <c r="K931" s="1"/>
      <c r="L931" s="32"/>
      <c r="M931" s="32"/>
      <c r="N931" s="32"/>
      <c r="O931" s="51"/>
      <c r="P931" s="51"/>
    </row>
    <row r="932" spans="2:16" x14ac:dyDescent="0.25">
      <c r="B932" s="32">
        <v>917</v>
      </c>
      <c r="C932" s="229"/>
      <c r="D932" s="229"/>
      <c r="E932" s="229"/>
      <c r="F932" s="229"/>
      <c r="G932" s="229"/>
      <c r="H932" s="229"/>
      <c r="I932" s="229"/>
      <c r="J932" s="32"/>
      <c r="K932" s="1"/>
      <c r="L932" s="32"/>
      <c r="M932" s="32"/>
      <c r="N932" s="32"/>
      <c r="O932" s="51"/>
      <c r="P932" s="51"/>
    </row>
    <row r="933" spans="2:16" x14ac:dyDescent="0.25">
      <c r="B933" s="32">
        <v>918</v>
      </c>
      <c r="C933" s="229"/>
      <c r="D933" s="229"/>
      <c r="E933" s="229"/>
      <c r="F933" s="229"/>
      <c r="G933" s="229"/>
      <c r="H933" s="229"/>
      <c r="I933" s="229"/>
      <c r="J933" s="32"/>
      <c r="K933" s="1"/>
      <c r="L933" s="32"/>
      <c r="M933" s="32"/>
      <c r="N933" s="32"/>
      <c r="O933" s="51"/>
      <c r="P933" s="51"/>
    </row>
    <row r="934" spans="2:16" x14ac:dyDescent="0.25">
      <c r="B934" s="32">
        <v>919</v>
      </c>
      <c r="C934" s="229"/>
      <c r="D934" s="229"/>
      <c r="E934" s="229"/>
      <c r="F934" s="229"/>
      <c r="G934" s="229"/>
      <c r="H934" s="229"/>
      <c r="I934" s="229"/>
      <c r="J934" s="32"/>
      <c r="K934" s="1"/>
      <c r="L934" s="32"/>
      <c r="M934" s="32"/>
      <c r="N934" s="32"/>
      <c r="O934" s="51"/>
      <c r="P934" s="51"/>
    </row>
    <row r="935" spans="2:16" x14ac:dyDescent="0.25">
      <c r="B935" s="32">
        <v>920</v>
      </c>
      <c r="C935" s="229"/>
      <c r="D935" s="229"/>
      <c r="E935" s="229"/>
      <c r="F935" s="229"/>
      <c r="G935" s="229"/>
      <c r="H935" s="229"/>
      <c r="I935" s="229"/>
      <c r="J935" s="32"/>
      <c r="K935" s="1"/>
      <c r="L935" s="32"/>
      <c r="M935" s="32"/>
      <c r="N935" s="32"/>
      <c r="O935" s="51"/>
      <c r="P935" s="51"/>
    </row>
    <row r="936" spans="2:16" x14ac:dyDescent="0.25">
      <c r="B936" s="32">
        <v>921</v>
      </c>
      <c r="C936" s="229"/>
      <c r="D936" s="229"/>
      <c r="E936" s="229"/>
      <c r="F936" s="229"/>
      <c r="G936" s="229"/>
      <c r="H936" s="229"/>
      <c r="I936" s="229"/>
      <c r="J936" s="32"/>
      <c r="K936" s="1"/>
      <c r="L936" s="32"/>
      <c r="M936" s="32"/>
      <c r="N936" s="32"/>
      <c r="O936" s="51"/>
      <c r="P936" s="51"/>
    </row>
    <row r="937" spans="2:16" x14ac:dyDescent="0.25">
      <c r="B937" s="32">
        <v>922</v>
      </c>
      <c r="C937" s="229"/>
      <c r="D937" s="229"/>
      <c r="E937" s="229"/>
      <c r="F937" s="229"/>
      <c r="G937" s="229"/>
      <c r="H937" s="229"/>
      <c r="I937" s="229"/>
      <c r="J937" s="32"/>
      <c r="K937" s="1"/>
      <c r="L937" s="32"/>
      <c r="M937" s="32"/>
      <c r="N937" s="32"/>
      <c r="O937" s="51"/>
      <c r="P937" s="51"/>
    </row>
    <row r="938" spans="2:16" x14ac:dyDescent="0.25">
      <c r="B938" s="32">
        <v>923</v>
      </c>
      <c r="C938" s="229"/>
      <c r="D938" s="229"/>
      <c r="E938" s="229"/>
      <c r="F938" s="229"/>
      <c r="G938" s="229"/>
      <c r="H938" s="229"/>
      <c r="I938" s="229"/>
      <c r="J938" s="32"/>
      <c r="K938" s="1"/>
      <c r="L938" s="32"/>
      <c r="M938" s="32"/>
      <c r="N938" s="32"/>
      <c r="O938" s="51"/>
      <c r="P938" s="51"/>
    </row>
    <row r="939" spans="2:16" x14ac:dyDescent="0.25">
      <c r="B939" s="32">
        <v>924</v>
      </c>
      <c r="C939" s="229"/>
      <c r="D939" s="229"/>
      <c r="E939" s="229"/>
      <c r="F939" s="229"/>
      <c r="G939" s="229"/>
      <c r="H939" s="229"/>
      <c r="I939" s="229"/>
      <c r="J939" s="32"/>
      <c r="K939" s="1"/>
      <c r="L939" s="32"/>
      <c r="M939" s="32"/>
      <c r="N939" s="32"/>
      <c r="O939" s="51"/>
      <c r="P939" s="51"/>
    </row>
    <row r="940" spans="2:16" x14ac:dyDescent="0.25">
      <c r="B940" s="32">
        <v>925</v>
      </c>
      <c r="C940" s="229"/>
      <c r="D940" s="229"/>
      <c r="E940" s="229"/>
      <c r="F940" s="229"/>
      <c r="G940" s="229"/>
      <c r="H940" s="229"/>
      <c r="I940" s="229"/>
      <c r="J940" s="32"/>
      <c r="K940" s="1"/>
      <c r="L940" s="32"/>
      <c r="M940" s="32"/>
      <c r="N940" s="32"/>
      <c r="O940" s="51"/>
      <c r="P940" s="51"/>
    </row>
    <row r="941" spans="2:16" x14ac:dyDescent="0.25">
      <c r="B941" s="32">
        <v>926</v>
      </c>
      <c r="C941" s="229"/>
      <c r="D941" s="229"/>
      <c r="E941" s="229"/>
      <c r="F941" s="229"/>
      <c r="G941" s="229"/>
      <c r="H941" s="229"/>
      <c r="I941" s="229"/>
      <c r="J941" s="32"/>
      <c r="K941" s="1"/>
      <c r="L941" s="32"/>
      <c r="M941" s="32"/>
      <c r="N941" s="32"/>
      <c r="O941" s="51"/>
      <c r="P941" s="51"/>
    </row>
    <row r="942" spans="2:16" x14ac:dyDescent="0.25">
      <c r="B942" s="32">
        <v>927</v>
      </c>
      <c r="C942" s="229"/>
      <c r="D942" s="229"/>
      <c r="E942" s="229"/>
      <c r="F942" s="229"/>
      <c r="G942" s="229"/>
      <c r="H942" s="229"/>
      <c r="I942" s="229"/>
      <c r="J942" s="32"/>
      <c r="K942" s="1"/>
      <c r="L942" s="32"/>
      <c r="M942" s="32"/>
      <c r="N942" s="32"/>
      <c r="O942" s="51"/>
      <c r="P942" s="51"/>
    </row>
    <row r="943" spans="2:16" x14ac:dyDescent="0.25">
      <c r="B943" s="32">
        <v>928</v>
      </c>
      <c r="C943" s="229"/>
      <c r="D943" s="229"/>
      <c r="E943" s="229"/>
      <c r="F943" s="229"/>
      <c r="G943" s="229"/>
      <c r="H943" s="229"/>
      <c r="I943" s="229"/>
      <c r="J943" s="32"/>
      <c r="K943" s="1"/>
      <c r="L943" s="32"/>
      <c r="M943" s="32"/>
      <c r="N943" s="32"/>
      <c r="O943" s="51"/>
      <c r="P943" s="51"/>
    </row>
    <row r="944" spans="2:16" x14ac:dyDescent="0.25">
      <c r="B944" s="32">
        <v>929</v>
      </c>
      <c r="C944" s="229"/>
      <c r="D944" s="229"/>
      <c r="E944" s="229"/>
      <c r="F944" s="229"/>
      <c r="G944" s="229"/>
      <c r="H944" s="229"/>
      <c r="I944" s="229"/>
      <c r="J944" s="32"/>
      <c r="K944" s="1"/>
      <c r="L944" s="32"/>
      <c r="M944" s="32"/>
      <c r="N944" s="32"/>
      <c r="O944" s="51"/>
      <c r="P944" s="51"/>
    </row>
    <row r="945" spans="2:16" x14ac:dyDescent="0.25">
      <c r="B945" s="32">
        <v>930</v>
      </c>
      <c r="C945" s="229"/>
      <c r="D945" s="229"/>
      <c r="E945" s="229"/>
      <c r="F945" s="229"/>
      <c r="G945" s="229"/>
      <c r="H945" s="229"/>
      <c r="I945" s="229"/>
      <c r="J945" s="32"/>
      <c r="K945" s="1"/>
      <c r="L945" s="32"/>
      <c r="M945" s="32"/>
      <c r="N945" s="32"/>
      <c r="O945" s="51"/>
      <c r="P945" s="51"/>
    </row>
    <row r="946" spans="2:16" x14ac:dyDescent="0.25">
      <c r="B946" s="32">
        <v>931</v>
      </c>
      <c r="C946" s="229"/>
      <c r="D946" s="229"/>
      <c r="E946" s="229"/>
      <c r="F946" s="229"/>
      <c r="G946" s="229"/>
      <c r="H946" s="229"/>
      <c r="I946" s="229"/>
      <c r="J946" s="32"/>
      <c r="K946" s="1"/>
      <c r="L946" s="32"/>
      <c r="M946" s="32"/>
      <c r="N946" s="32"/>
      <c r="O946" s="51"/>
      <c r="P946" s="51"/>
    </row>
    <row r="947" spans="2:16" x14ac:dyDescent="0.25">
      <c r="B947" s="32">
        <v>932</v>
      </c>
      <c r="C947" s="229"/>
      <c r="D947" s="229"/>
      <c r="E947" s="229"/>
      <c r="F947" s="229"/>
      <c r="G947" s="229"/>
      <c r="H947" s="229"/>
      <c r="I947" s="229"/>
      <c r="J947" s="32"/>
      <c r="K947" s="1"/>
      <c r="L947" s="32"/>
      <c r="M947" s="32"/>
      <c r="N947" s="32"/>
      <c r="O947" s="51"/>
      <c r="P947" s="51"/>
    </row>
    <row r="948" spans="2:16" x14ac:dyDescent="0.25">
      <c r="B948" s="32">
        <v>933</v>
      </c>
      <c r="C948" s="229"/>
      <c r="D948" s="229"/>
      <c r="E948" s="229"/>
      <c r="F948" s="229"/>
      <c r="G948" s="229"/>
      <c r="H948" s="229"/>
      <c r="I948" s="229"/>
      <c r="J948" s="32"/>
      <c r="K948" s="1"/>
      <c r="L948" s="32"/>
      <c r="M948" s="32"/>
      <c r="N948" s="32"/>
      <c r="O948" s="51"/>
      <c r="P948" s="51"/>
    </row>
    <row r="949" spans="2:16" x14ac:dyDescent="0.25">
      <c r="B949" s="32">
        <v>934</v>
      </c>
      <c r="C949" s="229"/>
      <c r="D949" s="229"/>
      <c r="E949" s="229"/>
      <c r="F949" s="229"/>
      <c r="G949" s="229"/>
      <c r="H949" s="229"/>
      <c r="I949" s="229"/>
      <c r="J949" s="32"/>
      <c r="K949" s="1"/>
      <c r="L949" s="32"/>
      <c r="M949" s="32"/>
      <c r="N949" s="32"/>
      <c r="O949" s="51"/>
      <c r="P949" s="51"/>
    </row>
    <row r="950" spans="2:16" x14ac:dyDescent="0.25">
      <c r="B950" s="32">
        <v>935</v>
      </c>
      <c r="C950" s="229"/>
      <c r="D950" s="229"/>
      <c r="E950" s="229"/>
      <c r="F950" s="229"/>
      <c r="G950" s="229"/>
      <c r="H950" s="229"/>
      <c r="I950" s="229"/>
      <c r="J950" s="32"/>
      <c r="K950" s="1"/>
      <c r="L950" s="32"/>
      <c r="M950" s="32"/>
      <c r="N950" s="32"/>
      <c r="O950" s="51"/>
      <c r="P950" s="51"/>
    </row>
    <row r="951" spans="2:16" x14ac:dyDescent="0.25">
      <c r="B951" s="32">
        <v>936</v>
      </c>
      <c r="C951" s="229"/>
      <c r="D951" s="229"/>
      <c r="E951" s="229"/>
      <c r="F951" s="229"/>
      <c r="G951" s="229"/>
      <c r="H951" s="229"/>
      <c r="I951" s="229"/>
      <c r="J951" s="32"/>
      <c r="K951" s="1"/>
      <c r="L951" s="32"/>
      <c r="M951" s="32"/>
      <c r="N951" s="32"/>
      <c r="O951" s="51"/>
      <c r="P951" s="51"/>
    </row>
    <row r="952" spans="2:16" x14ac:dyDescent="0.25">
      <c r="B952" s="32">
        <v>937</v>
      </c>
      <c r="C952" s="229"/>
      <c r="D952" s="229"/>
      <c r="E952" s="229"/>
      <c r="F952" s="229"/>
      <c r="G952" s="229"/>
      <c r="H952" s="229"/>
      <c r="I952" s="229"/>
      <c r="J952" s="32"/>
      <c r="K952" s="1"/>
      <c r="L952" s="32"/>
      <c r="M952" s="32"/>
      <c r="N952" s="32"/>
      <c r="O952" s="51"/>
      <c r="P952" s="51"/>
    </row>
    <row r="953" spans="2:16" x14ac:dyDescent="0.25">
      <c r="B953" s="32">
        <v>938</v>
      </c>
      <c r="C953" s="229"/>
      <c r="D953" s="229"/>
      <c r="E953" s="229"/>
      <c r="F953" s="229"/>
      <c r="G953" s="229"/>
      <c r="H953" s="229"/>
      <c r="I953" s="229"/>
      <c r="J953" s="32"/>
      <c r="K953" s="1"/>
      <c r="L953" s="32"/>
      <c r="M953" s="32"/>
      <c r="N953" s="32"/>
      <c r="O953" s="51"/>
      <c r="P953" s="51"/>
    </row>
    <row r="954" spans="2:16" x14ac:dyDescent="0.25">
      <c r="B954" s="32">
        <v>939</v>
      </c>
      <c r="C954" s="229"/>
      <c r="D954" s="229"/>
      <c r="E954" s="229"/>
      <c r="F954" s="229"/>
      <c r="G954" s="229"/>
      <c r="H954" s="229"/>
      <c r="I954" s="229"/>
      <c r="J954" s="32"/>
      <c r="K954" s="1"/>
      <c r="L954" s="32"/>
      <c r="M954" s="32"/>
      <c r="N954" s="32"/>
      <c r="O954" s="51"/>
      <c r="P954" s="51"/>
    </row>
    <row r="955" spans="2:16" x14ac:dyDescent="0.25">
      <c r="B955" s="32">
        <v>940</v>
      </c>
      <c r="C955" s="229"/>
      <c r="D955" s="229"/>
      <c r="E955" s="229"/>
      <c r="F955" s="229"/>
      <c r="G955" s="229"/>
      <c r="H955" s="229"/>
      <c r="I955" s="229"/>
      <c r="J955" s="32"/>
      <c r="K955" s="1"/>
      <c r="L955" s="32"/>
      <c r="M955" s="32"/>
      <c r="N955" s="32"/>
      <c r="O955" s="51"/>
      <c r="P955" s="51"/>
    </row>
    <row r="956" spans="2:16" x14ac:dyDescent="0.25">
      <c r="B956" s="32">
        <v>941</v>
      </c>
      <c r="C956" s="229"/>
      <c r="D956" s="229"/>
      <c r="E956" s="229"/>
      <c r="F956" s="229"/>
      <c r="G956" s="229"/>
      <c r="H956" s="229"/>
      <c r="I956" s="229"/>
      <c r="J956" s="32"/>
      <c r="K956" s="1"/>
      <c r="L956" s="32"/>
      <c r="M956" s="32"/>
      <c r="N956" s="32"/>
      <c r="O956" s="51"/>
      <c r="P956" s="51"/>
    </row>
    <row r="957" spans="2:16" x14ac:dyDescent="0.25">
      <c r="B957" s="32">
        <v>942</v>
      </c>
      <c r="C957" s="229"/>
      <c r="D957" s="229"/>
      <c r="E957" s="229"/>
      <c r="F957" s="229"/>
      <c r="G957" s="229"/>
      <c r="H957" s="229"/>
      <c r="I957" s="229"/>
      <c r="J957" s="32"/>
      <c r="K957" s="1"/>
      <c r="L957" s="32"/>
      <c r="M957" s="32"/>
      <c r="N957" s="32"/>
      <c r="O957" s="51"/>
      <c r="P957" s="51"/>
    </row>
    <row r="958" spans="2:16" x14ac:dyDescent="0.25">
      <c r="B958" s="32">
        <v>943</v>
      </c>
      <c r="C958" s="229"/>
      <c r="D958" s="229"/>
      <c r="E958" s="229"/>
      <c r="F958" s="229"/>
      <c r="G958" s="229"/>
      <c r="H958" s="229"/>
      <c r="I958" s="229"/>
      <c r="J958" s="32"/>
      <c r="K958" s="1"/>
      <c r="L958" s="32"/>
      <c r="M958" s="32"/>
      <c r="N958" s="32"/>
      <c r="O958" s="51"/>
      <c r="P958" s="51"/>
    </row>
    <row r="959" spans="2:16" x14ac:dyDescent="0.25">
      <c r="B959" s="32">
        <v>944</v>
      </c>
      <c r="C959" s="229"/>
      <c r="D959" s="229"/>
      <c r="E959" s="229"/>
      <c r="F959" s="229"/>
      <c r="G959" s="229"/>
      <c r="H959" s="229"/>
      <c r="I959" s="229"/>
      <c r="J959" s="32"/>
      <c r="K959" s="1"/>
      <c r="L959" s="32"/>
      <c r="M959" s="32"/>
      <c r="N959" s="32"/>
      <c r="O959" s="51"/>
      <c r="P959" s="51"/>
    </row>
    <row r="960" spans="2:16" x14ac:dyDescent="0.25">
      <c r="B960" s="32">
        <v>945</v>
      </c>
      <c r="C960" s="229"/>
      <c r="D960" s="229"/>
      <c r="E960" s="229"/>
      <c r="F960" s="229"/>
      <c r="G960" s="229"/>
      <c r="H960" s="229"/>
      <c r="I960" s="229"/>
      <c r="J960" s="32"/>
      <c r="K960" s="1"/>
      <c r="L960" s="32"/>
      <c r="M960" s="32"/>
      <c r="N960" s="32"/>
      <c r="O960" s="51"/>
      <c r="P960" s="51"/>
    </row>
    <row r="961" spans="2:16" x14ac:dyDescent="0.25">
      <c r="B961" s="32">
        <v>946</v>
      </c>
      <c r="C961" s="229"/>
      <c r="D961" s="229"/>
      <c r="E961" s="229"/>
      <c r="F961" s="229"/>
      <c r="G961" s="229"/>
      <c r="H961" s="229"/>
      <c r="I961" s="229"/>
      <c r="J961" s="32"/>
      <c r="K961" s="1"/>
      <c r="L961" s="32"/>
      <c r="M961" s="32"/>
      <c r="N961" s="32"/>
      <c r="O961" s="51"/>
      <c r="P961" s="51"/>
    </row>
    <row r="962" spans="2:16" x14ac:dyDescent="0.25">
      <c r="B962" s="32">
        <v>947</v>
      </c>
      <c r="C962" s="229"/>
      <c r="D962" s="229"/>
      <c r="E962" s="229"/>
      <c r="F962" s="229"/>
      <c r="G962" s="229"/>
      <c r="H962" s="229"/>
      <c r="I962" s="229"/>
      <c r="J962" s="32"/>
      <c r="K962" s="1"/>
      <c r="L962" s="32"/>
      <c r="M962" s="32"/>
      <c r="N962" s="32"/>
      <c r="O962" s="51"/>
      <c r="P962" s="51"/>
    </row>
    <row r="963" spans="2:16" x14ac:dyDescent="0.25">
      <c r="B963" s="32">
        <v>948</v>
      </c>
      <c r="C963" s="229"/>
      <c r="D963" s="229"/>
      <c r="E963" s="229"/>
      <c r="F963" s="229"/>
      <c r="G963" s="229"/>
      <c r="H963" s="229"/>
      <c r="I963" s="229"/>
      <c r="J963" s="32"/>
      <c r="K963" s="1"/>
      <c r="L963" s="32"/>
      <c r="M963" s="32"/>
      <c r="N963" s="32"/>
      <c r="O963" s="51"/>
      <c r="P963" s="51"/>
    </row>
    <row r="964" spans="2:16" x14ac:dyDescent="0.25">
      <c r="B964" s="32">
        <v>949</v>
      </c>
      <c r="C964" s="229"/>
      <c r="D964" s="229"/>
      <c r="E964" s="229"/>
      <c r="F964" s="229"/>
      <c r="G964" s="229"/>
      <c r="H964" s="229"/>
      <c r="I964" s="229"/>
      <c r="J964" s="32"/>
      <c r="K964" s="1"/>
      <c r="L964" s="32"/>
      <c r="M964" s="32"/>
      <c r="N964" s="32"/>
      <c r="O964" s="51"/>
      <c r="P964" s="51"/>
    </row>
    <row r="965" spans="2:16" x14ac:dyDescent="0.25">
      <c r="B965" s="32">
        <v>950</v>
      </c>
      <c r="C965" s="229"/>
      <c r="D965" s="229"/>
      <c r="E965" s="229"/>
      <c r="F965" s="229"/>
      <c r="G965" s="229"/>
      <c r="H965" s="229"/>
      <c r="I965" s="229"/>
      <c r="J965" s="32"/>
      <c r="K965" s="1"/>
      <c r="L965" s="32"/>
      <c r="M965" s="32"/>
      <c r="N965" s="32"/>
      <c r="O965" s="51"/>
      <c r="P965" s="51"/>
    </row>
    <row r="966" spans="2:16" x14ac:dyDescent="0.25">
      <c r="B966" s="32">
        <v>951</v>
      </c>
      <c r="C966" s="229"/>
      <c r="D966" s="229"/>
      <c r="E966" s="229"/>
      <c r="F966" s="229"/>
      <c r="G966" s="229"/>
      <c r="H966" s="229"/>
      <c r="I966" s="229"/>
      <c r="J966" s="32"/>
      <c r="K966" s="1"/>
      <c r="L966" s="32"/>
      <c r="M966" s="32"/>
      <c r="N966" s="32"/>
      <c r="O966" s="51"/>
      <c r="P966" s="51"/>
    </row>
    <row r="967" spans="2:16" x14ac:dyDescent="0.25">
      <c r="B967" s="32">
        <v>952</v>
      </c>
      <c r="C967" s="229"/>
      <c r="D967" s="229"/>
      <c r="E967" s="229"/>
      <c r="F967" s="229"/>
      <c r="G967" s="229"/>
      <c r="H967" s="229"/>
      <c r="I967" s="229"/>
      <c r="J967" s="32"/>
      <c r="K967" s="1"/>
      <c r="L967" s="32"/>
      <c r="M967" s="32"/>
      <c r="N967" s="32"/>
      <c r="O967" s="51"/>
      <c r="P967" s="51"/>
    </row>
    <row r="968" spans="2:16" x14ac:dyDescent="0.25">
      <c r="B968" s="32">
        <v>953</v>
      </c>
      <c r="C968" s="229"/>
      <c r="D968" s="229"/>
      <c r="E968" s="229"/>
      <c r="F968" s="229"/>
      <c r="G968" s="229"/>
      <c r="H968" s="229"/>
      <c r="I968" s="229"/>
      <c r="J968" s="32"/>
      <c r="K968" s="1"/>
      <c r="L968" s="32"/>
      <c r="M968" s="32"/>
      <c r="N968" s="32"/>
      <c r="O968" s="51"/>
      <c r="P968" s="51"/>
    </row>
    <row r="969" spans="2:16" x14ac:dyDescent="0.25">
      <c r="B969" s="32">
        <v>954</v>
      </c>
      <c r="C969" s="229"/>
      <c r="D969" s="229"/>
      <c r="E969" s="229"/>
      <c r="F969" s="229"/>
      <c r="G969" s="229"/>
      <c r="H969" s="229"/>
      <c r="I969" s="229"/>
      <c r="J969" s="32"/>
      <c r="K969" s="1"/>
      <c r="L969" s="32"/>
      <c r="M969" s="32"/>
      <c r="N969" s="32"/>
      <c r="O969" s="51"/>
      <c r="P969" s="51"/>
    </row>
    <row r="970" spans="2:16" x14ac:dyDescent="0.25">
      <c r="B970" s="32">
        <v>955</v>
      </c>
      <c r="C970" s="229"/>
      <c r="D970" s="229"/>
      <c r="E970" s="229"/>
      <c r="F970" s="229"/>
      <c r="G970" s="229"/>
      <c r="H970" s="229"/>
      <c r="I970" s="229"/>
      <c r="J970" s="32"/>
      <c r="K970" s="1"/>
      <c r="L970" s="32"/>
      <c r="M970" s="32"/>
      <c r="N970" s="32"/>
      <c r="O970" s="51"/>
      <c r="P970" s="51"/>
    </row>
    <row r="971" spans="2:16" x14ac:dyDescent="0.25">
      <c r="B971" s="32">
        <v>956</v>
      </c>
      <c r="C971" s="229"/>
      <c r="D971" s="229"/>
      <c r="E971" s="229"/>
      <c r="F971" s="229"/>
      <c r="G971" s="229"/>
      <c r="H971" s="229"/>
      <c r="I971" s="229"/>
      <c r="J971" s="32"/>
      <c r="K971" s="1"/>
      <c r="L971" s="32"/>
      <c r="M971" s="32"/>
      <c r="N971" s="32"/>
      <c r="O971" s="51"/>
      <c r="P971" s="51"/>
    </row>
    <row r="972" spans="2:16" x14ac:dyDescent="0.25">
      <c r="B972" s="32">
        <v>957</v>
      </c>
      <c r="C972" s="229"/>
      <c r="D972" s="229"/>
      <c r="E972" s="229"/>
      <c r="F972" s="229"/>
      <c r="G972" s="229"/>
      <c r="H972" s="229"/>
      <c r="I972" s="229"/>
      <c r="J972" s="32"/>
      <c r="K972" s="1"/>
      <c r="L972" s="32"/>
      <c r="M972" s="32"/>
      <c r="N972" s="32"/>
      <c r="O972" s="51"/>
      <c r="P972" s="51"/>
    </row>
    <row r="973" spans="2:16" x14ac:dyDescent="0.25">
      <c r="B973" s="32">
        <v>958</v>
      </c>
      <c r="C973" s="229"/>
      <c r="D973" s="229"/>
      <c r="E973" s="229"/>
      <c r="F973" s="229"/>
      <c r="G973" s="229"/>
      <c r="H973" s="229"/>
      <c r="I973" s="229"/>
      <c r="J973" s="32"/>
      <c r="K973" s="1"/>
      <c r="L973" s="32"/>
      <c r="M973" s="32"/>
      <c r="N973" s="32"/>
      <c r="O973" s="51"/>
      <c r="P973" s="51"/>
    </row>
    <row r="974" spans="2:16" x14ac:dyDescent="0.25">
      <c r="B974" s="32">
        <v>959</v>
      </c>
      <c r="C974" s="229"/>
      <c r="D974" s="229"/>
      <c r="E974" s="229"/>
      <c r="F974" s="229"/>
      <c r="G974" s="229"/>
      <c r="H974" s="229"/>
      <c r="I974" s="229"/>
      <c r="J974" s="32"/>
      <c r="K974" s="1"/>
      <c r="L974" s="32"/>
      <c r="M974" s="32"/>
      <c r="N974" s="32"/>
      <c r="O974" s="51"/>
      <c r="P974" s="51"/>
    </row>
    <row r="975" spans="2:16" x14ac:dyDescent="0.25">
      <c r="B975" s="32">
        <v>960</v>
      </c>
      <c r="C975" s="229"/>
      <c r="D975" s="229"/>
      <c r="E975" s="229"/>
      <c r="F975" s="229"/>
      <c r="G975" s="229"/>
      <c r="H975" s="229"/>
      <c r="I975" s="229"/>
      <c r="J975" s="32"/>
      <c r="K975" s="1"/>
      <c r="L975" s="32"/>
      <c r="M975" s="32"/>
      <c r="N975" s="32"/>
      <c r="O975" s="51"/>
      <c r="P975" s="51"/>
    </row>
    <row r="976" spans="2:16" x14ac:dyDescent="0.25">
      <c r="B976" s="32">
        <v>961</v>
      </c>
      <c r="C976" s="229"/>
      <c r="D976" s="229"/>
      <c r="E976" s="229"/>
      <c r="F976" s="229"/>
      <c r="G976" s="229"/>
      <c r="H976" s="229"/>
      <c r="I976" s="229"/>
      <c r="J976" s="32"/>
      <c r="K976" s="1"/>
      <c r="L976" s="32"/>
      <c r="M976" s="32"/>
      <c r="N976" s="32"/>
      <c r="O976" s="51"/>
      <c r="P976" s="51"/>
    </row>
    <row r="977" spans="2:16" x14ac:dyDescent="0.25">
      <c r="B977" s="32">
        <v>962</v>
      </c>
      <c r="C977" s="229"/>
      <c r="D977" s="229"/>
      <c r="E977" s="229"/>
      <c r="F977" s="229"/>
      <c r="G977" s="229"/>
      <c r="H977" s="229"/>
      <c r="I977" s="229"/>
      <c r="J977" s="32"/>
      <c r="K977" s="1"/>
      <c r="L977" s="32"/>
      <c r="M977" s="32"/>
      <c r="N977" s="32"/>
      <c r="O977" s="51"/>
      <c r="P977" s="51"/>
    </row>
    <row r="978" spans="2:16" x14ac:dyDescent="0.25">
      <c r="B978" s="32">
        <v>963</v>
      </c>
      <c r="C978" s="229"/>
      <c r="D978" s="229"/>
      <c r="E978" s="229"/>
      <c r="F978" s="229"/>
      <c r="G978" s="229"/>
      <c r="H978" s="229"/>
      <c r="I978" s="229"/>
      <c r="J978" s="32"/>
      <c r="K978" s="1"/>
      <c r="L978" s="32"/>
      <c r="M978" s="32"/>
      <c r="N978" s="32"/>
      <c r="O978" s="51"/>
      <c r="P978" s="51"/>
    </row>
    <row r="979" spans="2:16" x14ac:dyDescent="0.25">
      <c r="B979" s="32">
        <v>964</v>
      </c>
      <c r="C979" s="229"/>
      <c r="D979" s="229"/>
      <c r="E979" s="229"/>
      <c r="F979" s="229"/>
      <c r="G979" s="229"/>
      <c r="H979" s="229"/>
      <c r="I979" s="229"/>
      <c r="J979" s="32"/>
      <c r="K979" s="1"/>
      <c r="L979" s="32"/>
      <c r="M979" s="32"/>
      <c r="N979" s="32"/>
      <c r="O979" s="51"/>
      <c r="P979" s="51"/>
    </row>
    <row r="980" spans="2:16" x14ac:dyDescent="0.25">
      <c r="B980" s="32">
        <v>965</v>
      </c>
      <c r="C980" s="229"/>
      <c r="D980" s="229"/>
      <c r="E980" s="229"/>
      <c r="F980" s="229"/>
      <c r="G980" s="229"/>
      <c r="H980" s="229"/>
      <c r="I980" s="229"/>
      <c r="J980" s="32"/>
      <c r="K980" s="1"/>
      <c r="L980" s="32"/>
      <c r="M980" s="32"/>
      <c r="N980" s="32"/>
      <c r="O980" s="51"/>
      <c r="P980" s="51"/>
    </row>
    <row r="981" spans="2:16" x14ac:dyDescent="0.25">
      <c r="B981" s="32">
        <v>966</v>
      </c>
      <c r="C981" s="229"/>
      <c r="D981" s="229"/>
      <c r="E981" s="229"/>
      <c r="F981" s="229"/>
      <c r="G981" s="229"/>
      <c r="H981" s="229"/>
      <c r="I981" s="229"/>
      <c r="J981" s="32"/>
      <c r="K981" s="1"/>
      <c r="L981" s="32"/>
      <c r="M981" s="32"/>
      <c r="N981" s="32"/>
      <c r="O981" s="51"/>
      <c r="P981" s="51"/>
    </row>
    <row r="982" spans="2:16" x14ac:dyDescent="0.25">
      <c r="B982" s="32">
        <v>967</v>
      </c>
      <c r="C982" s="229"/>
      <c r="D982" s="229"/>
      <c r="E982" s="229"/>
      <c r="F982" s="229"/>
      <c r="G982" s="229"/>
      <c r="H982" s="229"/>
      <c r="I982" s="229"/>
      <c r="J982" s="32"/>
      <c r="K982" s="1"/>
      <c r="L982" s="32"/>
      <c r="M982" s="32"/>
      <c r="N982" s="32"/>
      <c r="O982" s="51"/>
      <c r="P982" s="51"/>
    </row>
    <row r="983" spans="2:16" x14ac:dyDescent="0.25">
      <c r="B983" s="32">
        <v>968</v>
      </c>
      <c r="C983" s="229"/>
      <c r="D983" s="229"/>
      <c r="E983" s="229"/>
      <c r="F983" s="229"/>
      <c r="G983" s="229"/>
      <c r="H983" s="229"/>
      <c r="I983" s="229"/>
      <c r="J983" s="32"/>
      <c r="K983" s="1"/>
      <c r="L983" s="32"/>
      <c r="M983" s="32"/>
      <c r="N983" s="32"/>
      <c r="O983" s="51"/>
      <c r="P983" s="51"/>
    </row>
    <row r="984" spans="2:16" x14ac:dyDescent="0.25">
      <c r="B984" s="32">
        <v>969</v>
      </c>
      <c r="C984" s="229"/>
      <c r="D984" s="229"/>
      <c r="E984" s="229"/>
      <c r="F984" s="229"/>
      <c r="G984" s="229"/>
      <c r="H984" s="229"/>
      <c r="I984" s="229"/>
      <c r="J984" s="32"/>
      <c r="K984" s="1"/>
      <c r="L984" s="32"/>
      <c r="M984" s="32"/>
      <c r="N984" s="32"/>
      <c r="O984" s="51"/>
      <c r="P984" s="51"/>
    </row>
    <row r="985" spans="2:16" x14ac:dyDescent="0.25">
      <c r="B985" s="32">
        <v>970</v>
      </c>
      <c r="C985" s="229"/>
      <c r="D985" s="229"/>
      <c r="E985" s="229"/>
      <c r="F985" s="229"/>
      <c r="G985" s="229"/>
      <c r="H985" s="229"/>
      <c r="I985" s="229"/>
      <c r="J985" s="32"/>
      <c r="K985" s="1"/>
      <c r="L985" s="32"/>
      <c r="M985" s="32"/>
      <c r="N985" s="32"/>
      <c r="O985" s="51"/>
      <c r="P985" s="51"/>
    </row>
    <row r="986" spans="2:16" x14ac:dyDescent="0.25">
      <c r="B986" s="32">
        <v>971</v>
      </c>
      <c r="C986" s="229"/>
      <c r="D986" s="229"/>
      <c r="E986" s="229"/>
      <c r="F986" s="229"/>
      <c r="G986" s="229"/>
      <c r="H986" s="229"/>
      <c r="I986" s="229"/>
      <c r="J986" s="32"/>
      <c r="K986" s="1"/>
      <c r="L986" s="32"/>
      <c r="M986" s="32"/>
      <c r="N986" s="32"/>
      <c r="O986" s="51"/>
      <c r="P986" s="51"/>
    </row>
    <row r="987" spans="2:16" x14ac:dyDescent="0.25">
      <c r="B987" s="32">
        <v>972</v>
      </c>
      <c r="C987" s="229"/>
      <c r="D987" s="229"/>
      <c r="E987" s="229"/>
      <c r="F987" s="229"/>
      <c r="G987" s="229"/>
      <c r="H987" s="229"/>
      <c r="I987" s="229"/>
      <c r="J987" s="32"/>
      <c r="K987" s="1"/>
      <c r="L987" s="32"/>
      <c r="M987" s="32"/>
      <c r="N987" s="32"/>
      <c r="O987" s="51"/>
      <c r="P987" s="51"/>
    </row>
    <row r="988" spans="2:16" x14ac:dyDescent="0.25">
      <c r="B988" s="32">
        <v>973</v>
      </c>
      <c r="C988" s="229"/>
      <c r="D988" s="229"/>
      <c r="E988" s="229"/>
      <c r="F988" s="229"/>
      <c r="G988" s="229"/>
      <c r="H988" s="229"/>
      <c r="I988" s="229"/>
      <c r="J988" s="32"/>
      <c r="K988" s="1"/>
      <c r="L988" s="32"/>
      <c r="M988" s="32"/>
      <c r="N988" s="32"/>
      <c r="O988" s="51"/>
      <c r="P988" s="51"/>
    </row>
    <row r="989" spans="2:16" x14ac:dyDescent="0.25">
      <c r="B989" s="32">
        <v>974</v>
      </c>
      <c r="C989" s="229"/>
      <c r="D989" s="229"/>
      <c r="E989" s="229"/>
      <c r="F989" s="229"/>
      <c r="G989" s="229"/>
      <c r="H989" s="229"/>
      <c r="I989" s="229"/>
      <c r="J989" s="32"/>
      <c r="K989" s="1"/>
      <c r="L989" s="32"/>
      <c r="M989" s="32"/>
      <c r="N989" s="32"/>
      <c r="O989" s="51"/>
      <c r="P989" s="51"/>
    </row>
    <row r="990" spans="2:16" x14ac:dyDescent="0.25">
      <c r="B990" s="32">
        <v>975</v>
      </c>
      <c r="C990" s="229"/>
      <c r="D990" s="229"/>
      <c r="E990" s="229"/>
      <c r="F990" s="229"/>
      <c r="G990" s="229"/>
      <c r="H990" s="229"/>
      <c r="I990" s="229"/>
      <c r="J990" s="32"/>
      <c r="K990" s="1"/>
      <c r="L990" s="32"/>
      <c r="M990" s="32"/>
      <c r="N990" s="32"/>
      <c r="O990" s="51"/>
      <c r="P990" s="51"/>
    </row>
    <row r="991" spans="2:16" x14ac:dyDescent="0.25">
      <c r="B991" s="32">
        <v>976</v>
      </c>
      <c r="C991" s="229"/>
      <c r="D991" s="229"/>
      <c r="E991" s="229"/>
      <c r="F991" s="229"/>
      <c r="G991" s="229"/>
      <c r="H991" s="229"/>
      <c r="I991" s="229"/>
      <c r="J991" s="32"/>
      <c r="K991" s="1"/>
      <c r="L991" s="32"/>
      <c r="M991" s="32"/>
      <c r="N991" s="32"/>
      <c r="O991" s="51"/>
      <c r="P991" s="51"/>
    </row>
    <row r="992" spans="2:16" x14ac:dyDescent="0.25">
      <c r="B992" s="32">
        <v>977</v>
      </c>
      <c r="C992" s="229"/>
      <c r="D992" s="229"/>
      <c r="E992" s="229"/>
      <c r="F992" s="229"/>
      <c r="G992" s="229"/>
      <c r="H992" s="229"/>
      <c r="I992" s="229"/>
      <c r="J992" s="32"/>
      <c r="K992" s="1"/>
      <c r="L992" s="32"/>
      <c r="M992" s="32"/>
      <c r="N992" s="32"/>
      <c r="O992" s="51"/>
      <c r="P992" s="51"/>
    </row>
    <row r="993" spans="2:16" x14ac:dyDescent="0.25">
      <c r="B993" s="32">
        <v>978</v>
      </c>
      <c r="C993" s="229"/>
      <c r="D993" s="229"/>
      <c r="E993" s="229"/>
      <c r="F993" s="229"/>
      <c r="G993" s="229"/>
      <c r="H993" s="229"/>
      <c r="I993" s="229"/>
      <c r="J993" s="32"/>
      <c r="K993" s="1"/>
      <c r="L993" s="32"/>
      <c r="M993" s="32"/>
      <c r="N993" s="32"/>
      <c r="O993" s="51"/>
      <c r="P993" s="51"/>
    </row>
    <row r="994" spans="2:16" x14ac:dyDescent="0.25">
      <c r="B994" s="32">
        <v>979</v>
      </c>
      <c r="C994" s="229"/>
      <c r="D994" s="229"/>
      <c r="E994" s="229"/>
      <c r="F994" s="229"/>
      <c r="G994" s="229"/>
      <c r="H994" s="229"/>
      <c r="I994" s="229"/>
      <c r="J994" s="32"/>
      <c r="K994" s="1"/>
      <c r="L994" s="32"/>
      <c r="M994" s="32"/>
      <c r="N994" s="32"/>
      <c r="O994" s="51"/>
      <c r="P994" s="51"/>
    </row>
    <row r="995" spans="2:16" x14ac:dyDescent="0.25">
      <c r="B995" s="32">
        <v>980</v>
      </c>
      <c r="C995" s="229"/>
      <c r="D995" s="229"/>
      <c r="E995" s="229"/>
      <c r="F995" s="229"/>
      <c r="G995" s="229"/>
      <c r="H995" s="229"/>
      <c r="I995" s="229"/>
      <c r="J995" s="32"/>
      <c r="K995" s="1"/>
      <c r="L995" s="32"/>
      <c r="M995" s="32"/>
      <c r="N995" s="32"/>
      <c r="O995" s="51"/>
      <c r="P995" s="51"/>
    </row>
    <row r="996" spans="2:16" x14ac:dyDescent="0.25">
      <c r="B996" s="32">
        <v>981</v>
      </c>
      <c r="C996" s="229"/>
      <c r="D996" s="229"/>
      <c r="E996" s="229"/>
      <c r="F996" s="229"/>
      <c r="G996" s="229"/>
      <c r="H996" s="229"/>
      <c r="I996" s="229"/>
      <c r="J996" s="32"/>
      <c r="K996" s="1"/>
      <c r="L996" s="32"/>
      <c r="M996" s="32"/>
      <c r="N996" s="32"/>
      <c r="O996" s="51"/>
      <c r="P996" s="51"/>
    </row>
    <row r="997" spans="2:16" x14ac:dyDescent="0.25">
      <c r="B997" s="32">
        <v>982</v>
      </c>
      <c r="C997" s="229"/>
      <c r="D997" s="229"/>
      <c r="E997" s="229"/>
      <c r="F997" s="229"/>
      <c r="G997" s="229"/>
      <c r="H997" s="229"/>
      <c r="I997" s="229"/>
      <c r="J997" s="32"/>
      <c r="K997" s="1"/>
      <c r="L997" s="32"/>
      <c r="M997" s="32"/>
      <c r="N997" s="32"/>
      <c r="O997" s="51"/>
      <c r="P997" s="51"/>
    </row>
    <row r="998" spans="2:16" x14ac:dyDescent="0.25">
      <c r="B998" s="32">
        <v>983</v>
      </c>
      <c r="C998" s="229"/>
      <c r="D998" s="229"/>
      <c r="E998" s="229"/>
      <c r="F998" s="229"/>
      <c r="G998" s="229"/>
      <c r="H998" s="229"/>
      <c r="I998" s="229"/>
      <c r="J998" s="32"/>
      <c r="K998" s="1"/>
      <c r="L998" s="32"/>
      <c r="M998" s="32"/>
      <c r="N998" s="32"/>
      <c r="O998" s="51"/>
      <c r="P998" s="51"/>
    </row>
    <row r="999" spans="2:16" x14ac:dyDescent="0.25">
      <c r="B999" s="32">
        <v>984</v>
      </c>
      <c r="C999" s="229"/>
      <c r="D999" s="229"/>
      <c r="E999" s="229"/>
      <c r="F999" s="229"/>
      <c r="G999" s="229"/>
      <c r="H999" s="229"/>
      <c r="I999" s="229"/>
      <c r="J999" s="32"/>
      <c r="K999" s="1"/>
      <c r="L999" s="32"/>
      <c r="M999" s="32"/>
      <c r="N999" s="32"/>
      <c r="O999" s="51"/>
      <c r="P999" s="51"/>
    </row>
    <row r="1000" spans="2:16" x14ac:dyDescent="0.25">
      <c r="B1000" s="32">
        <v>985</v>
      </c>
      <c r="C1000" s="229"/>
      <c r="D1000" s="229"/>
      <c r="E1000" s="229"/>
      <c r="F1000" s="229"/>
      <c r="G1000" s="229"/>
      <c r="H1000" s="229"/>
      <c r="I1000" s="229"/>
      <c r="J1000" s="32"/>
      <c r="K1000" s="1"/>
      <c r="L1000" s="32"/>
      <c r="M1000" s="32"/>
      <c r="N1000" s="32"/>
      <c r="O1000" s="51"/>
      <c r="P1000" s="51"/>
    </row>
    <row r="1001" spans="2:16" x14ac:dyDescent="0.25">
      <c r="B1001" s="32">
        <v>986</v>
      </c>
      <c r="C1001" s="229"/>
      <c r="D1001" s="229"/>
      <c r="E1001" s="229"/>
      <c r="F1001" s="229"/>
      <c r="G1001" s="229"/>
      <c r="H1001" s="229"/>
      <c r="I1001" s="229"/>
      <c r="J1001" s="32"/>
      <c r="K1001" s="1"/>
      <c r="L1001" s="32"/>
      <c r="M1001" s="32"/>
      <c r="N1001" s="32"/>
      <c r="O1001" s="51"/>
      <c r="P1001" s="51"/>
    </row>
    <row r="1002" spans="2:16" x14ac:dyDescent="0.25">
      <c r="B1002" s="32">
        <v>987</v>
      </c>
      <c r="C1002" s="229"/>
      <c r="D1002" s="229"/>
      <c r="E1002" s="229"/>
      <c r="F1002" s="229"/>
      <c r="G1002" s="229"/>
      <c r="H1002" s="229"/>
      <c r="I1002" s="229"/>
      <c r="J1002" s="32"/>
      <c r="K1002" s="1"/>
      <c r="L1002" s="32"/>
      <c r="M1002" s="32"/>
      <c r="N1002" s="32"/>
      <c r="O1002" s="51"/>
      <c r="P1002" s="51"/>
    </row>
    <row r="1003" spans="2:16" x14ac:dyDescent="0.25">
      <c r="B1003" s="32">
        <v>988</v>
      </c>
      <c r="C1003" s="229"/>
      <c r="D1003" s="229"/>
      <c r="E1003" s="229"/>
      <c r="F1003" s="229"/>
      <c r="G1003" s="229"/>
      <c r="H1003" s="229"/>
      <c r="I1003" s="229"/>
      <c r="J1003" s="32"/>
      <c r="K1003" s="1"/>
      <c r="L1003" s="32"/>
      <c r="M1003" s="32"/>
      <c r="N1003" s="32"/>
      <c r="O1003" s="51"/>
      <c r="P1003" s="51"/>
    </row>
    <row r="1004" spans="2:16" x14ac:dyDescent="0.25">
      <c r="B1004" s="32">
        <v>989</v>
      </c>
      <c r="C1004" s="229"/>
      <c r="D1004" s="229"/>
      <c r="E1004" s="229"/>
      <c r="F1004" s="229"/>
      <c r="G1004" s="229"/>
      <c r="H1004" s="229"/>
      <c r="I1004" s="229"/>
      <c r="J1004" s="32"/>
      <c r="K1004" s="1"/>
      <c r="L1004" s="32"/>
      <c r="M1004" s="32"/>
      <c r="N1004" s="32"/>
      <c r="O1004" s="51"/>
      <c r="P1004" s="51"/>
    </row>
    <row r="1005" spans="2:16" x14ac:dyDescent="0.25">
      <c r="B1005" s="32">
        <v>990</v>
      </c>
      <c r="C1005" s="229"/>
      <c r="D1005" s="229"/>
      <c r="E1005" s="229"/>
      <c r="F1005" s="229"/>
      <c r="G1005" s="229"/>
      <c r="H1005" s="229"/>
      <c r="I1005" s="229"/>
      <c r="J1005" s="32"/>
      <c r="K1005" s="1"/>
      <c r="L1005" s="32"/>
      <c r="M1005" s="32"/>
      <c r="N1005" s="32"/>
      <c r="O1005" s="51"/>
      <c r="P1005" s="51"/>
    </row>
    <row r="1006" spans="2:16" x14ac:dyDescent="0.25">
      <c r="B1006" s="32">
        <v>991</v>
      </c>
      <c r="C1006" s="229"/>
      <c r="D1006" s="229"/>
      <c r="E1006" s="229"/>
      <c r="F1006" s="229"/>
      <c r="G1006" s="229"/>
      <c r="H1006" s="229"/>
      <c r="I1006" s="229"/>
      <c r="J1006" s="32"/>
      <c r="K1006" s="1"/>
      <c r="L1006" s="32"/>
      <c r="M1006" s="32"/>
      <c r="N1006" s="32"/>
      <c r="O1006" s="51"/>
      <c r="P1006" s="51"/>
    </row>
    <row r="1007" spans="2:16" x14ac:dyDescent="0.25">
      <c r="B1007" s="32">
        <v>992</v>
      </c>
      <c r="C1007" s="229"/>
      <c r="D1007" s="229"/>
      <c r="E1007" s="229"/>
      <c r="F1007" s="229"/>
      <c r="G1007" s="229"/>
      <c r="H1007" s="229"/>
      <c r="I1007" s="229"/>
      <c r="J1007" s="32"/>
      <c r="K1007" s="1"/>
      <c r="L1007" s="32"/>
      <c r="M1007" s="32"/>
      <c r="N1007" s="32"/>
      <c r="O1007" s="51"/>
      <c r="P1007" s="51"/>
    </row>
    <row r="1008" spans="2:16" x14ac:dyDescent="0.25">
      <c r="B1008" s="32">
        <v>993</v>
      </c>
      <c r="C1008" s="229"/>
      <c r="D1008" s="229"/>
      <c r="E1008" s="229"/>
      <c r="F1008" s="229"/>
      <c r="G1008" s="229"/>
      <c r="H1008" s="229"/>
      <c r="I1008" s="229"/>
      <c r="J1008" s="32"/>
      <c r="K1008" s="1"/>
      <c r="L1008" s="32"/>
      <c r="M1008" s="32"/>
      <c r="N1008" s="32"/>
      <c r="O1008" s="51"/>
      <c r="P1008" s="51"/>
    </row>
    <row r="1009" spans="2:16" x14ac:dyDescent="0.25">
      <c r="B1009" s="32">
        <v>994</v>
      </c>
      <c r="C1009" s="229"/>
      <c r="D1009" s="229"/>
      <c r="E1009" s="229"/>
      <c r="F1009" s="229"/>
      <c r="G1009" s="229"/>
      <c r="H1009" s="229"/>
      <c r="I1009" s="229"/>
      <c r="J1009" s="32"/>
      <c r="K1009" s="1"/>
      <c r="L1009" s="32"/>
      <c r="M1009" s="32"/>
      <c r="N1009" s="32"/>
      <c r="O1009" s="51"/>
      <c r="P1009" s="51"/>
    </row>
    <row r="1010" spans="2:16" x14ac:dyDescent="0.25">
      <c r="B1010" s="32">
        <v>995</v>
      </c>
      <c r="C1010" s="229"/>
      <c r="D1010" s="229"/>
      <c r="E1010" s="229"/>
      <c r="F1010" s="229"/>
      <c r="G1010" s="229"/>
      <c r="H1010" s="229"/>
      <c r="I1010" s="229"/>
      <c r="J1010" s="32"/>
      <c r="K1010" s="1"/>
      <c r="L1010" s="32"/>
      <c r="M1010" s="32"/>
      <c r="N1010" s="32"/>
      <c r="O1010" s="51"/>
      <c r="P1010" s="51"/>
    </row>
    <row r="1011" spans="2:16" x14ac:dyDescent="0.25">
      <c r="B1011" s="32">
        <v>996</v>
      </c>
      <c r="C1011" s="229"/>
      <c r="D1011" s="229"/>
      <c r="E1011" s="229"/>
      <c r="F1011" s="229"/>
      <c r="G1011" s="229"/>
      <c r="H1011" s="229"/>
      <c r="I1011" s="229"/>
      <c r="J1011" s="32"/>
      <c r="K1011" s="1"/>
      <c r="L1011" s="32"/>
      <c r="M1011" s="32"/>
      <c r="N1011" s="32"/>
      <c r="O1011" s="51"/>
      <c r="P1011" s="51"/>
    </row>
    <row r="1012" spans="2:16" x14ac:dyDescent="0.25">
      <c r="B1012" s="32">
        <v>997</v>
      </c>
      <c r="C1012" s="229"/>
      <c r="D1012" s="229"/>
      <c r="E1012" s="229"/>
      <c r="F1012" s="229"/>
      <c r="G1012" s="229"/>
      <c r="H1012" s="229"/>
      <c r="I1012" s="229"/>
      <c r="J1012" s="32"/>
      <c r="K1012" s="1"/>
      <c r="L1012" s="32"/>
      <c r="M1012" s="32"/>
      <c r="N1012" s="32"/>
      <c r="O1012" s="51"/>
      <c r="P1012" s="51"/>
    </row>
    <row r="1013" spans="2:16" x14ac:dyDescent="0.25">
      <c r="B1013" s="32">
        <v>998</v>
      </c>
      <c r="C1013" s="229"/>
      <c r="D1013" s="229"/>
      <c r="E1013" s="229"/>
      <c r="F1013" s="229"/>
      <c r="G1013" s="229"/>
      <c r="H1013" s="229"/>
      <c r="I1013" s="229"/>
      <c r="J1013" s="32"/>
      <c r="K1013" s="1"/>
      <c r="L1013" s="32"/>
      <c r="M1013" s="32"/>
      <c r="N1013" s="32"/>
      <c r="O1013" s="51"/>
      <c r="P1013" s="51"/>
    </row>
    <row r="1014" spans="2:16" x14ac:dyDescent="0.25">
      <c r="B1014" s="58"/>
      <c r="C1014" s="262"/>
      <c r="D1014" s="262"/>
      <c r="E1014" s="262"/>
      <c r="F1014" s="262"/>
      <c r="G1014" s="262"/>
      <c r="H1014" s="262"/>
      <c r="I1014" s="262"/>
      <c r="J1014" s="58"/>
      <c r="K1014" s="58"/>
      <c r="L1014" s="58"/>
      <c r="M1014" s="58"/>
      <c r="N1014" s="58"/>
    </row>
  </sheetData>
  <mergeCells count="1014">
    <mergeCell ref="O10:O11"/>
    <mergeCell ref="N10:N11"/>
    <mergeCell ref="C24:I24"/>
    <mergeCell ref="B12:M12"/>
    <mergeCell ref="C13:I13"/>
    <mergeCell ref="C14:I14"/>
    <mergeCell ref="C15:I15"/>
    <mergeCell ref="C16:I16"/>
    <mergeCell ref="C17:I17"/>
    <mergeCell ref="B2:D9"/>
    <mergeCell ref="B10:B11"/>
    <mergeCell ref="C10:I11"/>
    <mergeCell ref="K10:K11"/>
    <mergeCell ref="L10:L11"/>
    <mergeCell ref="M10:M11"/>
    <mergeCell ref="C30:I30"/>
    <mergeCell ref="C31:I31"/>
    <mergeCell ref="C59:I59"/>
    <mergeCell ref="C60:I60"/>
    <mergeCell ref="C67:I67"/>
    <mergeCell ref="C68:I68"/>
    <mergeCell ref="C36:I36"/>
    <mergeCell ref="C37:I37"/>
    <mergeCell ref="C39:I39"/>
    <mergeCell ref="C40:I40"/>
    <mergeCell ref="C41:I41"/>
    <mergeCell ref="C42:I42"/>
    <mergeCell ref="C32:I32"/>
    <mergeCell ref="C33:I33"/>
    <mergeCell ref="J10:J11"/>
    <mergeCell ref="C34:I34"/>
    <mergeCell ref="C35:I35"/>
    <mergeCell ref="C25:I25"/>
    <mergeCell ref="C26:I26"/>
    <mergeCell ref="C27:I27"/>
    <mergeCell ref="C28:I28"/>
    <mergeCell ref="C29:I29"/>
    <mergeCell ref="C18:I18"/>
    <mergeCell ref="C19:I19"/>
    <mergeCell ref="C20:I20"/>
    <mergeCell ref="C21:I21"/>
    <mergeCell ref="C22:I22"/>
    <mergeCell ref="C23:I23"/>
    <mergeCell ref="C49:I49"/>
    <mergeCell ref="C50:I50"/>
    <mergeCell ref="C51:I51"/>
    <mergeCell ref="C38:I38"/>
    <mergeCell ref="C52:I52"/>
    <mergeCell ref="C53:I53"/>
    <mergeCell ref="C54:I54"/>
    <mergeCell ref="C43:I43"/>
    <mergeCell ref="C44:I44"/>
    <mergeCell ref="C45:I45"/>
    <mergeCell ref="C46:I46"/>
    <mergeCell ref="C47:I47"/>
    <mergeCell ref="C48:I48"/>
    <mergeCell ref="C55:I55"/>
    <mergeCell ref="C56:I56"/>
    <mergeCell ref="C57:I57"/>
    <mergeCell ref="C58:I58"/>
    <mergeCell ref="C88:I88"/>
    <mergeCell ref="C89:I89"/>
    <mergeCell ref="C90:I90"/>
    <mergeCell ref="C79:I79"/>
    <mergeCell ref="C80:I80"/>
    <mergeCell ref="C81:I81"/>
    <mergeCell ref="C82:I82"/>
    <mergeCell ref="C83:I83"/>
    <mergeCell ref="C84:I84"/>
    <mergeCell ref="C85:I85"/>
    <mergeCell ref="C69:I69"/>
    <mergeCell ref="C70:I70"/>
    <mergeCell ref="C71:I71"/>
    <mergeCell ref="C72:I72"/>
    <mergeCell ref="C61:I61"/>
    <mergeCell ref="C62:I62"/>
    <mergeCell ref="C63:I63"/>
    <mergeCell ref="C64:I64"/>
    <mergeCell ref="C65:I65"/>
    <mergeCell ref="C66:I66"/>
    <mergeCell ref="C73:I73"/>
    <mergeCell ref="C74:I74"/>
    <mergeCell ref="C75:I75"/>
    <mergeCell ref="C76:I76"/>
    <mergeCell ref="C77:I77"/>
    <mergeCell ref="C78:I78"/>
    <mergeCell ref="C109:I109"/>
    <mergeCell ref="C110:I110"/>
    <mergeCell ref="C111:I111"/>
    <mergeCell ref="C112:I112"/>
    <mergeCell ref="C113:I113"/>
    <mergeCell ref="C114:I114"/>
    <mergeCell ref="C103:I103"/>
    <mergeCell ref="C104:I104"/>
    <mergeCell ref="C105:I105"/>
    <mergeCell ref="C106:I106"/>
    <mergeCell ref="C107:I107"/>
    <mergeCell ref="C108:I108"/>
    <mergeCell ref="C97:I97"/>
    <mergeCell ref="C98:I98"/>
    <mergeCell ref="C99:I99"/>
    <mergeCell ref="C100:I100"/>
    <mergeCell ref="C101:I101"/>
    <mergeCell ref="C102:I102"/>
    <mergeCell ref="C91:I91"/>
    <mergeCell ref="C92:I92"/>
    <mergeCell ref="C93:I93"/>
    <mergeCell ref="C96:I96"/>
    <mergeCell ref="C94:I94"/>
    <mergeCell ref="C95:I95"/>
    <mergeCell ref="C86:I86"/>
    <mergeCell ref="C87:I87"/>
    <mergeCell ref="C127:I127"/>
    <mergeCell ref="C128:I128"/>
    <mergeCell ref="C129:I129"/>
    <mergeCell ref="C130:I130"/>
    <mergeCell ref="C131:I131"/>
    <mergeCell ref="C132:I132"/>
    <mergeCell ref="C121:I121"/>
    <mergeCell ref="C122:I122"/>
    <mergeCell ref="C123:I123"/>
    <mergeCell ref="C124:I124"/>
    <mergeCell ref="C125:I125"/>
    <mergeCell ref="C126:I126"/>
    <mergeCell ref="C115:I115"/>
    <mergeCell ref="C116:I116"/>
    <mergeCell ref="C117:I117"/>
    <mergeCell ref="C118:I118"/>
    <mergeCell ref="C119:I119"/>
    <mergeCell ref="C120:I120"/>
    <mergeCell ref="C145:I145"/>
    <mergeCell ref="C146:I146"/>
    <mergeCell ref="C147:I147"/>
    <mergeCell ref="C148:I148"/>
    <mergeCell ref="C149:I149"/>
    <mergeCell ref="C150:I150"/>
    <mergeCell ref="C139:I139"/>
    <mergeCell ref="C140:I140"/>
    <mergeCell ref="C141:I141"/>
    <mergeCell ref="C142:I142"/>
    <mergeCell ref="C143:I143"/>
    <mergeCell ref="C144:I144"/>
    <mergeCell ref="C133:I133"/>
    <mergeCell ref="C134:I134"/>
    <mergeCell ref="C135:I135"/>
    <mergeCell ref="C136:I136"/>
    <mergeCell ref="C137:I137"/>
    <mergeCell ref="C138:I138"/>
    <mergeCell ref="C163:I163"/>
    <mergeCell ref="C164:I164"/>
    <mergeCell ref="C165:I165"/>
    <mergeCell ref="C166:I166"/>
    <mergeCell ref="C167:I167"/>
    <mergeCell ref="C168:I168"/>
    <mergeCell ref="C157:I157"/>
    <mergeCell ref="C158:I158"/>
    <mergeCell ref="C159:I159"/>
    <mergeCell ref="C160:I160"/>
    <mergeCell ref="C161:I161"/>
    <mergeCell ref="C162:I162"/>
    <mergeCell ref="C151:I151"/>
    <mergeCell ref="C152:I152"/>
    <mergeCell ref="C153:I153"/>
    <mergeCell ref="C154:I154"/>
    <mergeCell ref="C155:I155"/>
    <mergeCell ref="C156:I156"/>
    <mergeCell ref="C183:I183"/>
    <mergeCell ref="C184:I184"/>
    <mergeCell ref="C185:I185"/>
    <mergeCell ref="C186:I186"/>
    <mergeCell ref="C187:I187"/>
    <mergeCell ref="C188:I188"/>
    <mergeCell ref="C177:I177"/>
    <mergeCell ref="C178:I178"/>
    <mergeCell ref="C179:I179"/>
    <mergeCell ref="C180:I180"/>
    <mergeCell ref="C181:I181"/>
    <mergeCell ref="C182:I182"/>
    <mergeCell ref="C169:I169"/>
    <mergeCell ref="C171:I171"/>
    <mergeCell ref="C172:I172"/>
    <mergeCell ref="C173:I173"/>
    <mergeCell ref="C174:I174"/>
    <mergeCell ref="C175:I175"/>
    <mergeCell ref="C170:I170"/>
    <mergeCell ref="C176:I176"/>
    <mergeCell ref="C201:I201"/>
    <mergeCell ref="C202:I202"/>
    <mergeCell ref="C203:I203"/>
    <mergeCell ref="C204:I204"/>
    <mergeCell ref="C205:I205"/>
    <mergeCell ref="C206:I206"/>
    <mergeCell ref="C195:I195"/>
    <mergeCell ref="C196:I196"/>
    <mergeCell ref="C197:I197"/>
    <mergeCell ref="C198:I198"/>
    <mergeCell ref="C199:I199"/>
    <mergeCell ref="C200:I200"/>
    <mergeCell ref="C189:I189"/>
    <mergeCell ref="C190:I190"/>
    <mergeCell ref="C191:I191"/>
    <mergeCell ref="C192:I192"/>
    <mergeCell ref="C193:I193"/>
    <mergeCell ref="C194:I194"/>
    <mergeCell ref="C219:I219"/>
    <mergeCell ref="C220:I220"/>
    <mergeCell ref="C221:I221"/>
    <mergeCell ref="C222:I222"/>
    <mergeCell ref="C223:I223"/>
    <mergeCell ref="C224:I224"/>
    <mergeCell ref="C213:I213"/>
    <mergeCell ref="C214:I214"/>
    <mergeCell ref="C215:I215"/>
    <mergeCell ref="C216:I216"/>
    <mergeCell ref="C217:I217"/>
    <mergeCell ref="C218:I218"/>
    <mergeCell ref="C207:I207"/>
    <mergeCell ref="C208:I208"/>
    <mergeCell ref="C209:I209"/>
    <mergeCell ref="C210:I210"/>
    <mergeCell ref="C211:I211"/>
    <mergeCell ref="C212:I212"/>
    <mergeCell ref="C237:I237"/>
    <mergeCell ref="C238:I238"/>
    <mergeCell ref="C239:I239"/>
    <mergeCell ref="C240:I240"/>
    <mergeCell ref="C241:I241"/>
    <mergeCell ref="C242:I242"/>
    <mergeCell ref="C231:I231"/>
    <mergeCell ref="C232:I232"/>
    <mergeCell ref="C233:I233"/>
    <mergeCell ref="C234:I234"/>
    <mergeCell ref="C235:I235"/>
    <mergeCell ref="C236:I236"/>
    <mergeCell ref="C225:I225"/>
    <mergeCell ref="C226:I226"/>
    <mergeCell ref="C227:I227"/>
    <mergeCell ref="C228:I228"/>
    <mergeCell ref="C229:I229"/>
    <mergeCell ref="C230:I230"/>
    <mergeCell ref="C255:I255"/>
    <mergeCell ref="C256:I256"/>
    <mergeCell ref="C257:I257"/>
    <mergeCell ref="C258:I258"/>
    <mergeCell ref="C259:I259"/>
    <mergeCell ref="C260:I260"/>
    <mergeCell ref="C249:I249"/>
    <mergeCell ref="C250:I250"/>
    <mergeCell ref="C251:I251"/>
    <mergeCell ref="C252:I252"/>
    <mergeCell ref="C253:I253"/>
    <mergeCell ref="C254:I254"/>
    <mergeCell ref="C243:I243"/>
    <mergeCell ref="C244:I244"/>
    <mergeCell ref="C245:I245"/>
    <mergeCell ref="C246:I246"/>
    <mergeCell ref="C247:I247"/>
    <mergeCell ref="C248:I248"/>
    <mergeCell ref="C273:I273"/>
    <mergeCell ref="C274:I274"/>
    <mergeCell ref="C275:I275"/>
    <mergeCell ref="C276:I276"/>
    <mergeCell ref="C277:I277"/>
    <mergeCell ref="C278:I278"/>
    <mergeCell ref="C267:I267"/>
    <mergeCell ref="C268:I268"/>
    <mergeCell ref="C269:I269"/>
    <mergeCell ref="C270:I270"/>
    <mergeCell ref="C271:I271"/>
    <mergeCell ref="C272:I272"/>
    <mergeCell ref="C261:I261"/>
    <mergeCell ref="C262:I262"/>
    <mergeCell ref="C263:I263"/>
    <mergeCell ref="C264:I264"/>
    <mergeCell ref="C265:I265"/>
    <mergeCell ref="C266:I266"/>
    <mergeCell ref="C291:I291"/>
    <mergeCell ref="C292:I292"/>
    <mergeCell ref="C293:I293"/>
    <mergeCell ref="C294:I294"/>
    <mergeCell ref="C295:I295"/>
    <mergeCell ref="C296:I296"/>
    <mergeCell ref="C285:I285"/>
    <mergeCell ref="C286:I286"/>
    <mergeCell ref="C287:I287"/>
    <mergeCell ref="C288:I288"/>
    <mergeCell ref="C289:I289"/>
    <mergeCell ref="C290:I290"/>
    <mergeCell ref="C279:I279"/>
    <mergeCell ref="C280:I280"/>
    <mergeCell ref="C281:I281"/>
    <mergeCell ref="C282:I282"/>
    <mergeCell ref="C283:I283"/>
    <mergeCell ref="C284:I284"/>
    <mergeCell ref="C309:I309"/>
    <mergeCell ref="C310:I310"/>
    <mergeCell ref="C311:I311"/>
    <mergeCell ref="C312:I312"/>
    <mergeCell ref="C313:I313"/>
    <mergeCell ref="C314:I314"/>
    <mergeCell ref="C303:I303"/>
    <mergeCell ref="C304:I304"/>
    <mergeCell ref="C305:I305"/>
    <mergeCell ref="C306:I306"/>
    <mergeCell ref="C307:I307"/>
    <mergeCell ref="C308:I308"/>
    <mergeCell ref="C297:I297"/>
    <mergeCell ref="C298:I298"/>
    <mergeCell ref="C299:I299"/>
    <mergeCell ref="C300:I300"/>
    <mergeCell ref="C301:I301"/>
    <mergeCell ref="C302:I302"/>
    <mergeCell ref="C327:I327"/>
    <mergeCell ref="C328:I328"/>
    <mergeCell ref="C329:I329"/>
    <mergeCell ref="C330:I330"/>
    <mergeCell ref="C331:I331"/>
    <mergeCell ref="C332:I332"/>
    <mergeCell ref="C321:I321"/>
    <mergeCell ref="C322:I322"/>
    <mergeCell ref="C323:I323"/>
    <mergeCell ref="C324:I324"/>
    <mergeCell ref="C325:I325"/>
    <mergeCell ref="C326:I326"/>
    <mergeCell ref="C315:I315"/>
    <mergeCell ref="C316:I316"/>
    <mergeCell ref="C317:I317"/>
    <mergeCell ref="C318:I318"/>
    <mergeCell ref="C319:I319"/>
    <mergeCell ref="C320:I320"/>
    <mergeCell ref="C345:I345"/>
    <mergeCell ref="C346:I346"/>
    <mergeCell ref="C347:I347"/>
    <mergeCell ref="C348:I348"/>
    <mergeCell ref="C349:I349"/>
    <mergeCell ref="C350:I350"/>
    <mergeCell ref="C339:I339"/>
    <mergeCell ref="C340:I340"/>
    <mergeCell ref="C341:I341"/>
    <mergeCell ref="C342:I342"/>
    <mergeCell ref="C343:I343"/>
    <mergeCell ref="C344:I344"/>
    <mergeCell ref="C333:I333"/>
    <mergeCell ref="C334:I334"/>
    <mergeCell ref="C335:I335"/>
    <mergeCell ref="C336:I336"/>
    <mergeCell ref="C337:I337"/>
    <mergeCell ref="C338:I338"/>
    <mergeCell ref="C363:I363"/>
    <mergeCell ref="C364:I364"/>
    <mergeCell ref="C365:I365"/>
    <mergeCell ref="C366:I366"/>
    <mergeCell ref="C367:I367"/>
    <mergeCell ref="C368:I368"/>
    <mergeCell ref="C357:I357"/>
    <mergeCell ref="C358:I358"/>
    <mergeCell ref="C359:I359"/>
    <mergeCell ref="C360:I360"/>
    <mergeCell ref="C361:I361"/>
    <mergeCell ref="C362:I362"/>
    <mergeCell ref="C351:I351"/>
    <mergeCell ref="C352:I352"/>
    <mergeCell ref="C353:I353"/>
    <mergeCell ref="C354:I354"/>
    <mergeCell ref="C355:I355"/>
    <mergeCell ref="C356:I356"/>
    <mergeCell ref="C381:I381"/>
    <mergeCell ref="C382:I382"/>
    <mergeCell ref="C383:I383"/>
    <mergeCell ref="C384:I384"/>
    <mergeCell ref="C385:I385"/>
    <mergeCell ref="C386:I386"/>
    <mergeCell ref="C375:I375"/>
    <mergeCell ref="C376:I376"/>
    <mergeCell ref="C377:I377"/>
    <mergeCell ref="C378:I378"/>
    <mergeCell ref="C379:I379"/>
    <mergeCell ref="C380:I380"/>
    <mergeCell ref="C369:I369"/>
    <mergeCell ref="C370:I370"/>
    <mergeCell ref="C371:I371"/>
    <mergeCell ref="C372:I372"/>
    <mergeCell ref="C373:I373"/>
    <mergeCell ref="C374:I374"/>
    <mergeCell ref="C399:I399"/>
    <mergeCell ref="C400:I400"/>
    <mergeCell ref="C401:I401"/>
    <mergeCell ref="C402:I402"/>
    <mergeCell ref="C403:I403"/>
    <mergeCell ref="C404:I404"/>
    <mergeCell ref="C393:I393"/>
    <mergeCell ref="C394:I394"/>
    <mergeCell ref="C395:I395"/>
    <mergeCell ref="C396:I396"/>
    <mergeCell ref="C397:I397"/>
    <mergeCell ref="C398:I398"/>
    <mergeCell ref="C387:I387"/>
    <mergeCell ref="C388:I388"/>
    <mergeCell ref="C389:I389"/>
    <mergeCell ref="C390:I390"/>
    <mergeCell ref="C391:I391"/>
    <mergeCell ref="C392:I392"/>
    <mergeCell ref="C417:I417"/>
    <mergeCell ref="C418:I418"/>
    <mergeCell ref="C419:I419"/>
    <mergeCell ref="C420:I420"/>
    <mergeCell ref="C421:I421"/>
    <mergeCell ref="C422:I422"/>
    <mergeCell ref="C411:I411"/>
    <mergeCell ref="C412:I412"/>
    <mergeCell ref="C413:I413"/>
    <mergeCell ref="C414:I414"/>
    <mergeCell ref="C415:I415"/>
    <mergeCell ref="C416:I416"/>
    <mergeCell ref="C405:I405"/>
    <mergeCell ref="C406:I406"/>
    <mergeCell ref="C407:I407"/>
    <mergeCell ref="C408:I408"/>
    <mergeCell ref="C409:I409"/>
    <mergeCell ref="C410:I410"/>
    <mergeCell ref="C435:I435"/>
    <mergeCell ref="C436:I436"/>
    <mergeCell ref="C437:I437"/>
    <mergeCell ref="C438:I438"/>
    <mergeCell ref="C439:I439"/>
    <mergeCell ref="C440:I440"/>
    <mergeCell ref="C429:I429"/>
    <mergeCell ref="C430:I430"/>
    <mergeCell ref="C431:I431"/>
    <mergeCell ref="C432:I432"/>
    <mergeCell ref="C433:I433"/>
    <mergeCell ref="C434:I434"/>
    <mergeCell ref="C423:I423"/>
    <mergeCell ref="C424:I424"/>
    <mergeCell ref="C425:I425"/>
    <mergeCell ref="C426:I426"/>
    <mergeCell ref="C427:I427"/>
    <mergeCell ref="C428:I428"/>
    <mergeCell ref="C453:I453"/>
    <mergeCell ref="C454:I454"/>
    <mergeCell ref="C455:I455"/>
    <mergeCell ref="C456:I456"/>
    <mergeCell ref="C457:I457"/>
    <mergeCell ref="C458:I458"/>
    <mergeCell ref="C447:I447"/>
    <mergeCell ref="C448:I448"/>
    <mergeCell ref="C449:I449"/>
    <mergeCell ref="C450:I450"/>
    <mergeCell ref="C451:I451"/>
    <mergeCell ref="C452:I452"/>
    <mergeCell ref="C441:I441"/>
    <mergeCell ref="C442:I442"/>
    <mergeCell ref="C443:I443"/>
    <mergeCell ref="C444:I444"/>
    <mergeCell ref="C445:I445"/>
    <mergeCell ref="C446:I446"/>
    <mergeCell ref="C471:I471"/>
    <mergeCell ref="C472:I472"/>
    <mergeCell ref="C473:I473"/>
    <mergeCell ref="C474:I474"/>
    <mergeCell ref="C475:I475"/>
    <mergeCell ref="C476:I476"/>
    <mergeCell ref="C465:I465"/>
    <mergeCell ref="C466:I466"/>
    <mergeCell ref="C467:I467"/>
    <mergeCell ref="C468:I468"/>
    <mergeCell ref="C469:I469"/>
    <mergeCell ref="C470:I470"/>
    <mergeCell ref="C459:I459"/>
    <mergeCell ref="C460:I460"/>
    <mergeCell ref="C461:I461"/>
    <mergeCell ref="C462:I462"/>
    <mergeCell ref="C463:I463"/>
    <mergeCell ref="C464:I464"/>
    <mergeCell ref="C489:I489"/>
    <mergeCell ref="C490:I490"/>
    <mergeCell ref="C491:I491"/>
    <mergeCell ref="C492:I492"/>
    <mergeCell ref="C493:I493"/>
    <mergeCell ref="C494:I494"/>
    <mergeCell ref="C483:I483"/>
    <mergeCell ref="C484:I484"/>
    <mergeCell ref="C485:I485"/>
    <mergeCell ref="C486:I486"/>
    <mergeCell ref="C487:I487"/>
    <mergeCell ref="C488:I488"/>
    <mergeCell ref="C477:I477"/>
    <mergeCell ref="C478:I478"/>
    <mergeCell ref="C479:I479"/>
    <mergeCell ref="C480:I480"/>
    <mergeCell ref="C481:I481"/>
    <mergeCell ref="C482:I482"/>
    <mergeCell ref="C507:I507"/>
    <mergeCell ref="C508:I508"/>
    <mergeCell ref="C509:I509"/>
    <mergeCell ref="C510:I510"/>
    <mergeCell ref="C511:I511"/>
    <mergeCell ref="C512:I512"/>
    <mergeCell ref="C501:I501"/>
    <mergeCell ref="C502:I502"/>
    <mergeCell ref="C503:I503"/>
    <mergeCell ref="C504:I504"/>
    <mergeCell ref="C505:I505"/>
    <mergeCell ref="C506:I506"/>
    <mergeCell ref="C495:I495"/>
    <mergeCell ref="C496:I496"/>
    <mergeCell ref="C497:I497"/>
    <mergeCell ref="C498:I498"/>
    <mergeCell ref="C499:I499"/>
    <mergeCell ref="C500:I500"/>
    <mergeCell ref="C525:I525"/>
    <mergeCell ref="C526:I526"/>
    <mergeCell ref="C527:I527"/>
    <mergeCell ref="C528:I528"/>
    <mergeCell ref="C529:I529"/>
    <mergeCell ref="C530:I530"/>
    <mergeCell ref="C519:I519"/>
    <mergeCell ref="C520:I520"/>
    <mergeCell ref="C521:I521"/>
    <mergeCell ref="C522:I522"/>
    <mergeCell ref="C523:I523"/>
    <mergeCell ref="C524:I524"/>
    <mergeCell ref="C513:I513"/>
    <mergeCell ref="C514:I514"/>
    <mergeCell ref="C515:I515"/>
    <mergeCell ref="C516:I516"/>
    <mergeCell ref="C517:I517"/>
    <mergeCell ref="C518:I518"/>
    <mergeCell ref="C543:I543"/>
    <mergeCell ref="C544:I544"/>
    <mergeCell ref="C545:I545"/>
    <mergeCell ref="C546:I546"/>
    <mergeCell ref="C547:I547"/>
    <mergeCell ref="C548:I548"/>
    <mergeCell ref="C537:I537"/>
    <mergeCell ref="C538:I538"/>
    <mergeCell ref="C539:I539"/>
    <mergeCell ref="C540:I540"/>
    <mergeCell ref="C541:I541"/>
    <mergeCell ref="C542:I542"/>
    <mergeCell ref="C531:I531"/>
    <mergeCell ref="C532:I532"/>
    <mergeCell ref="C533:I533"/>
    <mergeCell ref="C534:I534"/>
    <mergeCell ref="C535:I535"/>
    <mergeCell ref="C536:I536"/>
    <mergeCell ref="C561:I561"/>
    <mergeCell ref="C562:I562"/>
    <mergeCell ref="C563:I563"/>
    <mergeCell ref="C564:I564"/>
    <mergeCell ref="C565:I565"/>
    <mergeCell ref="C566:I566"/>
    <mergeCell ref="C555:I555"/>
    <mergeCell ref="C556:I556"/>
    <mergeCell ref="C557:I557"/>
    <mergeCell ref="C558:I558"/>
    <mergeCell ref="C559:I559"/>
    <mergeCell ref="C560:I560"/>
    <mergeCell ref="C549:I549"/>
    <mergeCell ref="C550:I550"/>
    <mergeCell ref="C551:I551"/>
    <mergeCell ref="C552:I552"/>
    <mergeCell ref="C553:I553"/>
    <mergeCell ref="C554:I554"/>
    <mergeCell ref="C579:I579"/>
    <mergeCell ref="C580:I580"/>
    <mergeCell ref="C581:I581"/>
    <mergeCell ref="C582:I582"/>
    <mergeCell ref="C583:I583"/>
    <mergeCell ref="C584:I584"/>
    <mergeCell ref="C573:I573"/>
    <mergeCell ref="C574:I574"/>
    <mergeCell ref="C575:I575"/>
    <mergeCell ref="C576:I576"/>
    <mergeCell ref="C577:I577"/>
    <mergeCell ref="C578:I578"/>
    <mergeCell ref="C567:I567"/>
    <mergeCell ref="C568:I568"/>
    <mergeCell ref="C569:I569"/>
    <mergeCell ref="C570:I570"/>
    <mergeCell ref="C571:I571"/>
    <mergeCell ref="C572:I572"/>
    <mergeCell ref="C597:I597"/>
    <mergeCell ref="C598:I598"/>
    <mergeCell ref="C599:I599"/>
    <mergeCell ref="C600:I600"/>
    <mergeCell ref="C601:I601"/>
    <mergeCell ref="C602:I602"/>
    <mergeCell ref="C591:I591"/>
    <mergeCell ref="C592:I592"/>
    <mergeCell ref="C593:I593"/>
    <mergeCell ref="C594:I594"/>
    <mergeCell ref="C595:I595"/>
    <mergeCell ref="C596:I596"/>
    <mergeCell ref="C585:I585"/>
    <mergeCell ref="C586:I586"/>
    <mergeCell ref="C587:I587"/>
    <mergeCell ref="C588:I588"/>
    <mergeCell ref="C589:I589"/>
    <mergeCell ref="C590:I590"/>
    <mergeCell ref="C615:I615"/>
    <mergeCell ref="C616:I616"/>
    <mergeCell ref="C617:I617"/>
    <mergeCell ref="C618:I618"/>
    <mergeCell ref="C619:I619"/>
    <mergeCell ref="C620:I620"/>
    <mergeCell ref="C609:I609"/>
    <mergeCell ref="C610:I610"/>
    <mergeCell ref="C611:I611"/>
    <mergeCell ref="C612:I612"/>
    <mergeCell ref="C613:I613"/>
    <mergeCell ref="C614:I614"/>
    <mergeCell ref="C603:I603"/>
    <mergeCell ref="C604:I604"/>
    <mergeCell ref="C605:I605"/>
    <mergeCell ref="C606:I606"/>
    <mergeCell ref="C607:I607"/>
    <mergeCell ref="C608:I608"/>
    <mergeCell ref="C633:I633"/>
    <mergeCell ref="C634:I634"/>
    <mergeCell ref="C635:I635"/>
    <mergeCell ref="C636:I636"/>
    <mergeCell ref="C637:I637"/>
    <mergeCell ref="C638:I638"/>
    <mergeCell ref="C627:I627"/>
    <mergeCell ref="C628:I628"/>
    <mergeCell ref="C629:I629"/>
    <mergeCell ref="C630:I630"/>
    <mergeCell ref="C631:I631"/>
    <mergeCell ref="C632:I632"/>
    <mergeCell ref="C621:I621"/>
    <mergeCell ref="C622:I622"/>
    <mergeCell ref="C623:I623"/>
    <mergeCell ref="C624:I624"/>
    <mergeCell ref="C625:I625"/>
    <mergeCell ref="C626:I626"/>
    <mergeCell ref="C651:I651"/>
    <mergeCell ref="C652:I652"/>
    <mergeCell ref="C653:I653"/>
    <mergeCell ref="C654:I654"/>
    <mergeCell ref="C655:I655"/>
    <mergeCell ref="C656:I656"/>
    <mergeCell ref="C645:I645"/>
    <mergeCell ref="C646:I646"/>
    <mergeCell ref="C647:I647"/>
    <mergeCell ref="C648:I648"/>
    <mergeCell ref="C649:I649"/>
    <mergeCell ref="C650:I650"/>
    <mergeCell ref="C639:I639"/>
    <mergeCell ref="C640:I640"/>
    <mergeCell ref="C641:I641"/>
    <mergeCell ref="C642:I642"/>
    <mergeCell ref="C643:I643"/>
    <mergeCell ref="C644:I644"/>
    <mergeCell ref="C669:I669"/>
    <mergeCell ref="C670:I670"/>
    <mergeCell ref="C671:I671"/>
    <mergeCell ref="C672:I672"/>
    <mergeCell ref="C673:I673"/>
    <mergeCell ref="C674:I674"/>
    <mergeCell ref="C663:I663"/>
    <mergeCell ref="C664:I664"/>
    <mergeCell ref="C665:I665"/>
    <mergeCell ref="C666:I666"/>
    <mergeCell ref="C667:I667"/>
    <mergeCell ref="C668:I668"/>
    <mergeCell ref="C657:I657"/>
    <mergeCell ref="C658:I658"/>
    <mergeCell ref="C659:I659"/>
    <mergeCell ref="C660:I660"/>
    <mergeCell ref="C661:I661"/>
    <mergeCell ref="C662:I662"/>
    <mergeCell ref="C687:I687"/>
    <mergeCell ref="C688:I688"/>
    <mergeCell ref="C689:I689"/>
    <mergeCell ref="C690:I690"/>
    <mergeCell ref="C691:I691"/>
    <mergeCell ref="C692:I692"/>
    <mergeCell ref="C681:I681"/>
    <mergeCell ref="C682:I682"/>
    <mergeCell ref="C683:I683"/>
    <mergeCell ref="C684:I684"/>
    <mergeCell ref="C685:I685"/>
    <mergeCell ref="C686:I686"/>
    <mergeCell ref="C675:I675"/>
    <mergeCell ref="C676:I676"/>
    <mergeCell ref="C677:I677"/>
    <mergeCell ref="C678:I678"/>
    <mergeCell ref="C679:I679"/>
    <mergeCell ref="C680:I680"/>
    <mergeCell ref="C705:I705"/>
    <mergeCell ref="C706:I706"/>
    <mergeCell ref="C707:I707"/>
    <mergeCell ref="C708:I708"/>
    <mergeCell ref="C709:I709"/>
    <mergeCell ref="C710:I710"/>
    <mergeCell ref="C699:I699"/>
    <mergeCell ref="C700:I700"/>
    <mergeCell ref="C701:I701"/>
    <mergeCell ref="C702:I702"/>
    <mergeCell ref="C703:I703"/>
    <mergeCell ref="C704:I704"/>
    <mergeCell ref="C693:I693"/>
    <mergeCell ref="C694:I694"/>
    <mergeCell ref="C695:I695"/>
    <mergeCell ref="C696:I696"/>
    <mergeCell ref="C697:I697"/>
    <mergeCell ref="C698:I698"/>
    <mergeCell ref="C723:I723"/>
    <mergeCell ref="C724:I724"/>
    <mergeCell ref="C725:I725"/>
    <mergeCell ref="C726:I726"/>
    <mergeCell ref="C727:I727"/>
    <mergeCell ref="C728:I728"/>
    <mergeCell ref="C717:I717"/>
    <mergeCell ref="C718:I718"/>
    <mergeCell ref="C719:I719"/>
    <mergeCell ref="C720:I720"/>
    <mergeCell ref="C721:I721"/>
    <mergeCell ref="C722:I722"/>
    <mergeCell ref="C711:I711"/>
    <mergeCell ref="C712:I712"/>
    <mergeCell ref="C713:I713"/>
    <mergeCell ref="C714:I714"/>
    <mergeCell ref="C715:I715"/>
    <mergeCell ref="C716:I716"/>
    <mergeCell ref="C741:I741"/>
    <mergeCell ref="C742:I742"/>
    <mergeCell ref="C743:I743"/>
    <mergeCell ref="C744:I744"/>
    <mergeCell ref="C745:I745"/>
    <mergeCell ref="C746:I746"/>
    <mergeCell ref="C735:I735"/>
    <mergeCell ref="C736:I736"/>
    <mergeCell ref="C737:I737"/>
    <mergeCell ref="C738:I738"/>
    <mergeCell ref="C739:I739"/>
    <mergeCell ref="C740:I740"/>
    <mergeCell ref="C729:I729"/>
    <mergeCell ref="C730:I730"/>
    <mergeCell ref="C731:I731"/>
    <mergeCell ref="C732:I732"/>
    <mergeCell ref="C733:I733"/>
    <mergeCell ref="C734:I734"/>
    <mergeCell ref="C759:I759"/>
    <mergeCell ref="C760:I760"/>
    <mergeCell ref="C761:I761"/>
    <mergeCell ref="C762:I762"/>
    <mergeCell ref="C763:I763"/>
    <mergeCell ref="C764:I764"/>
    <mergeCell ref="C753:I753"/>
    <mergeCell ref="C754:I754"/>
    <mergeCell ref="C755:I755"/>
    <mergeCell ref="C756:I756"/>
    <mergeCell ref="C757:I757"/>
    <mergeCell ref="C758:I758"/>
    <mergeCell ref="C747:I747"/>
    <mergeCell ref="C748:I748"/>
    <mergeCell ref="C749:I749"/>
    <mergeCell ref="C750:I750"/>
    <mergeCell ref="C751:I751"/>
    <mergeCell ref="C752:I752"/>
    <mergeCell ref="C777:I777"/>
    <mergeCell ref="C778:I778"/>
    <mergeCell ref="C779:I779"/>
    <mergeCell ref="C780:I780"/>
    <mergeCell ref="C781:I781"/>
    <mergeCell ref="C782:I782"/>
    <mergeCell ref="C771:I771"/>
    <mergeCell ref="C772:I772"/>
    <mergeCell ref="C773:I773"/>
    <mergeCell ref="C774:I774"/>
    <mergeCell ref="C775:I775"/>
    <mergeCell ref="C776:I776"/>
    <mergeCell ref="C765:I765"/>
    <mergeCell ref="C766:I766"/>
    <mergeCell ref="C767:I767"/>
    <mergeCell ref="C768:I768"/>
    <mergeCell ref="C769:I769"/>
    <mergeCell ref="C770:I770"/>
    <mergeCell ref="C795:I795"/>
    <mergeCell ref="C796:I796"/>
    <mergeCell ref="C797:I797"/>
    <mergeCell ref="C798:I798"/>
    <mergeCell ref="C799:I799"/>
    <mergeCell ref="C800:I800"/>
    <mergeCell ref="C789:I789"/>
    <mergeCell ref="C790:I790"/>
    <mergeCell ref="C791:I791"/>
    <mergeCell ref="C792:I792"/>
    <mergeCell ref="C793:I793"/>
    <mergeCell ref="C794:I794"/>
    <mergeCell ref="C783:I783"/>
    <mergeCell ref="C784:I784"/>
    <mergeCell ref="C785:I785"/>
    <mergeCell ref="C786:I786"/>
    <mergeCell ref="C787:I787"/>
    <mergeCell ref="C788:I788"/>
    <mergeCell ref="C813:I813"/>
    <mergeCell ref="C814:I814"/>
    <mergeCell ref="C815:I815"/>
    <mergeCell ref="C816:I816"/>
    <mergeCell ref="C817:I817"/>
    <mergeCell ref="C818:I818"/>
    <mergeCell ref="C807:I807"/>
    <mergeCell ref="C808:I808"/>
    <mergeCell ref="C809:I809"/>
    <mergeCell ref="C810:I810"/>
    <mergeCell ref="C811:I811"/>
    <mergeCell ref="C812:I812"/>
    <mergeCell ref="C801:I801"/>
    <mergeCell ref="C802:I802"/>
    <mergeCell ref="C803:I803"/>
    <mergeCell ref="C804:I804"/>
    <mergeCell ref="C805:I805"/>
    <mergeCell ref="C806:I806"/>
    <mergeCell ref="C831:I831"/>
    <mergeCell ref="C832:I832"/>
    <mergeCell ref="C833:I833"/>
    <mergeCell ref="C834:I834"/>
    <mergeCell ref="C835:I835"/>
    <mergeCell ref="C836:I836"/>
    <mergeCell ref="C825:I825"/>
    <mergeCell ref="C826:I826"/>
    <mergeCell ref="C827:I827"/>
    <mergeCell ref="C828:I828"/>
    <mergeCell ref="C829:I829"/>
    <mergeCell ref="C830:I830"/>
    <mergeCell ref="C819:I819"/>
    <mergeCell ref="C820:I820"/>
    <mergeCell ref="C821:I821"/>
    <mergeCell ref="C822:I822"/>
    <mergeCell ref="C823:I823"/>
    <mergeCell ref="C824:I824"/>
    <mergeCell ref="C849:I849"/>
    <mergeCell ref="C850:I850"/>
    <mergeCell ref="C851:I851"/>
    <mergeCell ref="C852:I852"/>
    <mergeCell ref="C853:I853"/>
    <mergeCell ref="C854:I854"/>
    <mergeCell ref="C843:I843"/>
    <mergeCell ref="C844:I844"/>
    <mergeCell ref="C845:I845"/>
    <mergeCell ref="C846:I846"/>
    <mergeCell ref="C847:I847"/>
    <mergeCell ref="C848:I848"/>
    <mergeCell ref="C837:I837"/>
    <mergeCell ref="C838:I838"/>
    <mergeCell ref="C839:I839"/>
    <mergeCell ref="C840:I840"/>
    <mergeCell ref="C841:I841"/>
    <mergeCell ref="C842:I842"/>
    <mergeCell ref="C867:I867"/>
    <mergeCell ref="C868:I868"/>
    <mergeCell ref="C869:I869"/>
    <mergeCell ref="C870:I870"/>
    <mergeCell ref="C871:I871"/>
    <mergeCell ref="C872:I872"/>
    <mergeCell ref="C861:I861"/>
    <mergeCell ref="C862:I862"/>
    <mergeCell ref="C863:I863"/>
    <mergeCell ref="C864:I864"/>
    <mergeCell ref="C865:I865"/>
    <mergeCell ref="C866:I866"/>
    <mergeCell ref="C855:I855"/>
    <mergeCell ref="C856:I856"/>
    <mergeCell ref="C857:I857"/>
    <mergeCell ref="C858:I858"/>
    <mergeCell ref="C859:I859"/>
    <mergeCell ref="C860:I860"/>
    <mergeCell ref="C885:I885"/>
    <mergeCell ref="C886:I886"/>
    <mergeCell ref="C887:I887"/>
    <mergeCell ref="C888:I888"/>
    <mergeCell ref="C889:I889"/>
    <mergeCell ref="C890:I890"/>
    <mergeCell ref="C879:I879"/>
    <mergeCell ref="C880:I880"/>
    <mergeCell ref="C881:I881"/>
    <mergeCell ref="C882:I882"/>
    <mergeCell ref="C883:I883"/>
    <mergeCell ref="C884:I884"/>
    <mergeCell ref="C873:I873"/>
    <mergeCell ref="C874:I874"/>
    <mergeCell ref="C875:I875"/>
    <mergeCell ref="C876:I876"/>
    <mergeCell ref="C877:I877"/>
    <mergeCell ref="C878:I878"/>
    <mergeCell ref="C903:I903"/>
    <mergeCell ref="C904:I904"/>
    <mergeCell ref="C905:I905"/>
    <mergeCell ref="C906:I906"/>
    <mergeCell ref="C907:I907"/>
    <mergeCell ref="C908:I908"/>
    <mergeCell ref="C897:I897"/>
    <mergeCell ref="C898:I898"/>
    <mergeCell ref="C899:I899"/>
    <mergeCell ref="C900:I900"/>
    <mergeCell ref="C901:I901"/>
    <mergeCell ref="C902:I902"/>
    <mergeCell ref="C891:I891"/>
    <mergeCell ref="C892:I892"/>
    <mergeCell ref="C893:I893"/>
    <mergeCell ref="C894:I894"/>
    <mergeCell ref="C895:I895"/>
    <mergeCell ref="C896:I896"/>
    <mergeCell ref="C921:I921"/>
    <mergeCell ref="C922:I922"/>
    <mergeCell ref="C923:I923"/>
    <mergeCell ref="C924:I924"/>
    <mergeCell ref="C925:I925"/>
    <mergeCell ref="C926:I926"/>
    <mergeCell ref="C915:I915"/>
    <mergeCell ref="C916:I916"/>
    <mergeCell ref="C917:I917"/>
    <mergeCell ref="C918:I918"/>
    <mergeCell ref="C919:I919"/>
    <mergeCell ref="C920:I920"/>
    <mergeCell ref="C909:I909"/>
    <mergeCell ref="C910:I910"/>
    <mergeCell ref="C911:I911"/>
    <mergeCell ref="C912:I912"/>
    <mergeCell ref="C913:I913"/>
    <mergeCell ref="C914:I914"/>
    <mergeCell ref="C939:I939"/>
    <mergeCell ref="C940:I940"/>
    <mergeCell ref="C941:I941"/>
    <mergeCell ref="C942:I942"/>
    <mergeCell ref="C943:I943"/>
    <mergeCell ref="C944:I944"/>
    <mergeCell ref="C933:I933"/>
    <mergeCell ref="C934:I934"/>
    <mergeCell ref="C935:I935"/>
    <mergeCell ref="C936:I936"/>
    <mergeCell ref="C937:I937"/>
    <mergeCell ref="C938:I938"/>
    <mergeCell ref="C927:I927"/>
    <mergeCell ref="C928:I928"/>
    <mergeCell ref="C929:I929"/>
    <mergeCell ref="C930:I930"/>
    <mergeCell ref="C931:I931"/>
    <mergeCell ref="C932:I932"/>
    <mergeCell ref="C957:I957"/>
    <mergeCell ref="C958:I958"/>
    <mergeCell ref="C959:I959"/>
    <mergeCell ref="C960:I960"/>
    <mergeCell ref="C961:I961"/>
    <mergeCell ref="C962:I962"/>
    <mergeCell ref="C951:I951"/>
    <mergeCell ref="C952:I952"/>
    <mergeCell ref="C953:I953"/>
    <mergeCell ref="C954:I954"/>
    <mergeCell ref="C955:I955"/>
    <mergeCell ref="C956:I956"/>
    <mergeCell ref="C945:I945"/>
    <mergeCell ref="C946:I946"/>
    <mergeCell ref="C947:I947"/>
    <mergeCell ref="C948:I948"/>
    <mergeCell ref="C949:I949"/>
    <mergeCell ref="C950:I950"/>
    <mergeCell ref="C983:I983"/>
    <mergeCell ref="C984:I984"/>
    <mergeCell ref="C985:I985"/>
    <mergeCell ref="C986:I986"/>
    <mergeCell ref="C975:I975"/>
    <mergeCell ref="C976:I976"/>
    <mergeCell ref="C977:I977"/>
    <mergeCell ref="C978:I978"/>
    <mergeCell ref="C979:I979"/>
    <mergeCell ref="C980:I980"/>
    <mergeCell ref="C969:I969"/>
    <mergeCell ref="C970:I970"/>
    <mergeCell ref="C971:I971"/>
    <mergeCell ref="C972:I972"/>
    <mergeCell ref="C973:I973"/>
    <mergeCell ref="C974:I974"/>
    <mergeCell ref="C963:I963"/>
    <mergeCell ref="C964:I964"/>
    <mergeCell ref="C965:I965"/>
    <mergeCell ref="C966:I966"/>
    <mergeCell ref="C967:I967"/>
    <mergeCell ref="C968:I968"/>
    <mergeCell ref="P10:P11"/>
    <mergeCell ref="E2:P9"/>
    <mergeCell ref="C1011:I1011"/>
    <mergeCell ref="C1012:I1012"/>
    <mergeCell ref="C1013:I1013"/>
    <mergeCell ref="C1014:I1014"/>
    <mergeCell ref="C1005:I1005"/>
    <mergeCell ref="C1006:I1006"/>
    <mergeCell ref="C1007:I1007"/>
    <mergeCell ref="C1008:I1008"/>
    <mergeCell ref="C1009:I1009"/>
    <mergeCell ref="C1010:I1010"/>
    <mergeCell ref="C999:I999"/>
    <mergeCell ref="C1000:I1000"/>
    <mergeCell ref="C1001:I1001"/>
    <mergeCell ref="C1002:I1002"/>
    <mergeCell ref="C1003:I1003"/>
    <mergeCell ref="C1004:I1004"/>
    <mergeCell ref="C993:I993"/>
    <mergeCell ref="C994:I994"/>
    <mergeCell ref="C995:I995"/>
    <mergeCell ref="C996:I996"/>
    <mergeCell ref="C997:I997"/>
    <mergeCell ref="C998:I998"/>
    <mergeCell ref="C987:I987"/>
    <mergeCell ref="C988:I988"/>
    <mergeCell ref="C989:I989"/>
    <mergeCell ref="C990:I990"/>
    <mergeCell ref="C991:I991"/>
    <mergeCell ref="C992:I992"/>
    <mergeCell ref="C981:I981"/>
    <mergeCell ref="C982:I982"/>
  </mergeCells>
  <phoneticPr fontId="10" type="noConversion"/>
  <hyperlinks>
    <hyperlink ref="P108" r:id="rId1" xr:uid="{00000000-0004-0000-0200-000000000000}"/>
    <hyperlink ref="P106" r:id="rId2" xr:uid="{00000000-0004-0000-0200-000001000000}"/>
    <hyperlink ref="P109" r:id="rId3" xr:uid="{00000000-0004-0000-0200-000002000000}"/>
    <hyperlink ref="P110" r:id="rId4" xr:uid="{00000000-0004-0000-0200-000003000000}"/>
    <hyperlink ref="P13" r:id="rId5" xr:uid="{00000000-0004-0000-0200-000004000000}"/>
    <hyperlink ref="P111" r:id="rId6" xr:uid="{00000000-0004-0000-0200-000005000000}"/>
    <hyperlink ref="P112" r:id="rId7" xr:uid="{00000000-0004-0000-0200-000006000000}"/>
    <hyperlink ref="P113" r:id="rId8" xr:uid="{00000000-0004-0000-0200-000007000000}"/>
    <hyperlink ref="P114" r:id="rId9" xr:uid="{00000000-0004-0000-0200-000008000000}"/>
    <hyperlink ref="P18" r:id="rId10" xr:uid="{00000000-0004-0000-0200-000009000000}"/>
    <hyperlink ref="P17" r:id="rId11" xr:uid="{00000000-0004-0000-0200-00000A000000}"/>
    <hyperlink ref="P16" r:id="rId12" xr:uid="{00000000-0004-0000-0200-00000B000000}"/>
    <hyperlink ref="P20" r:id="rId13" xr:uid="{00000000-0004-0000-0200-00000C000000}"/>
    <hyperlink ref="P21" r:id="rId14" xr:uid="{00000000-0004-0000-0200-00000D000000}"/>
    <hyperlink ref="P23" r:id="rId15" xr:uid="{00000000-0004-0000-0200-00000E000000}"/>
    <hyperlink ref="P24" r:id="rId16" xr:uid="{00000000-0004-0000-0200-00000F000000}"/>
    <hyperlink ref="P15" r:id="rId17" xr:uid="{00000000-0004-0000-0200-000010000000}"/>
    <hyperlink ref="P14" r:id="rId18" xr:uid="{00000000-0004-0000-0200-000011000000}"/>
    <hyperlink ref="P62" r:id="rId19" xr:uid="{00000000-0004-0000-0200-000012000000}"/>
    <hyperlink ref="P63" r:id="rId20" xr:uid="{00000000-0004-0000-0200-000013000000}"/>
    <hyperlink ref="P81" r:id="rId21" xr:uid="{00000000-0004-0000-0200-000014000000}"/>
    <hyperlink ref="P90" r:id="rId22" xr:uid="{00000000-0004-0000-0200-000015000000}"/>
    <hyperlink ref="P91" r:id="rId23" xr:uid="{00000000-0004-0000-0200-000016000000}"/>
    <hyperlink ref="P79" r:id="rId24" xr:uid="{00000000-0004-0000-0200-000017000000}"/>
    <hyperlink ref="P41" r:id="rId25" xr:uid="{00000000-0004-0000-0200-000018000000}"/>
    <hyperlink ref="P19" r:id="rId26" xr:uid="{00000000-0004-0000-0200-000019000000}"/>
    <hyperlink ref="P40" r:id="rId27" xr:uid="{00000000-0004-0000-0200-00001A000000}"/>
    <hyperlink ref="P57" r:id="rId28" xr:uid="{00000000-0004-0000-0200-00001B000000}"/>
    <hyperlink ref="P83" r:id="rId29" xr:uid="{00000000-0004-0000-0200-00001C000000}"/>
    <hyperlink ref="P93" r:id="rId30" xr:uid="{00000000-0004-0000-0200-00001D000000}"/>
    <hyperlink ref="P116" r:id="rId31" xr:uid="{00000000-0004-0000-0200-00001E000000}"/>
    <hyperlink ref="P115" r:id="rId32" xr:uid="{00000000-0004-0000-0200-00001F000000}"/>
    <hyperlink ref="P117" r:id="rId33" xr:uid="{00000000-0004-0000-0200-000020000000}"/>
    <hyperlink ref="P118" r:id="rId34" xr:uid="{00000000-0004-0000-0200-000021000000}"/>
    <hyperlink ref="P119" r:id="rId35" xr:uid="{00000000-0004-0000-0200-000022000000}"/>
    <hyperlink ref="P120" r:id="rId36" xr:uid="{00000000-0004-0000-0200-000023000000}"/>
    <hyperlink ref="P121" r:id="rId37" xr:uid="{00000000-0004-0000-0200-000024000000}"/>
    <hyperlink ref="P35" r:id="rId38" xr:uid="{00000000-0004-0000-0200-000025000000}"/>
    <hyperlink ref="P56" r:id="rId39" xr:uid="{00000000-0004-0000-0200-000026000000}"/>
    <hyperlink ref="P122" r:id="rId40" xr:uid="{00000000-0004-0000-0200-000027000000}"/>
    <hyperlink ref="P123" r:id="rId41" xr:uid="{00000000-0004-0000-0200-000028000000}"/>
    <hyperlink ref="P124" r:id="rId42" xr:uid="{00000000-0004-0000-0200-000029000000}"/>
    <hyperlink ref="P125" r:id="rId43" xr:uid="{00000000-0004-0000-0200-00002A000000}"/>
    <hyperlink ref="P126" r:id="rId44" xr:uid="{00000000-0004-0000-0200-00002B000000}"/>
    <hyperlink ref="P127" r:id="rId45" xr:uid="{00000000-0004-0000-0200-00002C000000}"/>
    <hyperlink ref="P128" r:id="rId46" xr:uid="{00000000-0004-0000-0200-00002D000000}"/>
    <hyperlink ref="P131" r:id="rId47" xr:uid="{00000000-0004-0000-0200-00002E000000}"/>
    <hyperlink ref="P129" r:id="rId48" xr:uid="{00000000-0004-0000-0200-00002F000000}"/>
    <hyperlink ref="P130" r:id="rId49" xr:uid="{00000000-0004-0000-0200-000030000000}"/>
    <hyperlink ref="P132" r:id="rId50" xr:uid="{00000000-0004-0000-0200-000031000000}"/>
    <hyperlink ref="P133" r:id="rId51" xr:uid="{00000000-0004-0000-0200-000032000000}"/>
    <hyperlink ref="P134" r:id="rId52" xr:uid="{00000000-0004-0000-0200-000033000000}"/>
    <hyperlink ref="P135" r:id="rId53" xr:uid="{00000000-0004-0000-0200-000034000000}"/>
    <hyperlink ref="P136" r:id="rId54" xr:uid="{00000000-0004-0000-0200-000035000000}"/>
    <hyperlink ref="P137" r:id="rId55" xr:uid="{00000000-0004-0000-0200-000036000000}"/>
    <hyperlink ref="P139" r:id="rId56" xr:uid="{00000000-0004-0000-0200-000037000000}"/>
    <hyperlink ref="P138" r:id="rId57" xr:uid="{00000000-0004-0000-0200-000038000000}"/>
    <hyperlink ref="P140" r:id="rId58" xr:uid="{00000000-0004-0000-0200-000039000000}"/>
    <hyperlink ref="P141" r:id="rId59" xr:uid="{00000000-0004-0000-0200-00003A000000}"/>
    <hyperlink ref="P142" r:id="rId60" xr:uid="{00000000-0004-0000-0200-00003B000000}"/>
    <hyperlink ref="P76" r:id="rId61" xr:uid="{00000000-0004-0000-0200-00003C000000}"/>
    <hyperlink ref="P143" r:id="rId62" xr:uid="{00000000-0004-0000-0200-00003D000000}"/>
    <hyperlink ref="P144" r:id="rId63" xr:uid="{00000000-0004-0000-0200-00003E000000}"/>
    <hyperlink ref="P32" r:id="rId64" xr:uid="{00000000-0004-0000-0200-00003F000000}"/>
    <hyperlink ref="P145" r:id="rId65" xr:uid="{00000000-0004-0000-0200-000040000000}"/>
    <hyperlink ref="P147" r:id="rId66" xr:uid="{00000000-0004-0000-0200-000041000000}"/>
    <hyperlink ref="P148" r:id="rId67" xr:uid="{00000000-0004-0000-0200-000042000000}"/>
    <hyperlink ref="P149" r:id="rId68" xr:uid="{00000000-0004-0000-0200-000043000000}"/>
    <hyperlink ref="P150" r:id="rId69" xr:uid="{00000000-0004-0000-0200-000044000000}"/>
    <hyperlink ref="P151" r:id="rId70" xr:uid="{00000000-0004-0000-0200-000045000000}"/>
    <hyperlink ref="P152" r:id="rId71" xr:uid="{00000000-0004-0000-0200-000046000000}"/>
    <hyperlink ref="P153" r:id="rId72" xr:uid="{00000000-0004-0000-0200-000047000000}"/>
    <hyperlink ref="P154" r:id="rId73" xr:uid="{00000000-0004-0000-0200-000048000000}"/>
    <hyperlink ref="P155" r:id="rId74" xr:uid="{00000000-0004-0000-0200-000049000000}"/>
    <hyperlink ref="P156" r:id="rId75" xr:uid="{00000000-0004-0000-0200-00004A000000}"/>
    <hyperlink ref="P157" r:id="rId76" xr:uid="{00000000-0004-0000-0200-00004B000000}"/>
    <hyperlink ref="P158" r:id="rId77" xr:uid="{00000000-0004-0000-0200-00004C000000}"/>
    <hyperlink ref="P159" r:id="rId78" xr:uid="{00000000-0004-0000-0200-00004D000000}"/>
    <hyperlink ref="P160" r:id="rId79" xr:uid="{00000000-0004-0000-0200-00004E000000}"/>
    <hyperlink ref="P161" r:id="rId80" xr:uid="{00000000-0004-0000-0200-00004F000000}"/>
    <hyperlink ref="P162" r:id="rId81" xr:uid="{00000000-0004-0000-0200-000050000000}"/>
    <hyperlink ref="P163" r:id="rId82" xr:uid="{00000000-0004-0000-0200-000051000000}"/>
    <hyperlink ref="P164" r:id="rId83" xr:uid="{00000000-0004-0000-0200-000052000000}"/>
    <hyperlink ref="P165" r:id="rId84" xr:uid="{00000000-0004-0000-0200-000053000000}"/>
    <hyperlink ref="P166" r:id="rId85" xr:uid="{00000000-0004-0000-0200-000054000000}"/>
    <hyperlink ref="P167" r:id="rId86" display="david.lopera@socomes.com" xr:uid="{00000000-0004-0000-0200-000055000000}"/>
    <hyperlink ref="P168" r:id="rId87" xr:uid="{00000000-0004-0000-0200-000056000000}"/>
    <hyperlink ref="P169" r:id="rId88" xr:uid="{00000000-0004-0000-0200-000057000000}"/>
    <hyperlink ref="P171" r:id="rId89" xr:uid="{00000000-0004-0000-0200-000058000000}"/>
    <hyperlink ref="P172" r:id="rId90" xr:uid="{00000000-0004-0000-0200-000059000000}"/>
    <hyperlink ref="P173" r:id="rId91" xr:uid="{00000000-0004-0000-0200-00005A000000}"/>
    <hyperlink ref="P174" r:id="rId92" xr:uid="{00000000-0004-0000-0200-00005B000000}"/>
    <hyperlink ref="P175" r:id="rId93" xr:uid="{00000000-0004-0000-0200-00005C000000}"/>
    <hyperlink ref="P177" r:id="rId94" xr:uid="{00000000-0004-0000-0200-00005D000000}"/>
    <hyperlink ref="P170" r:id="rId95" xr:uid="{00000000-0004-0000-0200-00005E000000}"/>
    <hyperlink ref="P178" r:id="rId96" xr:uid="{00000000-0004-0000-0200-00005F000000}"/>
    <hyperlink ref="P179" r:id="rId97" xr:uid="{00000000-0004-0000-0200-000060000000}"/>
    <hyperlink ref="P180" r:id="rId98" xr:uid="{00000000-0004-0000-0200-000061000000}"/>
    <hyperlink ref="P181" r:id="rId99" xr:uid="{00000000-0004-0000-0200-000062000000}"/>
    <hyperlink ref="P182" r:id="rId100" xr:uid="{00000000-0004-0000-0200-000063000000}"/>
    <hyperlink ref="P183" r:id="rId101" xr:uid="{00000000-0004-0000-0200-000064000000}"/>
    <hyperlink ref="P184" r:id="rId102" xr:uid="{00000000-0004-0000-0200-000065000000}"/>
    <hyperlink ref="P185" r:id="rId103" xr:uid="{00000000-0004-0000-0200-000066000000}"/>
    <hyperlink ref="P186" r:id="rId104" xr:uid="{00000000-0004-0000-0200-000067000000}"/>
    <hyperlink ref="P187" r:id="rId105" xr:uid="{00000000-0004-0000-0200-000068000000}"/>
    <hyperlink ref="P188" r:id="rId106" xr:uid="{00000000-0004-0000-0200-000069000000}"/>
    <hyperlink ref="P189" r:id="rId107" xr:uid="{00000000-0004-0000-0200-00006A000000}"/>
    <hyperlink ref="P190" r:id="rId108" xr:uid="{00000000-0004-0000-0200-00006B000000}"/>
    <hyperlink ref="P191" r:id="rId109" xr:uid="{00000000-0004-0000-0200-00006C000000}"/>
    <hyperlink ref="P192" r:id="rId110" xr:uid="{00000000-0004-0000-0200-00006D000000}"/>
    <hyperlink ref="P193" r:id="rId111" xr:uid="{00000000-0004-0000-0200-00006E000000}"/>
    <hyperlink ref="P194" r:id="rId112" xr:uid="{00000000-0004-0000-0200-00006F000000}"/>
    <hyperlink ref="P195" r:id="rId113" xr:uid="{00000000-0004-0000-0200-000070000000}"/>
    <hyperlink ref="P196" r:id="rId114" xr:uid="{00000000-0004-0000-0200-000071000000}"/>
    <hyperlink ref="P197" r:id="rId115" xr:uid="{00000000-0004-0000-0200-000072000000}"/>
    <hyperlink ref="P198" r:id="rId116" xr:uid="{00000000-0004-0000-0200-000073000000}"/>
    <hyperlink ref="P199" r:id="rId117" xr:uid="{00000000-0004-0000-0200-000074000000}"/>
    <hyperlink ref="P200" r:id="rId118" xr:uid="{00000000-0004-0000-0200-000075000000}"/>
    <hyperlink ref="P201" r:id="rId119" xr:uid="{00000000-0004-0000-0200-000076000000}"/>
    <hyperlink ref="P202" r:id="rId120" xr:uid="{00000000-0004-0000-0200-000077000000}"/>
    <hyperlink ref="P203" r:id="rId121" xr:uid="{00000000-0004-0000-0200-000078000000}"/>
    <hyperlink ref="P204" r:id="rId122" xr:uid="{00000000-0004-0000-0200-000079000000}"/>
    <hyperlink ref="P205" r:id="rId123" xr:uid="{00000000-0004-0000-0200-00007A000000}"/>
    <hyperlink ref="P206" r:id="rId124" xr:uid="{00000000-0004-0000-0200-00007B000000}"/>
    <hyperlink ref="P207" r:id="rId125" xr:uid="{00000000-0004-0000-0200-00007C000000}"/>
    <hyperlink ref="P208" r:id="rId126" xr:uid="{00000000-0004-0000-0200-00007D000000}"/>
    <hyperlink ref="P209" r:id="rId127" xr:uid="{00000000-0004-0000-0200-00007E000000}"/>
    <hyperlink ref="P210" r:id="rId128" xr:uid="{00000000-0004-0000-0200-00007F000000}"/>
    <hyperlink ref="P211" r:id="rId129" xr:uid="{00000000-0004-0000-0200-000080000000}"/>
    <hyperlink ref="P212" r:id="rId130" xr:uid="{00000000-0004-0000-0200-000081000000}"/>
    <hyperlink ref="P213" r:id="rId131" xr:uid="{00000000-0004-0000-0200-000082000000}"/>
    <hyperlink ref="P214" r:id="rId132" xr:uid="{00000000-0004-0000-0200-000083000000}"/>
    <hyperlink ref="P215" r:id="rId133" xr:uid="{00000000-0004-0000-0200-000084000000}"/>
    <hyperlink ref="P216" r:id="rId134" xr:uid="{00000000-0004-0000-0200-000085000000}"/>
    <hyperlink ref="P217" r:id="rId135" xr:uid="{00000000-0004-0000-0200-000086000000}"/>
    <hyperlink ref="P218" r:id="rId136" xr:uid="{00000000-0004-0000-0200-000087000000}"/>
    <hyperlink ref="P220" r:id="rId137" xr:uid="{00000000-0004-0000-0200-000088000000}"/>
    <hyperlink ref="P219" r:id="rId138" xr:uid="{00000000-0004-0000-0200-000089000000}"/>
    <hyperlink ref="P221" r:id="rId139" xr:uid="{00000000-0004-0000-0200-00008A000000}"/>
    <hyperlink ref="P222" r:id="rId140" xr:uid="{00000000-0004-0000-0200-00008B000000}"/>
    <hyperlink ref="P223" r:id="rId141" xr:uid="{00000000-0004-0000-0200-00008C000000}"/>
    <hyperlink ref="P225" r:id="rId142" xr:uid="{00000000-0004-0000-0200-00008D000000}"/>
    <hyperlink ref="P226" r:id="rId143" xr:uid="{00000000-0004-0000-0200-00008E000000}"/>
    <hyperlink ref="P227" r:id="rId144" xr:uid="{00000000-0004-0000-0200-00008F000000}"/>
    <hyperlink ref="P228" r:id="rId145" xr:uid="{00000000-0004-0000-0200-000090000000}"/>
    <hyperlink ref="P229" r:id="rId146" xr:uid="{00000000-0004-0000-0200-000091000000}"/>
    <hyperlink ref="P230" r:id="rId147" xr:uid="{00000000-0004-0000-0200-000092000000}"/>
    <hyperlink ref="P231" r:id="rId148" xr:uid="{00000000-0004-0000-0200-000093000000}"/>
    <hyperlink ref="P232" r:id="rId149" xr:uid="{00000000-0004-0000-0200-000094000000}"/>
    <hyperlink ref="P233" r:id="rId150" xr:uid="{00000000-0004-0000-0200-000095000000}"/>
    <hyperlink ref="P234" r:id="rId151" xr:uid="{00000000-0004-0000-0200-000096000000}"/>
    <hyperlink ref="P235" r:id="rId152" xr:uid="{00000000-0004-0000-0200-000097000000}"/>
    <hyperlink ref="P236" r:id="rId153" xr:uid="{00000000-0004-0000-0200-000098000000}"/>
    <hyperlink ref="P237" r:id="rId154" xr:uid="{00000000-0004-0000-0200-000099000000}"/>
    <hyperlink ref="P238" r:id="rId155" xr:uid="{00000000-0004-0000-0200-00009A000000}"/>
    <hyperlink ref="P239" r:id="rId156" xr:uid="{00000000-0004-0000-0200-00009B000000}"/>
    <hyperlink ref="P240" r:id="rId157" xr:uid="{00000000-0004-0000-0200-00009C000000}"/>
    <hyperlink ref="P241" r:id="rId158" xr:uid="{00000000-0004-0000-0200-00009D000000}"/>
    <hyperlink ref="P242" r:id="rId159" xr:uid="{00000000-0004-0000-0200-00009E000000}"/>
    <hyperlink ref="P243" r:id="rId160" xr:uid="{00000000-0004-0000-0200-00009F000000}"/>
    <hyperlink ref="P244" r:id="rId161" xr:uid="{00000000-0004-0000-0200-0000A0000000}"/>
    <hyperlink ref="P245" r:id="rId162" xr:uid="{00000000-0004-0000-0200-0000A1000000}"/>
    <hyperlink ref="P247" r:id="rId163" xr:uid="{00000000-0004-0000-0200-0000A2000000}"/>
    <hyperlink ref="P246" r:id="rId164" xr:uid="{00000000-0004-0000-0200-0000A3000000}"/>
    <hyperlink ref="P248" r:id="rId165" xr:uid="{00000000-0004-0000-0200-0000A4000000}"/>
    <hyperlink ref="P249" r:id="rId166" xr:uid="{00000000-0004-0000-0200-0000A5000000}"/>
    <hyperlink ref="P250" r:id="rId167" xr:uid="{00000000-0004-0000-0200-0000A6000000}"/>
    <hyperlink ref="P251" r:id="rId168" xr:uid="{00000000-0004-0000-0200-0000A7000000}"/>
    <hyperlink ref="P253" r:id="rId169" xr:uid="{00000000-0004-0000-0200-0000A8000000}"/>
    <hyperlink ref="P254" r:id="rId170" xr:uid="{00000000-0004-0000-0200-0000A9000000}"/>
    <hyperlink ref="P255" r:id="rId171" xr:uid="{00000000-0004-0000-0200-0000AA000000}"/>
    <hyperlink ref="P256" r:id="rId172" xr:uid="{00000000-0004-0000-0200-0000AB000000}"/>
    <hyperlink ref="P257" r:id="rId173" xr:uid="{00000000-0004-0000-0200-0000AC000000}"/>
    <hyperlink ref="P258" r:id="rId174" xr:uid="{00000000-0004-0000-0200-0000AD000000}"/>
    <hyperlink ref="P259" r:id="rId175" xr:uid="{00000000-0004-0000-0200-0000AE000000}"/>
    <hyperlink ref="P260" r:id="rId176" xr:uid="{00000000-0004-0000-0200-0000AF000000}"/>
    <hyperlink ref="P261" r:id="rId177" xr:uid="{00000000-0004-0000-0200-0000B0000000}"/>
    <hyperlink ref="P262" r:id="rId178" xr:uid="{00000000-0004-0000-0200-0000B1000000}"/>
    <hyperlink ref="P263" r:id="rId179" xr:uid="{00000000-0004-0000-0200-0000B2000000}"/>
    <hyperlink ref="P264" r:id="rId180" xr:uid="{00000000-0004-0000-0200-0000B3000000}"/>
    <hyperlink ref="P265" r:id="rId181" xr:uid="{00000000-0004-0000-0200-0000B4000000}"/>
    <hyperlink ref="P267" r:id="rId182" xr:uid="{00000000-0004-0000-0200-0000B5000000}"/>
    <hyperlink ref="P268" r:id="rId183" xr:uid="{00000000-0004-0000-0200-0000B6000000}"/>
    <hyperlink ref="P269" r:id="rId184" xr:uid="{00000000-0004-0000-0200-0000B7000000}"/>
    <hyperlink ref="P270" r:id="rId185" xr:uid="{00000000-0004-0000-0200-0000B8000000}"/>
    <hyperlink ref="P272" r:id="rId186" xr:uid="{00000000-0004-0000-0200-0000B9000000}"/>
    <hyperlink ref="P271" r:id="rId187" xr:uid="{00000000-0004-0000-0200-0000BA000000}"/>
    <hyperlink ref="P273" r:id="rId188" xr:uid="{00000000-0004-0000-0200-0000BB000000}"/>
    <hyperlink ref="P274" r:id="rId189" xr:uid="{00000000-0004-0000-0200-0000BC000000}"/>
    <hyperlink ref="C275" r:id="rId190" display="johana.montoya@perfek.com.co" xr:uid="{00000000-0004-0000-0200-0000BD000000}"/>
    <hyperlink ref="P275" r:id="rId191" xr:uid="{00000000-0004-0000-0200-0000BE000000}"/>
    <hyperlink ref="P276" r:id="rId192" xr:uid="{00000000-0004-0000-0200-0000BF000000}"/>
    <hyperlink ref="P277" r:id="rId193" xr:uid="{00000000-0004-0000-0200-0000C0000000}"/>
    <hyperlink ref="P278" r:id="rId194" xr:uid="{00000000-0004-0000-0200-0000C1000000}"/>
    <hyperlink ref="P279" r:id="rId195" xr:uid="{00000000-0004-0000-0200-0000C2000000}"/>
    <hyperlink ref="P280" r:id="rId196" xr:uid="{00000000-0004-0000-0200-0000C3000000}"/>
    <hyperlink ref="P281" r:id="rId197" xr:uid="{00000000-0004-0000-0200-0000C4000000}"/>
    <hyperlink ref="P282" r:id="rId198" xr:uid="{00000000-0004-0000-0200-0000C5000000}"/>
    <hyperlink ref="P283" r:id="rId199" xr:uid="{00000000-0004-0000-0200-0000C6000000}"/>
    <hyperlink ref="P284" r:id="rId200" xr:uid="{00000000-0004-0000-0200-0000C7000000}"/>
    <hyperlink ref="P285" r:id="rId201" xr:uid="{00000000-0004-0000-0200-0000C8000000}"/>
    <hyperlink ref="P286" r:id="rId202" xr:uid="{00000000-0004-0000-0200-0000C9000000}"/>
    <hyperlink ref="P287" r:id="rId203" xr:uid="{00000000-0004-0000-0200-0000CA000000}"/>
    <hyperlink ref="P288" r:id="rId204" xr:uid="{00000000-0004-0000-0200-0000CB000000}"/>
    <hyperlink ref="P289" r:id="rId205" xr:uid="{00000000-0004-0000-0200-0000CC000000}"/>
    <hyperlink ref="P290" r:id="rId206" xr:uid="{00000000-0004-0000-0200-0000CD000000}"/>
    <hyperlink ref="P291" r:id="rId207" xr:uid="{00000000-0004-0000-0200-0000CE000000}"/>
    <hyperlink ref="P292" r:id="rId208" xr:uid="{00000000-0004-0000-0200-0000CF000000}"/>
    <hyperlink ref="P293" r:id="rId209" xr:uid="{00000000-0004-0000-0200-0000D0000000}"/>
    <hyperlink ref="P294" r:id="rId210" xr:uid="{00000000-0004-0000-0200-0000D1000000}"/>
    <hyperlink ref="P296" r:id="rId211" xr:uid="{00000000-0004-0000-0200-0000D2000000}"/>
    <hyperlink ref="P295" r:id="rId212" xr:uid="{00000000-0004-0000-0200-0000D3000000}"/>
    <hyperlink ref="P297" r:id="rId213" xr:uid="{00000000-0004-0000-0200-0000D4000000}"/>
    <hyperlink ref="P298" r:id="rId214" xr:uid="{00000000-0004-0000-0200-0000D5000000}"/>
    <hyperlink ref="P299" r:id="rId215" xr:uid="{00000000-0004-0000-0200-0000D6000000}"/>
    <hyperlink ref="P300" r:id="rId216" xr:uid="{00000000-0004-0000-0200-0000D7000000}"/>
    <hyperlink ref="P301" r:id="rId217" xr:uid="{00000000-0004-0000-0200-0000D8000000}"/>
    <hyperlink ref="P302" r:id="rId218" xr:uid="{00000000-0004-0000-0200-0000D9000000}"/>
    <hyperlink ref="P303" r:id="rId219" xr:uid="{00000000-0004-0000-0200-0000DA000000}"/>
    <hyperlink ref="P304" r:id="rId220" xr:uid="{00000000-0004-0000-0200-0000DB000000}"/>
    <hyperlink ref="P305" r:id="rId221" xr:uid="{00000000-0004-0000-0200-0000DC000000}"/>
    <hyperlink ref="P306" r:id="rId222" xr:uid="{00000000-0004-0000-0200-0000DD000000}"/>
    <hyperlink ref="P308" r:id="rId223" xr:uid="{00000000-0004-0000-0200-0000DE000000}"/>
    <hyperlink ref="P309" r:id="rId224" xr:uid="{00000000-0004-0000-0200-0000DF000000}"/>
  </hyperlinks>
  <pageMargins left="0.7" right="0.7" top="0.75" bottom="0.75" header="0.3" footer="0.3"/>
  <pageSetup orientation="portrait" horizontalDpi="4294967293" r:id="rId225"/>
  <drawing r:id="rId226"/>
  <legacyDrawing r:id="rId22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15"/>
  <sheetViews>
    <sheetView topLeftCell="A55" zoomScale="85" zoomScaleNormal="85" workbookViewId="0">
      <selection activeCell="C75" sqref="C75:I75"/>
    </sheetView>
  </sheetViews>
  <sheetFormatPr baseColWidth="10" defaultColWidth="11.42578125" defaultRowHeight="15" x14ac:dyDescent="0.25"/>
  <cols>
    <col min="1" max="1" width="2.85546875" style="7" customWidth="1"/>
    <col min="2" max="2" width="12.42578125" style="30" customWidth="1"/>
    <col min="3" max="4" width="11.42578125" style="7"/>
    <col min="5" max="5" width="14.42578125" style="7" customWidth="1"/>
    <col min="6" max="7" width="14.85546875" style="7" customWidth="1"/>
    <col min="8" max="8" width="10.85546875" style="7" customWidth="1"/>
    <col min="9" max="9" width="42.140625" style="7" customWidth="1"/>
    <col min="10" max="10" width="38.140625" style="7" bestFit="1" customWidth="1"/>
    <col min="11" max="11" width="18.85546875" style="30" bestFit="1" customWidth="1"/>
    <col min="12" max="12" width="20.5703125" style="30" bestFit="1" customWidth="1"/>
    <col min="13" max="13" width="12.85546875" style="30" customWidth="1"/>
    <col min="14" max="14" width="14.42578125" style="30" customWidth="1"/>
    <col min="15" max="15" width="28.140625" style="30" customWidth="1"/>
    <col min="16" max="16" width="42.5703125" style="30" customWidth="1"/>
    <col min="17" max="17" width="2.140625" style="7" customWidth="1"/>
    <col min="18" max="18" width="3.140625" style="7" customWidth="1"/>
    <col min="19" max="19" width="20.140625" style="7" bestFit="1" customWidth="1"/>
    <col min="20" max="16384" width="11.42578125" style="7"/>
  </cols>
  <sheetData>
    <row r="1" spans="2:19" ht="15.75" thickBot="1" x14ac:dyDescent="0.3"/>
    <row r="2" spans="2:19" ht="15" customHeight="1" x14ac:dyDescent="0.25">
      <c r="B2" s="234"/>
      <c r="C2" s="235"/>
      <c r="D2" s="235"/>
      <c r="E2" s="191" t="s">
        <v>0</v>
      </c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3"/>
      <c r="Q2" s="8"/>
    </row>
    <row r="3" spans="2:19" ht="15" customHeight="1" x14ac:dyDescent="0.25">
      <c r="B3" s="236"/>
      <c r="C3" s="237"/>
      <c r="D3" s="237"/>
      <c r="E3" s="194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6"/>
      <c r="Q3" s="8"/>
    </row>
    <row r="4" spans="2:19" ht="15" customHeight="1" x14ac:dyDescent="0.25">
      <c r="B4" s="236"/>
      <c r="C4" s="237"/>
      <c r="D4" s="237"/>
      <c r="E4" s="194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6"/>
      <c r="Q4" s="8"/>
    </row>
    <row r="5" spans="2:19" ht="15" customHeight="1" x14ac:dyDescent="0.25">
      <c r="B5" s="236"/>
      <c r="C5" s="237"/>
      <c r="D5" s="237"/>
      <c r="E5" s="194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6"/>
      <c r="Q5" s="8"/>
      <c r="R5" s="9"/>
      <c r="S5" s="7" t="s">
        <v>183</v>
      </c>
    </row>
    <row r="6" spans="2:19" ht="15" customHeight="1" x14ac:dyDescent="0.25">
      <c r="B6" s="236"/>
      <c r="C6" s="237"/>
      <c r="D6" s="237"/>
      <c r="E6" s="194"/>
      <c r="F6" s="195"/>
      <c r="G6" s="195"/>
      <c r="H6" s="195"/>
      <c r="I6" s="195"/>
      <c r="J6" s="195"/>
      <c r="K6" s="195"/>
      <c r="L6" s="195"/>
      <c r="M6" s="195"/>
      <c r="N6" s="195"/>
      <c r="O6" s="195"/>
      <c r="P6" s="196"/>
      <c r="Q6" s="8"/>
      <c r="R6" s="26"/>
      <c r="S6" s="7" t="s">
        <v>184</v>
      </c>
    </row>
    <row r="7" spans="2:19" ht="15" customHeight="1" x14ac:dyDescent="0.25">
      <c r="B7" s="236"/>
      <c r="C7" s="237"/>
      <c r="D7" s="237"/>
      <c r="E7" s="194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6"/>
      <c r="Q7" s="8"/>
    </row>
    <row r="8" spans="2:19" ht="15" customHeight="1" x14ac:dyDescent="0.25">
      <c r="B8" s="236"/>
      <c r="C8" s="237"/>
      <c r="D8" s="237"/>
      <c r="E8" s="194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6"/>
      <c r="Q8" s="8"/>
    </row>
    <row r="9" spans="2:19" ht="15.75" customHeight="1" thickBot="1" x14ac:dyDescent="0.3">
      <c r="B9" s="238"/>
      <c r="C9" s="239"/>
      <c r="D9" s="239"/>
      <c r="E9" s="197"/>
      <c r="F9" s="198"/>
      <c r="G9" s="198"/>
      <c r="H9" s="198"/>
      <c r="I9" s="198"/>
      <c r="J9" s="198"/>
      <c r="K9" s="198"/>
      <c r="L9" s="198"/>
      <c r="M9" s="198"/>
      <c r="N9" s="198"/>
      <c r="O9" s="198"/>
      <c r="P9" s="199"/>
      <c r="Q9" s="8"/>
    </row>
    <row r="10" spans="2:19" ht="15" customHeight="1" x14ac:dyDescent="0.25">
      <c r="B10" s="209" t="s">
        <v>1</v>
      </c>
      <c r="C10" s="178" t="s">
        <v>2</v>
      </c>
      <c r="D10" s="179"/>
      <c r="E10" s="179"/>
      <c r="F10" s="179"/>
      <c r="G10" s="180"/>
      <c r="H10" s="181"/>
      <c r="I10" s="182"/>
      <c r="J10" s="189" t="s">
        <v>696</v>
      </c>
      <c r="K10" s="221" t="s">
        <v>3</v>
      </c>
      <c r="L10" s="223" t="s">
        <v>4</v>
      </c>
      <c r="M10" s="223" t="s">
        <v>5</v>
      </c>
      <c r="N10" s="225" t="s">
        <v>6</v>
      </c>
      <c r="O10" s="225" t="s">
        <v>7</v>
      </c>
      <c r="P10" s="225" t="s">
        <v>8</v>
      </c>
      <c r="Q10" s="10"/>
    </row>
    <row r="11" spans="2:19" ht="15.75" thickBot="1" x14ac:dyDescent="0.3">
      <c r="B11" s="210"/>
      <c r="C11" s="266"/>
      <c r="D11" s="267"/>
      <c r="E11" s="267"/>
      <c r="F11" s="267"/>
      <c r="G11" s="268"/>
      <c r="H11" s="269"/>
      <c r="I11" s="270"/>
      <c r="J11" s="190"/>
      <c r="K11" s="222"/>
      <c r="L11" s="224"/>
      <c r="M11" s="224"/>
      <c r="N11" s="226"/>
      <c r="O11" s="226"/>
      <c r="P11" s="226"/>
      <c r="Q11" s="10"/>
    </row>
    <row r="12" spans="2:19" ht="9" customHeight="1" x14ac:dyDescent="0.25">
      <c r="B12" s="233"/>
      <c r="C12" s="233"/>
      <c r="D12" s="233"/>
      <c r="E12" s="233"/>
      <c r="F12" s="233"/>
      <c r="G12" s="233"/>
      <c r="H12" s="233"/>
      <c r="I12" s="233"/>
      <c r="J12" s="233"/>
      <c r="K12" s="233"/>
      <c r="L12" s="233"/>
      <c r="M12" s="233"/>
      <c r="N12" s="42"/>
    </row>
    <row r="13" spans="2:19" x14ac:dyDescent="0.25">
      <c r="B13" s="32">
        <v>1</v>
      </c>
      <c r="C13" s="229" t="s">
        <v>1347</v>
      </c>
      <c r="D13" s="229"/>
      <c r="E13" s="229"/>
      <c r="F13" s="229"/>
      <c r="G13" s="229"/>
      <c r="H13" s="229"/>
      <c r="I13" s="229"/>
      <c r="J13" s="59" t="s">
        <v>1348</v>
      </c>
      <c r="K13" s="46">
        <v>2850000</v>
      </c>
      <c r="L13" s="2">
        <v>44202</v>
      </c>
      <c r="M13" s="32"/>
      <c r="N13" s="32" t="s">
        <v>1349</v>
      </c>
      <c r="O13" s="51" t="s">
        <v>1350</v>
      </c>
      <c r="P13" s="52" t="s">
        <v>1351</v>
      </c>
    </row>
    <row r="14" spans="2:19" x14ac:dyDescent="0.25">
      <c r="B14" s="32">
        <v>2</v>
      </c>
      <c r="C14" s="229" t="s">
        <v>1352</v>
      </c>
      <c r="D14" s="229"/>
      <c r="E14" s="229"/>
      <c r="F14" s="229"/>
      <c r="G14" s="229"/>
      <c r="H14" s="229"/>
      <c r="I14" s="229"/>
      <c r="J14" s="59" t="s">
        <v>880</v>
      </c>
      <c r="K14" s="46">
        <v>19930000</v>
      </c>
      <c r="L14" s="2">
        <v>44209</v>
      </c>
      <c r="M14" s="32"/>
      <c r="N14" s="32">
        <v>3134669894</v>
      </c>
      <c r="O14" s="51" t="s">
        <v>320</v>
      </c>
      <c r="P14" s="52" t="s">
        <v>1353</v>
      </c>
    </row>
    <row r="15" spans="2:19" ht="14.45" customHeight="1" x14ac:dyDescent="0.25">
      <c r="B15" s="32">
        <v>3</v>
      </c>
      <c r="C15" s="229" t="s">
        <v>684</v>
      </c>
      <c r="D15" s="229"/>
      <c r="E15" s="229"/>
      <c r="F15" s="229"/>
      <c r="G15" s="229"/>
      <c r="H15" s="229"/>
      <c r="I15" s="229"/>
      <c r="J15" s="59" t="s">
        <v>702</v>
      </c>
      <c r="K15" s="46">
        <v>19940000</v>
      </c>
      <c r="L15" s="2">
        <v>44209</v>
      </c>
      <c r="M15" s="32"/>
      <c r="N15" s="32">
        <v>3104680508</v>
      </c>
      <c r="O15" s="51" t="s">
        <v>212</v>
      </c>
      <c r="P15" s="38" t="s">
        <v>703</v>
      </c>
    </row>
    <row r="16" spans="2:19" x14ac:dyDescent="0.25">
      <c r="B16" s="32">
        <v>4</v>
      </c>
      <c r="C16" s="229" t="s">
        <v>1354</v>
      </c>
      <c r="D16" s="229"/>
      <c r="E16" s="229"/>
      <c r="F16" s="229"/>
      <c r="G16" s="229"/>
      <c r="H16" s="229"/>
      <c r="I16" s="229"/>
      <c r="J16" s="59" t="s">
        <v>1324</v>
      </c>
      <c r="K16" s="46">
        <v>19950000</v>
      </c>
      <c r="L16" s="2">
        <v>44210</v>
      </c>
      <c r="M16" s="32"/>
      <c r="N16" s="32">
        <v>3207091752</v>
      </c>
      <c r="O16" s="51" t="s">
        <v>1355</v>
      </c>
      <c r="P16" s="52" t="s">
        <v>1356</v>
      </c>
    </row>
    <row r="17" spans="2:16" x14ac:dyDescent="0.25">
      <c r="B17" s="32">
        <v>5</v>
      </c>
      <c r="C17" s="229" t="s">
        <v>1357</v>
      </c>
      <c r="D17" s="229"/>
      <c r="E17" s="229"/>
      <c r="F17" s="229"/>
      <c r="G17" s="229"/>
      <c r="H17" s="229"/>
      <c r="I17" s="229"/>
      <c r="J17" s="59" t="s">
        <v>1358</v>
      </c>
      <c r="K17" s="46">
        <v>6000000</v>
      </c>
      <c r="L17" s="2">
        <v>44211</v>
      </c>
      <c r="M17" s="32"/>
      <c r="N17" s="32">
        <v>3104473509</v>
      </c>
      <c r="O17" s="51" t="s">
        <v>1359</v>
      </c>
      <c r="P17" s="52" t="s">
        <v>1360</v>
      </c>
    </row>
    <row r="18" spans="2:16" x14ac:dyDescent="0.25">
      <c r="B18" s="32">
        <v>6</v>
      </c>
      <c r="C18" s="229" t="s">
        <v>1361</v>
      </c>
      <c r="D18" s="229"/>
      <c r="E18" s="229"/>
      <c r="F18" s="229"/>
      <c r="G18" s="229"/>
      <c r="H18" s="229"/>
      <c r="I18" s="229"/>
      <c r="J18" s="59" t="s">
        <v>758</v>
      </c>
      <c r="K18" s="46">
        <v>3580000</v>
      </c>
      <c r="L18" s="2">
        <v>44211</v>
      </c>
      <c r="M18" s="32"/>
      <c r="N18" s="32" t="s">
        <v>1253</v>
      </c>
      <c r="O18" s="51" t="s">
        <v>1023</v>
      </c>
      <c r="P18" s="38" t="s">
        <v>1024</v>
      </c>
    </row>
    <row r="19" spans="2:16" x14ac:dyDescent="0.25">
      <c r="B19" s="32">
        <v>7</v>
      </c>
      <c r="C19" s="229" t="s">
        <v>1362</v>
      </c>
      <c r="D19" s="229"/>
      <c r="E19" s="229"/>
      <c r="F19" s="229"/>
      <c r="G19" s="229"/>
      <c r="H19" s="229"/>
      <c r="I19" s="229"/>
      <c r="J19" s="59" t="s">
        <v>753</v>
      </c>
      <c r="K19" s="46">
        <v>7200000</v>
      </c>
      <c r="L19" s="2">
        <v>44214</v>
      </c>
      <c r="M19" s="2" t="s">
        <v>3923</v>
      </c>
      <c r="N19" s="32">
        <v>3015421412</v>
      </c>
      <c r="O19" s="51" t="s">
        <v>745</v>
      </c>
      <c r="P19" s="38" t="s">
        <v>1012</v>
      </c>
    </row>
    <row r="20" spans="2:16" x14ac:dyDescent="0.25">
      <c r="B20" s="32">
        <v>8</v>
      </c>
      <c r="C20" s="229" t="s">
        <v>1363</v>
      </c>
      <c r="D20" s="229"/>
      <c r="E20" s="229"/>
      <c r="F20" s="229"/>
      <c r="G20" s="229"/>
      <c r="H20" s="229"/>
      <c r="I20" s="229"/>
      <c r="J20" s="59" t="s">
        <v>851</v>
      </c>
      <c r="K20" s="46">
        <v>14450000</v>
      </c>
      <c r="L20" s="2">
        <v>44214</v>
      </c>
      <c r="M20" s="32"/>
      <c r="N20" s="32" t="s">
        <v>1286</v>
      </c>
      <c r="O20" s="51" t="s">
        <v>233</v>
      </c>
      <c r="P20" s="38" t="s">
        <v>1287</v>
      </c>
    </row>
    <row r="21" spans="2:16" x14ac:dyDescent="0.25">
      <c r="B21" s="32">
        <v>9</v>
      </c>
      <c r="C21" s="229" t="s">
        <v>1364</v>
      </c>
      <c r="D21" s="229"/>
      <c r="E21" s="229"/>
      <c r="F21" s="229"/>
      <c r="G21" s="229"/>
      <c r="H21" s="229"/>
      <c r="I21" s="229"/>
      <c r="J21" s="59" t="s">
        <v>702</v>
      </c>
      <c r="K21" s="46">
        <v>750000</v>
      </c>
      <c r="L21" s="2">
        <v>44215</v>
      </c>
      <c r="M21" s="35"/>
      <c r="N21" s="32">
        <v>3104165783</v>
      </c>
      <c r="O21" s="51" t="s">
        <v>242</v>
      </c>
      <c r="P21" s="38" t="s">
        <v>917</v>
      </c>
    </row>
    <row r="22" spans="2:16" x14ac:dyDescent="0.25">
      <c r="B22" s="32">
        <v>10</v>
      </c>
      <c r="C22" s="229" t="s">
        <v>1365</v>
      </c>
      <c r="D22" s="229"/>
      <c r="E22" s="229"/>
      <c r="F22" s="229"/>
      <c r="G22" s="229"/>
      <c r="H22" s="229"/>
      <c r="I22" s="229"/>
      <c r="J22" s="59" t="s">
        <v>1366</v>
      </c>
      <c r="K22" s="46">
        <v>3500000</v>
      </c>
      <c r="L22" s="2">
        <v>44216</v>
      </c>
      <c r="M22" s="32"/>
      <c r="N22" s="32" t="s">
        <v>1367</v>
      </c>
      <c r="O22" s="51" t="s">
        <v>1368</v>
      </c>
      <c r="P22" s="52" t="s">
        <v>1369</v>
      </c>
    </row>
    <row r="23" spans="2:16" x14ac:dyDescent="0.25">
      <c r="B23" s="32">
        <v>11</v>
      </c>
      <c r="C23" s="229" t="s">
        <v>1370</v>
      </c>
      <c r="D23" s="229"/>
      <c r="E23" s="229"/>
      <c r="F23" s="229"/>
      <c r="G23" s="229"/>
      <c r="H23" s="229"/>
      <c r="I23" s="229"/>
      <c r="J23" s="59" t="s">
        <v>702</v>
      </c>
      <c r="K23" s="46">
        <v>9900000</v>
      </c>
      <c r="L23" s="2">
        <v>44216</v>
      </c>
      <c r="M23" s="32"/>
      <c r="N23" s="32">
        <v>3104680508</v>
      </c>
      <c r="O23" s="51" t="s">
        <v>212</v>
      </c>
      <c r="P23" s="38" t="s">
        <v>703</v>
      </c>
    </row>
    <row r="24" spans="2:16" x14ac:dyDescent="0.25">
      <c r="B24" s="32">
        <v>12</v>
      </c>
      <c r="C24" s="229" t="s">
        <v>1371</v>
      </c>
      <c r="D24" s="229"/>
      <c r="E24" s="229"/>
      <c r="F24" s="229"/>
      <c r="G24" s="229"/>
      <c r="H24" s="229"/>
      <c r="I24" s="229"/>
      <c r="J24" s="59" t="s">
        <v>1372</v>
      </c>
      <c r="K24" s="46">
        <v>13950000</v>
      </c>
      <c r="L24" s="2">
        <v>44217</v>
      </c>
      <c r="M24" s="2"/>
      <c r="N24" s="32">
        <v>3127075530</v>
      </c>
      <c r="O24" s="51" t="s">
        <v>1373</v>
      </c>
      <c r="P24" s="52" t="s">
        <v>1374</v>
      </c>
    </row>
    <row r="25" spans="2:16" x14ac:dyDescent="0.25">
      <c r="B25" s="32">
        <v>13</v>
      </c>
      <c r="C25" s="229" t="s">
        <v>1375</v>
      </c>
      <c r="D25" s="229"/>
      <c r="E25" s="229"/>
      <c r="F25" s="229"/>
      <c r="G25" s="229"/>
      <c r="H25" s="229"/>
      <c r="I25" s="229"/>
      <c r="J25" s="59" t="s">
        <v>1142</v>
      </c>
      <c r="K25" s="46">
        <v>4950000</v>
      </c>
      <c r="L25" s="2">
        <v>44221</v>
      </c>
      <c r="M25" s="2"/>
      <c r="N25" s="32">
        <v>3108945703</v>
      </c>
      <c r="O25" s="51" t="s">
        <v>1143</v>
      </c>
      <c r="P25" s="38" t="s">
        <v>1144</v>
      </c>
    </row>
    <row r="26" spans="2:16" x14ac:dyDescent="0.25">
      <c r="B26" s="32">
        <v>14</v>
      </c>
      <c r="C26" s="229" t="s">
        <v>1376</v>
      </c>
      <c r="D26" s="229"/>
      <c r="E26" s="229"/>
      <c r="F26" s="229"/>
      <c r="G26" s="229"/>
      <c r="H26" s="229"/>
      <c r="I26" s="229"/>
      <c r="J26" s="59" t="s">
        <v>1377</v>
      </c>
      <c r="K26" s="46">
        <v>2650000</v>
      </c>
      <c r="L26" s="2">
        <v>44221</v>
      </c>
      <c r="M26" s="2" t="s">
        <v>3923</v>
      </c>
      <c r="N26" s="2" t="s">
        <v>1378</v>
      </c>
      <c r="O26" s="51" t="s">
        <v>1379</v>
      </c>
      <c r="P26" s="52" t="s">
        <v>1380</v>
      </c>
    </row>
    <row r="27" spans="2:16" x14ac:dyDescent="0.25">
      <c r="B27" s="32">
        <v>15</v>
      </c>
      <c r="C27" s="229" t="s">
        <v>1381</v>
      </c>
      <c r="D27" s="229"/>
      <c r="E27" s="229"/>
      <c r="F27" s="229"/>
      <c r="G27" s="229"/>
      <c r="H27" s="229"/>
      <c r="I27" s="229"/>
      <c r="J27" s="59" t="s">
        <v>702</v>
      </c>
      <c r="K27" s="46">
        <v>6900000</v>
      </c>
      <c r="L27" s="2">
        <v>44221</v>
      </c>
      <c r="M27" s="2"/>
      <c r="N27" s="32">
        <v>3137546144</v>
      </c>
      <c r="O27" s="51" t="s">
        <v>186</v>
      </c>
      <c r="P27" s="38" t="s">
        <v>740</v>
      </c>
    </row>
    <row r="28" spans="2:16" x14ac:dyDescent="0.25">
      <c r="B28" s="32">
        <v>16</v>
      </c>
      <c r="C28" s="229" t="s">
        <v>1382</v>
      </c>
      <c r="D28" s="229"/>
      <c r="E28" s="229"/>
      <c r="F28" s="229"/>
      <c r="G28" s="229"/>
      <c r="H28" s="229"/>
      <c r="I28" s="229"/>
      <c r="J28" s="59" t="s">
        <v>1383</v>
      </c>
      <c r="K28" s="46">
        <v>1550000</v>
      </c>
      <c r="L28" s="2">
        <v>44225</v>
      </c>
      <c r="M28" s="32"/>
      <c r="N28" s="32">
        <v>3052925725</v>
      </c>
      <c r="O28" s="51" t="s">
        <v>1384</v>
      </c>
      <c r="P28" s="52" t="s">
        <v>1385</v>
      </c>
    </row>
    <row r="29" spans="2:16" x14ac:dyDescent="0.25">
      <c r="B29" s="32">
        <v>17</v>
      </c>
      <c r="C29" s="229" t="s">
        <v>1386</v>
      </c>
      <c r="D29" s="229"/>
      <c r="E29" s="229"/>
      <c r="F29" s="229"/>
      <c r="G29" s="229"/>
      <c r="H29" s="229"/>
      <c r="I29" s="229"/>
      <c r="J29" s="59" t="s">
        <v>1387</v>
      </c>
      <c r="K29" s="46">
        <v>2250000</v>
      </c>
      <c r="L29" s="2">
        <v>44225</v>
      </c>
      <c r="M29" s="2"/>
      <c r="N29" s="2" t="s">
        <v>1388</v>
      </c>
      <c r="O29" s="51" t="s">
        <v>1389</v>
      </c>
      <c r="P29" s="52" t="s">
        <v>1390</v>
      </c>
    </row>
    <row r="30" spans="2:16" x14ac:dyDescent="0.25">
      <c r="B30" s="32">
        <v>18</v>
      </c>
      <c r="C30" s="229" t="s">
        <v>1391</v>
      </c>
      <c r="D30" s="229"/>
      <c r="E30" s="229"/>
      <c r="F30" s="229"/>
      <c r="G30" s="229"/>
      <c r="H30" s="229"/>
      <c r="I30" s="229"/>
      <c r="J30" s="59" t="s">
        <v>1392</v>
      </c>
      <c r="K30" s="46">
        <v>17540</v>
      </c>
      <c r="L30" s="2">
        <v>44225</v>
      </c>
      <c r="M30" s="2"/>
      <c r="N30" s="32">
        <v>3108227462</v>
      </c>
      <c r="O30" s="51" t="s">
        <v>751</v>
      </c>
      <c r="P30" s="52" t="s">
        <v>1393</v>
      </c>
    </row>
    <row r="31" spans="2:16" x14ac:dyDescent="0.25">
      <c r="B31" s="32">
        <v>19</v>
      </c>
      <c r="C31" s="229" t="s">
        <v>1394</v>
      </c>
      <c r="D31" s="229"/>
      <c r="E31" s="229"/>
      <c r="F31" s="229"/>
      <c r="G31" s="229"/>
      <c r="H31" s="229"/>
      <c r="I31" s="229"/>
      <c r="J31" s="59" t="s">
        <v>702</v>
      </c>
      <c r="K31" s="46">
        <v>23460000</v>
      </c>
      <c r="L31" s="2">
        <v>44225</v>
      </c>
      <c r="M31" s="32"/>
      <c r="N31" s="32">
        <v>4487724</v>
      </c>
      <c r="O31" s="51" t="s">
        <v>1395</v>
      </c>
      <c r="P31" s="52" t="s">
        <v>1396</v>
      </c>
    </row>
    <row r="32" spans="2:16" x14ac:dyDescent="0.25">
      <c r="B32" s="32">
        <v>20</v>
      </c>
      <c r="C32" s="229" t="s">
        <v>1397</v>
      </c>
      <c r="D32" s="229"/>
      <c r="E32" s="229"/>
      <c r="F32" s="229"/>
      <c r="G32" s="229"/>
      <c r="H32" s="229"/>
      <c r="I32" s="229"/>
      <c r="J32" s="59" t="s">
        <v>702</v>
      </c>
      <c r="K32" s="46">
        <v>21190000</v>
      </c>
      <c r="L32" s="2">
        <v>44225</v>
      </c>
      <c r="M32" s="32"/>
      <c r="N32" s="32">
        <v>4487725</v>
      </c>
      <c r="O32" s="51" t="s">
        <v>1395</v>
      </c>
      <c r="P32" s="52" t="s">
        <v>1396</v>
      </c>
    </row>
    <row r="33" spans="2:16" x14ac:dyDescent="0.25">
      <c r="B33" s="32">
        <v>21</v>
      </c>
      <c r="C33" s="229" t="s">
        <v>1398</v>
      </c>
      <c r="D33" s="229"/>
      <c r="E33" s="229"/>
      <c r="F33" s="229"/>
      <c r="G33" s="229"/>
      <c r="H33" s="229"/>
      <c r="I33" s="229"/>
      <c r="J33" s="59" t="s">
        <v>702</v>
      </c>
      <c r="K33" s="46">
        <v>21190000</v>
      </c>
      <c r="L33" s="2">
        <v>44225</v>
      </c>
      <c r="M33" s="32"/>
      <c r="N33" s="32">
        <v>4487726</v>
      </c>
      <c r="O33" s="51" t="s">
        <v>1395</v>
      </c>
      <c r="P33" s="52" t="s">
        <v>1396</v>
      </c>
    </row>
    <row r="34" spans="2:16" x14ac:dyDescent="0.25">
      <c r="B34" s="32">
        <v>22</v>
      </c>
      <c r="C34" s="229" t="s">
        <v>1399</v>
      </c>
      <c r="D34" s="229"/>
      <c r="E34" s="229"/>
      <c r="F34" s="229"/>
      <c r="G34" s="229"/>
      <c r="H34" s="229"/>
      <c r="I34" s="229"/>
      <c r="J34" s="59" t="s">
        <v>890</v>
      </c>
      <c r="K34" s="46">
        <v>25710000</v>
      </c>
      <c r="L34" s="2">
        <v>44225</v>
      </c>
      <c r="M34" s="32"/>
      <c r="N34" s="32">
        <v>3113396273</v>
      </c>
      <c r="O34" s="51" t="s">
        <v>989</v>
      </c>
      <c r="P34" s="52" t="s">
        <v>990</v>
      </c>
    </row>
    <row r="35" spans="2:16" x14ac:dyDescent="0.25">
      <c r="B35" s="32">
        <v>23</v>
      </c>
      <c r="C35" s="229" t="s">
        <v>1400</v>
      </c>
      <c r="D35" s="229"/>
      <c r="E35" s="229"/>
      <c r="F35" s="229"/>
      <c r="G35" s="229"/>
      <c r="H35" s="229"/>
      <c r="I35" s="229"/>
      <c r="J35" s="59" t="s">
        <v>1105</v>
      </c>
      <c r="K35" s="46">
        <v>19950000</v>
      </c>
      <c r="L35" s="2">
        <v>44229</v>
      </c>
      <c r="M35" s="32"/>
      <c r="N35" s="32">
        <v>3124592</v>
      </c>
      <c r="O35" s="51" t="s">
        <v>1401</v>
      </c>
      <c r="P35" s="52" t="s">
        <v>1402</v>
      </c>
    </row>
    <row r="36" spans="2:16" x14ac:dyDescent="0.25">
      <c r="B36" s="32">
        <v>24</v>
      </c>
      <c r="C36" s="229" t="s">
        <v>1403</v>
      </c>
      <c r="D36" s="229"/>
      <c r="E36" s="229"/>
      <c r="F36" s="229"/>
      <c r="G36" s="229"/>
      <c r="H36" s="229"/>
      <c r="I36" s="229"/>
      <c r="J36" s="59" t="s">
        <v>1404</v>
      </c>
      <c r="K36" s="46">
        <v>7550000</v>
      </c>
      <c r="L36" s="2">
        <v>44229</v>
      </c>
      <c r="M36" s="32"/>
      <c r="N36" s="32" t="s">
        <v>1405</v>
      </c>
      <c r="O36" s="51" t="s">
        <v>639</v>
      </c>
      <c r="P36" s="52" t="s">
        <v>1326</v>
      </c>
    </row>
    <row r="37" spans="2:16" x14ac:dyDescent="0.25">
      <c r="B37" s="32">
        <v>25</v>
      </c>
      <c r="C37" s="229" t="s">
        <v>1406</v>
      </c>
      <c r="D37" s="229"/>
      <c r="E37" s="229"/>
      <c r="F37" s="229"/>
      <c r="G37" s="229"/>
      <c r="H37" s="229"/>
      <c r="I37" s="229"/>
      <c r="J37" s="59" t="s">
        <v>717</v>
      </c>
      <c r="K37" s="46">
        <v>3250000</v>
      </c>
      <c r="L37" s="2">
        <v>44229</v>
      </c>
      <c r="M37" s="32"/>
      <c r="N37" s="32">
        <v>3117477239</v>
      </c>
      <c r="O37" s="51" t="s">
        <v>1407</v>
      </c>
      <c r="P37" s="52" t="s">
        <v>1408</v>
      </c>
    </row>
    <row r="38" spans="2:16" x14ac:dyDescent="0.25">
      <c r="B38" s="32">
        <v>26</v>
      </c>
      <c r="C38" s="229" t="s">
        <v>1409</v>
      </c>
      <c r="D38" s="229"/>
      <c r="E38" s="229"/>
      <c r="F38" s="229"/>
      <c r="G38" s="229"/>
      <c r="H38" s="229"/>
      <c r="I38" s="229"/>
      <c r="J38" s="59" t="s">
        <v>702</v>
      </c>
      <c r="K38" s="1">
        <v>10035000</v>
      </c>
      <c r="L38" s="2">
        <v>44230</v>
      </c>
      <c r="M38" s="32"/>
      <c r="N38" s="32">
        <v>3104203649</v>
      </c>
      <c r="O38" s="51" t="s">
        <v>1257</v>
      </c>
      <c r="P38" s="38" t="s">
        <v>1258</v>
      </c>
    </row>
    <row r="39" spans="2:16" x14ac:dyDescent="0.25">
      <c r="B39" s="32">
        <v>27</v>
      </c>
      <c r="C39" s="229" t="s">
        <v>1410</v>
      </c>
      <c r="D39" s="229"/>
      <c r="E39" s="229"/>
      <c r="F39" s="229"/>
      <c r="G39" s="229"/>
      <c r="H39" s="229"/>
      <c r="I39" s="229"/>
      <c r="J39" s="59" t="s">
        <v>712</v>
      </c>
      <c r="K39" s="46">
        <v>11920000</v>
      </c>
      <c r="L39" s="2">
        <v>44230</v>
      </c>
      <c r="M39" s="32"/>
      <c r="N39" s="32">
        <v>3137851941</v>
      </c>
      <c r="O39" s="51" t="s">
        <v>192</v>
      </c>
      <c r="P39" s="38" t="s">
        <v>713</v>
      </c>
    </row>
    <row r="40" spans="2:16" x14ac:dyDescent="0.25">
      <c r="B40" s="32">
        <v>28</v>
      </c>
      <c r="C40" s="229" t="s">
        <v>1411</v>
      </c>
      <c r="D40" s="229"/>
      <c r="E40" s="229"/>
      <c r="F40" s="229"/>
      <c r="G40" s="229"/>
      <c r="H40" s="229"/>
      <c r="I40" s="229"/>
      <c r="J40" s="59" t="s">
        <v>1412</v>
      </c>
      <c r="K40" s="46">
        <v>3500000</v>
      </c>
      <c r="L40" s="2">
        <v>44230</v>
      </c>
      <c r="M40" s="32"/>
      <c r="N40" s="32">
        <v>3113396273</v>
      </c>
      <c r="O40" s="51" t="s">
        <v>989</v>
      </c>
      <c r="P40" s="52" t="s">
        <v>990</v>
      </c>
    </row>
    <row r="41" spans="2:16" x14ac:dyDescent="0.25">
      <c r="B41" s="32">
        <v>29</v>
      </c>
      <c r="C41" s="229" t="s">
        <v>1413</v>
      </c>
      <c r="D41" s="229"/>
      <c r="E41" s="229"/>
      <c r="F41" s="229"/>
      <c r="G41" s="229"/>
      <c r="H41" s="229"/>
      <c r="I41" s="229"/>
      <c r="J41" s="59" t="s">
        <v>702</v>
      </c>
      <c r="K41" s="46">
        <v>9880000</v>
      </c>
      <c r="L41" s="2">
        <v>44230</v>
      </c>
      <c r="M41" s="32"/>
      <c r="N41" s="32">
        <v>3104680508</v>
      </c>
      <c r="O41" s="51" t="s">
        <v>212</v>
      </c>
      <c r="P41" s="38" t="s">
        <v>703</v>
      </c>
    </row>
    <row r="42" spans="2:16" x14ac:dyDescent="0.25">
      <c r="B42" s="32">
        <v>30</v>
      </c>
      <c r="C42" s="229" t="s">
        <v>1414</v>
      </c>
      <c r="D42" s="229"/>
      <c r="E42" s="229"/>
      <c r="F42" s="229"/>
      <c r="G42" s="229"/>
      <c r="H42" s="229"/>
      <c r="I42" s="229"/>
      <c r="J42" s="59" t="s">
        <v>712</v>
      </c>
      <c r="K42" s="46">
        <v>24960000</v>
      </c>
      <c r="L42" s="2">
        <v>44231</v>
      </c>
      <c r="M42" s="32"/>
      <c r="N42" s="32">
        <v>3137851941</v>
      </c>
      <c r="O42" s="51" t="s">
        <v>192</v>
      </c>
      <c r="P42" s="38" t="s">
        <v>713</v>
      </c>
    </row>
    <row r="43" spans="2:16" x14ac:dyDescent="0.25">
      <c r="B43" s="32">
        <v>31</v>
      </c>
      <c r="C43" s="229" t="s">
        <v>1352</v>
      </c>
      <c r="D43" s="229"/>
      <c r="E43" s="229"/>
      <c r="F43" s="229"/>
      <c r="G43" s="229"/>
      <c r="H43" s="229"/>
      <c r="I43" s="229"/>
      <c r="J43" s="59" t="s">
        <v>1415</v>
      </c>
      <c r="K43" s="46">
        <v>18190000</v>
      </c>
      <c r="L43" s="2">
        <v>44231</v>
      </c>
      <c r="M43" s="32"/>
      <c r="N43" s="32">
        <v>3207198907</v>
      </c>
      <c r="O43" s="51" t="s">
        <v>1416</v>
      </c>
      <c r="P43" s="52" t="s">
        <v>1417</v>
      </c>
    </row>
    <row r="44" spans="2:16" x14ac:dyDescent="0.25">
      <c r="B44" s="32">
        <v>32</v>
      </c>
      <c r="C44" s="229" t="s">
        <v>1418</v>
      </c>
      <c r="D44" s="229"/>
      <c r="E44" s="229"/>
      <c r="F44" s="229"/>
      <c r="G44" s="229"/>
      <c r="H44" s="229"/>
      <c r="I44" s="229"/>
      <c r="J44" s="59" t="s">
        <v>702</v>
      </c>
      <c r="K44" s="46">
        <v>3760000</v>
      </c>
      <c r="L44" s="2">
        <v>44231</v>
      </c>
      <c r="M44" s="32" t="s">
        <v>3923</v>
      </c>
      <c r="N44" s="32">
        <v>3104680508</v>
      </c>
      <c r="O44" s="51" t="s">
        <v>212</v>
      </c>
      <c r="P44" s="38" t="s">
        <v>703</v>
      </c>
    </row>
    <row r="45" spans="2:16" x14ac:dyDescent="0.25">
      <c r="B45" s="32">
        <v>33</v>
      </c>
      <c r="C45" s="229" t="s">
        <v>1419</v>
      </c>
      <c r="D45" s="229"/>
      <c r="E45" s="229"/>
      <c r="F45" s="229"/>
      <c r="G45" s="229"/>
      <c r="H45" s="229"/>
      <c r="I45" s="229"/>
      <c r="J45" s="59" t="s">
        <v>1100</v>
      </c>
      <c r="K45" s="46">
        <v>2000000</v>
      </c>
      <c r="L45" s="2">
        <v>44231</v>
      </c>
      <c r="M45" s="2" t="s">
        <v>3923</v>
      </c>
      <c r="N45" s="32">
        <v>3014188503</v>
      </c>
      <c r="O45" s="51" t="s">
        <v>1101</v>
      </c>
      <c r="P45" s="38" t="s">
        <v>1102</v>
      </c>
    </row>
    <row r="46" spans="2:16" x14ac:dyDescent="0.25">
      <c r="B46" s="32">
        <v>34</v>
      </c>
      <c r="C46" s="229" t="s">
        <v>1420</v>
      </c>
      <c r="D46" s="229"/>
      <c r="E46" s="229"/>
      <c r="F46" s="229"/>
      <c r="G46" s="229"/>
      <c r="H46" s="229"/>
      <c r="I46" s="229"/>
      <c r="J46" s="59" t="s">
        <v>1421</v>
      </c>
      <c r="K46" s="46">
        <v>6270000</v>
      </c>
      <c r="L46" s="2">
        <v>44232</v>
      </c>
      <c r="M46" s="32"/>
      <c r="N46" s="32">
        <v>3014325966</v>
      </c>
      <c r="O46" s="51" t="s">
        <v>1422</v>
      </c>
      <c r="P46" s="52" t="s">
        <v>1423</v>
      </c>
    </row>
    <row r="47" spans="2:16" x14ac:dyDescent="0.25">
      <c r="B47" s="32">
        <v>35</v>
      </c>
      <c r="C47" s="229" t="s">
        <v>1411</v>
      </c>
      <c r="D47" s="229"/>
      <c r="E47" s="229"/>
      <c r="F47" s="229"/>
      <c r="G47" s="229"/>
      <c r="H47" s="229"/>
      <c r="I47" s="229"/>
      <c r="J47" s="59" t="s">
        <v>1100</v>
      </c>
      <c r="K47" s="46">
        <v>2500000</v>
      </c>
      <c r="L47" s="2">
        <v>44236</v>
      </c>
      <c r="M47" s="2"/>
      <c r="N47" s="32">
        <v>3014188503</v>
      </c>
      <c r="O47" s="51" t="s">
        <v>1101</v>
      </c>
      <c r="P47" s="38" t="s">
        <v>1102</v>
      </c>
    </row>
    <row r="48" spans="2:16" x14ac:dyDescent="0.25">
      <c r="B48" s="32">
        <v>36</v>
      </c>
      <c r="C48" s="229" t="s">
        <v>1424</v>
      </c>
      <c r="D48" s="229"/>
      <c r="E48" s="229"/>
      <c r="F48" s="229"/>
      <c r="G48" s="229"/>
      <c r="H48" s="229"/>
      <c r="I48" s="229"/>
      <c r="J48" s="59" t="s">
        <v>1100</v>
      </c>
      <c r="K48" s="46">
        <v>250000</v>
      </c>
      <c r="L48" s="2">
        <v>44236</v>
      </c>
      <c r="M48" s="2" t="s">
        <v>3923</v>
      </c>
      <c r="N48" s="32">
        <v>3014188503</v>
      </c>
      <c r="O48" s="51" t="s">
        <v>1101</v>
      </c>
      <c r="P48" s="38" t="s">
        <v>1102</v>
      </c>
    </row>
    <row r="49" spans="2:17" x14ac:dyDescent="0.25">
      <c r="B49" s="32">
        <v>37</v>
      </c>
      <c r="C49" s="229" t="s">
        <v>1425</v>
      </c>
      <c r="D49" s="229"/>
      <c r="E49" s="229"/>
      <c r="F49" s="229"/>
      <c r="G49" s="229"/>
      <c r="H49" s="229"/>
      <c r="I49" s="229"/>
      <c r="J49" s="59" t="s">
        <v>747</v>
      </c>
      <c r="K49" s="46">
        <v>4740000</v>
      </c>
      <c r="L49" s="2">
        <v>44236</v>
      </c>
      <c r="M49" s="2" t="s">
        <v>3923</v>
      </c>
      <c r="N49" s="32">
        <v>3175594091</v>
      </c>
      <c r="O49" s="51" t="s">
        <v>496</v>
      </c>
      <c r="P49" s="38" t="s">
        <v>748</v>
      </c>
    </row>
    <row r="50" spans="2:17" x14ac:dyDescent="0.25">
      <c r="B50" s="32">
        <v>38</v>
      </c>
      <c r="C50" s="229" t="s">
        <v>1426</v>
      </c>
      <c r="D50" s="229"/>
      <c r="E50" s="229"/>
      <c r="F50" s="229"/>
      <c r="G50" s="229"/>
      <c r="H50" s="229"/>
      <c r="I50" s="229"/>
      <c r="J50" s="59" t="s">
        <v>890</v>
      </c>
      <c r="K50" s="46">
        <v>7960000</v>
      </c>
      <c r="L50" s="2">
        <v>44236</v>
      </c>
      <c r="M50" s="32"/>
      <c r="N50" s="32">
        <v>3113396273</v>
      </c>
      <c r="O50" s="51" t="s">
        <v>989</v>
      </c>
      <c r="P50" s="52" t="s">
        <v>990</v>
      </c>
    </row>
    <row r="51" spans="2:17" x14ac:dyDescent="0.25">
      <c r="B51" s="32">
        <v>39</v>
      </c>
      <c r="C51" s="229" t="s">
        <v>1427</v>
      </c>
      <c r="D51" s="229"/>
      <c r="E51" s="229"/>
      <c r="F51" s="229"/>
      <c r="G51" s="229"/>
      <c r="H51" s="229"/>
      <c r="I51" s="229"/>
      <c r="J51" s="59" t="s">
        <v>1428</v>
      </c>
      <c r="K51" s="46">
        <v>2500000</v>
      </c>
      <c r="L51" s="2">
        <v>44238</v>
      </c>
      <c r="M51" s="2" t="s">
        <v>3923</v>
      </c>
      <c r="N51" s="32">
        <v>3178167881</v>
      </c>
      <c r="O51" s="51" t="s">
        <v>1429</v>
      </c>
      <c r="P51" s="52" t="s">
        <v>1430</v>
      </c>
    </row>
    <row r="52" spans="2:17" x14ac:dyDescent="0.25">
      <c r="B52" s="32">
        <v>40</v>
      </c>
      <c r="C52" s="229" t="s">
        <v>1431</v>
      </c>
      <c r="D52" s="229"/>
      <c r="E52" s="229"/>
      <c r="F52" s="229"/>
      <c r="G52" s="229"/>
      <c r="H52" s="229"/>
      <c r="I52" s="229"/>
      <c r="J52" s="59" t="s">
        <v>712</v>
      </c>
      <c r="K52" s="46">
        <v>10270000</v>
      </c>
      <c r="L52" s="2">
        <v>44238</v>
      </c>
      <c r="M52" s="32"/>
      <c r="N52" s="32">
        <v>3137851941</v>
      </c>
      <c r="O52" s="51" t="s">
        <v>192</v>
      </c>
      <c r="P52" s="38" t="s">
        <v>713</v>
      </c>
    </row>
    <row r="53" spans="2:17" x14ac:dyDescent="0.25">
      <c r="B53" s="32">
        <v>41</v>
      </c>
      <c r="C53" s="229" t="s">
        <v>1432</v>
      </c>
      <c r="D53" s="229"/>
      <c r="E53" s="229"/>
      <c r="F53" s="229"/>
      <c r="G53" s="229"/>
      <c r="H53" s="229"/>
      <c r="I53" s="229"/>
      <c r="J53" s="59" t="s">
        <v>712</v>
      </c>
      <c r="K53" s="46">
        <v>6770000</v>
      </c>
      <c r="L53" s="2">
        <v>44238</v>
      </c>
      <c r="M53" s="32"/>
      <c r="N53" s="32">
        <v>3137851941</v>
      </c>
      <c r="O53" s="51" t="s">
        <v>192</v>
      </c>
      <c r="P53" s="38" t="s">
        <v>713</v>
      </c>
    </row>
    <row r="54" spans="2:17" x14ac:dyDescent="0.25">
      <c r="B54" s="32">
        <v>42</v>
      </c>
      <c r="C54" s="229" t="s">
        <v>1433</v>
      </c>
      <c r="D54" s="229"/>
      <c r="E54" s="229"/>
      <c r="F54" s="229"/>
      <c r="G54" s="229"/>
      <c r="H54" s="229"/>
      <c r="I54" s="229"/>
      <c r="J54" s="59" t="s">
        <v>1434</v>
      </c>
      <c r="K54" s="46">
        <v>6200</v>
      </c>
      <c r="L54" s="43">
        <v>44240</v>
      </c>
      <c r="M54" s="32"/>
      <c r="N54" s="51" t="s">
        <v>1435</v>
      </c>
      <c r="O54" s="51" t="s">
        <v>1436</v>
      </c>
      <c r="P54" s="54" t="s">
        <v>1437</v>
      </c>
    </row>
    <row r="55" spans="2:17" x14ac:dyDescent="0.25">
      <c r="B55" s="32">
        <v>43</v>
      </c>
      <c r="C55" s="229" t="s">
        <v>1438</v>
      </c>
      <c r="D55" s="229"/>
      <c r="E55" s="229"/>
      <c r="F55" s="229"/>
      <c r="G55" s="229"/>
      <c r="H55" s="229"/>
      <c r="I55" s="229"/>
      <c r="J55" s="59" t="s">
        <v>1439</v>
      </c>
      <c r="K55" s="46">
        <v>8200000</v>
      </c>
      <c r="L55" s="2">
        <v>44240</v>
      </c>
      <c r="M55" s="32"/>
      <c r="N55" s="32">
        <v>3014841003</v>
      </c>
      <c r="O55" s="51" t="s">
        <v>680</v>
      </c>
      <c r="P55" s="52" t="s">
        <v>1440</v>
      </c>
    </row>
    <row r="56" spans="2:17" x14ac:dyDescent="0.25">
      <c r="B56" s="32">
        <v>44</v>
      </c>
      <c r="C56" s="229" t="s">
        <v>1441</v>
      </c>
      <c r="D56" s="229"/>
      <c r="E56" s="229"/>
      <c r="F56" s="229"/>
      <c r="G56" s="229"/>
      <c r="H56" s="229"/>
      <c r="I56" s="229"/>
      <c r="J56" s="59" t="s">
        <v>1177</v>
      </c>
      <c r="K56" s="46">
        <v>29950000</v>
      </c>
      <c r="L56" s="2">
        <v>44242</v>
      </c>
      <c r="M56" s="2"/>
      <c r="N56" s="32" t="s">
        <v>1442</v>
      </c>
      <c r="O56" s="51" t="s">
        <v>1443</v>
      </c>
      <c r="P56" s="52" t="s">
        <v>1444</v>
      </c>
    </row>
    <row r="57" spans="2:17" x14ac:dyDescent="0.25">
      <c r="B57" s="32">
        <v>45</v>
      </c>
      <c r="C57" s="229" t="s">
        <v>1445</v>
      </c>
      <c r="D57" s="229"/>
      <c r="E57" s="229"/>
      <c r="F57" s="229"/>
      <c r="G57" s="229"/>
      <c r="H57" s="229"/>
      <c r="I57" s="229"/>
      <c r="J57" s="59" t="s">
        <v>1446</v>
      </c>
      <c r="K57" s="46">
        <v>13980000</v>
      </c>
      <c r="L57" s="2">
        <v>44242</v>
      </c>
      <c r="M57" s="2" t="s">
        <v>3923</v>
      </c>
      <c r="N57" s="32">
        <v>3166205380</v>
      </c>
      <c r="O57" s="51" t="s">
        <v>1447</v>
      </c>
      <c r="P57" s="52" t="s">
        <v>1448</v>
      </c>
    </row>
    <row r="58" spans="2:17" x14ac:dyDescent="0.25">
      <c r="B58" s="32">
        <v>46</v>
      </c>
      <c r="C58" s="229" t="s">
        <v>1449</v>
      </c>
      <c r="D58" s="229"/>
      <c r="E58" s="229"/>
      <c r="F58" s="229"/>
      <c r="G58" s="229"/>
      <c r="H58" s="229"/>
      <c r="I58" s="229"/>
      <c r="J58" s="59" t="s">
        <v>823</v>
      </c>
      <c r="K58" s="30">
        <v>6550000</v>
      </c>
      <c r="L58" s="2">
        <v>44242</v>
      </c>
      <c r="M58" s="2" t="s">
        <v>3923</v>
      </c>
      <c r="N58" s="32">
        <v>3014383931</v>
      </c>
      <c r="O58" s="51" t="s">
        <v>1450</v>
      </c>
      <c r="P58" s="55" t="s">
        <v>1451</v>
      </c>
      <c r="Q58" s="17"/>
    </row>
    <row r="59" spans="2:17" x14ac:dyDescent="0.25">
      <c r="B59" s="32">
        <v>47</v>
      </c>
      <c r="C59" s="229" t="s">
        <v>1452</v>
      </c>
      <c r="D59" s="229"/>
      <c r="E59" s="229"/>
      <c r="F59" s="229"/>
      <c r="G59" s="229"/>
      <c r="H59" s="229"/>
      <c r="I59" s="229"/>
      <c r="J59" s="59" t="s">
        <v>890</v>
      </c>
      <c r="K59" s="46">
        <v>5645000</v>
      </c>
      <c r="L59" s="2">
        <v>44242</v>
      </c>
      <c r="M59" s="32"/>
      <c r="N59" s="32">
        <v>3113396273</v>
      </c>
      <c r="O59" s="51" t="s">
        <v>989</v>
      </c>
      <c r="P59" s="52" t="s">
        <v>990</v>
      </c>
    </row>
    <row r="60" spans="2:17" x14ac:dyDescent="0.25">
      <c r="B60" s="32">
        <v>48</v>
      </c>
      <c r="C60" s="229" t="s">
        <v>1453</v>
      </c>
      <c r="D60" s="229"/>
      <c r="E60" s="229"/>
      <c r="F60" s="229"/>
      <c r="G60" s="229"/>
      <c r="H60" s="229"/>
      <c r="I60" s="229"/>
      <c r="J60" s="59" t="s">
        <v>702</v>
      </c>
      <c r="K60" s="46">
        <v>10035000</v>
      </c>
      <c r="L60" s="2">
        <v>44242</v>
      </c>
      <c r="M60" s="32"/>
      <c r="N60" s="32">
        <v>3104680508</v>
      </c>
      <c r="O60" s="51" t="s">
        <v>212</v>
      </c>
      <c r="P60" s="38" t="s">
        <v>703</v>
      </c>
    </row>
    <row r="61" spans="2:17" x14ac:dyDescent="0.25">
      <c r="B61" s="32">
        <v>49</v>
      </c>
      <c r="C61" s="229" t="s">
        <v>1454</v>
      </c>
      <c r="D61" s="229"/>
      <c r="E61" s="229"/>
      <c r="F61" s="229"/>
      <c r="G61" s="229"/>
      <c r="H61" s="229"/>
      <c r="I61" s="229"/>
      <c r="J61" s="59" t="s">
        <v>702</v>
      </c>
      <c r="K61" s="46">
        <v>13250000</v>
      </c>
      <c r="L61" s="2">
        <v>44242</v>
      </c>
      <c r="M61" s="32"/>
      <c r="N61" s="32">
        <v>3104680508</v>
      </c>
      <c r="O61" s="51" t="s">
        <v>212</v>
      </c>
      <c r="P61" s="38" t="s">
        <v>703</v>
      </c>
    </row>
    <row r="62" spans="2:17" x14ac:dyDescent="0.25">
      <c r="B62" s="32">
        <v>50</v>
      </c>
      <c r="C62" s="229" t="s">
        <v>1455</v>
      </c>
      <c r="D62" s="229"/>
      <c r="E62" s="229"/>
      <c r="F62" s="229"/>
      <c r="G62" s="229"/>
      <c r="H62" s="229"/>
      <c r="I62" s="229"/>
      <c r="J62" s="59" t="s">
        <v>1456</v>
      </c>
      <c r="K62" s="46">
        <v>1700000</v>
      </c>
      <c r="L62" s="2">
        <v>44243</v>
      </c>
      <c r="M62" s="2"/>
      <c r="N62" s="32">
        <v>3122322355</v>
      </c>
      <c r="O62" s="39" t="s">
        <v>1457</v>
      </c>
      <c r="P62" s="52" t="s">
        <v>1458</v>
      </c>
    </row>
    <row r="63" spans="2:17" x14ac:dyDescent="0.25">
      <c r="B63" s="32">
        <v>51</v>
      </c>
      <c r="C63" s="229" t="s">
        <v>1459</v>
      </c>
      <c r="D63" s="229"/>
      <c r="E63" s="229"/>
      <c r="F63" s="229"/>
      <c r="G63" s="229"/>
      <c r="H63" s="229"/>
      <c r="I63" s="229"/>
      <c r="J63" s="59" t="s">
        <v>712</v>
      </c>
      <c r="K63" s="46">
        <v>7520000</v>
      </c>
      <c r="L63" s="2">
        <v>44257</v>
      </c>
      <c r="M63" s="32"/>
      <c r="N63" s="32">
        <v>3137851941</v>
      </c>
      <c r="O63" s="51" t="s">
        <v>192</v>
      </c>
      <c r="P63" s="38" t="s">
        <v>713</v>
      </c>
    </row>
    <row r="64" spans="2:17" x14ac:dyDescent="0.25">
      <c r="B64" s="32">
        <v>52</v>
      </c>
      <c r="C64" s="229" t="s">
        <v>1460</v>
      </c>
      <c r="D64" s="229"/>
      <c r="E64" s="229"/>
      <c r="F64" s="229"/>
      <c r="G64" s="229"/>
      <c r="H64" s="229"/>
      <c r="I64" s="229"/>
      <c r="J64" s="59" t="s">
        <v>758</v>
      </c>
      <c r="K64" s="46">
        <v>2960000</v>
      </c>
      <c r="L64" s="2">
        <v>44244</v>
      </c>
      <c r="M64" s="2" t="s">
        <v>3923</v>
      </c>
      <c r="N64" s="32" t="s">
        <v>1253</v>
      </c>
      <c r="O64" s="51" t="s">
        <v>1023</v>
      </c>
      <c r="P64" s="38" t="s">
        <v>1024</v>
      </c>
    </row>
    <row r="65" spans="1:16" x14ac:dyDescent="0.25">
      <c r="B65" s="32">
        <v>53</v>
      </c>
      <c r="C65" s="229" t="s">
        <v>1461</v>
      </c>
      <c r="D65" s="229"/>
      <c r="E65" s="229"/>
      <c r="F65" s="229"/>
      <c r="G65" s="229"/>
      <c r="H65" s="229"/>
      <c r="I65" s="229"/>
      <c r="J65" s="59" t="s">
        <v>1462</v>
      </c>
      <c r="K65" s="46">
        <v>11950000</v>
      </c>
      <c r="L65" s="2">
        <v>44244</v>
      </c>
      <c r="M65" s="32"/>
      <c r="N65" s="32" t="s">
        <v>1244</v>
      </c>
      <c r="O65" s="51" t="s">
        <v>342</v>
      </c>
      <c r="P65" s="38" t="s">
        <v>1245</v>
      </c>
    </row>
    <row r="66" spans="1:16" x14ac:dyDescent="0.25">
      <c r="B66" s="32">
        <v>54</v>
      </c>
      <c r="C66" s="229" t="s">
        <v>1463</v>
      </c>
      <c r="D66" s="229"/>
      <c r="E66" s="229"/>
      <c r="F66" s="229"/>
      <c r="G66" s="229"/>
      <c r="H66" s="229"/>
      <c r="I66" s="229"/>
      <c r="J66" s="59" t="s">
        <v>702</v>
      </c>
      <c r="K66" s="46">
        <v>3515000</v>
      </c>
      <c r="L66" s="2">
        <v>44244</v>
      </c>
      <c r="M66" s="2" t="s">
        <v>3923</v>
      </c>
      <c r="N66" s="32">
        <v>3104203649</v>
      </c>
      <c r="O66" s="51" t="s">
        <v>1257</v>
      </c>
      <c r="P66" s="38" t="s">
        <v>1258</v>
      </c>
    </row>
    <row r="67" spans="1:16" x14ac:dyDescent="0.25">
      <c r="B67" s="32">
        <v>55</v>
      </c>
      <c r="C67" s="229" t="s">
        <v>1464</v>
      </c>
      <c r="D67" s="229"/>
      <c r="E67" s="229"/>
      <c r="F67" s="229"/>
      <c r="G67" s="229"/>
      <c r="H67" s="229"/>
      <c r="I67" s="229"/>
      <c r="J67" s="59" t="s">
        <v>1100</v>
      </c>
      <c r="K67" s="46">
        <v>2800000</v>
      </c>
      <c r="L67" s="2">
        <v>44244</v>
      </c>
      <c r="M67" s="2" t="s">
        <v>3923</v>
      </c>
      <c r="N67" s="32">
        <v>3014188503</v>
      </c>
      <c r="O67" s="51" t="s">
        <v>1101</v>
      </c>
      <c r="P67" s="38" t="s">
        <v>1102</v>
      </c>
    </row>
    <row r="68" spans="1:16" x14ac:dyDescent="0.25">
      <c r="B68" s="32">
        <v>56</v>
      </c>
      <c r="C68" s="229" t="s">
        <v>1465</v>
      </c>
      <c r="D68" s="229"/>
      <c r="E68" s="229"/>
      <c r="F68" s="229"/>
      <c r="G68" s="229"/>
      <c r="H68" s="229"/>
      <c r="I68" s="229"/>
      <c r="J68" s="59" t="s">
        <v>1086</v>
      </c>
      <c r="K68" s="46">
        <v>16940000</v>
      </c>
      <c r="L68" s="2">
        <v>44245</v>
      </c>
      <c r="M68" s="32" t="s">
        <v>3923</v>
      </c>
      <c r="N68" s="32">
        <v>3174376208</v>
      </c>
      <c r="O68" s="51" t="s">
        <v>1466</v>
      </c>
      <c r="P68" s="38" t="s">
        <v>1467</v>
      </c>
    </row>
    <row r="69" spans="1:16" x14ac:dyDescent="0.25">
      <c r="B69" s="32">
        <v>57</v>
      </c>
      <c r="C69" s="229" t="s">
        <v>1468</v>
      </c>
      <c r="D69" s="229"/>
      <c r="E69" s="229"/>
      <c r="F69" s="229"/>
      <c r="G69" s="229"/>
      <c r="H69" s="229"/>
      <c r="I69" s="229"/>
      <c r="J69" s="59" t="s">
        <v>1177</v>
      </c>
      <c r="K69" s="46">
        <v>27950000</v>
      </c>
      <c r="L69" s="2">
        <v>44246</v>
      </c>
      <c r="M69" s="32"/>
      <c r="N69" s="32" t="s">
        <v>1442</v>
      </c>
      <c r="O69" s="51" t="s">
        <v>1443</v>
      </c>
      <c r="P69" s="52" t="s">
        <v>1444</v>
      </c>
    </row>
    <row r="70" spans="1:16" x14ac:dyDescent="0.25">
      <c r="B70" s="32">
        <v>58</v>
      </c>
      <c r="C70" s="229" t="s">
        <v>1469</v>
      </c>
      <c r="D70" s="229"/>
      <c r="E70" s="229"/>
      <c r="F70" s="229"/>
      <c r="G70" s="229"/>
      <c r="H70" s="229"/>
      <c r="I70" s="229"/>
      <c r="J70" s="59" t="s">
        <v>1470</v>
      </c>
      <c r="K70" s="46">
        <v>3500000</v>
      </c>
      <c r="L70" s="2">
        <v>44246</v>
      </c>
      <c r="M70" s="32" t="s">
        <v>3923</v>
      </c>
      <c r="N70" s="32">
        <v>3005861916</v>
      </c>
      <c r="O70" s="51" t="s">
        <v>1471</v>
      </c>
      <c r="P70" s="52" t="s">
        <v>1472</v>
      </c>
    </row>
    <row r="71" spans="1:16" x14ac:dyDescent="0.25">
      <c r="A71" s="7">
        <v>59</v>
      </c>
      <c r="B71" s="32">
        <v>59</v>
      </c>
      <c r="C71" s="229" t="s">
        <v>1414</v>
      </c>
      <c r="D71" s="229"/>
      <c r="E71" s="229"/>
      <c r="F71" s="229"/>
      <c r="G71" s="229"/>
      <c r="H71" s="229"/>
      <c r="I71" s="229"/>
      <c r="J71" s="59" t="s">
        <v>702</v>
      </c>
      <c r="K71" s="46">
        <v>20500000</v>
      </c>
      <c r="L71" s="2">
        <v>44247</v>
      </c>
      <c r="M71" s="32"/>
      <c r="N71" s="32">
        <v>3017213541</v>
      </c>
      <c r="O71" s="51" t="s">
        <v>1473</v>
      </c>
      <c r="P71" s="52" t="s">
        <v>1474</v>
      </c>
    </row>
    <row r="72" spans="1:16" x14ac:dyDescent="0.25">
      <c r="B72" s="32">
        <v>60</v>
      </c>
      <c r="C72" s="229" t="s">
        <v>1475</v>
      </c>
      <c r="D72" s="229"/>
      <c r="E72" s="229"/>
      <c r="F72" s="229"/>
      <c r="G72" s="229"/>
      <c r="H72" s="229"/>
      <c r="I72" s="229"/>
      <c r="J72" s="59" t="s">
        <v>1476</v>
      </c>
      <c r="K72" s="46">
        <v>2000000</v>
      </c>
      <c r="L72" s="2">
        <v>44249</v>
      </c>
      <c r="M72" s="2"/>
      <c r="N72" s="32">
        <v>3004240239</v>
      </c>
      <c r="O72" s="51" t="s">
        <v>1477</v>
      </c>
      <c r="P72" s="52" t="s">
        <v>1312</v>
      </c>
    </row>
    <row r="73" spans="1:16" x14ac:dyDescent="0.25">
      <c r="B73" s="32">
        <v>61</v>
      </c>
      <c r="C73" s="229" t="s">
        <v>1478</v>
      </c>
      <c r="D73" s="229"/>
      <c r="E73" s="229"/>
      <c r="F73" s="229"/>
      <c r="G73" s="229"/>
      <c r="H73" s="229"/>
      <c r="I73" s="229"/>
      <c r="J73" s="59" t="s">
        <v>702</v>
      </c>
      <c r="K73" s="46">
        <v>4200000</v>
      </c>
      <c r="L73" s="2">
        <v>44249</v>
      </c>
      <c r="M73" s="32"/>
      <c r="N73" s="32">
        <v>3017213541</v>
      </c>
      <c r="O73" s="51" t="s">
        <v>1473</v>
      </c>
      <c r="P73" s="52" t="s">
        <v>1474</v>
      </c>
    </row>
    <row r="74" spans="1:16" x14ac:dyDescent="0.25">
      <c r="B74" s="32">
        <v>62</v>
      </c>
      <c r="C74" s="229" t="s">
        <v>1479</v>
      </c>
      <c r="D74" s="229"/>
      <c r="E74" s="229"/>
      <c r="F74" s="229"/>
      <c r="G74" s="229"/>
      <c r="H74" s="229"/>
      <c r="I74" s="229"/>
      <c r="J74" s="59" t="s">
        <v>1480</v>
      </c>
      <c r="K74" s="46">
        <v>22500000</v>
      </c>
      <c r="L74" s="2">
        <v>44249</v>
      </c>
      <c r="M74" s="2"/>
      <c r="N74" s="2" t="s">
        <v>1481</v>
      </c>
      <c r="O74" s="51" t="s">
        <v>1482</v>
      </c>
      <c r="P74" s="52" t="s">
        <v>1483</v>
      </c>
    </row>
    <row r="75" spans="1:16" x14ac:dyDescent="0.25">
      <c r="B75" s="32">
        <v>63</v>
      </c>
      <c r="C75" s="229" t="s">
        <v>1484</v>
      </c>
      <c r="D75" s="229"/>
      <c r="E75" s="229"/>
      <c r="F75" s="229"/>
      <c r="G75" s="229"/>
      <c r="H75" s="229"/>
      <c r="I75" s="229"/>
      <c r="J75" s="59" t="s">
        <v>857</v>
      </c>
      <c r="K75" s="46">
        <v>21350000</v>
      </c>
      <c r="L75" s="2">
        <v>44251</v>
      </c>
      <c r="M75" s="32"/>
      <c r="N75" s="32" t="s">
        <v>1485</v>
      </c>
      <c r="O75" s="51" t="s">
        <v>1486</v>
      </c>
      <c r="P75" s="52" t="s">
        <v>1487</v>
      </c>
    </row>
    <row r="76" spans="1:16" x14ac:dyDescent="0.25">
      <c r="B76" s="32">
        <v>64</v>
      </c>
      <c r="C76" s="229" t="s">
        <v>1488</v>
      </c>
      <c r="D76" s="229"/>
      <c r="E76" s="229"/>
      <c r="F76" s="229"/>
      <c r="G76" s="229"/>
      <c r="H76" s="229"/>
      <c r="I76" s="229"/>
      <c r="J76" s="59" t="s">
        <v>702</v>
      </c>
      <c r="K76" s="46">
        <v>4500000</v>
      </c>
      <c r="L76" s="2">
        <v>44252</v>
      </c>
      <c r="M76" s="2" t="s">
        <v>3923</v>
      </c>
      <c r="N76" s="32">
        <v>3104278593</v>
      </c>
      <c r="O76" s="51" t="s">
        <v>578</v>
      </c>
      <c r="P76" s="38" t="s">
        <v>762</v>
      </c>
    </row>
    <row r="77" spans="1:16" x14ac:dyDescent="0.25">
      <c r="B77" s="32">
        <v>65</v>
      </c>
      <c r="C77" s="229" t="s">
        <v>1489</v>
      </c>
      <c r="D77" s="229"/>
      <c r="E77" s="229"/>
      <c r="F77" s="229"/>
      <c r="G77" s="229"/>
      <c r="H77" s="229"/>
      <c r="I77" s="229"/>
      <c r="J77" s="59" t="s">
        <v>702</v>
      </c>
      <c r="K77" s="46">
        <v>12550000</v>
      </c>
      <c r="L77" s="2">
        <v>44252</v>
      </c>
      <c r="M77" s="2"/>
      <c r="N77" s="32">
        <v>3104203649</v>
      </c>
      <c r="O77" s="51" t="s">
        <v>1257</v>
      </c>
      <c r="P77" s="38" t="s">
        <v>1258</v>
      </c>
    </row>
    <row r="78" spans="1:16" x14ac:dyDescent="0.25">
      <c r="B78" s="32">
        <v>66</v>
      </c>
      <c r="C78" s="229" t="s">
        <v>1490</v>
      </c>
      <c r="D78" s="229"/>
      <c r="E78" s="229"/>
      <c r="F78" s="229"/>
      <c r="G78" s="229"/>
      <c r="H78" s="229"/>
      <c r="I78" s="229"/>
      <c r="J78" s="59" t="s">
        <v>702</v>
      </c>
      <c r="K78" s="46">
        <v>37630000</v>
      </c>
      <c r="L78" s="2">
        <v>44256</v>
      </c>
      <c r="M78" s="2" t="s">
        <v>3923</v>
      </c>
      <c r="N78" s="32">
        <v>3104203649</v>
      </c>
      <c r="O78" s="51" t="s">
        <v>1257</v>
      </c>
      <c r="P78" s="38" t="s">
        <v>1258</v>
      </c>
    </row>
    <row r="79" spans="1:16" x14ac:dyDescent="0.25">
      <c r="B79" s="32">
        <v>67</v>
      </c>
      <c r="C79" s="229" t="s">
        <v>1491</v>
      </c>
      <c r="D79" s="229"/>
      <c r="E79" s="229"/>
      <c r="F79" s="229"/>
      <c r="G79" s="229"/>
      <c r="H79" s="229"/>
      <c r="I79" s="229"/>
      <c r="J79" s="59" t="s">
        <v>702</v>
      </c>
      <c r="K79" s="46">
        <v>25000000</v>
      </c>
      <c r="L79" s="2">
        <v>44256</v>
      </c>
      <c r="M79" s="32"/>
      <c r="N79" s="32">
        <v>3137546144</v>
      </c>
      <c r="O79" s="51" t="s">
        <v>186</v>
      </c>
      <c r="P79" s="38" t="s">
        <v>740</v>
      </c>
    </row>
    <row r="80" spans="1:16" x14ac:dyDescent="0.25">
      <c r="B80" s="32">
        <v>68</v>
      </c>
      <c r="C80" s="229" t="s">
        <v>1492</v>
      </c>
      <c r="D80" s="229"/>
      <c r="E80" s="229"/>
      <c r="F80" s="229"/>
      <c r="G80" s="229"/>
      <c r="H80" s="229"/>
      <c r="I80" s="229"/>
      <c r="J80" s="59" t="s">
        <v>1100</v>
      </c>
      <c r="K80" s="46">
        <v>2800000</v>
      </c>
      <c r="L80" s="2">
        <v>44256</v>
      </c>
      <c r="M80" s="2" t="s">
        <v>3923</v>
      </c>
      <c r="N80" s="32">
        <v>3014188503</v>
      </c>
      <c r="O80" s="51" t="s">
        <v>1101</v>
      </c>
      <c r="P80" s="38" t="s">
        <v>1102</v>
      </c>
    </row>
    <row r="81" spans="1:19" x14ac:dyDescent="0.25">
      <c r="B81" s="32">
        <v>69</v>
      </c>
      <c r="C81" s="229" t="s">
        <v>1493</v>
      </c>
      <c r="D81" s="229"/>
      <c r="E81" s="229"/>
      <c r="F81" s="229"/>
      <c r="G81" s="229"/>
      <c r="H81" s="229"/>
      <c r="I81" s="229"/>
      <c r="J81" s="59" t="s">
        <v>1494</v>
      </c>
      <c r="K81" s="46">
        <v>950000</v>
      </c>
      <c r="L81" s="2">
        <v>44257</v>
      </c>
      <c r="M81" s="2" t="s">
        <v>3923</v>
      </c>
      <c r="N81" s="32" t="s">
        <v>1495</v>
      </c>
      <c r="O81" s="51" t="s">
        <v>1496</v>
      </c>
      <c r="P81" s="52" t="s">
        <v>1497</v>
      </c>
    </row>
    <row r="82" spans="1:19" x14ac:dyDescent="0.25">
      <c r="B82" s="32">
        <v>70</v>
      </c>
      <c r="C82" s="229" t="s">
        <v>1498</v>
      </c>
      <c r="D82" s="229"/>
      <c r="E82" s="229"/>
      <c r="F82" s="229"/>
      <c r="G82" s="229"/>
      <c r="H82" s="229"/>
      <c r="I82" s="229"/>
      <c r="J82" s="59" t="s">
        <v>1499</v>
      </c>
      <c r="K82" s="46">
        <v>7525000</v>
      </c>
      <c r="L82" s="2">
        <v>44257</v>
      </c>
      <c r="M82" s="32"/>
      <c r="N82" s="32" t="s">
        <v>1500</v>
      </c>
      <c r="O82" s="51" t="s">
        <v>1501</v>
      </c>
      <c r="P82" s="52" t="s">
        <v>1502</v>
      </c>
    </row>
    <row r="83" spans="1:19" x14ac:dyDescent="0.25">
      <c r="A83" s="7">
        <v>69</v>
      </c>
      <c r="B83" s="32">
        <v>71</v>
      </c>
      <c r="C83" s="229" t="s">
        <v>1503</v>
      </c>
      <c r="D83" s="229"/>
      <c r="E83" s="229"/>
      <c r="F83" s="229"/>
      <c r="G83" s="229"/>
      <c r="H83" s="229"/>
      <c r="I83" s="229"/>
      <c r="J83" s="59" t="s">
        <v>702</v>
      </c>
      <c r="K83" s="46">
        <v>2500000</v>
      </c>
      <c r="L83" s="2">
        <v>44257</v>
      </c>
      <c r="M83" s="2" t="s">
        <v>3923</v>
      </c>
      <c r="N83" s="32">
        <v>3104203649</v>
      </c>
      <c r="O83" s="51" t="s">
        <v>1257</v>
      </c>
      <c r="P83" s="38" t="s">
        <v>1258</v>
      </c>
    </row>
    <row r="84" spans="1:19" x14ac:dyDescent="0.25">
      <c r="B84" s="32">
        <v>72</v>
      </c>
      <c r="C84" s="229" t="s">
        <v>1431</v>
      </c>
      <c r="D84" s="229"/>
      <c r="E84" s="229"/>
      <c r="F84" s="229"/>
      <c r="G84" s="229"/>
      <c r="H84" s="229"/>
      <c r="I84" s="229"/>
      <c r="J84" s="59" t="s">
        <v>802</v>
      </c>
      <c r="K84" s="46">
        <v>11300000</v>
      </c>
      <c r="L84" s="2">
        <v>44257</v>
      </c>
      <c r="M84" s="32"/>
      <c r="N84" s="32">
        <v>3012224544</v>
      </c>
      <c r="O84" s="51" t="s">
        <v>1504</v>
      </c>
      <c r="P84" s="38" t="s">
        <v>1505</v>
      </c>
    </row>
    <row r="85" spans="1:19" x14ac:dyDescent="0.25">
      <c r="B85" s="32">
        <v>73</v>
      </c>
      <c r="C85" s="229" t="s">
        <v>1432</v>
      </c>
      <c r="D85" s="229"/>
      <c r="E85" s="229"/>
      <c r="F85" s="229"/>
      <c r="G85" s="229"/>
      <c r="H85" s="229"/>
      <c r="I85" s="229"/>
      <c r="J85" s="59" t="s">
        <v>1506</v>
      </c>
      <c r="K85" s="46">
        <v>7450000</v>
      </c>
      <c r="L85" s="2">
        <v>44257</v>
      </c>
      <c r="M85" s="32"/>
      <c r="N85" s="32"/>
      <c r="O85" s="51" t="s">
        <v>1507</v>
      </c>
      <c r="P85" s="52" t="s">
        <v>1508</v>
      </c>
    </row>
    <row r="86" spans="1:19" x14ac:dyDescent="0.25">
      <c r="B86" s="32">
        <v>74</v>
      </c>
      <c r="C86" s="229" t="s">
        <v>1509</v>
      </c>
      <c r="D86" s="229"/>
      <c r="E86" s="229"/>
      <c r="F86" s="229"/>
      <c r="G86" s="229"/>
      <c r="H86" s="229"/>
      <c r="I86" s="229"/>
      <c r="J86" s="59" t="s">
        <v>1510</v>
      </c>
      <c r="K86" s="46">
        <v>1050000</v>
      </c>
      <c r="L86" s="2">
        <v>44258</v>
      </c>
      <c r="M86" s="32"/>
      <c r="N86" s="32">
        <v>3147005714</v>
      </c>
      <c r="O86" s="51" t="s">
        <v>1511</v>
      </c>
      <c r="P86" s="52" t="s">
        <v>1512</v>
      </c>
    </row>
    <row r="87" spans="1:19" x14ac:dyDescent="0.25">
      <c r="B87" s="32">
        <v>75</v>
      </c>
      <c r="C87" s="229" t="s">
        <v>1513</v>
      </c>
      <c r="D87" s="229"/>
      <c r="E87" s="229"/>
      <c r="F87" s="229"/>
      <c r="G87" s="229"/>
      <c r="H87" s="229"/>
      <c r="I87" s="229"/>
      <c r="J87" s="59" t="s">
        <v>1428</v>
      </c>
      <c r="K87" s="46">
        <v>3135000</v>
      </c>
      <c r="L87" s="2">
        <v>44258</v>
      </c>
      <c r="M87" s="2"/>
      <c r="N87" s="32">
        <v>3178167881</v>
      </c>
      <c r="O87" s="51" t="s">
        <v>1429</v>
      </c>
      <c r="P87" s="52" t="s">
        <v>1430</v>
      </c>
    </row>
    <row r="88" spans="1:19" x14ac:dyDescent="0.25">
      <c r="B88" s="32">
        <v>76</v>
      </c>
      <c r="C88" s="229" t="s">
        <v>1514</v>
      </c>
      <c r="D88" s="229"/>
      <c r="E88" s="229"/>
      <c r="F88" s="229"/>
      <c r="G88" s="229"/>
      <c r="H88" s="229"/>
      <c r="I88" s="229"/>
      <c r="J88" s="59" t="s">
        <v>1515</v>
      </c>
      <c r="K88" s="46">
        <v>3000000</v>
      </c>
      <c r="L88" s="2">
        <v>44258</v>
      </c>
      <c r="M88" s="32"/>
      <c r="N88" s="32" t="s">
        <v>1516</v>
      </c>
      <c r="O88" s="51" t="s">
        <v>1517</v>
      </c>
      <c r="P88" s="52" t="s">
        <v>1518</v>
      </c>
    </row>
    <row r="89" spans="1:19" x14ac:dyDescent="0.25">
      <c r="B89" s="32">
        <v>77</v>
      </c>
      <c r="C89" s="229" t="s">
        <v>1519</v>
      </c>
      <c r="D89" s="229"/>
      <c r="E89" s="229"/>
      <c r="F89" s="229"/>
      <c r="G89" s="229"/>
      <c r="H89" s="229"/>
      <c r="I89" s="229"/>
      <c r="J89" s="59" t="s">
        <v>702</v>
      </c>
      <c r="K89" s="46">
        <v>2950000</v>
      </c>
      <c r="L89" s="2">
        <v>44259</v>
      </c>
      <c r="M89" s="32"/>
      <c r="N89" s="32">
        <v>3137546144</v>
      </c>
      <c r="O89" s="51" t="s">
        <v>186</v>
      </c>
      <c r="P89" s="38" t="s">
        <v>740</v>
      </c>
    </row>
    <row r="90" spans="1:19" x14ac:dyDescent="0.25">
      <c r="B90" s="32">
        <v>78</v>
      </c>
      <c r="C90" s="229" t="s">
        <v>1520</v>
      </c>
      <c r="D90" s="229"/>
      <c r="E90" s="229"/>
      <c r="F90" s="229"/>
      <c r="G90" s="229"/>
      <c r="H90" s="229"/>
      <c r="I90" s="229"/>
      <c r="J90" s="59" t="s">
        <v>702</v>
      </c>
      <c r="K90" s="46">
        <v>4950000</v>
      </c>
      <c r="L90" s="2">
        <v>44259</v>
      </c>
      <c r="M90" s="32"/>
      <c r="N90" s="32">
        <v>3137546144</v>
      </c>
      <c r="O90" s="51" t="s">
        <v>186</v>
      </c>
      <c r="P90" s="38" t="s">
        <v>740</v>
      </c>
    </row>
    <row r="91" spans="1:19" x14ac:dyDescent="0.25">
      <c r="B91" s="32">
        <v>79</v>
      </c>
      <c r="C91" s="229" t="s">
        <v>1521</v>
      </c>
      <c r="D91" s="229"/>
      <c r="E91" s="229"/>
      <c r="F91" s="229"/>
      <c r="G91" s="229"/>
      <c r="H91" s="229"/>
      <c r="I91" s="229"/>
      <c r="J91" s="59" t="s">
        <v>702</v>
      </c>
      <c r="K91" s="46">
        <v>8970000</v>
      </c>
      <c r="L91" s="2">
        <v>44259</v>
      </c>
      <c r="M91" s="32"/>
      <c r="N91" s="32">
        <v>3137546144</v>
      </c>
      <c r="O91" s="51" t="s">
        <v>186</v>
      </c>
      <c r="P91" s="38" t="s">
        <v>740</v>
      </c>
    </row>
    <row r="92" spans="1:19" x14ac:dyDescent="0.25">
      <c r="B92" s="32">
        <v>80</v>
      </c>
      <c r="C92" s="229" t="s">
        <v>1522</v>
      </c>
      <c r="D92" s="229"/>
      <c r="E92" s="229"/>
      <c r="F92" s="229"/>
      <c r="G92" s="229"/>
      <c r="H92" s="229"/>
      <c r="I92" s="229"/>
      <c r="J92" s="59" t="s">
        <v>890</v>
      </c>
      <c r="K92" s="46">
        <v>3990000</v>
      </c>
      <c r="L92" s="2">
        <v>44259</v>
      </c>
      <c r="M92" s="32"/>
      <c r="N92" s="32">
        <v>3113396273</v>
      </c>
      <c r="O92" s="51" t="s">
        <v>989</v>
      </c>
      <c r="P92" s="52" t="s">
        <v>990</v>
      </c>
    </row>
    <row r="93" spans="1:19" x14ac:dyDescent="0.25">
      <c r="B93" s="32">
        <v>81</v>
      </c>
      <c r="C93" s="229" t="s">
        <v>1523</v>
      </c>
      <c r="D93" s="229"/>
      <c r="E93" s="229"/>
      <c r="F93" s="229"/>
      <c r="G93" s="229"/>
      <c r="H93" s="229"/>
      <c r="I93" s="229"/>
      <c r="J93" s="59" t="s">
        <v>890</v>
      </c>
      <c r="K93" s="46">
        <v>1500000</v>
      </c>
      <c r="L93" s="2">
        <v>44259</v>
      </c>
      <c r="M93" s="32"/>
      <c r="N93" s="32">
        <v>3113396273</v>
      </c>
      <c r="O93" s="51" t="s">
        <v>989</v>
      </c>
      <c r="P93" s="52" t="s">
        <v>990</v>
      </c>
    </row>
    <row r="94" spans="1:19" x14ac:dyDescent="0.25">
      <c r="B94" s="32">
        <v>82</v>
      </c>
      <c r="C94" s="229" t="s">
        <v>1524</v>
      </c>
      <c r="D94" s="229"/>
      <c r="E94" s="229"/>
      <c r="F94" s="229"/>
      <c r="G94" s="229"/>
      <c r="H94" s="229"/>
      <c r="I94" s="229"/>
      <c r="J94" s="59" t="s">
        <v>890</v>
      </c>
      <c r="K94" s="46">
        <v>1800000</v>
      </c>
      <c r="L94" s="2">
        <v>44259</v>
      </c>
      <c r="M94" s="32"/>
      <c r="N94" s="32">
        <v>3113396273</v>
      </c>
      <c r="O94" s="51" t="s">
        <v>989</v>
      </c>
      <c r="P94" s="52" t="s">
        <v>990</v>
      </c>
      <c r="S94" s="18"/>
    </row>
    <row r="95" spans="1:19" x14ac:dyDescent="0.25">
      <c r="B95" s="32">
        <v>83</v>
      </c>
      <c r="C95" s="229" t="s">
        <v>1525</v>
      </c>
      <c r="D95" s="229"/>
      <c r="E95" s="229"/>
      <c r="F95" s="229"/>
      <c r="G95" s="229"/>
      <c r="H95" s="229"/>
      <c r="I95" s="229"/>
      <c r="J95" s="59" t="s">
        <v>702</v>
      </c>
      <c r="K95" s="46">
        <v>1000000</v>
      </c>
      <c r="L95" s="2">
        <v>44259</v>
      </c>
      <c r="M95" s="35"/>
      <c r="N95" s="32">
        <v>3104165783</v>
      </c>
      <c r="O95" s="51" t="s">
        <v>242</v>
      </c>
      <c r="P95" s="38" t="s">
        <v>917</v>
      </c>
      <c r="S95" s="18"/>
    </row>
    <row r="96" spans="1:19" x14ac:dyDescent="0.25">
      <c r="B96" s="32">
        <v>84</v>
      </c>
      <c r="C96" s="229" t="s">
        <v>1526</v>
      </c>
      <c r="D96" s="229"/>
      <c r="E96" s="229"/>
      <c r="F96" s="229"/>
      <c r="G96" s="229"/>
      <c r="H96" s="229"/>
      <c r="I96" s="229"/>
      <c r="J96" s="59" t="s">
        <v>1527</v>
      </c>
      <c r="K96" s="46">
        <v>24950000</v>
      </c>
      <c r="L96" s="2">
        <v>44260</v>
      </c>
      <c r="M96" s="32"/>
      <c r="N96" s="32">
        <v>3203470297</v>
      </c>
      <c r="O96" s="51" t="s">
        <v>1528</v>
      </c>
      <c r="P96" s="52" t="s">
        <v>1529</v>
      </c>
    </row>
    <row r="97" spans="2:17" x14ac:dyDescent="0.25">
      <c r="B97" s="32">
        <v>85</v>
      </c>
      <c r="C97" s="229" t="s">
        <v>1530</v>
      </c>
      <c r="D97" s="229"/>
      <c r="E97" s="229"/>
      <c r="F97" s="229"/>
      <c r="G97" s="229"/>
      <c r="H97" s="229"/>
      <c r="I97" s="229"/>
      <c r="J97" s="59" t="s">
        <v>1531</v>
      </c>
      <c r="K97" s="46">
        <v>3750000</v>
      </c>
      <c r="L97" s="2">
        <v>44260</v>
      </c>
      <c r="M97" s="2" t="s">
        <v>3923</v>
      </c>
      <c r="N97" s="32">
        <v>3008246874</v>
      </c>
      <c r="O97" s="51" t="s">
        <v>1532</v>
      </c>
      <c r="P97" s="52" t="s">
        <v>1533</v>
      </c>
    </row>
    <row r="98" spans="2:17" x14ac:dyDescent="0.25">
      <c r="B98" s="32">
        <v>86</v>
      </c>
      <c r="C98" s="229" t="s">
        <v>1534</v>
      </c>
      <c r="D98" s="229"/>
      <c r="E98" s="229"/>
      <c r="F98" s="229"/>
      <c r="G98" s="229"/>
      <c r="H98" s="229"/>
      <c r="I98" s="229"/>
      <c r="J98" s="59" t="s">
        <v>1535</v>
      </c>
      <c r="K98" s="46">
        <v>11920000</v>
      </c>
      <c r="L98" s="2">
        <v>44264</v>
      </c>
      <c r="M98" s="32" t="s">
        <v>3923</v>
      </c>
      <c r="N98" s="32" t="s">
        <v>1536</v>
      </c>
      <c r="O98" s="51" t="s">
        <v>871</v>
      </c>
      <c r="P98" s="52" t="s">
        <v>872</v>
      </c>
    </row>
    <row r="99" spans="2:17" x14ac:dyDescent="0.25">
      <c r="B99" s="32">
        <v>87</v>
      </c>
      <c r="C99" s="229" t="s">
        <v>1537</v>
      </c>
      <c r="D99" s="229"/>
      <c r="E99" s="229"/>
      <c r="F99" s="229"/>
      <c r="G99" s="229"/>
      <c r="H99" s="229"/>
      <c r="I99" s="229"/>
      <c r="J99" s="59" t="s">
        <v>1538</v>
      </c>
      <c r="K99" s="46">
        <v>9410000</v>
      </c>
      <c r="L99" s="2">
        <v>44263</v>
      </c>
      <c r="M99" s="32"/>
      <c r="N99" s="32" t="s">
        <v>1539</v>
      </c>
      <c r="O99" s="51" t="s">
        <v>1540</v>
      </c>
      <c r="P99" s="52" t="s">
        <v>1541</v>
      </c>
    </row>
    <row r="100" spans="2:17" x14ac:dyDescent="0.25">
      <c r="B100" s="32">
        <v>88</v>
      </c>
      <c r="C100" s="229" t="s">
        <v>1542</v>
      </c>
      <c r="D100" s="229"/>
      <c r="E100" s="229"/>
      <c r="F100" s="229"/>
      <c r="G100" s="229"/>
      <c r="H100" s="229"/>
      <c r="I100" s="229"/>
      <c r="J100" s="59" t="s">
        <v>1538</v>
      </c>
      <c r="K100" s="46">
        <v>8530000</v>
      </c>
      <c r="L100" s="2">
        <v>44263</v>
      </c>
      <c r="M100" s="32"/>
      <c r="N100" s="32" t="s">
        <v>1539</v>
      </c>
      <c r="O100" s="51" t="s">
        <v>1540</v>
      </c>
      <c r="P100" s="52" t="s">
        <v>1541</v>
      </c>
    </row>
    <row r="101" spans="2:17" x14ac:dyDescent="0.25">
      <c r="B101" s="32">
        <v>89</v>
      </c>
      <c r="C101" s="229" t="s">
        <v>1543</v>
      </c>
      <c r="D101" s="229"/>
      <c r="E101" s="229"/>
      <c r="F101" s="229"/>
      <c r="G101" s="229"/>
      <c r="H101" s="229"/>
      <c r="I101" s="229"/>
      <c r="J101" s="59" t="s">
        <v>1538</v>
      </c>
      <c r="K101" s="46">
        <v>9280000</v>
      </c>
      <c r="L101" s="2">
        <v>44263</v>
      </c>
      <c r="M101" s="32"/>
      <c r="N101" s="32" t="s">
        <v>1539</v>
      </c>
      <c r="O101" s="51" t="s">
        <v>1540</v>
      </c>
      <c r="P101" s="52" t="s">
        <v>1541</v>
      </c>
    </row>
    <row r="102" spans="2:17" x14ac:dyDescent="0.25">
      <c r="B102" s="32">
        <v>90</v>
      </c>
      <c r="C102" s="229" t="s">
        <v>1544</v>
      </c>
      <c r="D102" s="229"/>
      <c r="E102" s="229"/>
      <c r="F102" s="229"/>
      <c r="G102" s="229"/>
      <c r="H102" s="229"/>
      <c r="I102" s="229"/>
      <c r="J102" s="59" t="s">
        <v>890</v>
      </c>
      <c r="K102" s="46">
        <v>22195000</v>
      </c>
      <c r="L102" s="2">
        <v>44263</v>
      </c>
      <c r="M102" s="32"/>
      <c r="N102" s="32">
        <v>3113396273</v>
      </c>
      <c r="O102" s="51" t="s">
        <v>989</v>
      </c>
      <c r="P102" s="52" t="s">
        <v>990</v>
      </c>
    </row>
    <row r="103" spans="2:17" x14ac:dyDescent="0.25">
      <c r="B103" s="32">
        <v>91</v>
      </c>
      <c r="C103" s="229" t="s">
        <v>1545</v>
      </c>
      <c r="D103" s="229"/>
      <c r="E103" s="229"/>
      <c r="F103" s="229"/>
      <c r="G103" s="229"/>
      <c r="H103" s="229"/>
      <c r="I103" s="229"/>
      <c r="J103" s="59" t="s">
        <v>1546</v>
      </c>
      <c r="K103" s="46">
        <v>24950000</v>
      </c>
      <c r="L103" s="2">
        <v>44264</v>
      </c>
      <c r="M103" s="32"/>
      <c r="N103" s="32" t="s">
        <v>1547</v>
      </c>
      <c r="O103" s="39" t="s">
        <v>1548</v>
      </c>
      <c r="P103" s="52" t="s">
        <v>1549</v>
      </c>
    </row>
    <row r="104" spans="2:17" x14ac:dyDescent="0.25">
      <c r="B104" s="32">
        <v>92</v>
      </c>
      <c r="C104" s="229" t="s">
        <v>1550</v>
      </c>
      <c r="D104" s="229"/>
      <c r="E104" s="229"/>
      <c r="F104" s="229"/>
      <c r="G104" s="229"/>
      <c r="H104" s="229"/>
      <c r="I104" s="229"/>
      <c r="J104" s="59" t="s">
        <v>1551</v>
      </c>
      <c r="K104" s="46">
        <v>11990000</v>
      </c>
      <c r="L104" s="2">
        <v>44264</v>
      </c>
      <c r="M104" s="32"/>
      <c r="N104" s="32">
        <v>3137851941</v>
      </c>
      <c r="O104" s="51" t="s">
        <v>192</v>
      </c>
      <c r="P104" s="38" t="s">
        <v>713</v>
      </c>
    </row>
    <row r="105" spans="2:17" x14ac:dyDescent="0.25">
      <c r="B105" s="32">
        <v>93</v>
      </c>
      <c r="C105" s="229" t="s">
        <v>1552</v>
      </c>
      <c r="D105" s="229"/>
      <c r="E105" s="229"/>
      <c r="F105" s="229"/>
      <c r="G105" s="229"/>
      <c r="H105" s="229"/>
      <c r="I105" s="229"/>
      <c r="J105" s="59" t="s">
        <v>1553</v>
      </c>
      <c r="K105" s="46">
        <v>950000</v>
      </c>
      <c r="L105" s="2">
        <v>44264</v>
      </c>
      <c r="M105" s="32" t="s">
        <v>3923</v>
      </c>
      <c r="N105" s="32">
        <v>3022295772</v>
      </c>
      <c r="O105" s="51" t="s">
        <v>1554</v>
      </c>
      <c r="P105" s="52" t="s">
        <v>1555</v>
      </c>
    </row>
    <row r="106" spans="2:17" x14ac:dyDescent="0.25">
      <c r="B106" s="32">
        <v>94</v>
      </c>
      <c r="C106" s="229" t="s">
        <v>1556</v>
      </c>
      <c r="D106" s="229"/>
      <c r="E106" s="229"/>
      <c r="F106" s="229"/>
      <c r="G106" s="229"/>
      <c r="H106" s="229"/>
      <c r="I106" s="229"/>
      <c r="J106" s="59" t="s">
        <v>1553</v>
      </c>
      <c r="K106" s="46">
        <v>750000</v>
      </c>
      <c r="L106" s="2">
        <v>44264</v>
      </c>
      <c r="M106" s="2" t="s">
        <v>3923</v>
      </c>
      <c r="N106" s="32">
        <v>3022295773</v>
      </c>
      <c r="O106" s="51" t="s">
        <v>1554</v>
      </c>
      <c r="P106" s="52" t="s">
        <v>1555</v>
      </c>
      <c r="Q106" s="19"/>
    </row>
    <row r="107" spans="2:17" x14ac:dyDescent="0.25">
      <c r="B107" s="32">
        <v>95</v>
      </c>
      <c r="C107" s="229" t="s">
        <v>1557</v>
      </c>
      <c r="D107" s="229"/>
      <c r="E107" s="229"/>
      <c r="F107" s="229"/>
      <c r="G107" s="229"/>
      <c r="H107" s="229"/>
      <c r="I107" s="229"/>
      <c r="J107" s="59" t="s">
        <v>1163</v>
      </c>
      <c r="K107" s="46">
        <v>1820000</v>
      </c>
      <c r="L107" s="2">
        <v>44265</v>
      </c>
      <c r="M107" s="32" t="s">
        <v>3923</v>
      </c>
      <c r="N107" s="32" t="s">
        <v>1558</v>
      </c>
      <c r="O107" s="51" t="s">
        <v>1559</v>
      </c>
      <c r="P107" s="52" t="s">
        <v>1560</v>
      </c>
    </row>
    <row r="108" spans="2:17" x14ac:dyDescent="0.25">
      <c r="B108" s="32">
        <v>96</v>
      </c>
      <c r="C108" s="229" t="s">
        <v>1561</v>
      </c>
      <c r="D108" s="229"/>
      <c r="E108" s="229"/>
      <c r="F108" s="229"/>
      <c r="G108" s="229"/>
      <c r="H108" s="229"/>
      <c r="I108" s="229"/>
      <c r="J108" s="59" t="s">
        <v>1470</v>
      </c>
      <c r="K108" s="46">
        <v>4200000</v>
      </c>
      <c r="L108" s="2">
        <v>44265</v>
      </c>
      <c r="M108" s="32"/>
      <c r="N108" s="32">
        <v>3005861916</v>
      </c>
      <c r="O108" s="51" t="s">
        <v>1471</v>
      </c>
      <c r="P108" s="52" t="s">
        <v>1472</v>
      </c>
      <c r="Q108" s="19"/>
    </row>
    <row r="109" spans="2:17" x14ac:dyDescent="0.25">
      <c r="B109" s="32">
        <v>97</v>
      </c>
      <c r="C109" s="229" t="s">
        <v>1562</v>
      </c>
      <c r="D109" s="229"/>
      <c r="E109" s="229"/>
      <c r="F109" s="229"/>
      <c r="G109" s="229"/>
      <c r="H109" s="229"/>
      <c r="I109" s="229"/>
      <c r="J109" s="59" t="s">
        <v>1470</v>
      </c>
      <c r="K109" s="46">
        <v>3500000</v>
      </c>
      <c r="L109" s="2">
        <v>44265</v>
      </c>
      <c r="M109" s="32"/>
      <c r="N109" s="32">
        <v>3005861916</v>
      </c>
      <c r="O109" s="51" t="s">
        <v>1471</v>
      </c>
      <c r="P109" s="52" t="s">
        <v>1472</v>
      </c>
      <c r="Q109" s="19"/>
    </row>
    <row r="110" spans="2:17" x14ac:dyDescent="0.25">
      <c r="B110" s="32">
        <v>98</v>
      </c>
      <c r="C110" s="229" t="s">
        <v>1563</v>
      </c>
      <c r="D110" s="229"/>
      <c r="E110" s="229"/>
      <c r="F110" s="229"/>
      <c r="G110" s="229"/>
      <c r="H110" s="229"/>
      <c r="I110" s="229"/>
      <c r="J110" s="59" t="s">
        <v>1564</v>
      </c>
      <c r="K110" s="46">
        <v>4640000</v>
      </c>
      <c r="L110" s="2">
        <v>44265</v>
      </c>
      <c r="M110" s="32"/>
      <c r="N110" s="32">
        <v>3103156058</v>
      </c>
      <c r="O110" s="51" t="s">
        <v>644</v>
      </c>
      <c r="P110" s="52" t="s">
        <v>1565</v>
      </c>
    </row>
    <row r="111" spans="2:17" x14ac:dyDescent="0.25">
      <c r="B111" s="32">
        <v>99</v>
      </c>
      <c r="C111" s="229" t="s">
        <v>1566</v>
      </c>
      <c r="D111" s="229"/>
      <c r="E111" s="229"/>
      <c r="F111" s="229"/>
      <c r="G111" s="229"/>
      <c r="H111" s="229"/>
      <c r="I111" s="229"/>
      <c r="J111" s="59" t="s">
        <v>1470</v>
      </c>
      <c r="K111" s="46">
        <v>9900000</v>
      </c>
      <c r="L111" s="2">
        <v>44266</v>
      </c>
      <c r="M111" s="2" t="s">
        <v>3923</v>
      </c>
      <c r="N111" s="32">
        <v>3005861916</v>
      </c>
      <c r="O111" s="51" t="s">
        <v>1471</v>
      </c>
      <c r="P111" s="52" t="s">
        <v>1472</v>
      </c>
    </row>
    <row r="112" spans="2:17" x14ac:dyDescent="0.25">
      <c r="B112" s="32">
        <v>100</v>
      </c>
      <c r="C112" s="229" t="s">
        <v>1567</v>
      </c>
      <c r="D112" s="229"/>
      <c r="E112" s="229"/>
      <c r="F112" s="229"/>
      <c r="G112" s="229"/>
      <c r="H112" s="229"/>
      <c r="I112" s="229"/>
      <c r="J112" s="59" t="s">
        <v>1568</v>
      </c>
      <c r="K112" s="46">
        <v>9900000</v>
      </c>
      <c r="L112" s="2">
        <v>44266</v>
      </c>
      <c r="M112" s="32"/>
      <c r="N112" s="32" t="s">
        <v>1569</v>
      </c>
      <c r="O112" s="51" t="s">
        <v>1570</v>
      </c>
      <c r="P112" s="52" t="s">
        <v>1571</v>
      </c>
    </row>
    <row r="113" spans="2:16" x14ac:dyDescent="0.25">
      <c r="B113" s="32">
        <v>101</v>
      </c>
      <c r="C113" s="229" t="s">
        <v>1572</v>
      </c>
      <c r="D113" s="229"/>
      <c r="E113" s="229"/>
      <c r="F113" s="229"/>
      <c r="G113" s="229"/>
      <c r="H113" s="229"/>
      <c r="I113" s="229"/>
      <c r="J113" s="59" t="s">
        <v>702</v>
      </c>
      <c r="K113" s="46">
        <v>21950000</v>
      </c>
      <c r="L113" s="2">
        <v>44268</v>
      </c>
      <c r="M113" s="32"/>
      <c r="N113" s="32">
        <v>3017213541</v>
      </c>
      <c r="O113" s="51" t="s">
        <v>1473</v>
      </c>
      <c r="P113" s="52" t="s">
        <v>1474</v>
      </c>
    </row>
    <row r="114" spans="2:16" x14ac:dyDescent="0.25">
      <c r="B114" s="32">
        <v>102</v>
      </c>
      <c r="C114" s="229" t="s">
        <v>1573</v>
      </c>
      <c r="D114" s="229"/>
      <c r="E114" s="229"/>
      <c r="F114" s="229"/>
      <c r="G114" s="229"/>
      <c r="H114" s="229"/>
      <c r="I114" s="229"/>
      <c r="J114" s="59" t="s">
        <v>1574</v>
      </c>
      <c r="K114" s="46">
        <v>1990000</v>
      </c>
      <c r="L114" s="2">
        <v>44270</v>
      </c>
      <c r="M114" s="32"/>
      <c r="N114" s="32" t="s">
        <v>1575</v>
      </c>
      <c r="O114" s="51" t="s">
        <v>1576</v>
      </c>
      <c r="P114" s="52" t="s">
        <v>1577</v>
      </c>
    </row>
    <row r="115" spans="2:16" x14ac:dyDescent="0.25">
      <c r="B115" s="32">
        <v>103</v>
      </c>
      <c r="C115" s="229" t="s">
        <v>1578</v>
      </c>
      <c r="D115" s="229"/>
      <c r="E115" s="229"/>
      <c r="F115" s="229"/>
      <c r="G115" s="229"/>
      <c r="H115" s="229"/>
      <c r="I115" s="229"/>
      <c r="J115" s="59" t="s">
        <v>1574</v>
      </c>
      <c r="K115" s="46">
        <v>1100000</v>
      </c>
      <c r="L115" s="2">
        <v>44270</v>
      </c>
      <c r="M115" s="32"/>
      <c r="N115" s="32" t="s">
        <v>1575</v>
      </c>
      <c r="O115" s="51" t="s">
        <v>1576</v>
      </c>
      <c r="P115" s="52" t="s">
        <v>1577</v>
      </c>
    </row>
    <row r="116" spans="2:16" x14ac:dyDescent="0.25">
      <c r="B116" s="32">
        <v>104</v>
      </c>
      <c r="C116" s="229" t="s">
        <v>1579</v>
      </c>
      <c r="D116" s="229"/>
      <c r="E116" s="229"/>
      <c r="F116" s="229"/>
      <c r="G116" s="229"/>
      <c r="H116" s="229"/>
      <c r="I116" s="229"/>
      <c r="J116" s="59" t="s">
        <v>890</v>
      </c>
      <c r="K116" s="46">
        <v>22580000</v>
      </c>
      <c r="L116" s="2">
        <v>44270</v>
      </c>
      <c r="M116" s="32"/>
      <c r="N116" s="32">
        <v>3113396273</v>
      </c>
      <c r="O116" s="51" t="s">
        <v>989</v>
      </c>
      <c r="P116" s="52" t="s">
        <v>990</v>
      </c>
    </row>
    <row r="117" spans="2:16" x14ac:dyDescent="0.25">
      <c r="B117" s="32">
        <v>105</v>
      </c>
      <c r="C117" s="229" t="s">
        <v>1580</v>
      </c>
      <c r="D117" s="229"/>
      <c r="E117" s="229"/>
      <c r="F117" s="229"/>
      <c r="G117" s="229"/>
      <c r="H117" s="229"/>
      <c r="I117" s="229"/>
      <c r="J117" s="59" t="s">
        <v>851</v>
      </c>
      <c r="K117" s="46">
        <v>5000000</v>
      </c>
      <c r="L117" s="2">
        <v>44270</v>
      </c>
      <c r="M117" s="32" t="s">
        <v>3923</v>
      </c>
      <c r="N117" s="32" t="s">
        <v>1286</v>
      </c>
      <c r="O117" s="51" t="s">
        <v>233</v>
      </c>
      <c r="P117" s="52" t="s">
        <v>1287</v>
      </c>
    </row>
    <row r="118" spans="2:16" x14ac:dyDescent="0.25">
      <c r="B118" s="32">
        <v>106</v>
      </c>
      <c r="C118" s="229" t="s">
        <v>1581</v>
      </c>
      <c r="D118" s="229"/>
      <c r="E118" s="229"/>
      <c r="F118" s="229"/>
      <c r="G118" s="229"/>
      <c r="H118" s="229"/>
      <c r="I118" s="229"/>
      <c r="J118" s="59" t="s">
        <v>702</v>
      </c>
      <c r="K118" s="46">
        <v>16870000</v>
      </c>
      <c r="L118" s="2">
        <v>44270</v>
      </c>
      <c r="M118" s="32"/>
      <c r="N118" s="32">
        <v>3137546144</v>
      </c>
      <c r="O118" s="51" t="s">
        <v>186</v>
      </c>
      <c r="P118" s="38" t="s">
        <v>740</v>
      </c>
    </row>
    <row r="119" spans="2:16" x14ac:dyDescent="0.25">
      <c r="B119" s="32">
        <v>107</v>
      </c>
      <c r="C119" s="229" t="s">
        <v>1582</v>
      </c>
      <c r="D119" s="229"/>
      <c r="E119" s="229"/>
      <c r="F119" s="229"/>
      <c r="G119" s="229"/>
      <c r="H119" s="229"/>
      <c r="I119" s="229"/>
      <c r="J119" s="59" t="s">
        <v>971</v>
      </c>
      <c r="K119" s="46">
        <v>1660000</v>
      </c>
      <c r="L119" s="2">
        <v>44271</v>
      </c>
      <c r="M119" s="32" t="s">
        <v>3923</v>
      </c>
      <c r="N119" s="32"/>
      <c r="O119" s="51" t="s">
        <v>1583</v>
      </c>
      <c r="P119" s="52" t="s">
        <v>1584</v>
      </c>
    </row>
    <row r="120" spans="2:16" x14ac:dyDescent="0.25">
      <c r="B120" s="32">
        <v>108</v>
      </c>
      <c r="C120" s="229" t="s">
        <v>1585</v>
      </c>
      <c r="D120" s="229"/>
      <c r="E120" s="229"/>
      <c r="F120" s="229"/>
      <c r="G120" s="229"/>
      <c r="H120" s="229"/>
      <c r="I120" s="229"/>
      <c r="J120" s="59" t="s">
        <v>1586</v>
      </c>
      <c r="K120" s="46">
        <v>4390000</v>
      </c>
      <c r="L120" s="2">
        <v>44272</v>
      </c>
      <c r="M120" s="32"/>
      <c r="N120" s="32" t="s">
        <v>1587</v>
      </c>
      <c r="O120" s="51" t="s">
        <v>1588</v>
      </c>
      <c r="P120" s="52" t="s">
        <v>1589</v>
      </c>
    </row>
    <row r="121" spans="2:16" x14ac:dyDescent="0.25">
      <c r="B121" s="32">
        <v>109</v>
      </c>
      <c r="C121" s="229" t="s">
        <v>1590</v>
      </c>
      <c r="D121" s="229"/>
      <c r="E121" s="229"/>
      <c r="F121" s="229"/>
      <c r="G121" s="229"/>
      <c r="H121" s="229"/>
      <c r="I121" s="229"/>
      <c r="J121" s="59" t="s">
        <v>1586</v>
      </c>
      <c r="K121" s="46">
        <v>2880000</v>
      </c>
      <c r="L121" s="2">
        <v>44272</v>
      </c>
      <c r="M121" s="32"/>
      <c r="N121" s="32" t="s">
        <v>1587</v>
      </c>
      <c r="O121" s="51" t="s">
        <v>1588</v>
      </c>
      <c r="P121" s="52" t="s">
        <v>1589</v>
      </c>
    </row>
    <row r="122" spans="2:16" x14ac:dyDescent="0.25">
      <c r="B122" s="32">
        <v>110</v>
      </c>
      <c r="C122" s="229" t="s">
        <v>1591</v>
      </c>
      <c r="D122" s="229"/>
      <c r="E122" s="229"/>
      <c r="F122" s="229"/>
      <c r="G122" s="229"/>
      <c r="H122" s="229"/>
      <c r="I122" s="229"/>
      <c r="J122" s="59" t="s">
        <v>747</v>
      </c>
      <c r="K122" s="46">
        <v>3390000</v>
      </c>
      <c r="L122" s="2">
        <v>44273</v>
      </c>
      <c r="M122" s="2"/>
      <c r="N122" s="32">
        <v>3175594091</v>
      </c>
      <c r="O122" s="51" t="s">
        <v>496</v>
      </c>
      <c r="P122" s="38" t="s">
        <v>748</v>
      </c>
    </row>
    <row r="123" spans="2:16" x14ac:dyDescent="0.25">
      <c r="B123" s="32">
        <v>111</v>
      </c>
      <c r="C123" s="229" t="s">
        <v>1592</v>
      </c>
      <c r="D123" s="229"/>
      <c r="E123" s="229"/>
      <c r="F123" s="229"/>
      <c r="G123" s="229"/>
      <c r="H123" s="229"/>
      <c r="I123" s="229"/>
      <c r="J123" s="59" t="s">
        <v>1392</v>
      </c>
      <c r="K123" s="46">
        <v>1500</v>
      </c>
      <c r="L123" s="2">
        <v>44273</v>
      </c>
      <c r="M123" s="32"/>
      <c r="N123" s="32">
        <v>3108227462</v>
      </c>
      <c r="O123" s="51" t="s">
        <v>751</v>
      </c>
      <c r="P123" s="52" t="s">
        <v>1393</v>
      </c>
    </row>
    <row r="124" spans="2:16" x14ac:dyDescent="0.25">
      <c r="B124" s="32">
        <v>112</v>
      </c>
      <c r="C124" s="229" t="s">
        <v>1593</v>
      </c>
      <c r="D124" s="229"/>
      <c r="E124" s="229"/>
      <c r="F124" s="229"/>
      <c r="G124" s="229"/>
      <c r="H124" s="229"/>
      <c r="I124" s="229"/>
      <c r="J124" s="59" t="s">
        <v>1594</v>
      </c>
      <c r="K124" s="46" t="s">
        <v>150</v>
      </c>
      <c r="L124" s="2">
        <v>44285</v>
      </c>
      <c r="M124" s="32"/>
      <c r="N124" s="32" t="s">
        <v>1595</v>
      </c>
      <c r="O124" s="51" t="s">
        <v>1596</v>
      </c>
      <c r="P124" s="52" t="s">
        <v>1597</v>
      </c>
    </row>
    <row r="125" spans="2:16" x14ac:dyDescent="0.25">
      <c r="B125" s="32">
        <v>113</v>
      </c>
      <c r="C125" s="229" t="s">
        <v>1598</v>
      </c>
      <c r="D125" s="229"/>
      <c r="E125" s="229"/>
      <c r="F125" s="229"/>
      <c r="G125" s="229"/>
      <c r="H125" s="229"/>
      <c r="I125" s="229"/>
      <c r="J125" s="59" t="s">
        <v>847</v>
      </c>
      <c r="K125" s="46">
        <v>39950000</v>
      </c>
      <c r="L125" s="2">
        <v>44274</v>
      </c>
      <c r="M125" s="2"/>
      <c r="N125" s="32" t="s">
        <v>1030</v>
      </c>
      <c r="O125" s="51" t="s">
        <v>1031</v>
      </c>
      <c r="P125" s="38" t="s">
        <v>1032</v>
      </c>
    </row>
    <row r="126" spans="2:16" x14ac:dyDescent="0.25">
      <c r="B126" s="32">
        <v>114</v>
      </c>
      <c r="C126" s="229" t="s">
        <v>1599</v>
      </c>
      <c r="D126" s="229"/>
      <c r="E126" s="229"/>
      <c r="F126" s="229"/>
      <c r="G126" s="229"/>
      <c r="H126" s="229"/>
      <c r="I126" s="229"/>
      <c r="J126" s="59" t="s">
        <v>1480</v>
      </c>
      <c r="K126" s="46">
        <v>29950000</v>
      </c>
      <c r="L126" s="2">
        <v>44279</v>
      </c>
      <c r="M126" s="2"/>
      <c r="N126" s="32" t="s">
        <v>1600</v>
      </c>
      <c r="O126" s="51" t="s">
        <v>1601</v>
      </c>
      <c r="P126" s="52" t="s">
        <v>1602</v>
      </c>
    </row>
    <row r="127" spans="2:16" x14ac:dyDescent="0.25">
      <c r="B127" s="32">
        <v>115</v>
      </c>
      <c r="C127" s="229" t="s">
        <v>1603</v>
      </c>
      <c r="D127" s="229"/>
      <c r="E127" s="229"/>
      <c r="F127" s="229"/>
      <c r="G127" s="229"/>
      <c r="H127" s="229"/>
      <c r="I127" s="229"/>
      <c r="J127" s="59" t="s">
        <v>971</v>
      </c>
      <c r="K127" s="46">
        <v>3750000</v>
      </c>
      <c r="L127" s="2">
        <v>44279</v>
      </c>
      <c r="M127" s="2"/>
      <c r="N127" s="32">
        <v>4447410</v>
      </c>
      <c r="O127" s="51" t="s">
        <v>1604</v>
      </c>
      <c r="P127" s="52" t="s">
        <v>1605</v>
      </c>
    </row>
    <row r="128" spans="2:16" x14ac:dyDescent="0.25">
      <c r="B128" s="32">
        <v>116</v>
      </c>
      <c r="C128" s="229" t="s">
        <v>1606</v>
      </c>
      <c r="D128" s="229"/>
      <c r="E128" s="229"/>
      <c r="F128" s="229"/>
      <c r="G128" s="229"/>
      <c r="H128" s="229"/>
      <c r="I128" s="229"/>
      <c r="J128" s="59" t="s">
        <v>702</v>
      </c>
      <c r="K128" s="46">
        <v>1650000</v>
      </c>
      <c r="L128" s="2">
        <v>44280</v>
      </c>
      <c r="M128" s="2"/>
      <c r="N128" s="32">
        <v>3104203649</v>
      </c>
      <c r="O128" s="51" t="s">
        <v>1257</v>
      </c>
      <c r="P128" s="38" t="s">
        <v>1258</v>
      </c>
    </row>
    <row r="129" spans="2:16" x14ac:dyDescent="0.25">
      <c r="B129" s="32">
        <v>117</v>
      </c>
      <c r="C129" s="229" t="s">
        <v>1607</v>
      </c>
      <c r="D129" s="229"/>
      <c r="E129" s="229"/>
      <c r="F129" s="229"/>
      <c r="G129" s="229"/>
      <c r="H129" s="229"/>
      <c r="I129" s="229"/>
      <c r="J129" s="59" t="s">
        <v>702</v>
      </c>
      <c r="K129" s="53">
        <v>19980000</v>
      </c>
      <c r="L129" s="2">
        <v>44280</v>
      </c>
      <c r="M129" s="32"/>
      <c r="N129" s="32">
        <v>3017213541</v>
      </c>
      <c r="O129" s="51" t="s">
        <v>1473</v>
      </c>
      <c r="P129" s="52" t="s">
        <v>1474</v>
      </c>
    </row>
    <row r="130" spans="2:16" x14ac:dyDescent="0.25">
      <c r="B130" s="32">
        <v>118</v>
      </c>
      <c r="C130" s="229" t="s">
        <v>1608</v>
      </c>
      <c r="D130" s="229"/>
      <c r="E130" s="229"/>
      <c r="F130" s="229"/>
      <c r="G130" s="229"/>
      <c r="H130" s="229"/>
      <c r="I130" s="229"/>
      <c r="J130" s="59" t="s">
        <v>1609</v>
      </c>
      <c r="K130" s="53">
        <v>17500000</v>
      </c>
      <c r="L130" s="2">
        <v>44280</v>
      </c>
      <c r="M130" s="32"/>
      <c r="N130" s="32">
        <v>4447597</v>
      </c>
      <c r="O130" s="51" t="s">
        <v>1610</v>
      </c>
      <c r="P130" s="52" t="s">
        <v>1611</v>
      </c>
    </row>
    <row r="131" spans="2:16" x14ac:dyDescent="0.25">
      <c r="B131" s="32">
        <v>119</v>
      </c>
      <c r="C131" s="229" t="s">
        <v>1523</v>
      </c>
      <c r="D131" s="229"/>
      <c r="E131" s="229"/>
      <c r="F131" s="229"/>
      <c r="G131" s="229"/>
      <c r="H131" s="229"/>
      <c r="I131" s="229"/>
      <c r="J131" s="59" t="s">
        <v>1612</v>
      </c>
      <c r="K131" s="46">
        <v>1500000</v>
      </c>
      <c r="L131" s="2">
        <v>44281</v>
      </c>
      <c r="M131" s="2"/>
      <c r="N131" s="32">
        <v>3128222923</v>
      </c>
      <c r="O131" s="51" t="s">
        <v>1613</v>
      </c>
      <c r="P131" s="52" t="s">
        <v>1614</v>
      </c>
    </row>
    <row r="132" spans="2:16" x14ac:dyDescent="0.25">
      <c r="B132" s="32">
        <v>120</v>
      </c>
      <c r="C132" s="229" t="s">
        <v>1615</v>
      </c>
      <c r="D132" s="229"/>
      <c r="E132" s="229"/>
      <c r="F132" s="229"/>
      <c r="G132" s="229"/>
      <c r="H132" s="229"/>
      <c r="I132" s="229"/>
      <c r="J132" s="59" t="s">
        <v>747</v>
      </c>
      <c r="K132" s="46">
        <v>36370000</v>
      </c>
      <c r="L132" s="2">
        <v>44284</v>
      </c>
      <c r="M132" s="2"/>
      <c r="N132" s="32">
        <v>3175594091</v>
      </c>
      <c r="O132" s="51" t="s">
        <v>496</v>
      </c>
      <c r="P132" s="38" t="s">
        <v>748</v>
      </c>
    </row>
    <row r="133" spans="2:16" x14ac:dyDescent="0.25">
      <c r="B133" s="32">
        <v>121</v>
      </c>
      <c r="C133" s="229" t="s">
        <v>1616</v>
      </c>
      <c r="D133" s="229"/>
      <c r="E133" s="229"/>
      <c r="F133" s="229"/>
      <c r="G133" s="229"/>
      <c r="H133" s="229"/>
      <c r="I133" s="229"/>
      <c r="J133" s="59" t="s">
        <v>1617</v>
      </c>
      <c r="K133" s="46">
        <v>2570000</v>
      </c>
      <c r="L133" s="2">
        <v>44284</v>
      </c>
      <c r="M133" s="32"/>
      <c r="N133" s="32" t="s">
        <v>1618</v>
      </c>
      <c r="O133" s="51" t="s">
        <v>1619</v>
      </c>
      <c r="P133" s="52"/>
    </row>
    <row r="134" spans="2:16" x14ac:dyDescent="0.25">
      <c r="B134" s="32">
        <v>122</v>
      </c>
      <c r="C134" s="229" t="s">
        <v>1620</v>
      </c>
      <c r="D134" s="229"/>
      <c r="E134" s="229"/>
      <c r="F134" s="229"/>
      <c r="G134" s="229"/>
      <c r="H134" s="229"/>
      <c r="I134" s="229"/>
      <c r="J134" s="59" t="s">
        <v>1392</v>
      </c>
      <c r="K134" s="46">
        <v>5650</v>
      </c>
      <c r="L134" s="2">
        <v>44285</v>
      </c>
      <c r="M134" s="32"/>
      <c r="N134" s="32">
        <v>3108227462</v>
      </c>
      <c r="O134" s="51" t="s">
        <v>751</v>
      </c>
      <c r="P134" s="52" t="s">
        <v>1393</v>
      </c>
    </row>
    <row r="135" spans="2:16" x14ac:dyDescent="0.25">
      <c r="B135" s="32">
        <v>123</v>
      </c>
      <c r="C135" s="229" t="s">
        <v>1621</v>
      </c>
      <c r="D135" s="229"/>
      <c r="E135" s="229"/>
      <c r="F135" s="229"/>
      <c r="G135" s="229"/>
      <c r="H135" s="229"/>
      <c r="I135" s="229"/>
      <c r="J135" s="59" t="s">
        <v>712</v>
      </c>
      <c r="K135" s="46">
        <v>1000000</v>
      </c>
      <c r="L135" s="2">
        <v>44285</v>
      </c>
      <c r="M135" s="32"/>
      <c r="N135" s="32">
        <v>3137851941</v>
      </c>
      <c r="O135" s="51" t="s">
        <v>192</v>
      </c>
      <c r="P135" s="38" t="s">
        <v>713</v>
      </c>
    </row>
    <row r="136" spans="2:16" x14ac:dyDescent="0.25">
      <c r="B136" s="32">
        <v>124</v>
      </c>
      <c r="C136" s="229" t="s">
        <v>1622</v>
      </c>
      <c r="D136" s="229"/>
      <c r="E136" s="229"/>
      <c r="F136" s="229"/>
      <c r="G136" s="229"/>
      <c r="H136" s="229"/>
      <c r="I136" s="229"/>
      <c r="J136" s="59" t="s">
        <v>712</v>
      </c>
      <c r="K136" s="46">
        <v>3100000</v>
      </c>
      <c r="L136" s="2">
        <v>44285</v>
      </c>
      <c r="M136" s="2" t="s">
        <v>3923</v>
      </c>
      <c r="N136" s="32">
        <v>3137851941</v>
      </c>
      <c r="O136" s="51" t="s">
        <v>192</v>
      </c>
      <c r="P136" s="38" t="s">
        <v>713</v>
      </c>
    </row>
    <row r="137" spans="2:16" x14ac:dyDescent="0.25">
      <c r="B137" s="32">
        <v>125</v>
      </c>
      <c r="C137" s="229" t="s">
        <v>1623</v>
      </c>
      <c r="D137" s="229"/>
      <c r="E137" s="229"/>
      <c r="F137" s="229"/>
      <c r="G137" s="229"/>
      <c r="H137" s="229"/>
      <c r="I137" s="229"/>
      <c r="J137" s="59" t="s">
        <v>851</v>
      </c>
      <c r="K137" s="46">
        <v>10000000</v>
      </c>
      <c r="L137" s="2">
        <v>44291</v>
      </c>
      <c r="M137" s="32"/>
      <c r="N137" s="32" t="s">
        <v>1286</v>
      </c>
      <c r="O137" s="51" t="s">
        <v>233</v>
      </c>
      <c r="P137" s="52" t="s">
        <v>1287</v>
      </c>
    </row>
    <row r="138" spans="2:16" x14ac:dyDescent="0.25">
      <c r="B138" s="32">
        <v>126</v>
      </c>
      <c r="C138" s="229" t="s">
        <v>1624</v>
      </c>
      <c r="D138" s="229"/>
      <c r="E138" s="229"/>
      <c r="F138" s="229"/>
      <c r="G138" s="229"/>
      <c r="H138" s="229"/>
      <c r="I138" s="229"/>
      <c r="J138" s="59" t="s">
        <v>1625</v>
      </c>
      <c r="K138" s="46">
        <v>15150000</v>
      </c>
      <c r="L138" s="2">
        <v>44292</v>
      </c>
      <c r="M138" s="32"/>
      <c r="N138" s="32">
        <v>3148933909</v>
      </c>
      <c r="O138" s="51" t="s">
        <v>1626</v>
      </c>
      <c r="P138" s="52" t="s">
        <v>1627</v>
      </c>
    </row>
    <row r="139" spans="2:16" x14ac:dyDescent="0.25">
      <c r="B139" s="32">
        <v>127</v>
      </c>
      <c r="C139" s="229" t="s">
        <v>1628</v>
      </c>
      <c r="D139" s="229"/>
      <c r="E139" s="229"/>
      <c r="F139" s="229"/>
      <c r="G139" s="229"/>
      <c r="H139" s="229"/>
      <c r="I139" s="229"/>
      <c r="J139" s="59" t="s">
        <v>1392</v>
      </c>
      <c r="K139" s="46">
        <v>19950</v>
      </c>
      <c r="L139" s="2">
        <v>44292</v>
      </c>
      <c r="M139" s="2"/>
      <c r="N139" s="32">
        <v>3108227462</v>
      </c>
      <c r="O139" s="51" t="s">
        <v>751</v>
      </c>
      <c r="P139" s="52" t="s">
        <v>1393</v>
      </c>
    </row>
    <row r="140" spans="2:16" x14ac:dyDescent="0.25">
      <c r="B140" s="32">
        <v>128</v>
      </c>
      <c r="C140" s="229" t="s">
        <v>1629</v>
      </c>
      <c r="D140" s="229"/>
      <c r="E140" s="229"/>
      <c r="F140" s="229"/>
      <c r="G140" s="229"/>
      <c r="H140" s="229"/>
      <c r="I140" s="229"/>
      <c r="J140" s="59" t="s">
        <v>702</v>
      </c>
      <c r="K140" s="46">
        <v>8000000</v>
      </c>
      <c r="L140" s="2">
        <v>44292</v>
      </c>
      <c r="M140" s="32"/>
      <c r="N140" s="32">
        <v>3017213541</v>
      </c>
      <c r="O140" s="51" t="s">
        <v>1473</v>
      </c>
      <c r="P140" s="52" t="s">
        <v>1474</v>
      </c>
    </row>
    <row r="141" spans="2:16" x14ac:dyDescent="0.25">
      <c r="B141" s="32">
        <v>129</v>
      </c>
      <c r="C141" s="229" t="s">
        <v>1630</v>
      </c>
      <c r="D141" s="229"/>
      <c r="E141" s="229"/>
      <c r="F141" s="229"/>
      <c r="G141" s="229"/>
      <c r="H141" s="229"/>
      <c r="I141" s="229"/>
      <c r="J141" s="59" t="s">
        <v>733</v>
      </c>
      <c r="K141" s="46">
        <v>14930000</v>
      </c>
      <c r="L141" s="2">
        <v>44292</v>
      </c>
      <c r="M141" s="2"/>
      <c r="N141" s="32" t="s">
        <v>1631</v>
      </c>
      <c r="O141" s="51" t="s">
        <v>201</v>
      </c>
      <c r="P141" s="52" t="s">
        <v>1632</v>
      </c>
    </row>
    <row r="142" spans="2:16" x14ac:dyDescent="0.25">
      <c r="B142" s="32">
        <v>130</v>
      </c>
      <c r="C142" s="229" t="s">
        <v>1633</v>
      </c>
      <c r="D142" s="229"/>
      <c r="E142" s="229"/>
      <c r="F142" s="229"/>
      <c r="G142" s="229"/>
      <c r="H142" s="229"/>
      <c r="I142" s="229"/>
      <c r="J142" s="59" t="s">
        <v>1634</v>
      </c>
      <c r="K142" s="46">
        <v>7500000</v>
      </c>
      <c r="L142" s="2">
        <v>44292</v>
      </c>
      <c r="M142" s="32"/>
      <c r="N142" s="32">
        <v>3174893570</v>
      </c>
      <c r="O142" s="51" t="s">
        <v>1635</v>
      </c>
      <c r="P142" s="52" t="s">
        <v>1636</v>
      </c>
    </row>
    <row r="143" spans="2:16" x14ac:dyDescent="0.25">
      <c r="B143" s="32">
        <v>131</v>
      </c>
      <c r="C143" s="229" t="s">
        <v>1637</v>
      </c>
      <c r="D143" s="229"/>
      <c r="E143" s="229"/>
      <c r="F143" s="229"/>
      <c r="G143" s="229"/>
      <c r="H143" s="229"/>
      <c r="I143" s="229"/>
      <c r="J143" s="59" t="s">
        <v>1617</v>
      </c>
      <c r="K143" s="46">
        <v>3000000</v>
      </c>
      <c r="L143" s="2">
        <v>44294</v>
      </c>
      <c r="M143" s="32"/>
      <c r="N143" s="32" t="s">
        <v>1618</v>
      </c>
      <c r="O143" s="51" t="s">
        <v>1619</v>
      </c>
      <c r="P143" s="52"/>
    </row>
    <row r="144" spans="2:16" x14ac:dyDescent="0.25">
      <c r="B144" s="32">
        <v>132</v>
      </c>
      <c r="C144" s="229" t="s">
        <v>1638</v>
      </c>
      <c r="D144" s="229"/>
      <c r="E144" s="229"/>
      <c r="F144" s="229"/>
      <c r="G144" s="229"/>
      <c r="H144" s="229"/>
      <c r="I144" s="229"/>
      <c r="J144" s="59" t="s">
        <v>1553</v>
      </c>
      <c r="K144" s="46">
        <v>750000</v>
      </c>
      <c r="L144" s="2">
        <v>44294</v>
      </c>
      <c r="M144" s="2" t="s">
        <v>3923</v>
      </c>
      <c r="N144" s="32" t="s">
        <v>1639</v>
      </c>
      <c r="O144" s="51" t="s">
        <v>1640</v>
      </c>
      <c r="P144" s="52" t="s">
        <v>1555</v>
      </c>
    </row>
    <row r="145" spans="2:16" x14ac:dyDescent="0.25">
      <c r="B145" s="32">
        <v>133</v>
      </c>
      <c r="C145" s="229" t="s">
        <v>1641</v>
      </c>
      <c r="D145" s="229"/>
      <c r="E145" s="229"/>
      <c r="F145" s="229"/>
      <c r="G145" s="229"/>
      <c r="H145" s="229"/>
      <c r="I145" s="229"/>
      <c r="J145" s="59" t="s">
        <v>1218</v>
      </c>
      <c r="K145" s="46">
        <v>1950000</v>
      </c>
      <c r="L145" s="2">
        <v>44295</v>
      </c>
      <c r="M145" s="32" t="s">
        <v>3923</v>
      </c>
      <c r="N145" s="32" t="s">
        <v>1642</v>
      </c>
      <c r="O145" s="51" t="s">
        <v>1643</v>
      </c>
      <c r="P145" s="52" t="s">
        <v>1644</v>
      </c>
    </row>
    <row r="146" spans="2:16" x14ac:dyDescent="0.25">
      <c r="B146" s="32">
        <v>134</v>
      </c>
      <c r="C146" s="229" t="s">
        <v>1645</v>
      </c>
      <c r="D146" s="229"/>
      <c r="E146" s="229"/>
      <c r="F146" s="229"/>
      <c r="G146" s="229"/>
      <c r="H146" s="229"/>
      <c r="I146" s="229"/>
      <c r="J146" s="59" t="s">
        <v>1646</v>
      </c>
      <c r="K146" s="46">
        <v>5980000</v>
      </c>
      <c r="L146" s="2">
        <v>44298</v>
      </c>
      <c r="M146" s="32"/>
      <c r="N146" s="32" t="s">
        <v>1647</v>
      </c>
      <c r="O146" s="51" t="s">
        <v>1648</v>
      </c>
      <c r="P146" s="52"/>
    </row>
    <row r="147" spans="2:16" x14ac:dyDescent="0.25">
      <c r="B147" s="32">
        <v>135</v>
      </c>
      <c r="C147" s="229" t="s">
        <v>1649</v>
      </c>
      <c r="D147" s="229"/>
      <c r="E147" s="229"/>
      <c r="F147" s="229"/>
      <c r="G147" s="229"/>
      <c r="H147" s="229"/>
      <c r="I147" s="229"/>
      <c r="J147" s="59" t="s">
        <v>1646</v>
      </c>
      <c r="K147" s="46">
        <v>5980000</v>
      </c>
      <c r="L147" s="2">
        <v>44298</v>
      </c>
      <c r="M147" s="32"/>
      <c r="N147" s="32" t="s">
        <v>1647</v>
      </c>
      <c r="O147" s="51" t="s">
        <v>1648</v>
      </c>
      <c r="P147" s="52"/>
    </row>
    <row r="148" spans="2:16" x14ac:dyDescent="0.25">
      <c r="B148" s="32">
        <v>136</v>
      </c>
      <c r="C148" s="229" t="s">
        <v>1650</v>
      </c>
      <c r="D148" s="229"/>
      <c r="E148" s="229"/>
      <c r="F148" s="229"/>
      <c r="G148" s="229"/>
      <c r="H148" s="229"/>
      <c r="I148" s="229"/>
      <c r="J148" s="59" t="s">
        <v>851</v>
      </c>
      <c r="K148" s="46">
        <v>3330000</v>
      </c>
      <c r="L148" s="2">
        <v>44298</v>
      </c>
      <c r="M148" s="32"/>
      <c r="N148" s="32" t="s">
        <v>1286</v>
      </c>
      <c r="O148" s="51" t="s">
        <v>233</v>
      </c>
      <c r="P148" s="38" t="s">
        <v>1287</v>
      </c>
    </row>
    <row r="149" spans="2:16" x14ac:dyDescent="0.25">
      <c r="B149" s="32">
        <v>137</v>
      </c>
      <c r="C149" s="229" t="s">
        <v>1651</v>
      </c>
      <c r="D149" s="229"/>
      <c r="E149" s="229"/>
      <c r="F149" s="229"/>
      <c r="G149" s="229"/>
      <c r="H149" s="229"/>
      <c r="I149" s="229"/>
      <c r="J149" s="59" t="s">
        <v>1535</v>
      </c>
      <c r="K149" s="46">
        <v>8970000</v>
      </c>
      <c r="L149" s="2">
        <v>44299</v>
      </c>
      <c r="M149" s="32" t="s">
        <v>3923</v>
      </c>
      <c r="N149" s="32">
        <v>3218570223</v>
      </c>
      <c r="O149" s="51" t="s">
        <v>1652</v>
      </c>
      <c r="P149" s="52" t="s">
        <v>1653</v>
      </c>
    </row>
    <row r="150" spans="2:16" x14ac:dyDescent="0.25">
      <c r="B150" s="32">
        <v>138</v>
      </c>
      <c r="C150" s="229" t="s">
        <v>1654</v>
      </c>
      <c r="D150" s="229"/>
      <c r="E150" s="229"/>
      <c r="F150" s="229"/>
      <c r="G150" s="229"/>
      <c r="H150" s="229"/>
      <c r="I150" s="229"/>
      <c r="J150" s="59" t="s">
        <v>1100</v>
      </c>
      <c r="K150" s="1">
        <v>2980000</v>
      </c>
      <c r="L150" s="2">
        <v>44299</v>
      </c>
      <c r="M150" s="2" t="s">
        <v>3923</v>
      </c>
      <c r="N150" s="32">
        <v>3014188503</v>
      </c>
      <c r="O150" s="51" t="s">
        <v>1101</v>
      </c>
      <c r="P150" s="38" t="s">
        <v>1102</v>
      </c>
    </row>
    <row r="151" spans="2:16" x14ac:dyDescent="0.25">
      <c r="B151" s="32">
        <v>139</v>
      </c>
      <c r="C151" s="229" t="s">
        <v>1655</v>
      </c>
      <c r="D151" s="229"/>
      <c r="E151" s="229"/>
      <c r="F151" s="229"/>
      <c r="G151" s="229"/>
      <c r="H151" s="229"/>
      <c r="I151" s="229"/>
      <c r="J151" s="59" t="s">
        <v>1247</v>
      </c>
      <c r="K151" s="46">
        <v>4390000</v>
      </c>
      <c r="L151" s="2">
        <v>44299</v>
      </c>
      <c r="M151" s="32"/>
      <c r="N151" s="32">
        <v>3217987241</v>
      </c>
      <c r="O151" s="51" t="s">
        <v>1656</v>
      </c>
      <c r="P151" s="52" t="s">
        <v>1657</v>
      </c>
    </row>
    <row r="152" spans="2:16" x14ac:dyDescent="0.25">
      <c r="B152" s="32">
        <v>140</v>
      </c>
      <c r="C152" s="229" t="s">
        <v>1658</v>
      </c>
      <c r="D152" s="229"/>
      <c r="E152" s="229"/>
      <c r="F152" s="229"/>
      <c r="G152" s="229"/>
      <c r="H152" s="229"/>
      <c r="I152" s="229"/>
      <c r="J152" s="59" t="s">
        <v>1659</v>
      </c>
      <c r="K152" s="46">
        <v>11290000</v>
      </c>
      <c r="L152" s="2">
        <v>44299</v>
      </c>
      <c r="M152" s="32"/>
      <c r="N152" s="32" t="s">
        <v>1660</v>
      </c>
      <c r="O152" s="51" t="s">
        <v>1661</v>
      </c>
      <c r="P152" s="52" t="s">
        <v>1662</v>
      </c>
    </row>
    <row r="153" spans="2:16" x14ac:dyDescent="0.25">
      <c r="B153" s="32">
        <v>141</v>
      </c>
      <c r="C153" s="229" t="s">
        <v>1663</v>
      </c>
      <c r="D153" s="229"/>
      <c r="E153" s="229"/>
      <c r="F153" s="229"/>
      <c r="G153" s="229"/>
      <c r="H153" s="229"/>
      <c r="I153" s="229"/>
      <c r="J153" s="59" t="s">
        <v>702</v>
      </c>
      <c r="K153" s="46">
        <v>2500000</v>
      </c>
      <c r="L153" s="2">
        <v>44299</v>
      </c>
      <c r="M153" s="2" t="s">
        <v>3923</v>
      </c>
      <c r="N153" s="32">
        <v>3104165783</v>
      </c>
      <c r="O153" s="51" t="s">
        <v>242</v>
      </c>
      <c r="P153" s="38" t="s">
        <v>917</v>
      </c>
    </row>
    <row r="154" spans="2:16" x14ac:dyDescent="0.25">
      <c r="B154" s="32">
        <v>142</v>
      </c>
      <c r="C154" s="229" t="s">
        <v>1664</v>
      </c>
      <c r="D154" s="229"/>
      <c r="E154" s="229"/>
      <c r="F154" s="229"/>
      <c r="G154" s="229"/>
      <c r="H154" s="229"/>
      <c r="I154" s="229"/>
      <c r="J154" s="59" t="s">
        <v>1415</v>
      </c>
      <c r="K154" s="46">
        <v>2500000</v>
      </c>
      <c r="L154" s="2">
        <v>44301</v>
      </c>
      <c r="M154" s="32"/>
      <c r="N154" s="32" t="s">
        <v>1665</v>
      </c>
      <c r="O154" s="51" t="s">
        <v>1666</v>
      </c>
      <c r="P154" s="52" t="s">
        <v>1667</v>
      </c>
    </row>
    <row r="155" spans="2:16" x14ac:dyDescent="0.25">
      <c r="B155" s="32">
        <v>143</v>
      </c>
      <c r="C155" s="229" t="s">
        <v>1668</v>
      </c>
      <c r="D155" s="229"/>
      <c r="E155" s="229"/>
      <c r="F155" s="229"/>
      <c r="G155" s="229"/>
      <c r="H155" s="229"/>
      <c r="I155" s="229"/>
      <c r="J155" s="59" t="s">
        <v>1415</v>
      </c>
      <c r="K155" s="46">
        <v>1350000</v>
      </c>
      <c r="L155" s="2">
        <v>44301</v>
      </c>
      <c r="M155" s="32"/>
      <c r="N155" s="32" t="s">
        <v>1665</v>
      </c>
      <c r="O155" s="51" t="s">
        <v>1666</v>
      </c>
      <c r="P155" s="52" t="s">
        <v>1667</v>
      </c>
    </row>
    <row r="156" spans="2:16" x14ac:dyDescent="0.25">
      <c r="B156" s="32">
        <v>144</v>
      </c>
      <c r="C156" s="229" t="s">
        <v>1669</v>
      </c>
      <c r="D156" s="229"/>
      <c r="E156" s="229"/>
      <c r="F156" s="229"/>
      <c r="G156" s="229"/>
      <c r="H156" s="229"/>
      <c r="I156" s="229"/>
      <c r="J156" s="59" t="s">
        <v>1163</v>
      </c>
      <c r="K156" s="46">
        <v>2500000</v>
      </c>
      <c r="L156" s="2">
        <v>44302</v>
      </c>
      <c r="M156" s="32"/>
      <c r="N156" s="32" t="s">
        <v>1670</v>
      </c>
      <c r="O156" s="51" t="s">
        <v>1671</v>
      </c>
      <c r="P156" s="52" t="s">
        <v>1672</v>
      </c>
    </row>
    <row r="157" spans="2:16" x14ac:dyDescent="0.25">
      <c r="B157" s="32">
        <v>145</v>
      </c>
      <c r="C157" s="229" t="s">
        <v>1673</v>
      </c>
      <c r="D157" s="229"/>
      <c r="E157" s="229"/>
      <c r="F157" s="229"/>
      <c r="G157" s="229"/>
      <c r="H157" s="229"/>
      <c r="I157" s="229"/>
      <c r="J157" s="59" t="s">
        <v>1553</v>
      </c>
      <c r="K157" s="46">
        <v>650000</v>
      </c>
      <c r="L157" s="2">
        <v>44305</v>
      </c>
      <c r="M157" s="2" t="s">
        <v>3923</v>
      </c>
      <c r="N157" s="32">
        <v>3022295772</v>
      </c>
      <c r="O157" s="51" t="s">
        <v>1554</v>
      </c>
      <c r="P157" s="52" t="s">
        <v>1555</v>
      </c>
    </row>
    <row r="158" spans="2:16" x14ac:dyDescent="0.25">
      <c r="B158" s="32">
        <v>146</v>
      </c>
      <c r="C158" s="229" t="s">
        <v>1674</v>
      </c>
      <c r="D158" s="229"/>
      <c r="E158" s="229"/>
      <c r="F158" s="229"/>
      <c r="G158" s="229"/>
      <c r="H158" s="229"/>
      <c r="I158" s="229"/>
      <c r="J158" s="59" t="s">
        <v>742</v>
      </c>
      <c r="K158" s="46">
        <v>2980000</v>
      </c>
      <c r="L158" s="2">
        <v>44305</v>
      </c>
      <c r="M158" s="32"/>
      <c r="N158" s="32" t="s">
        <v>1071</v>
      </c>
      <c r="O158" s="51" t="s">
        <v>272</v>
      </c>
      <c r="P158" s="38" t="s">
        <v>1072</v>
      </c>
    </row>
    <row r="159" spans="2:16" x14ac:dyDescent="0.25">
      <c r="B159" s="32">
        <v>147</v>
      </c>
      <c r="C159" s="229" t="s">
        <v>1675</v>
      </c>
      <c r="D159" s="229"/>
      <c r="E159" s="229"/>
      <c r="F159" s="229"/>
      <c r="G159" s="229"/>
      <c r="H159" s="229"/>
      <c r="I159" s="229"/>
      <c r="J159" s="59" t="s">
        <v>702</v>
      </c>
      <c r="K159" s="46">
        <v>23830000</v>
      </c>
      <c r="L159" s="2">
        <v>44305</v>
      </c>
      <c r="M159" s="32"/>
      <c r="N159" s="32">
        <v>3017213541</v>
      </c>
      <c r="O159" s="51" t="s">
        <v>1473</v>
      </c>
      <c r="P159" s="52" t="s">
        <v>1474</v>
      </c>
    </row>
    <row r="160" spans="2:16" x14ac:dyDescent="0.25">
      <c r="B160" s="32">
        <v>148</v>
      </c>
      <c r="C160" s="229" t="s">
        <v>1676</v>
      </c>
      <c r="D160" s="229"/>
      <c r="E160" s="229"/>
      <c r="F160" s="229"/>
      <c r="G160" s="229"/>
      <c r="H160" s="229"/>
      <c r="I160" s="229"/>
      <c r="J160" s="59" t="s">
        <v>1677</v>
      </c>
      <c r="K160" s="46">
        <v>1300000</v>
      </c>
      <c r="L160" s="2">
        <v>44305</v>
      </c>
      <c r="M160" s="32"/>
      <c r="N160" s="32" t="s">
        <v>1678</v>
      </c>
      <c r="O160" s="51" t="s">
        <v>1679</v>
      </c>
      <c r="P160" s="52" t="s">
        <v>1680</v>
      </c>
    </row>
    <row r="161" spans="2:16" x14ac:dyDescent="0.25">
      <c r="B161" s="32">
        <v>149</v>
      </c>
      <c r="C161" s="229" t="s">
        <v>1681</v>
      </c>
      <c r="D161" s="229"/>
      <c r="E161" s="229"/>
      <c r="F161" s="229"/>
      <c r="G161" s="229"/>
      <c r="H161" s="229"/>
      <c r="I161" s="229"/>
      <c r="J161" s="59" t="s">
        <v>1535</v>
      </c>
      <c r="K161" s="46">
        <v>1150000</v>
      </c>
      <c r="L161" s="2">
        <v>44305</v>
      </c>
      <c r="M161" s="32"/>
      <c r="N161" s="32" t="s">
        <v>1536</v>
      </c>
      <c r="O161" s="51" t="s">
        <v>871</v>
      </c>
      <c r="P161" s="52" t="s">
        <v>872</v>
      </c>
    </row>
    <row r="162" spans="2:16" x14ac:dyDescent="0.25">
      <c r="B162" s="32">
        <v>150</v>
      </c>
      <c r="C162" s="229" t="s">
        <v>1682</v>
      </c>
      <c r="D162" s="229"/>
      <c r="E162" s="229"/>
      <c r="F162" s="229"/>
      <c r="G162" s="229"/>
      <c r="H162" s="229"/>
      <c r="I162" s="229"/>
      <c r="J162" s="59" t="s">
        <v>1683</v>
      </c>
      <c r="K162" s="46">
        <v>2500000</v>
      </c>
      <c r="L162" s="2">
        <v>44306</v>
      </c>
      <c r="M162" s="32" t="s">
        <v>3923</v>
      </c>
      <c r="N162" s="32">
        <v>3126397625</v>
      </c>
      <c r="O162" s="51" t="s">
        <v>1684</v>
      </c>
      <c r="P162" s="52" t="s">
        <v>1685</v>
      </c>
    </row>
    <row r="163" spans="2:16" x14ac:dyDescent="0.25">
      <c r="B163" s="32">
        <v>151</v>
      </c>
      <c r="C163" s="229" t="s">
        <v>1686</v>
      </c>
      <c r="D163" s="229"/>
      <c r="E163" s="229"/>
      <c r="F163" s="229"/>
      <c r="G163" s="229"/>
      <c r="H163" s="229"/>
      <c r="I163" s="229"/>
      <c r="J163" s="59" t="s">
        <v>1687</v>
      </c>
      <c r="K163" s="46">
        <v>11970000</v>
      </c>
      <c r="L163" s="2">
        <v>44306</v>
      </c>
      <c r="M163" s="32"/>
      <c r="N163" s="32">
        <v>3005669997</v>
      </c>
      <c r="O163" s="51" t="s">
        <v>1688</v>
      </c>
      <c r="P163" s="52" t="s">
        <v>1689</v>
      </c>
    </row>
    <row r="164" spans="2:16" x14ac:dyDescent="0.25">
      <c r="B164" s="32">
        <v>152</v>
      </c>
      <c r="C164" s="229" t="s">
        <v>1690</v>
      </c>
      <c r="D164" s="229"/>
      <c r="E164" s="229"/>
      <c r="F164" s="229"/>
      <c r="G164" s="229"/>
      <c r="H164" s="229"/>
      <c r="I164" s="229"/>
      <c r="J164" s="59" t="s">
        <v>1129</v>
      </c>
      <c r="K164" s="46">
        <v>12900000</v>
      </c>
      <c r="L164" s="2">
        <v>44307</v>
      </c>
      <c r="M164" s="2"/>
      <c r="N164" s="32" t="s">
        <v>1691</v>
      </c>
      <c r="O164" s="51" t="s">
        <v>1130</v>
      </c>
      <c r="P164" s="52" t="s">
        <v>1692</v>
      </c>
    </row>
    <row r="165" spans="2:16" x14ac:dyDescent="0.25">
      <c r="B165" s="32">
        <v>153</v>
      </c>
      <c r="C165" s="229" t="s">
        <v>1693</v>
      </c>
      <c r="D165" s="229"/>
      <c r="E165" s="229"/>
      <c r="F165" s="229"/>
      <c r="G165" s="229"/>
      <c r="H165" s="229"/>
      <c r="I165" s="229"/>
      <c r="J165" s="59" t="s">
        <v>1694</v>
      </c>
      <c r="K165" s="46">
        <v>8500000</v>
      </c>
      <c r="L165" s="2">
        <v>44307</v>
      </c>
      <c r="M165" s="2"/>
      <c r="N165" s="32">
        <v>3104165783</v>
      </c>
      <c r="O165" s="51" t="s">
        <v>242</v>
      </c>
      <c r="P165" s="38" t="s">
        <v>917</v>
      </c>
    </row>
    <row r="166" spans="2:16" x14ac:dyDescent="0.25">
      <c r="B166" s="32">
        <v>154</v>
      </c>
      <c r="C166" s="265" t="s">
        <v>1695</v>
      </c>
      <c r="D166" s="265"/>
      <c r="E166" s="265"/>
      <c r="F166" s="265"/>
      <c r="G166" s="265"/>
      <c r="H166" s="265"/>
      <c r="I166" s="265"/>
      <c r="J166" s="64" t="s">
        <v>1696</v>
      </c>
      <c r="K166" s="46">
        <v>3260000</v>
      </c>
      <c r="L166" s="2">
        <v>44307</v>
      </c>
      <c r="M166" s="32"/>
      <c r="N166" s="32">
        <v>3024662452</v>
      </c>
      <c r="O166" s="51" t="s">
        <v>1697</v>
      </c>
      <c r="P166" s="52" t="s">
        <v>1698</v>
      </c>
    </row>
    <row r="167" spans="2:16" x14ac:dyDescent="0.25">
      <c r="B167" s="32">
        <v>155</v>
      </c>
      <c r="C167" s="229" t="s">
        <v>1699</v>
      </c>
      <c r="D167" s="229"/>
      <c r="E167" s="229"/>
      <c r="F167" s="229"/>
      <c r="G167" s="229"/>
      <c r="H167" s="229"/>
      <c r="I167" s="229"/>
      <c r="J167" s="59" t="s">
        <v>1700</v>
      </c>
      <c r="K167" s="46">
        <v>3950000</v>
      </c>
      <c r="L167" s="2">
        <v>44307</v>
      </c>
      <c r="M167" s="2"/>
      <c r="N167" s="32">
        <v>3137294173</v>
      </c>
      <c r="O167" s="51" t="s">
        <v>1701</v>
      </c>
      <c r="P167" s="52"/>
    </row>
    <row r="168" spans="2:16" x14ac:dyDescent="0.25">
      <c r="B168" s="32">
        <v>156</v>
      </c>
      <c r="C168" s="229" t="s">
        <v>1702</v>
      </c>
      <c r="D168" s="229"/>
      <c r="E168" s="229"/>
      <c r="F168" s="229"/>
      <c r="G168" s="229"/>
      <c r="H168" s="229"/>
      <c r="I168" s="229"/>
      <c r="J168" s="59" t="s">
        <v>1700</v>
      </c>
      <c r="K168" s="46">
        <v>3550000</v>
      </c>
      <c r="L168" s="2">
        <v>44307</v>
      </c>
      <c r="M168" s="2"/>
      <c r="N168" s="32">
        <v>3137294173</v>
      </c>
      <c r="O168" s="51" t="s">
        <v>1701</v>
      </c>
      <c r="P168" s="52"/>
    </row>
    <row r="169" spans="2:16" x14ac:dyDescent="0.25">
      <c r="B169" s="32">
        <v>157</v>
      </c>
      <c r="C169" s="229" t="s">
        <v>1703</v>
      </c>
      <c r="D169" s="229"/>
      <c r="E169" s="229"/>
      <c r="F169" s="229"/>
      <c r="G169" s="229"/>
      <c r="H169" s="229"/>
      <c r="I169" s="229"/>
      <c r="J169" s="59" t="s">
        <v>1704</v>
      </c>
      <c r="K169" s="46">
        <v>19980000</v>
      </c>
      <c r="L169" s="2">
        <v>44308</v>
      </c>
      <c r="M169" s="32" t="s">
        <v>3923</v>
      </c>
      <c r="N169" s="32" t="s">
        <v>1705</v>
      </c>
      <c r="O169" s="51" t="s">
        <v>1706</v>
      </c>
      <c r="P169" s="52" t="s">
        <v>1707</v>
      </c>
    </row>
    <row r="170" spans="2:16" x14ac:dyDescent="0.25">
      <c r="B170" s="32">
        <v>158</v>
      </c>
      <c r="C170" s="229" t="s">
        <v>1708</v>
      </c>
      <c r="D170" s="229"/>
      <c r="E170" s="229"/>
      <c r="F170" s="229"/>
      <c r="G170" s="229"/>
      <c r="H170" s="229"/>
      <c r="I170" s="229"/>
      <c r="J170" s="59" t="s">
        <v>805</v>
      </c>
      <c r="K170" s="46">
        <v>7950000</v>
      </c>
      <c r="L170" s="2">
        <v>44308</v>
      </c>
      <c r="M170" s="2" t="s">
        <v>3923</v>
      </c>
      <c r="N170" s="32">
        <v>3207091752</v>
      </c>
      <c r="O170" s="51" t="s">
        <v>1355</v>
      </c>
      <c r="P170" s="52" t="s">
        <v>1356</v>
      </c>
    </row>
    <row r="171" spans="2:16" x14ac:dyDescent="0.25">
      <c r="B171" s="32">
        <v>159</v>
      </c>
      <c r="C171" s="229" t="s">
        <v>1709</v>
      </c>
      <c r="D171" s="229"/>
      <c r="E171" s="229"/>
      <c r="F171" s="229"/>
      <c r="G171" s="229"/>
      <c r="H171" s="229"/>
      <c r="I171" s="229"/>
      <c r="J171" s="64" t="s">
        <v>702</v>
      </c>
      <c r="K171" s="46">
        <v>2500000</v>
      </c>
      <c r="L171" s="2">
        <v>44309</v>
      </c>
      <c r="M171" s="32" t="s">
        <v>3923</v>
      </c>
      <c r="N171" s="32">
        <v>3137546144</v>
      </c>
      <c r="O171" s="51" t="s">
        <v>186</v>
      </c>
      <c r="P171" s="38" t="s">
        <v>740</v>
      </c>
    </row>
    <row r="172" spans="2:16" x14ac:dyDescent="0.25">
      <c r="B172" s="32">
        <v>160</v>
      </c>
      <c r="C172" s="229" t="s">
        <v>1710</v>
      </c>
      <c r="D172" s="229"/>
      <c r="E172" s="229"/>
      <c r="F172" s="229"/>
      <c r="G172" s="229"/>
      <c r="H172" s="229"/>
      <c r="I172" s="229"/>
      <c r="J172" s="64" t="s">
        <v>702</v>
      </c>
      <c r="K172" s="46">
        <v>1950000</v>
      </c>
      <c r="L172" s="2">
        <v>44309</v>
      </c>
      <c r="M172" s="32"/>
      <c r="N172" s="32">
        <v>3137546144</v>
      </c>
      <c r="O172" s="51" t="s">
        <v>186</v>
      </c>
      <c r="P172" s="38" t="s">
        <v>740</v>
      </c>
    </row>
    <row r="173" spans="2:16" x14ac:dyDescent="0.25">
      <c r="B173" s="32">
        <v>161</v>
      </c>
      <c r="C173" s="229" t="s">
        <v>1711</v>
      </c>
      <c r="D173" s="229"/>
      <c r="E173" s="229"/>
      <c r="F173" s="229"/>
      <c r="G173" s="229"/>
      <c r="H173" s="229"/>
      <c r="I173" s="229"/>
      <c r="J173" s="59" t="s">
        <v>702</v>
      </c>
      <c r="K173" s="46">
        <v>5260000</v>
      </c>
      <c r="L173" s="2">
        <v>44309</v>
      </c>
      <c r="M173" s="32"/>
      <c r="N173" s="32">
        <v>3017213541</v>
      </c>
      <c r="O173" s="51" t="s">
        <v>1473</v>
      </c>
      <c r="P173" s="52" t="s">
        <v>1474</v>
      </c>
    </row>
    <row r="174" spans="2:16" x14ac:dyDescent="0.25">
      <c r="B174" s="32">
        <v>162</v>
      </c>
      <c r="C174" s="229" t="s">
        <v>1712</v>
      </c>
      <c r="D174" s="229"/>
      <c r="E174" s="229"/>
      <c r="F174" s="229"/>
      <c r="G174" s="229"/>
      <c r="H174" s="229"/>
      <c r="I174" s="229"/>
      <c r="J174" s="59" t="s">
        <v>1713</v>
      </c>
      <c r="K174" s="46">
        <v>5980000</v>
      </c>
      <c r="L174" s="2">
        <v>44309</v>
      </c>
      <c r="M174" s="2" t="s">
        <v>3923</v>
      </c>
      <c r="N174" s="32">
        <v>3104139821</v>
      </c>
      <c r="O174" s="51" t="s">
        <v>340</v>
      </c>
      <c r="P174" s="38" t="s">
        <v>1114</v>
      </c>
    </row>
    <row r="175" spans="2:16" x14ac:dyDescent="0.25">
      <c r="B175" s="32">
        <v>163</v>
      </c>
      <c r="C175" s="229" t="s">
        <v>1714</v>
      </c>
      <c r="D175" s="229"/>
      <c r="E175" s="229"/>
      <c r="F175" s="229"/>
      <c r="G175" s="229"/>
      <c r="H175" s="229"/>
      <c r="I175" s="229"/>
      <c r="J175" s="64" t="s">
        <v>717</v>
      </c>
      <c r="K175" s="46">
        <v>8350000</v>
      </c>
      <c r="L175" s="2">
        <v>44309</v>
      </c>
      <c r="M175" s="2"/>
      <c r="N175" s="32">
        <v>3117477239</v>
      </c>
      <c r="O175" s="51" t="s">
        <v>1407</v>
      </c>
      <c r="P175" s="52" t="s">
        <v>1408</v>
      </c>
    </row>
    <row r="176" spans="2:16" x14ac:dyDescent="0.25">
      <c r="B176" s="32">
        <v>164</v>
      </c>
      <c r="C176" s="264" t="s">
        <v>1715</v>
      </c>
      <c r="D176" s="231"/>
      <c r="E176" s="231"/>
      <c r="F176" s="231"/>
      <c r="G176" s="231"/>
      <c r="H176" s="231"/>
      <c r="I176" s="232"/>
      <c r="J176" s="59" t="s">
        <v>712</v>
      </c>
      <c r="K176" s="46">
        <v>6200000</v>
      </c>
      <c r="L176" s="2">
        <v>44313</v>
      </c>
      <c r="M176" s="32"/>
      <c r="N176" s="32">
        <v>3137851941</v>
      </c>
      <c r="O176" s="51" t="s">
        <v>192</v>
      </c>
      <c r="P176" s="38" t="s">
        <v>713</v>
      </c>
    </row>
    <row r="177" spans="2:16" x14ac:dyDescent="0.25">
      <c r="B177" s="32">
        <v>165</v>
      </c>
      <c r="C177" s="229" t="s">
        <v>1716</v>
      </c>
      <c r="D177" s="229"/>
      <c r="E177" s="229"/>
      <c r="F177" s="229"/>
      <c r="G177" s="229"/>
      <c r="H177" s="229"/>
      <c r="I177" s="229"/>
      <c r="J177" s="64" t="s">
        <v>1717</v>
      </c>
      <c r="K177" s="46">
        <v>19440000</v>
      </c>
      <c r="L177" s="2">
        <v>44313</v>
      </c>
      <c r="M177" s="2"/>
      <c r="N177" s="32">
        <v>3122914735</v>
      </c>
      <c r="O177" s="51" t="s">
        <v>1718</v>
      </c>
      <c r="P177" s="52" t="s">
        <v>1719</v>
      </c>
    </row>
    <row r="178" spans="2:16" x14ac:dyDescent="0.25">
      <c r="B178" s="32">
        <v>166</v>
      </c>
      <c r="C178" s="229" t="s">
        <v>1720</v>
      </c>
      <c r="D178" s="229"/>
      <c r="E178" s="229"/>
      <c r="F178" s="229"/>
      <c r="G178" s="229"/>
      <c r="H178" s="229"/>
      <c r="I178" s="229"/>
      <c r="J178" s="64" t="s">
        <v>1721</v>
      </c>
      <c r="K178" s="46">
        <v>6990000</v>
      </c>
      <c r="L178" s="2">
        <v>44313</v>
      </c>
      <c r="M178" s="32"/>
      <c r="N178" s="32" t="s">
        <v>1722</v>
      </c>
      <c r="O178" s="51" t="s">
        <v>476</v>
      </c>
      <c r="P178" s="52" t="s">
        <v>1723</v>
      </c>
    </row>
    <row r="179" spans="2:16" x14ac:dyDescent="0.25">
      <c r="B179" s="32">
        <v>167</v>
      </c>
      <c r="C179" s="229" t="s">
        <v>1724</v>
      </c>
      <c r="D179" s="229"/>
      <c r="E179" s="229"/>
      <c r="F179" s="229"/>
      <c r="G179" s="229"/>
      <c r="H179" s="229"/>
      <c r="I179" s="229"/>
      <c r="J179" s="59" t="s">
        <v>890</v>
      </c>
      <c r="K179" s="46">
        <v>49550000</v>
      </c>
      <c r="L179" s="2">
        <v>44315</v>
      </c>
      <c r="M179" s="32"/>
      <c r="N179" s="32"/>
      <c r="O179" s="51" t="s">
        <v>1725</v>
      </c>
      <c r="P179" s="52"/>
    </row>
    <row r="180" spans="2:16" x14ac:dyDescent="0.25">
      <c r="B180" s="32">
        <v>168</v>
      </c>
      <c r="C180" s="229" t="s">
        <v>1726</v>
      </c>
      <c r="D180" s="229"/>
      <c r="E180" s="229"/>
      <c r="F180" s="229"/>
      <c r="G180" s="229"/>
      <c r="H180" s="229"/>
      <c r="I180" s="229"/>
      <c r="J180" s="59" t="s">
        <v>702</v>
      </c>
      <c r="K180" s="46"/>
      <c r="L180" s="2">
        <v>44315</v>
      </c>
      <c r="M180" s="32"/>
      <c r="N180" s="32">
        <v>3137546144</v>
      </c>
      <c r="O180" s="51" t="s">
        <v>186</v>
      </c>
      <c r="P180" s="38" t="s">
        <v>740</v>
      </c>
    </row>
    <row r="181" spans="2:16" x14ac:dyDescent="0.25">
      <c r="B181" s="32">
        <v>169</v>
      </c>
      <c r="C181" s="229" t="s">
        <v>1727</v>
      </c>
      <c r="D181" s="229"/>
      <c r="E181" s="229"/>
      <c r="F181" s="229"/>
      <c r="G181" s="229"/>
      <c r="H181" s="229"/>
      <c r="I181" s="229"/>
      <c r="J181" s="59" t="s">
        <v>712</v>
      </c>
      <c r="K181" s="46">
        <v>4640000</v>
      </c>
      <c r="L181" s="2">
        <v>44315</v>
      </c>
      <c r="M181" s="32" t="s">
        <v>3923</v>
      </c>
      <c r="N181" s="32">
        <v>3137851941</v>
      </c>
      <c r="O181" s="51" t="s">
        <v>192</v>
      </c>
      <c r="P181" s="38" t="s">
        <v>713</v>
      </c>
    </row>
    <row r="182" spans="2:16" x14ac:dyDescent="0.25">
      <c r="B182" s="32">
        <v>170</v>
      </c>
      <c r="C182" s="229" t="s">
        <v>1728</v>
      </c>
      <c r="D182" s="229"/>
      <c r="E182" s="229"/>
      <c r="F182" s="229"/>
      <c r="G182" s="229"/>
      <c r="H182" s="229"/>
      <c r="I182" s="229"/>
      <c r="J182" s="59" t="s">
        <v>1729</v>
      </c>
      <c r="K182" s="46">
        <v>21700000</v>
      </c>
      <c r="L182" s="2">
        <v>44319</v>
      </c>
      <c r="M182" s="32"/>
      <c r="N182" s="32">
        <v>3015421412</v>
      </c>
      <c r="O182" s="51" t="s">
        <v>745</v>
      </c>
      <c r="P182" s="38" t="s">
        <v>1012</v>
      </c>
    </row>
    <row r="183" spans="2:16" x14ac:dyDescent="0.25">
      <c r="B183" s="32">
        <v>171</v>
      </c>
      <c r="C183" s="229" t="s">
        <v>1730</v>
      </c>
      <c r="D183" s="229"/>
      <c r="E183" s="229"/>
      <c r="F183" s="229"/>
      <c r="G183" s="229"/>
      <c r="H183" s="229"/>
      <c r="I183" s="229"/>
      <c r="J183" s="59" t="s">
        <v>1731</v>
      </c>
      <c r="K183" s="46">
        <v>750000</v>
      </c>
      <c r="L183" s="2">
        <v>44320</v>
      </c>
      <c r="M183" s="2"/>
      <c r="N183" s="32">
        <v>3053156721</v>
      </c>
      <c r="O183" s="51" t="s">
        <v>1732</v>
      </c>
      <c r="P183" s="52" t="s">
        <v>1200</v>
      </c>
    </row>
    <row r="184" spans="2:16" x14ac:dyDescent="0.25">
      <c r="B184" s="32">
        <v>172</v>
      </c>
      <c r="C184" s="229" t="s">
        <v>1733</v>
      </c>
      <c r="D184" s="229"/>
      <c r="E184" s="229"/>
      <c r="F184" s="229"/>
      <c r="G184" s="229"/>
      <c r="H184" s="229"/>
      <c r="I184" s="229"/>
      <c r="J184" s="64" t="s">
        <v>1734</v>
      </c>
      <c r="K184" s="46">
        <v>15930000</v>
      </c>
      <c r="L184" s="2">
        <v>44320</v>
      </c>
      <c r="M184" s="2"/>
      <c r="N184" s="32">
        <v>3113396273</v>
      </c>
      <c r="O184" s="51" t="s">
        <v>989</v>
      </c>
      <c r="P184" s="52" t="s">
        <v>990</v>
      </c>
    </row>
    <row r="185" spans="2:16" x14ac:dyDescent="0.25">
      <c r="B185" s="32">
        <v>173</v>
      </c>
      <c r="C185" s="229" t="s">
        <v>1735</v>
      </c>
      <c r="D185" s="229"/>
      <c r="E185" s="229"/>
      <c r="F185" s="229"/>
      <c r="G185" s="229"/>
      <c r="H185" s="229"/>
      <c r="I185" s="229"/>
      <c r="J185" s="59" t="s">
        <v>1553</v>
      </c>
      <c r="K185" s="46">
        <v>650000</v>
      </c>
      <c r="L185" s="2">
        <v>44321</v>
      </c>
      <c r="M185" s="2"/>
      <c r="N185" s="32" t="s">
        <v>1639</v>
      </c>
      <c r="O185" s="51" t="s">
        <v>1640</v>
      </c>
      <c r="P185" s="52" t="s">
        <v>1555</v>
      </c>
    </row>
    <row r="186" spans="2:16" x14ac:dyDescent="0.25">
      <c r="B186" s="32">
        <v>174</v>
      </c>
      <c r="C186" s="229" t="s">
        <v>1736</v>
      </c>
      <c r="D186" s="229"/>
      <c r="E186" s="229"/>
      <c r="F186" s="229"/>
      <c r="G186" s="229"/>
      <c r="H186" s="229"/>
      <c r="I186" s="229"/>
      <c r="J186" s="59" t="s">
        <v>702</v>
      </c>
      <c r="K186" s="46">
        <v>19940000</v>
      </c>
      <c r="L186" s="2">
        <v>44321</v>
      </c>
      <c r="M186" s="32"/>
      <c r="N186" s="32">
        <v>3017213541</v>
      </c>
      <c r="O186" s="51" t="s">
        <v>1473</v>
      </c>
      <c r="P186" s="52" t="s">
        <v>1474</v>
      </c>
    </row>
    <row r="187" spans="2:16" x14ac:dyDescent="0.25">
      <c r="B187" s="32">
        <v>175</v>
      </c>
      <c r="C187" s="229" t="s">
        <v>1737</v>
      </c>
      <c r="D187" s="229"/>
      <c r="E187" s="229"/>
      <c r="F187" s="229"/>
      <c r="G187" s="229"/>
      <c r="H187" s="229"/>
      <c r="I187" s="229"/>
      <c r="J187" s="59" t="s">
        <v>758</v>
      </c>
      <c r="K187" s="46">
        <v>1500000</v>
      </c>
      <c r="L187" s="2">
        <v>44322</v>
      </c>
      <c r="M187" s="32"/>
      <c r="N187" s="32">
        <v>3006080561</v>
      </c>
      <c r="O187" s="51" t="s">
        <v>1738</v>
      </c>
      <c r="P187" s="52" t="s">
        <v>1739</v>
      </c>
    </row>
    <row r="188" spans="2:16" x14ac:dyDescent="0.25">
      <c r="B188" s="32">
        <v>176</v>
      </c>
      <c r="C188" s="229" t="s">
        <v>1740</v>
      </c>
      <c r="D188" s="229"/>
      <c r="E188" s="229"/>
      <c r="F188" s="229"/>
      <c r="G188" s="229"/>
      <c r="H188" s="229"/>
      <c r="I188" s="229"/>
      <c r="J188" s="59" t="s">
        <v>1741</v>
      </c>
      <c r="K188" s="46">
        <v>7950000</v>
      </c>
      <c r="L188" s="2">
        <v>44322</v>
      </c>
      <c r="M188" s="32"/>
      <c r="N188" s="32">
        <v>3017640354</v>
      </c>
      <c r="O188" s="51" t="s">
        <v>1742</v>
      </c>
      <c r="P188" s="52" t="s">
        <v>1743</v>
      </c>
    </row>
    <row r="189" spans="2:16" x14ac:dyDescent="0.25">
      <c r="B189" s="32">
        <v>177</v>
      </c>
      <c r="C189" s="229" t="s">
        <v>1744</v>
      </c>
      <c r="D189" s="229"/>
      <c r="E189" s="229"/>
      <c r="F189" s="229"/>
      <c r="G189" s="229"/>
      <c r="H189" s="229"/>
      <c r="I189" s="229"/>
      <c r="J189" s="59" t="s">
        <v>702</v>
      </c>
      <c r="K189" s="46">
        <v>1000000</v>
      </c>
      <c r="L189" s="2">
        <v>44323</v>
      </c>
      <c r="M189" s="32"/>
      <c r="N189" s="32">
        <v>3142272530</v>
      </c>
      <c r="O189" s="51" t="s">
        <v>1745</v>
      </c>
      <c r="P189" s="52"/>
    </row>
    <row r="190" spans="2:16" x14ac:dyDescent="0.25">
      <c r="B190" s="32">
        <v>178</v>
      </c>
      <c r="C190" s="229" t="s">
        <v>1746</v>
      </c>
      <c r="D190" s="229"/>
      <c r="E190" s="229"/>
      <c r="F190" s="229"/>
      <c r="G190" s="229"/>
      <c r="H190" s="229"/>
      <c r="I190" s="229"/>
      <c r="J190" s="59" t="s">
        <v>758</v>
      </c>
      <c r="K190" s="46">
        <v>2950000</v>
      </c>
      <c r="L190" s="2">
        <v>44327</v>
      </c>
      <c r="M190" s="32"/>
      <c r="N190" s="32">
        <v>3004659012</v>
      </c>
      <c r="O190" s="51" t="s">
        <v>1747</v>
      </c>
      <c r="P190" s="52" t="s">
        <v>1748</v>
      </c>
    </row>
    <row r="191" spans="2:16" x14ac:dyDescent="0.25">
      <c r="B191" s="32">
        <v>179</v>
      </c>
      <c r="C191" s="229" t="s">
        <v>1749</v>
      </c>
      <c r="D191" s="229"/>
      <c r="E191" s="229"/>
      <c r="F191" s="229"/>
      <c r="G191" s="229"/>
      <c r="H191" s="229"/>
      <c r="I191" s="229"/>
      <c r="J191" s="59" t="s">
        <v>847</v>
      </c>
      <c r="K191" s="46">
        <v>1500000</v>
      </c>
      <c r="L191" s="2">
        <v>44327</v>
      </c>
      <c r="M191" s="32" t="s">
        <v>3923</v>
      </c>
      <c r="N191" s="32" t="s">
        <v>1030</v>
      </c>
      <c r="O191" s="51" t="s">
        <v>1031</v>
      </c>
      <c r="P191" s="38" t="s">
        <v>1032</v>
      </c>
    </row>
    <row r="192" spans="2:16" x14ac:dyDescent="0.25">
      <c r="B192" s="32">
        <v>180</v>
      </c>
      <c r="C192" s="229" t="s">
        <v>1750</v>
      </c>
      <c r="D192" s="229"/>
      <c r="E192" s="229"/>
      <c r="F192" s="229"/>
      <c r="G192" s="229"/>
      <c r="H192" s="229"/>
      <c r="I192" s="229"/>
      <c r="J192" s="59" t="s">
        <v>831</v>
      </c>
      <c r="K192" s="46">
        <v>750000</v>
      </c>
      <c r="L192" s="2">
        <v>44327</v>
      </c>
      <c r="M192" s="2"/>
      <c r="N192" s="32" t="s">
        <v>1751</v>
      </c>
      <c r="O192" s="51" t="s">
        <v>1752</v>
      </c>
      <c r="P192" s="52" t="s">
        <v>1753</v>
      </c>
    </row>
    <row r="193" spans="2:16" x14ac:dyDescent="0.25">
      <c r="B193" s="32">
        <v>181</v>
      </c>
      <c r="C193" s="229" t="s">
        <v>1754</v>
      </c>
      <c r="D193" s="229"/>
      <c r="E193" s="229"/>
      <c r="F193" s="229"/>
      <c r="G193" s="229"/>
      <c r="H193" s="229"/>
      <c r="I193" s="229"/>
      <c r="J193" s="59" t="s">
        <v>1713</v>
      </c>
      <c r="K193" s="46">
        <v>9950000</v>
      </c>
      <c r="L193" s="2">
        <v>44328</v>
      </c>
      <c r="M193" s="32" t="s">
        <v>3923</v>
      </c>
      <c r="N193" s="32">
        <v>3104139821</v>
      </c>
      <c r="O193" s="51" t="s">
        <v>340</v>
      </c>
      <c r="P193" s="38" t="s">
        <v>1114</v>
      </c>
    </row>
    <row r="194" spans="2:16" x14ac:dyDescent="0.25">
      <c r="B194" s="32">
        <v>182</v>
      </c>
      <c r="C194" s="229" t="s">
        <v>1755</v>
      </c>
      <c r="D194" s="229"/>
      <c r="E194" s="229"/>
      <c r="F194" s="229"/>
      <c r="G194" s="229"/>
      <c r="H194" s="229"/>
      <c r="I194" s="229"/>
      <c r="J194" s="59" t="s">
        <v>1139</v>
      </c>
      <c r="K194" s="46">
        <v>4950000</v>
      </c>
      <c r="L194" s="2">
        <v>44328</v>
      </c>
      <c r="M194" s="2" t="s">
        <v>3923</v>
      </c>
      <c r="N194" s="32" t="s">
        <v>1305</v>
      </c>
      <c r="O194" s="51" t="s">
        <v>1306</v>
      </c>
      <c r="P194" s="38" t="s">
        <v>1307</v>
      </c>
    </row>
    <row r="195" spans="2:16" x14ac:dyDescent="0.25">
      <c r="B195" s="32">
        <v>183</v>
      </c>
      <c r="C195" s="229" t="s">
        <v>1756</v>
      </c>
      <c r="D195" s="229"/>
      <c r="E195" s="229"/>
      <c r="F195" s="229"/>
      <c r="G195" s="229"/>
      <c r="H195" s="229"/>
      <c r="I195" s="229"/>
      <c r="J195" s="59" t="s">
        <v>880</v>
      </c>
      <c r="K195" s="46"/>
      <c r="L195" s="2"/>
      <c r="M195" s="32"/>
      <c r="N195" s="32"/>
      <c r="O195" s="51"/>
      <c r="P195" s="52"/>
    </row>
    <row r="196" spans="2:16" x14ac:dyDescent="0.25">
      <c r="B196" s="32">
        <v>184</v>
      </c>
      <c r="C196" s="229" t="s">
        <v>1757</v>
      </c>
      <c r="D196" s="229"/>
      <c r="E196" s="229"/>
      <c r="F196" s="229"/>
      <c r="G196" s="229"/>
      <c r="H196" s="229"/>
      <c r="I196" s="229"/>
      <c r="J196" s="59" t="s">
        <v>702</v>
      </c>
      <c r="K196" s="46">
        <v>7710000</v>
      </c>
      <c r="L196" s="2">
        <v>44328</v>
      </c>
      <c r="M196" s="32" t="s">
        <v>3923</v>
      </c>
      <c r="N196" s="32" t="s">
        <v>1758</v>
      </c>
      <c r="O196" s="51" t="s">
        <v>1330</v>
      </c>
      <c r="P196" s="52" t="s">
        <v>1759</v>
      </c>
    </row>
    <row r="197" spans="2:16" x14ac:dyDescent="0.25">
      <c r="B197" s="32">
        <v>185</v>
      </c>
      <c r="C197" s="229" t="s">
        <v>1760</v>
      </c>
      <c r="D197" s="229"/>
      <c r="E197" s="229"/>
      <c r="F197" s="229"/>
      <c r="G197" s="229"/>
      <c r="H197" s="229"/>
      <c r="I197" s="229"/>
      <c r="J197" s="59" t="s">
        <v>1761</v>
      </c>
      <c r="K197" s="46">
        <v>3760000</v>
      </c>
      <c r="L197" s="2">
        <v>44329</v>
      </c>
      <c r="M197" s="32"/>
      <c r="N197" s="32" t="s">
        <v>1762</v>
      </c>
      <c r="O197" s="51" t="s">
        <v>1763</v>
      </c>
      <c r="P197" s="52" t="s">
        <v>1764</v>
      </c>
    </row>
    <row r="198" spans="2:16" x14ac:dyDescent="0.25">
      <c r="B198" s="32">
        <v>186</v>
      </c>
      <c r="C198" s="229" t="s">
        <v>1765</v>
      </c>
      <c r="D198" s="229"/>
      <c r="E198" s="229"/>
      <c r="F198" s="229"/>
      <c r="G198" s="229"/>
      <c r="H198" s="229"/>
      <c r="I198" s="229"/>
      <c r="J198" s="59" t="s">
        <v>1766</v>
      </c>
      <c r="K198" s="46">
        <v>1550000</v>
      </c>
      <c r="L198" s="2">
        <v>44330</v>
      </c>
      <c r="M198" s="32"/>
      <c r="N198" s="32" t="s">
        <v>1767</v>
      </c>
      <c r="O198" s="51" t="s">
        <v>1768</v>
      </c>
      <c r="P198" s="52" t="s">
        <v>1769</v>
      </c>
    </row>
    <row r="199" spans="2:16" x14ac:dyDescent="0.25">
      <c r="B199" s="32">
        <v>187</v>
      </c>
      <c r="C199" s="229" t="s">
        <v>1770</v>
      </c>
      <c r="D199" s="229"/>
      <c r="E199" s="229"/>
      <c r="F199" s="229"/>
      <c r="G199" s="229"/>
      <c r="H199" s="229"/>
      <c r="I199" s="229"/>
      <c r="J199" s="59" t="s">
        <v>747</v>
      </c>
      <c r="K199" s="46">
        <v>1904539</v>
      </c>
      <c r="L199" s="2"/>
      <c r="M199" s="2" t="s">
        <v>3923</v>
      </c>
      <c r="N199" s="32">
        <v>3175594091</v>
      </c>
      <c r="O199" s="51" t="s">
        <v>496</v>
      </c>
      <c r="P199" s="38" t="s">
        <v>748</v>
      </c>
    </row>
    <row r="200" spans="2:16" x14ac:dyDescent="0.25">
      <c r="B200" s="32">
        <v>188</v>
      </c>
      <c r="C200" s="229" t="s">
        <v>1771</v>
      </c>
      <c r="D200" s="229"/>
      <c r="E200" s="229"/>
      <c r="F200" s="229"/>
      <c r="G200" s="229"/>
      <c r="H200" s="229"/>
      <c r="I200" s="229"/>
      <c r="J200" s="59" t="s">
        <v>702</v>
      </c>
      <c r="K200" s="46">
        <v>1500000</v>
      </c>
      <c r="L200" s="2">
        <v>44335</v>
      </c>
      <c r="M200" s="32"/>
      <c r="N200" s="32">
        <v>3104680508</v>
      </c>
      <c r="O200" s="51" t="s">
        <v>212</v>
      </c>
      <c r="P200" s="38" t="s">
        <v>703</v>
      </c>
    </row>
    <row r="201" spans="2:16" x14ac:dyDescent="0.25">
      <c r="B201" s="32">
        <v>189</v>
      </c>
      <c r="C201" s="229" t="s">
        <v>1772</v>
      </c>
      <c r="D201" s="229"/>
      <c r="E201" s="229"/>
      <c r="F201" s="229"/>
      <c r="G201" s="229"/>
      <c r="H201" s="229"/>
      <c r="I201" s="229"/>
      <c r="J201" s="59" t="s">
        <v>717</v>
      </c>
      <c r="K201" s="46">
        <v>1000000</v>
      </c>
      <c r="L201" s="2">
        <v>44336</v>
      </c>
      <c r="M201" s="2"/>
      <c r="N201" s="32">
        <v>3117477239</v>
      </c>
      <c r="O201" s="51" t="s">
        <v>1407</v>
      </c>
      <c r="P201" s="52" t="s">
        <v>1408</v>
      </c>
    </row>
    <row r="202" spans="2:16" x14ac:dyDescent="0.25">
      <c r="B202" s="32">
        <v>190</v>
      </c>
      <c r="C202" s="229" t="s">
        <v>1773</v>
      </c>
      <c r="D202" s="229"/>
      <c r="E202" s="229"/>
      <c r="F202" s="229"/>
      <c r="G202" s="229"/>
      <c r="H202" s="229"/>
      <c r="I202" s="229"/>
      <c r="J202" s="59" t="s">
        <v>1774</v>
      </c>
      <c r="K202" s="46">
        <v>3500000</v>
      </c>
      <c r="L202" s="2">
        <v>44336</v>
      </c>
      <c r="M202" s="32"/>
      <c r="N202" s="32">
        <v>3173492345</v>
      </c>
      <c r="O202" s="51" t="s">
        <v>1775</v>
      </c>
      <c r="P202" s="52" t="s">
        <v>1776</v>
      </c>
    </row>
    <row r="203" spans="2:16" x14ac:dyDescent="0.25">
      <c r="B203" s="32">
        <v>191</v>
      </c>
      <c r="C203" s="229" t="s">
        <v>1777</v>
      </c>
      <c r="D203" s="229"/>
      <c r="E203" s="229"/>
      <c r="F203" s="229"/>
      <c r="G203" s="229"/>
      <c r="H203" s="229"/>
      <c r="I203" s="229"/>
      <c r="J203" s="59" t="s">
        <v>1774</v>
      </c>
      <c r="K203" s="46">
        <v>4750000</v>
      </c>
      <c r="L203" s="2">
        <v>44336</v>
      </c>
      <c r="M203" s="32"/>
      <c r="N203" s="32">
        <v>3173492345</v>
      </c>
      <c r="O203" s="51" t="s">
        <v>1775</v>
      </c>
      <c r="P203" s="52" t="s">
        <v>1776</v>
      </c>
    </row>
    <row r="204" spans="2:16" x14ac:dyDescent="0.25">
      <c r="B204" s="32">
        <v>192</v>
      </c>
      <c r="C204" s="229" t="s">
        <v>1778</v>
      </c>
      <c r="D204" s="229"/>
      <c r="E204" s="229"/>
      <c r="F204" s="229"/>
      <c r="G204" s="229"/>
      <c r="H204" s="229"/>
      <c r="I204" s="229"/>
      <c r="J204" s="59" t="s">
        <v>1564</v>
      </c>
      <c r="K204" s="46">
        <v>7500000</v>
      </c>
      <c r="L204" s="2">
        <v>44335</v>
      </c>
      <c r="M204" s="32"/>
      <c r="N204" s="32">
        <v>3103156058</v>
      </c>
      <c r="O204" s="51" t="s">
        <v>644</v>
      </c>
      <c r="P204" s="52" t="s">
        <v>1565</v>
      </c>
    </row>
    <row r="205" spans="2:16" x14ac:dyDescent="0.25">
      <c r="B205" s="32">
        <v>193</v>
      </c>
      <c r="C205" s="229" t="s">
        <v>1779</v>
      </c>
      <c r="D205" s="229"/>
      <c r="E205" s="229"/>
      <c r="F205" s="229"/>
      <c r="G205" s="229"/>
      <c r="H205" s="229"/>
      <c r="I205" s="229"/>
      <c r="J205" s="59" t="s">
        <v>1780</v>
      </c>
      <c r="K205" s="46">
        <v>2000000</v>
      </c>
      <c r="L205" s="2">
        <v>44335</v>
      </c>
      <c r="M205" s="32"/>
      <c r="N205" s="32" t="s">
        <v>1781</v>
      </c>
      <c r="O205" s="51" t="s">
        <v>1782</v>
      </c>
      <c r="P205" s="52" t="s">
        <v>1783</v>
      </c>
    </row>
    <row r="206" spans="2:16" x14ac:dyDescent="0.25">
      <c r="B206" s="32">
        <v>194</v>
      </c>
      <c r="C206" s="229" t="s">
        <v>1784</v>
      </c>
      <c r="D206" s="229"/>
      <c r="E206" s="229"/>
      <c r="F206" s="229"/>
      <c r="G206" s="229"/>
      <c r="H206" s="229"/>
      <c r="I206" s="229"/>
      <c r="J206" s="59" t="s">
        <v>1785</v>
      </c>
      <c r="K206" s="46">
        <v>8500000</v>
      </c>
      <c r="L206" s="2">
        <v>44336</v>
      </c>
      <c r="M206" s="32"/>
      <c r="N206" s="32">
        <v>3206825924</v>
      </c>
      <c r="O206" s="51" t="s">
        <v>1786</v>
      </c>
      <c r="P206" s="52" t="s">
        <v>1787</v>
      </c>
    </row>
    <row r="207" spans="2:16" x14ac:dyDescent="0.25">
      <c r="B207" s="32">
        <v>195</v>
      </c>
      <c r="C207" s="229" t="s">
        <v>1788</v>
      </c>
      <c r="D207" s="229"/>
      <c r="E207" s="229"/>
      <c r="F207" s="229"/>
      <c r="G207" s="229"/>
      <c r="H207" s="229"/>
      <c r="I207" s="229"/>
      <c r="J207" s="59" t="s">
        <v>1789</v>
      </c>
      <c r="K207" s="46">
        <v>7600000</v>
      </c>
      <c r="L207" s="2">
        <v>44337</v>
      </c>
      <c r="M207" s="32"/>
      <c r="N207" s="32">
        <v>3153329297</v>
      </c>
      <c r="O207" s="51" t="s">
        <v>1790</v>
      </c>
      <c r="P207" s="52" t="s">
        <v>1791</v>
      </c>
    </row>
    <row r="208" spans="2:16" x14ac:dyDescent="0.25">
      <c r="B208" s="32">
        <v>196</v>
      </c>
      <c r="C208" s="229" t="s">
        <v>1792</v>
      </c>
      <c r="D208" s="229"/>
      <c r="E208" s="229"/>
      <c r="F208" s="229"/>
      <c r="G208" s="229"/>
      <c r="H208" s="229"/>
      <c r="I208" s="229"/>
      <c r="J208" s="59" t="s">
        <v>1793</v>
      </c>
      <c r="K208" s="46">
        <v>13950000</v>
      </c>
      <c r="L208" s="2">
        <v>44337</v>
      </c>
      <c r="M208" s="32"/>
      <c r="N208" s="32">
        <v>3016324475</v>
      </c>
      <c r="O208" s="51" t="s">
        <v>1794</v>
      </c>
      <c r="P208" s="52" t="s">
        <v>1795</v>
      </c>
    </row>
    <row r="209" spans="2:16" x14ac:dyDescent="0.25">
      <c r="B209" s="32">
        <v>197</v>
      </c>
      <c r="C209" s="229" t="s">
        <v>1796</v>
      </c>
      <c r="D209" s="229"/>
      <c r="E209" s="229"/>
      <c r="F209" s="229"/>
      <c r="G209" s="229"/>
      <c r="H209" s="229"/>
      <c r="I209" s="229"/>
      <c r="J209" s="59" t="s">
        <v>702</v>
      </c>
      <c r="K209" s="46">
        <v>7520000</v>
      </c>
      <c r="L209" s="2">
        <v>44337</v>
      </c>
      <c r="M209" s="32"/>
      <c r="N209" s="32">
        <v>3104680508</v>
      </c>
      <c r="O209" s="51" t="s">
        <v>212</v>
      </c>
      <c r="P209" s="38" t="s">
        <v>703</v>
      </c>
    </row>
    <row r="210" spans="2:16" x14ac:dyDescent="0.25">
      <c r="B210" s="32">
        <v>198</v>
      </c>
      <c r="C210" s="229" t="s">
        <v>1797</v>
      </c>
      <c r="D210" s="229"/>
      <c r="E210" s="229"/>
      <c r="F210" s="229"/>
      <c r="G210" s="229"/>
      <c r="H210" s="229"/>
      <c r="I210" s="229"/>
      <c r="J210" s="59" t="s">
        <v>1612</v>
      </c>
      <c r="K210" s="46">
        <v>1630000</v>
      </c>
      <c r="L210" s="2">
        <v>44337</v>
      </c>
      <c r="M210" s="2"/>
      <c r="N210" s="32">
        <v>3128222923</v>
      </c>
      <c r="O210" s="51" t="s">
        <v>1613</v>
      </c>
      <c r="P210" s="52" t="s">
        <v>1614</v>
      </c>
    </row>
    <row r="211" spans="2:16" x14ac:dyDescent="0.25">
      <c r="B211" s="32">
        <v>199</v>
      </c>
      <c r="C211" s="229" t="s">
        <v>1798</v>
      </c>
      <c r="D211" s="229"/>
      <c r="E211" s="229"/>
      <c r="F211" s="229"/>
      <c r="G211" s="229"/>
      <c r="H211" s="229"/>
      <c r="I211" s="229"/>
      <c r="J211" s="59" t="s">
        <v>1799</v>
      </c>
      <c r="K211" s="46">
        <v>1990000</v>
      </c>
      <c r="L211" s="2">
        <v>44340</v>
      </c>
      <c r="M211" s="32"/>
      <c r="N211" s="32" t="s">
        <v>1800</v>
      </c>
      <c r="O211" s="51" t="s">
        <v>1801</v>
      </c>
      <c r="P211" s="52" t="s">
        <v>1802</v>
      </c>
    </row>
    <row r="212" spans="2:16" x14ac:dyDescent="0.25">
      <c r="B212" s="32">
        <v>200</v>
      </c>
      <c r="C212" s="229" t="s">
        <v>1803</v>
      </c>
      <c r="D212" s="229"/>
      <c r="E212" s="229"/>
      <c r="F212" s="229"/>
      <c r="G212" s="229"/>
      <c r="H212" s="229"/>
      <c r="I212" s="229"/>
      <c r="J212" s="59" t="s">
        <v>1804</v>
      </c>
      <c r="K212" s="46">
        <v>16950000</v>
      </c>
      <c r="L212" s="2">
        <v>44341</v>
      </c>
      <c r="M212" s="32"/>
      <c r="N212" s="32">
        <v>4483960</v>
      </c>
      <c r="O212" s="51" t="s">
        <v>1805</v>
      </c>
      <c r="P212" s="52" t="s">
        <v>1806</v>
      </c>
    </row>
    <row r="213" spans="2:16" x14ac:dyDescent="0.25">
      <c r="B213" s="32">
        <v>201</v>
      </c>
      <c r="C213" s="263" t="s">
        <v>1807</v>
      </c>
      <c r="D213" s="229"/>
      <c r="E213" s="229"/>
      <c r="F213" s="229"/>
      <c r="G213" s="229"/>
      <c r="H213" s="229"/>
      <c r="I213" s="229"/>
      <c r="J213" s="59" t="s">
        <v>747</v>
      </c>
      <c r="K213" s="46">
        <v>17860000</v>
      </c>
      <c r="L213" s="2">
        <v>44341</v>
      </c>
      <c r="M213" s="32"/>
      <c r="N213" s="32">
        <v>3175594091</v>
      </c>
      <c r="O213" s="51" t="s">
        <v>496</v>
      </c>
      <c r="P213" s="38" t="s">
        <v>748</v>
      </c>
    </row>
    <row r="214" spans="2:16" x14ac:dyDescent="0.25">
      <c r="B214" s="32">
        <v>202</v>
      </c>
      <c r="C214" s="229" t="s">
        <v>1808</v>
      </c>
      <c r="D214" s="229"/>
      <c r="E214" s="229"/>
      <c r="F214" s="229"/>
      <c r="G214" s="229"/>
      <c r="H214" s="229"/>
      <c r="I214" s="229"/>
      <c r="J214" s="59" t="s">
        <v>1415</v>
      </c>
      <c r="K214" s="46">
        <v>6300000</v>
      </c>
      <c r="L214" s="2">
        <v>44341</v>
      </c>
      <c r="M214" s="2"/>
      <c r="N214" s="32" t="s">
        <v>1809</v>
      </c>
      <c r="O214" s="51" t="s">
        <v>1810</v>
      </c>
      <c r="P214" s="52" t="s">
        <v>1811</v>
      </c>
    </row>
    <row r="215" spans="2:16" x14ac:dyDescent="0.25">
      <c r="B215" s="32">
        <v>203</v>
      </c>
      <c r="C215" s="229" t="s">
        <v>1812</v>
      </c>
      <c r="D215" s="229"/>
      <c r="E215" s="229"/>
      <c r="F215" s="229"/>
      <c r="G215" s="229"/>
      <c r="H215" s="229"/>
      <c r="I215" s="229"/>
      <c r="J215" s="59" t="s">
        <v>1100</v>
      </c>
      <c r="K215" s="46">
        <v>3135000</v>
      </c>
      <c r="L215" s="2">
        <v>44341</v>
      </c>
      <c r="M215" s="32"/>
      <c r="N215" s="32">
        <v>3014188503</v>
      </c>
      <c r="O215" s="51" t="s">
        <v>1101</v>
      </c>
      <c r="P215" s="38" t="s">
        <v>1102</v>
      </c>
    </row>
    <row r="216" spans="2:16" x14ac:dyDescent="0.25">
      <c r="B216" s="32">
        <v>204</v>
      </c>
      <c r="C216" s="229" t="s">
        <v>1813</v>
      </c>
      <c r="D216" s="229"/>
      <c r="E216" s="229"/>
      <c r="F216" s="229"/>
      <c r="G216" s="229"/>
      <c r="H216" s="229"/>
      <c r="I216" s="229"/>
      <c r="J216" s="59" t="s">
        <v>1814</v>
      </c>
      <c r="K216" s="46" t="s">
        <v>150</v>
      </c>
      <c r="L216" s="2">
        <v>44342</v>
      </c>
      <c r="M216" s="32"/>
      <c r="N216" s="32">
        <v>3174405049</v>
      </c>
      <c r="O216" s="51" t="s">
        <v>1815</v>
      </c>
      <c r="P216" s="52" t="s">
        <v>1816</v>
      </c>
    </row>
    <row r="217" spans="2:16" x14ac:dyDescent="0.25">
      <c r="B217" s="32">
        <v>205</v>
      </c>
      <c r="C217" s="229" t="s">
        <v>1817</v>
      </c>
      <c r="D217" s="229"/>
      <c r="E217" s="229"/>
      <c r="F217" s="229"/>
      <c r="G217" s="229"/>
      <c r="H217" s="229"/>
      <c r="I217" s="229"/>
      <c r="J217" s="59" t="s">
        <v>702</v>
      </c>
      <c r="K217" s="46">
        <v>900000</v>
      </c>
      <c r="L217" s="2">
        <v>44343</v>
      </c>
      <c r="M217" s="2"/>
      <c r="N217" s="32">
        <v>3104165783</v>
      </c>
      <c r="O217" s="51" t="s">
        <v>242</v>
      </c>
      <c r="P217" s="38" t="s">
        <v>917</v>
      </c>
    </row>
    <row r="218" spans="2:16" x14ac:dyDescent="0.25">
      <c r="B218" s="32">
        <v>206</v>
      </c>
      <c r="C218" s="229" t="s">
        <v>1818</v>
      </c>
      <c r="D218" s="229"/>
      <c r="E218" s="229"/>
      <c r="F218" s="229"/>
      <c r="G218" s="229"/>
      <c r="H218" s="229"/>
      <c r="I218" s="229"/>
      <c r="J218" s="59" t="s">
        <v>1761</v>
      </c>
      <c r="K218" s="46">
        <v>13800000</v>
      </c>
      <c r="L218" s="2">
        <v>44343</v>
      </c>
      <c r="M218" s="32"/>
      <c r="N218" s="32" t="s">
        <v>1762</v>
      </c>
      <c r="O218" s="51" t="s">
        <v>1763</v>
      </c>
      <c r="P218" s="52" t="s">
        <v>1764</v>
      </c>
    </row>
    <row r="219" spans="2:16" x14ac:dyDescent="0.25">
      <c r="B219" s="32">
        <v>207</v>
      </c>
      <c r="C219" s="229" t="s">
        <v>1819</v>
      </c>
      <c r="D219" s="229"/>
      <c r="E219" s="229"/>
      <c r="F219" s="229"/>
      <c r="G219" s="229"/>
      <c r="H219" s="229"/>
      <c r="I219" s="229"/>
      <c r="J219" s="59" t="s">
        <v>1553</v>
      </c>
      <c r="K219" s="46">
        <v>2500000</v>
      </c>
      <c r="L219" s="2">
        <v>44344</v>
      </c>
      <c r="M219" s="32" t="s">
        <v>3923</v>
      </c>
      <c r="N219" s="32">
        <v>3022295772</v>
      </c>
      <c r="O219" s="51" t="s">
        <v>1554</v>
      </c>
      <c r="P219" s="52" t="s">
        <v>1555</v>
      </c>
    </row>
    <row r="220" spans="2:16" x14ac:dyDescent="0.25">
      <c r="B220" s="32">
        <v>208</v>
      </c>
      <c r="C220" s="229" t="s">
        <v>1820</v>
      </c>
      <c r="D220" s="229"/>
      <c r="E220" s="229"/>
      <c r="F220" s="229"/>
      <c r="G220" s="229"/>
      <c r="H220" s="229"/>
      <c r="I220" s="229"/>
      <c r="J220" s="59" t="s">
        <v>1553</v>
      </c>
      <c r="K220" s="46">
        <v>750000</v>
      </c>
      <c r="L220" s="2">
        <v>44344</v>
      </c>
      <c r="M220" s="2" t="s">
        <v>3923</v>
      </c>
      <c r="N220" s="32">
        <v>3022295773</v>
      </c>
      <c r="O220" s="51" t="s">
        <v>1821</v>
      </c>
      <c r="P220" s="52" t="s">
        <v>1555</v>
      </c>
    </row>
    <row r="221" spans="2:16" x14ac:dyDescent="0.25">
      <c r="B221" s="32">
        <v>209</v>
      </c>
      <c r="C221" s="229" t="s">
        <v>1822</v>
      </c>
      <c r="D221" s="229"/>
      <c r="E221" s="229"/>
      <c r="F221" s="229"/>
      <c r="G221" s="229"/>
      <c r="H221" s="229"/>
      <c r="I221" s="229"/>
      <c r="J221" s="59" t="s">
        <v>1139</v>
      </c>
      <c r="K221" s="56">
        <v>4200000</v>
      </c>
      <c r="L221" s="2">
        <v>44347</v>
      </c>
      <c r="M221" s="32" t="s">
        <v>3923</v>
      </c>
      <c r="N221" s="32" t="s">
        <v>1305</v>
      </c>
      <c r="O221" s="51" t="s">
        <v>1306</v>
      </c>
      <c r="P221" s="38" t="s">
        <v>1307</v>
      </c>
    </row>
    <row r="222" spans="2:16" x14ac:dyDescent="0.25">
      <c r="B222" s="32">
        <v>210</v>
      </c>
      <c r="C222" s="229" t="s">
        <v>1823</v>
      </c>
      <c r="D222" s="229"/>
      <c r="E222" s="229"/>
      <c r="F222" s="229"/>
      <c r="G222" s="229"/>
      <c r="H222" s="229"/>
      <c r="I222" s="229"/>
      <c r="J222" s="59" t="s">
        <v>1415</v>
      </c>
      <c r="K222" s="46" t="s">
        <v>150</v>
      </c>
      <c r="L222" s="2">
        <v>44347</v>
      </c>
      <c r="M222" s="32"/>
      <c r="N222" s="32" t="s">
        <v>1824</v>
      </c>
      <c r="O222" s="51" t="s">
        <v>374</v>
      </c>
      <c r="P222" s="52" t="s">
        <v>1825</v>
      </c>
    </row>
    <row r="223" spans="2:16" x14ac:dyDescent="0.25">
      <c r="B223" s="32">
        <v>211</v>
      </c>
      <c r="C223" s="229" t="s">
        <v>1826</v>
      </c>
      <c r="D223" s="229"/>
      <c r="E223" s="229"/>
      <c r="F223" s="229"/>
      <c r="G223" s="229"/>
      <c r="H223" s="229"/>
      <c r="I223" s="229"/>
      <c r="J223" s="59" t="s">
        <v>702</v>
      </c>
      <c r="K223" s="46">
        <v>950000</v>
      </c>
      <c r="L223" s="2">
        <v>44348</v>
      </c>
      <c r="M223" s="32" t="s">
        <v>3923</v>
      </c>
      <c r="N223" s="32">
        <v>3104203649</v>
      </c>
      <c r="O223" s="51" t="s">
        <v>1257</v>
      </c>
      <c r="P223" s="38" t="s">
        <v>1258</v>
      </c>
    </row>
    <row r="224" spans="2:16" x14ac:dyDescent="0.25">
      <c r="B224" s="32">
        <v>212</v>
      </c>
      <c r="C224" s="229" t="s">
        <v>1827</v>
      </c>
      <c r="D224" s="229"/>
      <c r="E224" s="229"/>
      <c r="F224" s="229"/>
      <c r="G224" s="229"/>
      <c r="H224" s="229"/>
      <c r="I224" s="229"/>
      <c r="J224" s="59" t="s">
        <v>1828</v>
      </c>
      <c r="K224" s="46"/>
      <c r="L224" s="2">
        <v>44348</v>
      </c>
      <c r="M224" s="32"/>
      <c r="N224" s="32" t="s">
        <v>1829</v>
      </c>
      <c r="O224" s="51" t="s">
        <v>1830</v>
      </c>
      <c r="P224" s="52" t="s">
        <v>1831</v>
      </c>
    </row>
    <row r="225" spans="2:19" x14ac:dyDescent="0.25">
      <c r="B225" s="32">
        <v>213</v>
      </c>
      <c r="C225" s="229" t="s">
        <v>1832</v>
      </c>
      <c r="D225" s="229"/>
      <c r="E225" s="229"/>
      <c r="F225" s="229"/>
      <c r="G225" s="229"/>
      <c r="H225" s="229"/>
      <c r="I225" s="229"/>
      <c r="J225" s="59" t="s">
        <v>1833</v>
      </c>
      <c r="K225" s="46">
        <v>4890000</v>
      </c>
      <c r="L225" s="2">
        <v>44348</v>
      </c>
      <c r="M225" s="32"/>
      <c r="N225" s="30" t="s">
        <v>1834</v>
      </c>
      <c r="O225" s="32" t="s">
        <v>1835</v>
      </c>
      <c r="P225" s="52" t="s">
        <v>1836</v>
      </c>
    </row>
    <row r="226" spans="2:19" x14ac:dyDescent="0.25">
      <c r="B226" s="32">
        <v>214</v>
      </c>
      <c r="C226" s="229" t="s">
        <v>1837</v>
      </c>
      <c r="D226" s="229"/>
      <c r="E226" s="229"/>
      <c r="F226" s="229"/>
      <c r="G226" s="229"/>
      <c r="H226" s="229"/>
      <c r="I226" s="229"/>
      <c r="J226" s="59" t="s">
        <v>702</v>
      </c>
      <c r="K226" s="46">
        <v>1950000</v>
      </c>
      <c r="L226" s="2">
        <v>44348</v>
      </c>
      <c r="M226" s="32"/>
      <c r="N226" s="32">
        <v>3104680508</v>
      </c>
      <c r="O226" s="51" t="s">
        <v>212</v>
      </c>
      <c r="P226" s="38" t="s">
        <v>703</v>
      </c>
    </row>
    <row r="227" spans="2:19" x14ac:dyDescent="0.25">
      <c r="B227" s="32">
        <v>215</v>
      </c>
      <c r="C227" s="229" t="s">
        <v>1838</v>
      </c>
      <c r="D227" s="229"/>
      <c r="E227" s="229"/>
      <c r="F227" s="229"/>
      <c r="G227" s="229"/>
      <c r="H227" s="229"/>
      <c r="I227" s="229"/>
      <c r="J227" s="59" t="s">
        <v>1125</v>
      </c>
      <c r="K227" s="46">
        <v>12990000</v>
      </c>
      <c r="L227" s="2">
        <v>44348</v>
      </c>
      <c r="M227" s="32"/>
      <c r="N227" s="32">
        <v>3134587240</v>
      </c>
      <c r="O227" s="51" t="s">
        <v>1839</v>
      </c>
      <c r="P227" s="52" t="s">
        <v>1840</v>
      </c>
    </row>
    <row r="228" spans="2:19" x14ac:dyDescent="0.25">
      <c r="B228" s="32">
        <v>216</v>
      </c>
      <c r="C228" s="229" t="s">
        <v>1841</v>
      </c>
      <c r="D228" s="229"/>
      <c r="E228" s="229"/>
      <c r="F228" s="229"/>
      <c r="G228" s="229"/>
      <c r="H228" s="229"/>
      <c r="I228" s="229"/>
      <c r="J228" s="59" t="s">
        <v>712</v>
      </c>
      <c r="K228" s="46" t="s">
        <v>150</v>
      </c>
      <c r="L228" s="2">
        <v>44348</v>
      </c>
      <c r="M228" s="32"/>
      <c r="N228" s="32">
        <v>3137851941</v>
      </c>
      <c r="O228" s="51" t="s">
        <v>192</v>
      </c>
      <c r="P228" s="38" t="s">
        <v>713</v>
      </c>
      <c r="S228" s="70"/>
    </row>
    <row r="229" spans="2:19" x14ac:dyDescent="0.25">
      <c r="B229" s="32">
        <v>217</v>
      </c>
      <c r="C229" s="229" t="s">
        <v>1841</v>
      </c>
      <c r="D229" s="229"/>
      <c r="E229" s="229"/>
      <c r="F229" s="229"/>
      <c r="G229" s="229"/>
      <c r="H229" s="229"/>
      <c r="I229" s="229"/>
      <c r="J229" s="59" t="s">
        <v>702</v>
      </c>
      <c r="K229" s="46" t="s">
        <v>150</v>
      </c>
      <c r="L229" s="2">
        <v>44348</v>
      </c>
      <c r="M229" s="32" t="s">
        <v>3923</v>
      </c>
      <c r="N229" s="32">
        <v>3103898043</v>
      </c>
      <c r="O229" s="51" t="s">
        <v>1237</v>
      </c>
      <c r="P229" s="38" t="s">
        <v>1238</v>
      </c>
      <c r="S229" s="70"/>
    </row>
    <row r="230" spans="2:19" x14ac:dyDescent="0.25">
      <c r="B230" s="32">
        <v>218</v>
      </c>
      <c r="C230" s="229" t="s">
        <v>1842</v>
      </c>
      <c r="D230" s="229"/>
      <c r="E230" s="229"/>
      <c r="F230" s="229"/>
      <c r="G230" s="229"/>
      <c r="H230" s="229"/>
      <c r="I230" s="229"/>
      <c r="J230" s="59" t="s">
        <v>1125</v>
      </c>
      <c r="K230" s="46">
        <v>16620000</v>
      </c>
      <c r="L230" s="2">
        <v>44348</v>
      </c>
      <c r="M230" s="32"/>
      <c r="N230" s="32" t="s">
        <v>1595</v>
      </c>
      <c r="O230" s="51" t="s">
        <v>1596</v>
      </c>
      <c r="P230" s="52" t="s">
        <v>1843</v>
      </c>
    </row>
    <row r="231" spans="2:19" x14ac:dyDescent="0.25">
      <c r="B231" s="32">
        <v>219</v>
      </c>
      <c r="C231" s="229" t="s">
        <v>1844</v>
      </c>
      <c r="D231" s="229"/>
      <c r="E231" s="229"/>
      <c r="F231" s="229"/>
      <c r="G231" s="229"/>
      <c r="H231" s="229"/>
      <c r="I231" s="229"/>
      <c r="J231" s="59" t="s">
        <v>1845</v>
      </c>
      <c r="K231" s="46">
        <v>12700000</v>
      </c>
      <c r="L231" s="2">
        <v>44350</v>
      </c>
      <c r="M231" s="32"/>
      <c r="N231" s="32" t="s">
        <v>1846</v>
      </c>
      <c r="O231" s="51" t="s">
        <v>1847</v>
      </c>
      <c r="P231" s="52" t="s">
        <v>1848</v>
      </c>
    </row>
    <row r="232" spans="2:19" x14ac:dyDescent="0.25">
      <c r="B232" s="32">
        <v>220</v>
      </c>
      <c r="C232" s="229" t="s">
        <v>1849</v>
      </c>
      <c r="D232" s="229"/>
      <c r="E232" s="229"/>
      <c r="F232" s="229"/>
      <c r="G232" s="229"/>
      <c r="H232" s="229"/>
      <c r="I232" s="229"/>
      <c r="J232" s="59" t="s">
        <v>971</v>
      </c>
      <c r="K232" s="46">
        <v>12550000</v>
      </c>
      <c r="L232" s="2">
        <v>44350</v>
      </c>
      <c r="M232" s="32" t="s">
        <v>3923</v>
      </c>
      <c r="N232" s="32">
        <v>4447410</v>
      </c>
      <c r="O232" s="51" t="s">
        <v>1850</v>
      </c>
      <c r="P232" s="52" t="s">
        <v>1851</v>
      </c>
    </row>
    <row r="233" spans="2:19" x14ac:dyDescent="0.25">
      <c r="B233" s="32">
        <v>221</v>
      </c>
      <c r="C233" s="229" t="s">
        <v>1323</v>
      </c>
      <c r="D233" s="229"/>
      <c r="E233" s="229"/>
      <c r="F233" s="229"/>
      <c r="G233" s="229"/>
      <c r="H233" s="229"/>
      <c r="I233" s="229"/>
      <c r="J233" s="59" t="s">
        <v>1324</v>
      </c>
      <c r="K233" s="1">
        <v>20960000</v>
      </c>
      <c r="L233" s="2">
        <v>44350</v>
      </c>
      <c r="M233" s="32" t="s">
        <v>3923</v>
      </c>
      <c r="N233" s="32">
        <v>3008643710</v>
      </c>
      <c r="O233" s="51" t="s">
        <v>1325</v>
      </c>
      <c r="P233" s="38" t="s">
        <v>1326</v>
      </c>
    </row>
    <row r="234" spans="2:19" x14ac:dyDescent="0.25">
      <c r="B234" s="32">
        <v>222</v>
      </c>
      <c r="C234" s="229" t="s">
        <v>1852</v>
      </c>
      <c r="D234" s="229"/>
      <c r="E234" s="229"/>
      <c r="F234" s="229"/>
      <c r="G234" s="229"/>
      <c r="H234" s="229"/>
      <c r="I234" s="229"/>
      <c r="J234" s="59" t="s">
        <v>880</v>
      </c>
      <c r="K234" s="46">
        <v>2250000</v>
      </c>
      <c r="L234" s="2">
        <v>44350</v>
      </c>
      <c r="M234" s="2"/>
      <c r="N234" s="57">
        <v>5712357612</v>
      </c>
      <c r="O234" s="51" t="s">
        <v>1853</v>
      </c>
      <c r="P234" s="52" t="s">
        <v>1854</v>
      </c>
    </row>
    <row r="235" spans="2:19" x14ac:dyDescent="0.25">
      <c r="B235" s="32">
        <v>223</v>
      </c>
      <c r="C235" s="229" t="s">
        <v>1855</v>
      </c>
      <c r="D235" s="229"/>
      <c r="E235" s="229"/>
      <c r="F235" s="229"/>
      <c r="G235" s="229"/>
      <c r="H235" s="229"/>
      <c r="I235" s="229"/>
      <c r="J235" s="59" t="s">
        <v>1856</v>
      </c>
      <c r="K235" s="46">
        <v>14990000</v>
      </c>
      <c r="L235" s="2">
        <v>44350</v>
      </c>
      <c r="M235" s="32"/>
      <c r="N235" s="32">
        <v>3003434913</v>
      </c>
      <c r="O235" s="51" t="s">
        <v>1857</v>
      </c>
      <c r="P235" s="52" t="s">
        <v>1858</v>
      </c>
    </row>
    <row r="236" spans="2:19" x14ac:dyDescent="0.25">
      <c r="B236" s="32">
        <v>224</v>
      </c>
      <c r="C236" s="229" t="s">
        <v>1859</v>
      </c>
      <c r="D236" s="229"/>
      <c r="E236" s="229"/>
      <c r="F236" s="229"/>
      <c r="G236" s="229"/>
      <c r="H236" s="229"/>
      <c r="I236" s="229"/>
      <c r="J236" s="59" t="s">
        <v>1860</v>
      </c>
      <c r="K236" s="46">
        <v>5600000</v>
      </c>
      <c r="L236" s="2">
        <v>44351</v>
      </c>
      <c r="M236" s="32"/>
      <c r="N236" s="32" t="s">
        <v>1861</v>
      </c>
      <c r="O236" s="51" t="s">
        <v>1862</v>
      </c>
      <c r="P236" s="52" t="s">
        <v>1863</v>
      </c>
    </row>
    <row r="237" spans="2:19" x14ac:dyDescent="0.25">
      <c r="B237" s="32">
        <v>225</v>
      </c>
      <c r="C237" s="229" t="s">
        <v>1864</v>
      </c>
      <c r="D237" s="229"/>
      <c r="E237" s="229"/>
      <c r="F237" s="229"/>
      <c r="G237" s="229"/>
      <c r="H237" s="229"/>
      <c r="I237" s="229"/>
      <c r="J237" s="59" t="s">
        <v>1860</v>
      </c>
      <c r="K237" s="46">
        <v>6950000</v>
      </c>
      <c r="L237" s="2">
        <v>44351</v>
      </c>
      <c r="M237" s="32"/>
      <c r="N237" s="32" t="s">
        <v>1861</v>
      </c>
      <c r="O237" s="51" t="s">
        <v>1862</v>
      </c>
      <c r="P237" s="52" t="s">
        <v>1863</v>
      </c>
    </row>
    <row r="238" spans="2:19" x14ac:dyDescent="0.25">
      <c r="B238" s="32">
        <v>226</v>
      </c>
      <c r="C238" s="229" t="s">
        <v>1865</v>
      </c>
      <c r="D238" s="229"/>
      <c r="E238" s="229"/>
      <c r="F238" s="229"/>
      <c r="G238" s="229"/>
      <c r="H238" s="229"/>
      <c r="I238" s="229"/>
      <c r="J238" s="59" t="s">
        <v>1866</v>
      </c>
      <c r="K238" s="46">
        <v>4390000</v>
      </c>
      <c r="L238" s="2">
        <v>44355</v>
      </c>
      <c r="M238" s="32"/>
      <c r="N238" s="65"/>
      <c r="O238" s="51" t="s">
        <v>1867</v>
      </c>
      <c r="P238" s="52" t="s">
        <v>1868</v>
      </c>
    </row>
    <row r="239" spans="2:19" x14ac:dyDescent="0.25">
      <c r="B239" s="32">
        <v>227</v>
      </c>
      <c r="C239" s="229" t="s">
        <v>1869</v>
      </c>
      <c r="D239" s="229"/>
      <c r="E239" s="229"/>
      <c r="F239" s="229"/>
      <c r="G239" s="229"/>
      <c r="H239" s="229"/>
      <c r="I239" s="229"/>
      <c r="J239" s="59" t="s">
        <v>1870</v>
      </c>
      <c r="K239" s="46">
        <v>1000000</v>
      </c>
      <c r="L239" s="2">
        <v>44355</v>
      </c>
      <c r="M239" s="32" t="s">
        <v>3923</v>
      </c>
      <c r="N239" s="32" t="s">
        <v>1871</v>
      </c>
      <c r="O239" s="51" t="s">
        <v>1872</v>
      </c>
      <c r="P239" s="52" t="s">
        <v>1873</v>
      </c>
    </row>
    <row r="240" spans="2:19" x14ac:dyDescent="0.25">
      <c r="B240" s="32">
        <v>228</v>
      </c>
      <c r="C240" s="229" t="s">
        <v>1874</v>
      </c>
      <c r="D240" s="229"/>
      <c r="E240" s="229"/>
      <c r="F240" s="229"/>
      <c r="G240" s="229"/>
      <c r="H240" s="229"/>
      <c r="I240" s="229"/>
      <c r="J240" s="59" t="s">
        <v>1875</v>
      </c>
      <c r="K240" s="46">
        <v>1500000</v>
      </c>
      <c r="L240" s="2">
        <v>44356</v>
      </c>
      <c r="M240" s="32"/>
      <c r="N240" s="32">
        <v>4442074</v>
      </c>
      <c r="O240" s="51" t="s">
        <v>390</v>
      </c>
      <c r="P240" s="52" t="s">
        <v>1876</v>
      </c>
    </row>
    <row r="241" spans="2:16" x14ac:dyDescent="0.25">
      <c r="B241" s="32">
        <v>229</v>
      </c>
      <c r="C241" s="229" t="s">
        <v>1877</v>
      </c>
      <c r="D241" s="229"/>
      <c r="E241" s="229"/>
      <c r="F241" s="229"/>
      <c r="G241" s="229"/>
      <c r="H241" s="229"/>
      <c r="I241" s="229"/>
      <c r="J241" s="59" t="s">
        <v>702</v>
      </c>
      <c r="K241" s="46">
        <v>13550000</v>
      </c>
      <c r="L241" s="2">
        <v>44356</v>
      </c>
      <c r="M241" s="32"/>
      <c r="N241" s="32">
        <v>3137546144</v>
      </c>
      <c r="O241" s="51" t="s">
        <v>186</v>
      </c>
      <c r="P241" s="38" t="s">
        <v>740</v>
      </c>
    </row>
    <row r="242" spans="2:16" x14ac:dyDescent="0.25">
      <c r="B242" s="32">
        <v>230</v>
      </c>
      <c r="C242" s="229" t="s">
        <v>1878</v>
      </c>
      <c r="D242" s="229"/>
      <c r="E242" s="229"/>
      <c r="F242" s="229"/>
      <c r="G242" s="229"/>
      <c r="H242" s="229"/>
      <c r="I242" s="229"/>
      <c r="J242" s="59" t="s">
        <v>702</v>
      </c>
      <c r="K242" s="46">
        <v>17560000</v>
      </c>
      <c r="L242" s="2">
        <v>44356</v>
      </c>
      <c r="M242" s="32"/>
      <c r="N242" s="32">
        <v>3137546144</v>
      </c>
      <c r="O242" s="51" t="s">
        <v>186</v>
      </c>
      <c r="P242" s="38" t="s">
        <v>740</v>
      </c>
    </row>
    <row r="243" spans="2:16" x14ac:dyDescent="0.25">
      <c r="B243" s="32">
        <v>231</v>
      </c>
      <c r="C243" s="229" t="s">
        <v>1879</v>
      </c>
      <c r="D243" s="229"/>
      <c r="E243" s="229"/>
      <c r="F243" s="229"/>
      <c r="G243" s="229"/>
      <c r="H243" s="229"/>
      <c r="I243" s="229"/>
      <c r="J243" s="59" t="s">
        <v>702</v>
      </c>
      <c r="K243" s="46">
        <v>1500000</v>
      </c>
      <c r="L243" s="2">
        <v>44356</v>
      </c>
      <c r="M243" s="2"/>
      <c r="N243" s="32">
        <v>3104680508</v>
      </c>
      <c r="O243" s="51" t="s">
        <v>212</v>
      </c>
      <c r="P243" s="38" t="s">
        <v>703</v>
      </c>
    </row>
    <row r="244" spans="2:16" x14ac:dyDescent="0.25">
      <c r="B244" s="32">
        <v>232</v>
      </c>
      <c r="C244" s="229" t="s">
        <v>1880</v>
      </c>
      <c r="D244" s="229"/>
      <c r="E244" s="229"/>
      <c r="F244" s="229"/>
      <c r="G244" s="229"/>
      <c r="H244" s="229"/>
      <c r="I244" s="229"/>
      <c r="J244" s="59" t="s">
        <v>702</v>
      </c>
      <c r="K244" s="46">
        <v>3950000</v>
      </c>
      <c r="L244" s="2">
        <v>44358</v>
      </c>
      <c r="M244" s="32"/>
      <c r="N244" s="32">
        <v>3104680508</v>
      </c>
      <c r="O244" s="51" t="s">
        <v>212</v>
      </c>
      <c r="P244" s="38" t="s">
        <v>703</v>
      </c>
    </row>
    <row r="245" spans="2:16" x14ac:dyDescent="0.25">
      <c r="B245" s="32">
        <v>233</v>
      </c>
      <c r="C245" s="229" t="s">
        <v>1881</v>
      </c>
      <c r="D245" s="229"/>
      <c r="E245" s="229"/>
      <c r="F245" s="229"/>
      <c r="G245" s="229"/>
      <c r="H245" s="229"/>
      <c r="I245" s="229"/>
      <c r="J245" s="59" t="s">
        <v>1882</v>
      </c>
      <c r="K245" s="46">
        <v>4950000</v>
      </c>
      <c r="L245" s="2">
        <v>44362</v>
      </c>
      <c r="M245" s="32"/>
      <c r="N245" s="32" t="s">
        <v>1883</v>
      </c>
      <c r="O245" s="51" t="s">
        <v>1884</v>
      </c>
      <c r="P245" s="52" t="s">
        <v>1885</v>
      </c>
    </row>
    <row r="246" spans="2:16" x14ac:dyDescent="0.25">
      <c r="B246" s="32">
        <v>234</v>
      </c>
      <c r="C246" s="229" t="s">
        <v>1886</v>
      </c>
      <c r="D246" s="229"/>
      <c r="E246" s="229"/>
      <c r="F246" s="229"/>
      <c r="G246" s="229"/>
      <c r="H246" s="229"/>
      <c r="I246" s="229"/>
      <c r="J246" s="59" t="s">
        <v>702</v>
      </c>
      <c r="K246" s="46">
        <v>1380000</v>
      </c>
      <c r="L246" s="2">
        <v>44362</v>
      </c>
      <c r="M246" s="32"/>
      <c r="N246" s="32">
        <v>3104680508</v>
      </c>
      <c r="O246" s="51" t="s">
        <v>212</v>
      </c>
      <c r="P246" s="38" t="s">
        <v>703</v>
      </c>
    </row>
    <row r="247" spans="2:16" x14ac:dyDescent="0.25">
      <c r="B247" s="32">
        <v>235</v>
      </c>
      <c r="C247" s="229" t="s">
        <v>1887</v>
      </c>
      <c r="D247" s="229"/>
      <c r="E247" s="229"/>
      <c r="F247" s="229"/>
      <c r="G247" s="229"/>
      <c r="H247" s="229"/>
      <c r="I247" s="229"/>
      <c r="J247" s="59" t="s">
        <v>702</v>
      </c>
      <c r="K247" s="46">
        <v>1880000</v>
      </c>
      <c r="L247" s="2">
        <v>44362</v>
      </c>
      <c r="M247" s="32"/>
      <c r="N247" s="32">
        <v>3104680508</v>
      </c>
      <c r="O247" s="51" t="s">
        <v>212</v>
      </c>
      <c r="P247" s="38" t="s">
        <v>703</v>
      </c>
    </row>
    <row r="248" spans="2:16" x14ac:dyDescent="0.25">
      <c r="B248" s="32">
        <v>236</v>
      </c>
      <c r="C248" s="229" t="s">
        <v>1888</v>
      </c>
      <c r="D248" s="229"/>
      <c r="E248" s="229"/>
      <c r="F248" s="229"/>
      <c r="G248" s="229"/>
      <c r="H248" s="229"/>
      <c r="I248" s="229"/>
      <c r="J248" s="59" t="s">
        <v>702</v>
      </c>
      <c r="K248" s="46">
        <v>22270000</v>
      </c>
      <c r="L248" s="2">
        <v>44362</v>
      </c>
      <c r="M248" s="32"/>
      <c r="N248" s="32">
        <v>3104165783</v>
      </c>
      <c r="O248" s="51" t="s">
        <v>242</v>
      </c>
      <c r="P248" s="38" t="s">
        <v>917</v>
      </c>
    </row>
    <row r="249" spans="2:16" x14ac:dyDescent="0.25">
      <c r="B249" s="32">
        <v>237</v>
      </c>
      <c r="C249" s="229" t="s">
        <v>1889</v>
      </c>
      <c r="D249" s="229"/>
      <c r="E249" s="229"/>
      <c r="F249" s="229"/>
      <c r="G249" s="229"/>
      <c r="H249" s="229"/>
      <c r="I249" s="229"/>
      <c r="J249" s="59" t="s">
        <v>1890</v>
      </c>
      <c r="K249" s="46">
        <v>2990000</v>
      </c>
      <c r="L249" s="2">
        <v>44362</v>
      </c>
      <c r="M249" s="32"/>
      <c r="N249" s="32">
        <v>3127953566</v>
      </c>
      <c r="O249" s="51" t="s">
        <v>1118</v>
      </c>
      <c r="P249" s="52" t="s">
        <v>1891</v>
      </c>
    </row>
    <row r="250" spans="2:16" x14ac:dyDescent="0.25">
      <c r="B250" s="32">
        <v>238</v>
      </c>
      <c r="C250" s="229" t="s">
        <v>1892</v>
      </c>
      <c r="D250" s="229"/>
      <c r="E250" s="229"/>
      <c r="F250" s="229"/>
      <c r="G250" s="229"/>
      <c r="H250" s="229"/>
      <c r="I250" s="229"/>
      <c r="J250" s="59" t="s">
        <v>1890</v>
      </c>
      <c r="K250" s="46">
        <v>2990000</v>
      </c>
      <c r="L250" s="2">
        <v>44362</v>
      </c>
      <c r="M250" s="32"/>
      <c r="N250" s="32">
        <v>3127953567</v>
      </c>
      <c r="O250" s="51" t="s">
        <v>1118</v>
      </c>
      <c r="P250" s="52" t="s">
        <v>1891</v>
      </c>
    </row>
    <row r="251" spans="2:16" x14ac:dyDescent="0.25">
      <c r="B251" s="32">
        <v>239</v>
      </c>
      <c r="C251" s="229" t="s">
        <v>1893</v>
      </c>
      <c r="D251" s="229"/>
      <c r="E251" s="229"/>
      <c r="F251" s="229"/>
      <c r="G251" s="229"/>
      <c r="H251" s="229"/>
      <c r="I251" s="229"/>
      <c r="J251" s="59" t="s">
        <v>1894</v>
      </c>
      <c r="K251" s="46">
        <v>1800000</v>
      </c>
      <c r="L251" s="2">
        <v>44362</v>
      </c>
      <c r="M251" s="32"/>
      <c r="N251" s="32">
        <v>3113396273</v>
      </c>
      <c r="O251" s="51" t="s">
        <v>989</v>
      </c>
      <c r="P251" s="52" t="s">
        <v>990</v>
      </c>
    </row>
    <row r="252" spans="2:16" x14ac:dyDescent="0.25">
      <c r="B252" s="32">
        <v>240</v>
      </c>
      <c r="C252" s="229" t="s">
        <v>1895</v>
      </c>
      <c r="D252" s="229"/>
      <c r="E252" s="229"/>
      <c r="F252" s="229"/>
      <c r="G252" s="229"/>
      <c r="H252" s="229"/>
      <c r="I252" s="229"/>
      <c r="J252" s="59" t="s">
        <v>702</v>
      </c>
      <c r="K252" s="46">
        <v>4640000</v>
      </c>
      <c r="L252" s="2">
        <v>44363</v>
      </c>
      <c r="M252" s="32"/>
      <c r="N252" s="32">
        <v>3104680508</v>
      </c>
      <c r="O252" s="51" t="s">
        <v>212</v>
      </c>
      <c r="P252" s="38" t="s">
        <v>703</v>
      </c>
    </row>
    <row r="253" spans="2:16" x14ac:dyDescent="0.25">
      <c r="B253" s="32">
        <v>241</v>
      </c>
      <c r="C253" s="229" t="s">
        <v>1878</v>
      </c>
      <c r="D253" s="229"/>
      <c r="E253" s="229"/>
      <c r="F253" s="229"/>
      <c r="G253" s="229"/>
      <c r="H253" s="229"/>
      <c r="I253" s="229"/>
      <c r="J253" s="59" t="s">
        <v>1896</v>
      </c>
      <c r="K253" s="46">
        <v>17560000</v>
      </c>
      <c r="L253" s="2">
        <v>44356</v>
      </c>
      <c r="M253" s="32"/>
      <c r="N253" s="32" t="s">
        <v>1897</v>
      </c>
      <c r="O253" s="51" t="s">
        <v>1898</v>
      </c>
      <c r="P253" s="38" t="s">
        <v>1899</v>
      </c>
    </row>
    <row r="254" spans="2:16" x14ac:dyDescent="0.25">
      <c r="B254" s="32">
        <v>242</v>
      </c>
      <c r="C254" s="229" t="s">
        <v>1900</v>
      </c>
      <c r="D254" s="229"/>
      <c r="E254" s="229"/>
      <c r="F254" s="229"/>
      <c r="G254" s="229"/>
      <c r="H254" s="229"/>
      <c r="I254" s="229"/>
      <c r="J254" s="59" t="s">
        <v>702</v>
      </c>
      <c r="K254" s="46" t="s">
        <v>150</v>
      </c>
      <c r="L254" s="2">
        <v>44366</v>
      </c>
      <c r="M254" s="2" t="s">
        <v>3923</v>
      </c>
      <c r="N254" s="32" t="s">
        <v>1901</v>
      </c>
      <c r="O254" s="51" t="s">
        <v>1902</v>
      </c>
      <c r="P254" s="52" t="s">
        <v>1903</v>
      </c>
    </row>
    <row r="255" spans="2:16" x14ac:dyDescent="0.25">
      <c r="B255" s="32">
        <v>243</v>
      </c>
      <c r="C255" s="229" t="s">
        <v>1904</v>
      </c>
      <c r="D255" s="229"/>
      <c r="E255" s="229"/>
      <c r="F255" s="229"/>
      <c r="G255" s="229"/>
      <c r="H255" s="229"/>
      <c r="I255" s="229"/>
      <c r="J255" s="59" t="s">
        <v>1905</v>
      </c>
      <c r="K255" s="46">
        <v>3750000</v>
      </c>
      <c r="L255" s="2">
        <v>44366</v>
      </c>
      <c r="M255" s="32" t="s">
        <v>3923</v>
      </c>
      <c r="N255" s="32" t="s">
        <v>1906</v>
      </c>
      <c r="O255" s="51" t="s">
        <v>1907</v>
      </c>
      <c r="P255" s="52" t="s">
        <v>1908</v>
      </c>
    </row>
    <row r="256" spans="2:16" x14ac:dyDescent="0.25">
      <c r="B256" s="32">
        <v>244</v>
      </c>
      <c r="C256" s="229" t="s">
        <v>1909</v>
      </c>
      <c r="D256" s="229"/>
      <c r="E256" s="229"/>
      <c r="F256" s="229"/>
      <c r="G256" s="229"/>
      <c r="H256" s="229"/>
      <c r="I256" s="229"/>
      <c r="J256" s="59" t="s">
        <v>926</v>
      </c>
      <c r="K256" s="46">
        <v>11920000</v>
      </c>
      <c r="L256" s="2">
        <v>44368</v>
      </c>
      <c r="M256" s="2"/>
      <c r="N256" s="32">
        <v>3146157466</v>
      </c>
      <c r="O256" s="51" t="s">
        <v>1910</v>
      </c>
      <c r="P256" s="52" t="s">
        <v>929</v>
      </c>
    </row>
    <row r="257" spans="2:16" x14ac:dyDescent="0.25">
      <c r="B257" s="32">
        <v>245</v>
      </c>
      <c r="C257" s="229" t="s">
        <v>1911</v>
      </c>
      <c r="D257" s="229"/>
      <c r="E257" s="229"/>
      <c r="F257" s="229"/>
      <c r="G257" s="229"/>
      <c r="H257" s="229"/>
      <c r="I257" s="229"/>
      <c r="J257" s="59" t="s">
        <v>926</v>
      </c>
      <c r="K257" s="46">
        <v>39800000</v>
      </c>
      <c r="L257" s="2">
        <v>44368</v>
      </c>
      <c r="M257" s="32"/>
      <c r="N257" s="32">
        <v>3146157466</v>
      </c>
      <c r="O257" s="51" t="s">
        <v>1910</v>
      </c>
      <c r="P257" s="52" t="s">
        <v>929</v>
      </c>
    </row>
    <row r="258" spans="2:16" x14ac:dyDescent="0.25">
      <c r="B258" s="32">
        <v>246</v>
      </c>
      <c r="C258" s="229" t="s">
        <v>1912</v>
      </c>
      <c r="D258" s="229"/>
      <c r="E258" s="229"/>
      <c r="F258" s="229"/>
      <c r="G258" s="229"/>
      <c r="H258" s="229"/>
      <c r="I258" s="229"/>
      <c r="J258" s="59" t="s">
        <v>1553</v>
      </c>
      <c r="K258" s="46">
        <v>950000</v>
      </c>
      <c r="L258" s="2">
        <v>44369</v>
      </c>
      <c r="M258" s="32" t="s">
        <v>3923</v>
      </c>
      <c r="N258" s="32" t="s">
        <v>1913</v>
      </c>
      <c r="O258" s="51" t="s">
        <v>1914</v>
      </c>
      <c r="P258" s="52" t="s">
        <v>1555</v>
      </c>
    </row>
    <row r="259" spans="2:16" x14ac:dyDescent="0.25">
      <c r="B259" s="32">
        <v>247</v>
      </c>
      <c r="C259" s="229" t="s">
        <v>1915</v>
      </c>
      <c r="D259" s="229"/>
      <c r="E259" s="229"/>
      <c r="F259" s="229"/>
      <c r="G259" s="229"/>
      <c r="H259" s="229"/>
      <c r="I259" s="229"/>
      <c r="J259" s="59" t="s">
        <v>1553</v>
      </c>
      <c r="K259" s="46">
        <v>1900000</v>
      </c>
      <c r="L259" s="2">
        <v>44369</v>
      </c>
      <c r="M259" s="32" t="s">
        <v>3923</v>
      </c>
      <c r="N259" s="32" t="s">
        <v>1913</v>
      </c>
      <c r="O259" s="51" t="s">
        <v>1914</v>
      </c>
      <c r="P259" s="52" t="s">
        <v>1555</v>
      </c>
    </row>
    <row r="260" spans="2:16" x14ac:dyDescent="0.25">
      <c r="B260" s="32">
        <v>248</v>
      </c>
      <c r="C260" s="229" t="s">
        <v>1916</v>
      </c>
      <c r="D260" s="229"/>
      <c r="E260" s="229"/>
      <c r="F260" s="229"/>
      <c r="G260" s="229"/>
      <c r="H260" s="229"/>
      <c r="I260" s="229"/>
      <c r="J260" s="59" t="s">
        <v>702</v>
      </c>
      <c r="K260" s="46">
        <v>3760000</v>
      </c>
      <c r="L260" s="2">
        <v>44369</v>
      </c>
      <c r="M260" s="32"/>
      <c r="N260" s="32">
        <v>3104165783</v>
      </c>
      <c r="O260" s="51" t="s">
        <v>242</v>
      </c>
      <c r="P260" s="38" t="s">
        <v>917</v>
      </c>
    </row>
    <row r="261" spans="2:16" x14ac:dyDescent="0.25">
      <c r="B261" s="32">
        <v>249</v>
      </c>
      <c r="C261" s="229" t="s">
        <v>1917</v>
      </c>
      <c r="D261" s="229"/>
      <c r="E261" s="229"/>
      <c r="F261" s="229"/>
      <c r="G261" s="229"/>
      <c r="H261" s="229"/>
      <c r="I261" s="229"/>
      <c r="J261" s="59" t="s">
        <v>1918</v>
      </c>
      <c r="K261" s="46">
        <v>1630000</v>
      </c>
      <c r="L261" s="2">
        <v>44369</v>
      </c>
      <c r="M261" s="32"/>
      <c r="N261" s="32" t="s">
        <v>1919</v>
      </c>
      <c r="O261" s="51" t="s">
        <v>1920</v>
      </c>
      <c r="P261" s="52" t="s">
        <v>1921</v>
      </c>
    </row>
    <row r="262" spans="2:16" x14ac:dyDescent="0.25">
      <c r="B262" s="32">
        <v>250</v>
      </c>
      <c r="C262" s="229" t="s">
        <v>1922</v>
      </c>
      <c r="D262" s="229"/>
      <c r="E262" s="229"/>
      <c r="F262" s="229"/>
      <c r="G262" s="229"/>
      <c r="H262" s="229"/>
      <c r="I262" s="229"/>
      <c r="J262" s="59" t="s">
        <v>1923</v>
      </c>
      <c r="K262" s="46">
        <v>5550000</v>
      </c>
      <c r="L262" s="2">
        <v>44370</v>
      </c>
      <c r="M262" s="32" t="s">
        <v>3923</v>
      </c>
      <c r="N262" s="32" t="s">
        <v>1924</v>
      </c>
      <c r="O262" s="51" t="s">
        <v>1925</v>
      </c>
      <c r="P262" s="52" t="s">
        <v>1926</v>
      </c>
    </row>
    <row r="263" spans="2:16" x14ac:dyDescent="0.25">
      <c r="B263" s="32">
        <v>251</v>
      </c>
      <c r="C263" s="229" t="s">
        <v>1927</v>
      </c>
      <c r="D263" s="229"/>
      <c r="E263" s="229"/>
      <c r="F263" s="229"/>
      <c r="G263" s="229"/>
      <c r="H263" s="229"/>
      <c r="I263" s="229"/>
      <c r="J263" s="59" t="s">
        <v>717</v>
      </c>
      <c r="K263" s="46">
        <v>1950000</v>
      </c>
      <c r="L263" s="2">
        <v>44371</v>
      </c>
      <c r="M263" s="32" t="s">
        <v>3923</v>
      </c>
      <c r="N263" s="32" t="s">
        <v>1928</v>
      </c>
      <c r="O263" s="51" t="s">
        <v>1929</v>
      </c>
      <c r="P263" s="52" t="s">
        <v>1930</v>
      </c>
    </row>
    <row r="264" spans="2:16" x14ac:dyDescent="0.25">
      <c r="B264" s="32">
        <v>252</v>
      </c>
      <c r="C264" s="229" t="s">
        <v>1931</v>
      </c>
      <c r="D264" s="229"/>
      <c r="E264" s="229"/>
      <c r="F264" s="229"/>
      <c r="G264" s="229"/>
      <c r="H264" s="229"/>
      <c r="I264" s="229"/>
      <c r="J264" s="59" t="s">
        <v>1932</v>
      </c>
      <c r="K264" s="46">
        <v>1350000</v>
      </c>
      <c r="L264" s="2">
        <v>44371</v>
      </c>
      <c r="M264" s="32"/>
      <c r="N264" s="32">
        <v>3108324371</v>
      </c>
      <c r="O264" s="51" t="s">
        <v>1241</v>
      </c>
      <c r="P264" s="52" t="s">
        <v>1242</v>
      </c>
    </row>
    <row r="265" spans="2:16" x14ac:dyDescent="0.25">
      <c r="B265" s="32">
        <v>253</v>
      </c>
      <c r="C265" s="229" t="s">
        <v>1933</v>
      </c>
      <c r="D265" s="229"/>
      <c r="E265" s="229"/>
      <c r="F265" s="229"/>
      <c r="G265" s="229"/>
      <c r="H265" s="229"/>
      <c r="I265" s="229"/>
      <c r="J265" s="59" t="s">
        <v>1934</v>
      </c>
      <c r="K265" s="46" t="s">
        <v>150</v>
      </c>
      <c r="L265" s="2">
        <v>44372</v>
      </c>
      <c r="M265" s="32"/>
      <c r="N265" s="32">
        <v>3232912713</v>
      </c>
      <c r="O265" s="51" t="s">
        <v>1935</v>
      </c>
      <c r="P265" s="52" t="s">
        <v>1936</v>
      </c>
    </row>
    <row r="266" spans="2:16" x14ac:dyDescent="0.25">
      <c r="B266" s="32">
        <v>254</v>
      </c>
      <c r="C266" s="229" t="s">
        <v>1937</v>
      </c>
      <c r="D266" s="229"/>
      <c r="E266" s="229"/>
      <c r="F266" s="229"/>
      <c r="G266" s="229"/>
      <c r="H266" s="229"/>
      <c r="I266" s="229"/>
      <c r="J266" s="59" t="s">
        <v>1938</v>
      </c>
      <c r="K266" s="46">
        <v>13800000</v>
      </c>
      <c r="L266" s="2">
        <v>44375</v>
      </c>
      <c r="M266" s="32"/>
      <c r="N266" s="32">
        <v>3004919500</v>
      </c>
      <c r="O266" s="51" t="s">
        <v>1939</v>
      </c>
      <c r="P266" s="52" t="s">
        <v>1940</v>
      </c>
    </row>
    <row r="267" spans="2:16" x14ac:dyDescent="0.25">
      <c r="B267" s="32">
        <v>255</v>
      </c>
      <c r="C267" s="261" t="s">
        <v>1941</v>
      </c>
      <c r="D267" s="261"/>
      <c r="E267" s="261"/>
      <c r="F267" s="261"/>
      <c r="G267" s="261"/>
      <c r="H267" s="261"/>
      <c r="I267" s="261"/>
      <c r="J267" s="69" t="s">
        <v>805</v>
      </c>
      <c r="K267" s="46">
        <v>17850000</v>
      </c>
      <c r="L267" s="2">
        <v>44376</v>
      </c>
      <c r="M267" s="2" t="s">
        <v>3923</v>
      </c>
      <c r="N267" s="32">
        <v>3207091752</v>
      </c>
      <c r="O267" s="51" t="s">
        <v>1355</v>
      </c>
      <c r="P267" s="52" t="s">
        <v>1356</v>
      </c>
    </row>
    <row r="268" spans="2:16" x14ac:dyDescent="0.25">
      <c r="B268" s="32">
        <v>256</v>
      </c>
      <c r="C268" s="261" t="s">
        <v>1942</v>
      </c>
      <c r="D268" s="261"/>
      <c r="E268" s="261"/>
      <c r="F268" s="261"/>
      <c r="G268" s="261"/>
      <c r="H268" s="261"/>
      <c r="I268" s="261"/>
      <c r="J268" s="69" t="s">
        <v>1943</v>
      </c>
      <c r="K268" s="46">
        <v>6770000</v>
      </c>
      <c r="L268" s="2">
        <v>44377</v>
      </c>
      <c r="M268" s="32"/>
      <c r="N268" s="32" t="s">
        <v>1944</v>
      </c>
      <c r="O268" s="51" t="s">
        <v>1945</v>
      </c>
      <c r="P268" s="52"/>
    </row>
    <row r="269" spans="2:16" x14ac:dyDescent="0.25">
      <c r="B269" s="32">
        <v>257</v>
      </c>
      <c r="C269" s="229" t="s">
        <v>1946</v>
      </c>
      <c r="D269" s="229"/>
      <c r="E269" s="229"/>
      <c r="F269" s="229"/>
      <c r="G269" s="229"/>
      <c r="H269" s="229"/>
      <c r="I269" s="229"/>
      <c r="J269" s="59" t="s">
        <v>890</v>
      </c>
      <c r="K269" s="46">
        <v>9910000</v>
      </c>
      <c r="L269" s="2">
        <v>44377</v>
      </c>
      <c r="M269" s="32"/>
      <c r="N269" s="32">
        <v>3113396273</v>
      </c>
      <c r="O269" s="51" t="s">
        <v>989</v>
      </c>
      <c r="P269" s="52" t="s">
        <v>990</v>
      </c>
    </row>
    <row r="270" spans="2:16" x14ac:dyDescent="0.25">
      <c r="B270" s="32">
        <v>258</v>
      </c>
      <c r="C270" s="261" t="s">
        <v>1947</v>
      </c>
      <c r="D270" s="261"/>
      <c r="E270" s="261"/>
      <c r="F270" s="261"/>
      <c r="G270" s="261"/>
      <c r="H270" s="261"/>
      <c r="I270" s="261"/>
      <c r="J270" s="59" t="s">
        <v>1896</v>
      </c>
      <c r="K270" s="46">
        <v>1990000</v>
      </c>
      <c r="L270" s="2">
        <v>44377</v>
      </c>
      <c r="M270" s="32"/>
      <c r="N270" s="32" t="s">
        <v>1897</v>
      </c>
      <c r="O270" s="51" t="s">
        <v>1898</v>
      </c>
      <c r="P270" s="38" t="s">
        <v>1899</v>
      </c>
    </row>
    <row r="271" spans="2:16" x14ac:dyDescent="0.25">
      <c r="B271" s="32">
        <v>259</v>
      </c>
      <c r="C271" s="229" t="s">
        <v>1948</v>
      </c>
      <c r="D271" s="229"/>
      <c r="E271" s="229"/>
      <c r="F271" s="229"/>
      <c r="G271" s="229"/>
      <c r="H271" s="229"/>
      <c r="I271" s="229"/>
      <c r="J271" s="59" t="s">
        <v>747</v>
      </c>
      <c r="K271" s="46">
        <v>5330000</v>
      </c>
      <c r="L271" s="2">
        <v>44377</v>
      </c>
      <c r="M271" s="32"/>
      <c r="N271" s="32">
        <v>3175594091</v>
      </c>
      <c r="O271" s="51" t="s">
        <v>496</v>
      </c>
      <c r="P271" s="38" t="s">
        <v>748</v>
      </c>
    </row>
    <row r="272" spans="2:16" x14ac:dyDescent="0.25">
      <c r="B272" s="32">
        <v>260</v>
      </c>
      <c r="C272" s="229" t="s">
        <v>860</v>
      </c>
      <c r="D272" s="229"/>
      <c r="E272" s="229"/>
      <c r="F272" s="229"/>
      <c r="G272" s="229"/>
      <c r="H272" s="229"/>
      <c r="I272" s="229"/>
      <c r="J272" s="59" t="s">
        <v>1870</v>
      </c>
      <c r="K272" s="46">
        <v>31480000</v>
      </c>
      <c r="L272" s="2">
        <v>44378</v>
      </c>
      <c r="M272" s="32" t="s">
        <v>3923</v>
      </c>
      <c r="N272" s="32" t="s">
        <v>1871</v>
      </c>
      <c r="O272" s="51" t="s">
        <v>1872</v>
      </c>
      <c r="P272" s="52" t="s">
        <v>1873</v>
      </c>
    </row>
    <row r="273" spans="2:16" x14ac:dyDescent="0.25">
      <c r="B273" s="32">
        <v>261</v>
      </c>
      <c r="C273" s="229" t="s">
        <v>1949</v>
      </c>
      <c r="D273" s="229"/>
      <c r="E273" s="229"/>
      <c r="F273" s="229"/>
      <c r="G273" s="229"/>
      <c r="H273" s="229"/>
      <c r="I273" s="229"/>
      <c r="J273" s="59" t="s">
        <v>805</v>
      </c>
      <c r="K273" s="46">
        <v>15400000</v>
      </c>
      <c r="L273" s="2">
        <v>44378</v>
      </c>
      <c r="M273" s="2"/>
      <c r="N273" s="32" t="s">
        <v>1405</v>
      </c>
      <c r="O273" s="51" t="s">
        <v>639</v>
      </c>
      <c r="P273" s="52" t="s">
        <v>1326</v>
      </c>
    </row>
    <row r="274" spans="2:16" x14ac:dyDescent="0.25">
      <c r="B274" s="32">
        <v>262</v>
      </c>
      <c r="C274" s="229" t="s">
        <v>1950</v>
      </c>
      <c r="D274" s="229"/>
      <c r="E274" s="229"/>
      <c r="F274" s="229"/>
      <c r="G274" s="229"/>
      <c r="H274" s="229"/>
      <c r="I274" s="229"/>
      <c r="J274" s="59" t="s">
        <v>1934</v>
      </c>
      <c r="K274" s="46">
        <v>12950000</v>
      </c>
      <c r="L274" s="2">
        <v>44378</v>
      </c>
      <c r="M274" s="32"/>
      <c r="N274" s="32">
        <v>3232912713</v>
      </c>
      <c r="O274" s="51" t="s">
        <v>1935</v>
      </c>
      <c r="P274" s="52" t="s">
        <v>1936</v>
      </c>
    </row>
    <row r="275" spans="2:16" x14ac:dyDescent="0.25">
      <c r="B275" s="32">
        <v>263</v>
      </c>
      <c r="C275" s="229" t="s">
        <v>1951</v>
      </c>
      <c r="D275" s="229"/>
      <c r="E275" s="229"/>
      <c r="F275" s="229"/>
      <c r="G275" s="229"/>
      <c r="H275" s="229"/>
      <c r="I275" s="229"/>
      <c r="J275" s="59" t="s">
        <v>1952</v>
      </c>
      <c r="K275" s="46">
        <v>2700000</v>
      </c>
      <c r="L275" s="2">
        <v>44379</v>
      </c>
      <c r="M275" s="32"/>
      <c r="N275" s="32" t="s">
        <v>1953</v>
      </c>
      <c r="O275" s="51" t="s">
        <v>1954</v>
      </c>
      <c r="P275" s="38" t="s">
        <v>1955</v>
      </c>
    </row>
    <row r="276" spans="2:16" x14ac:dyDescent="0.25">
      <c r="B276" s="32">
        <v>264</v>
      </c>
      <c r="C276" s="229" t="s">
        <v>1956</v>
      </c>
      <c r="D276" s="229"/>
      <c r="E276" s="229"/>
      <c r="F276" s="229"/>
      <c r="G276" s="229"/>
      <c r="H276" s="229"/>
      <c r="I276" s="229"/>
      <c r="J276" s="59" t="s">
        <v>1139</v>
      </c>
      <c r="K276" s="46">
        <v>2700000</v>
      </c>
      <c r="L276" s="2">
        <v>44379</v>
      </c>
      <c r="M276" s="32"/>
      <c r="N276" s="32" t="s">
        <v>1957</v>
      </c>
      <c r="O276" s="51" t="s">
        <v>1958</v>
      </c>
      <c r="P276" s="38" t="s">
        <v>1959</v>
      </c>
    </row>
    <row r="277" spans="2:16" x14ac:dyDescent="0.25">
      <c r="B277" s="32">
        <v>265</v>
      </c>
      <c r="C277" s="229" t="s">
        <v>1960</v>
      </c>
      <c r="D277" s="229"/>
      <c r="E277" s="229"/>
      <c r="F277" s="229"/>
      <c r="G277" s="229"/>
      <c r="H277" s="229"/>
      <c r="I277" s="229"/>
      <c r="J277" s="59" t="s">
        <v>702</v>
      </c>
      <c r="K277" s="46">
        <v>1250000</v>
      </c>
      <c r="L277" s="2">
        <v>44379</v>
      </c>
      <c r="M277" s="32" t="s">
        <v>3923</v>
      </c>
      <c r="N277" s="32">
        <v>3104165783</v>
      </c>
      <c r="O277" s="51" t="s">
        <v>242</v>
      </c>
      <c r="P277" s="38" t="s">
        <v>917</v>
      </c>
    </row>
    <row r="278" spans="2:16" x14ac:dyDescent="0.25">
      <c r="B278" s="32">
        <v>266</v>
      </c>
      <c r="C278" s="229" t="s">
        <v>1961</v>
      </c>
      <c r="D278" s="229"/>
      <c r="E278" s="229"/>
      <c r="F278" s="229"/>
      <c r="G278" s="229"/>
      <c r="H278" s="229"/>
      <c r="I278" s="229"/>
      <c r="J278" s="59" t="s">
        <v>702</v>
      </c>
      <c r="K278" s="46">
        <v>1630000</v>
      </c>
      <c r="L278" s="2">
        <v>44380</v>
      </c>
      <c r="M278" s="32" t="s">
        <v>3923</v>
      </c>
      <c r="N278" s="32">
        <v>3137546144</v>
      </c>
      <c r="O278" s="51" t="s">
        <v>186</v>
      </c>
      <c r="P278" s="38" t="s">
        <v>740</v>
      </c>
    </row>
    <row r="279" spans="2:16" x14ac:dyDescent="0.25">
      <c r="B279" s="32">
        <v>267</v>
      </c>
      <c r="C279" s="229" t="s">
        <v>1962</v>
      </c>
      <c r="D279" s="229"/>
      <c r="E279" s="229"/>
      <c r="F279" s="229"/>
      <c r="G279" s="229"/>
      <c r="H279" s="229"/>
      <c r="I279" s="229"/>
      <c r="J279" s="59" t="s">
        <v>702</v>
      </c>
      <c r="K279" s="46">
        <v>5420000</v>
      </c>
      <c r="L279" s="2">
        <v>44380</v>
      </c>
      <c r="M279" s="32"/>
      <c r="N279" s="32">
        <v>3137546144</v>
      </c>
      <c r="O279" s="51" t="s">
        <v>186</v>
      </c>
      <c r="P279" s="38" t="s">
        <v>740</v>
      </c>
    </row>
    <row r="280" spans="2:16" x14ac:dyDescent="0.25">
      <c r="B280" s="32">
        <v>268</v>
      </c>
      <c r="C280" s="229" t="s">
        <v>1963</v>
      </c>
      <c r="D280" s="229"/>
      <c r="E280" s="229"/>
      <c r="F280" s="229"/>
      <c r="G280" s="229"/>
      <c r="H280" s="229"/>
      <c r="I280" s="229"/>
      <c r="J280" s="59" t="s">
        <v>1964</v>
      </c>
      <c r="K280" s="46"/>
      <c r="L280" s="2">
        <v>44383</v>
      </c>
      <c r="M280" s="32"/>
      <c r="N280" s="32">
        <v>3007383243</v>
      </c>
      <c r="O280" s="51" t="s">
        <v>1965</v>
      </c>
      <c r="P280" s="52" t="s">
        <v>1966</v>
      </c>
    </row>
    <row r="281" spans="2:16" x14ac:dyDescent="0.25">
      <c r="B281" s="32">
        <v>269</v>
      </c>
      <c r="C281" s="229" t="s">
        <v>1967</v>
      </c>
      <c r="D281" s="229"/>
      <c r="E281" s="229"/>
      <c r="F281" s="229"/>
      <c r="G281" s="229"/>
      <c r="H281" s="229"/>
      <c r="I281" s="229"/>
      <c r="J281" s="59" t="s">
        <v>702</v>
      </c>
      <c r="K281" s="46">
        <v>8780000</v>
      </c>
      <c r="L281" s="2">
        <v>44383</v>
      </c>
      <c r="M281" s="32"/>
      <c r="N281" s="32">
        <v>3104278593</v>
      </c>
      <c r="O281" s="51" t="s">
        <v>578</v>
      </c>
      <c r="P281" s="38" t="s">
        <v>1968</v>
      </c>
    </row>
    <row r="282" spans="2:16" x14ac:dyDescent="0.25">
      <c r="B282" s="32">
        <v>270</v>
      </c>
      <c r="C282" s="229" t="s">
        <v>1969</v>
      </c>
      <c r="D282" s="229"/>
      <c r="E282" s="229"/>
      <c r="F282" s="229"/>
      <c r="G282" s="229"/>
      <c r="H282" s="229"/>
      <c r="I282" s="229"/>
      <c r="J282" s="59" t="s">
        <v>702</v>
      </c>
      <c r="K282" s="46">
        <v>1500000</v>
      </c>
      <c r="L282" s="2">
        <v>44383</v>
      </c>
      <c r="M282" s="32"/>
      <c r="N282" s="32">
        <v>3104278593</v>
      </c>
      <c r="O282" s="51" t="s">
        <v>578</v>
      </c>
      <c r="P282" s="38" t="s">
        <v>1968</v>
      </c>
    </row>
    <row r="283" spans="2:16" x14ac:dyDescent="0.25">
      <c r="B283" s="32">
        <v>271</v>
      </c>
      <c r="C283" s="229" t="s">
        <v>1970</v>
      </c>
      <c r="D283" s="229"/>
      <c r="E283" s="229"/>
      <c r="F283" s="229"/>
      <c r="G283" s="229"/>
      <c r="H283" s="229"/>
      <c r="I283" s="229"/>
      <c r="J283" s="59" t="s">
        <v>702</v>
      </c>
      <c r="K283" s="46">
        <v>1000000</v>
      </c>
      <c r="L283" s="2">
        <v>44383</v>
      </c>
      <c r="M283" s="32" t="s">
        <v>3923</v>
      </c>
      <c r="N283" s="32">
        <v>3137546144</v>
      </c>
      <c r="O283" s="51" t="s">
        <v>186</v>
      </c>
      <c r="P283" s="38" t="s">
        <v>740</v>
      </c>
    </row>
    <row r="284" spans="2:16" x14ac:dyDescent="0.25">
      <c r="B284" s="32">
        <v>272</v>
      </c>
      <c r="C284" s="229" t="s">
        <v>1971</v>
      </c>
      <c r="D284" s="229"/>
      <c r="E284" s="229"/>
      <c r="F284" s="229"/>
      <c r="G284" s="229"/>
      <c r="H284" s="229"/>
      <c r="I284" s="229"/>
      <c r="J284" s="59" t="s">
        <v>1129</v>
      </c>
      <c r="K284" s="46">
        <v>1500000</v>
      </c>
      <c r="L284" s="2">
        <v>44383</v>
      </c>
      <c r="M284" s="32"/>
      <c r="N284" s="32" t="s">
        <v>1691</v>
      </c>
      <c r="O284" s="51" t="s">
        <v>1130</v>
      </c>
      <c r="P284" s="52" t="s">
        <v>1692</v>
      </c>
    </row>
    <row r="285" spans="2:16" x14ac:dyDescent="0.25">
      <c r="B285" s="32">
        <v>273</v>
      </c>
      <c r="C285" s="229" t="s">
        <v>1972</v>
      </c>
      <c r="D285" s="229"/>
      <c r="E285" s="229"/>
      <c r="F285" s="229"/>
      <c r="G285" s="229"/>
      <c r="H285" s="229"/>
      <c r="I285" s="229"/>
      <c r="J285" s="59" t="s">
        <v>747</v>
      </c>
      <c r="K285" s="46">
        <v>3600000</v>
      </c>
      <c r="L285" s="2">
        <v>44383</v>
      </c>
      <c r="M285" s="32"/>
      <c r="N285" s="32">
        <v>3175594091</v>
      </c>
      <c r="O285" s="51" t="s">
        <v>496</v>
      </c>
      <c r="P285" s="38" t="s">
        <v>748</v>
      </c>
    </row>
    <row r="286" spans="2:16" x14ac:dyDescent="0.25">
      <c r="B286" s="32">
        <v>274</v>
      </c>
      <c r="C286" s="229" t="s">
        <v>1973</v>
      </c>
      <c r="D286" s="229"/>
      <c r="E286" s="229"/>
      <c r="F286" s="229"/>
      <c r="G286" s="229"/>
      <c r="H286" s="229"/>
      <c r="I286" s="229"/>
      <c r="J286" s="59" t="s">
        <v>702</v>
      </c>
      <c r="K286" s="46">
        <v>9400000</v>
      </c>
      <c r="L286" s="2">
        <v>44384</v>
      </c>
      <c r="M286" s="32"/>
      <c r="N286" s="32" t="s">
        <v>1974</v>
      </c>
      <c r="O286" s="51" t="s">
        <v>1975</v>
      </c>
      <c r="P286" s="52" t="s">
        <v>1976</v>
      </c>
    </row>
    <row r="287" spans="2:16" x14ac:dyDescent="0.25">
      <c r="B287" s="32">
        <v>275</v>
      </c>
      <c r="C287" s="229" t="s">
        <v>1977</v>
      </c>
      <c r="D287" s="229"/>
      <c r="E287" s="229"/>
      <c r="F287" s="229"/>
      <c r="G287" s="229"/>
      <c r="H287" s="229"/>
      <c r="I287" s="229"/>
      <c r="J287" s="59" t="s">
        <v>702</v>
      </c>
      <c r="K287" s="46">
        <v>16930000</v>
      </c>
      <c r="L287" s="2">
        <v>44384</v>
      </c>
      <c r="M287" s="32"/>
      <c r="N287" s="32" t="s">
        <v>1978</v>
      </c>
      <c r="O287" s="51" t="s">
        <v>505</v>
      </c>
      <c r="P287" s="52" t="s">
        <v>1979</v>
      </c>
    </row>
    <row r="288" spans="2:16" x14ac:dyDescent="0.25">
      <c r="B288" s="32">
        <v>276</v>
      </c>
      <c r="C288" s="229" t="s">
        <v>1980</v>
      </c>
      <c r="D288" s="229"/>
      <c r="E288" s="229"/>
      <c r="F288" s="229"/>
      <c r="G288" s="229"/>
      <c r="H288" s="229"/>
      <c r="I288" s="229"/>
      <c r="J288" s="59" t="s">
        <v>1480</v>
      </c>
      <c r="K288" s="46">
        <v>21950000</v>
      </c>
      <c r="L288" s="2">
        <v>44384</v>
      </c>
      <c r="M288" s="32"/>
      <c r="N288" s="32" t="s">
        <v>1600</v>
      </c>
      <c r="O288" s="51" t="s">
        <v>1601</v>
      </c>
      <c r="P288" s="52" t="s">
        <v>1602</v>
      </c>
    </row>
    <row r="289" spans="2:16" x14ac:dyDescent="0.25">
      <c r="B289" s="32">
        <v>277</v>
      </c>
      <c r="C289" s="229" t="s">
        <v>1981</v>
      </c>
      <c r="D289" s="229"/>
      <c r="E289" s="229"/>
      <c r="F289" s="229"/>
      <c r="G289" s="229"/>
      <c r="H289" s="229"/>
      <c r="I289" s="229"/>
      <c r="J289" s="59" t="s">
        <v>1982</v>
      </c>
      <c r="K289" s="46">
        <v>11910000</v>
      </c>
      <c r="L289" s="2">
        <v>44384</v>
      </c>
      <c r="M289" s="32"/>
      <c r="N289" s="32" t="s">
        <v>1983</v>
      </c>
      <c r="O289" s="51" t="s">
        <v>1984</v>
      </c>
      <c r="P289" s="52" t="s">
        <v>1985</v>
      </c>
    </row>
    <row r="290" spans="2:16" x14ac:dyDescent="0.25">
      <c r="B290" s="32">
        <v>278</v>
      </c>
      <c r="C290" s="229" t="s">
        <v>1986</v>
      </c>
      <c r="D290" s="229"/>
      <c r="E290" s="229"/>
      <c r="F290" s="229"/>
      <c r="G290" s="229"/>
      <c r="H290" s="229"/>
      <c r="I290" s="229"/>
      <c r="J290" s="59" t="s">
        <v>702</v>
      </c>
      <c r="K290" s="46">
        <v>900000</v>
      </c>
      <c r="L290" s="2">
        <v>44385</v>
      </c>
      <c r="M290" s="2" t="s">
        <v>3923</v>
      </c>
      <c r="N290" s="32">
        <v>3104680508</v>
      </c>
      <c r="O290" s="51" t="s">
        <v>212</v>
      </c>
      <c r="P290" s="38" t="s">
        <v>703</v>
      </c>
    </row>
    <row r="291" spans="2:16" x14ac:dyDescent="0.25">
      <c r="B291" s="32">
        <v>279</v>
      </c>
      <c r="C291" s="229" t="s">
        <v>1987</v>
      </c>
      <c r="D291" s="229"/>
      <c r="E291" s="229"/>
      <c r="F291" s="229"/>
      <c r="G291" s="229"/>
      <c r="H291" s="229"/>
      <c r="I291" s="229"/>
      <c r="J291" s="59" t="s">
        <v>1896</v>
      </c>
      <c r="K291" s="46">
        <v>1990000</v>
      </c>
      <c r="L291" s="2">
        <v>44385</v>
      </c>
      <c r="M291" s="32"/>
      <c r="N291" s="32" t="s">
        <v>1897</v>
      </c>
      <c r="O291" s="51" t="s">
        <v>1898</v>
      </c>
      <c r="P291" s="38" t="s">
        <v>1899</v>
      </c>
    </row>
    <row r="292" spans="2:16" x14ac:dyDescent="0.25">
      <c r="B292" s="32">
        <v>280</v>
      </c>
      <c r="C292" s="229" t="s">
        <v>1987</v>
      </c>
      <c r="D292" s="229"/>
      <c r="E292" s="229"/>
      <c r="F292" s="229"/>
      <c r="G292" s="229"/>
      <c r="H292" s="229"/>
      <c r="I292" s="229"/>
      <c r="J292" s="59" t="s">
        <v>702</v>
      </c>
      <c r="K292" s="46">
        <v>1990000</v>
      </c>
      <c r="L292" s="2">
        <v>44385</v>
      </c>
      <c r="M292" s="32" t="s">
        <v>3923</v>
      </c>
      <c r="N292" s="32">
        <v>3104680508</v>
      </c>
      <c r="O292" s="51" t="s">
        <v>212</v>
      </c>
      <c r="P292" s="38" t="s">
        <v>703</v>
      </c>
    </row>
    <row r="293" spans="2:16" ht="15" customHeight="1" x14ac:dyDescent="0.25">
      <c r="B293" s="32">
        <v>281</v>
      </c>
      <c r="C293" s="229" t="s">
        <v>1971</v>
      </c>
      <c r="D293" s="229"/>
      <c r="E293" s="229"/>
      <c r="F293" s="229"/>
      <c r="G293" s="229"/>
      <c r="H293" s="229"/>
      <c r="I293" s="229"/>
      <c r="J293" s="59" t="s">
        <v>702</v>
      </c>
      <c r="K293" s="46">
        <v>1500000</v>
      </c>
      <c r="L293" s="2">
        <v>44385</v>
      </c>
      <c r="M293" s="32"/>
      <c r="N293" s="32">
        <v>3104165783</v>
      </c>
      <c r="O293" s="51" t="s">
        <v>242</v>
      </c>
      <c r="P293" s="38" t="s">
        <v>917</v>
      </c>
    </row>
    <row r="294" spans="2:16" x14ac:dyDescent="0.25">
      <c r="B294" s="32">
        <v>282</v>
      </c>
      <c r="C294" s="229" t="s">
        <v>1988</v>
      </c>
      <c r="D294" s="229"/>
      <c r="E294" s="229"/>
      <c r="F294" s="229"/>
      <c r="G294" s="229"/>
      <c r="H294" s="229"/>
      <c r="I294" s="229"/>
      <c r="J294" s="59" t="s">
        <v>702</v>
      </c>
      <c r="K294" s="46">
        <v>1500001</v>
      </c>
      <c r="L294" s="2">
        <v>44385</v>
      </c>
      <c r="M294" s="32"/>
      <c r="N294" s="32">
        <v>3104165783</v>
      </c>
      <c r="O294" s="51" t="s">
        <v>242</v>
      </c>
      <c r="P294" s="38" t="s">
        <v>917</v>
      </c>
    </row>
    <row r="295" spans="2:16" x14ac:dyDescent="0.25">
      <c r="B295" s="32">
        <v>283</v>
      </c>
      <c r="C295" s="229" t="s">
        <v>1989</v>
      </c>
      <c r="D295" s="229"/>
      <c r="E295" s="229"/>
      <c r="F295" s="229"/>
      <c r="G295" s="229"/>
      <c r="H295" s="229"/>
      <c r="I295" s="229"/>
      <c r="J295" s="59" t="s">
        <v>712</v>
      </c>
      <c r="K295" s="46">
        <v>2990000</v>
      </c>
      <c r="L295" s="2">
        <v>44385</v>
      </c>
      <c r="M295" s="32"/>
      <c r="N295" s="32">
        <v>3137851941</v>
      </c>
      <c r="O295" s="51" t="s">
        <v>192</v>
      </c>
      <c r="P295" s="38" t="s">
        <v>713</v>
      </c>
    </row>
    <row r="296" spans="2:16" x14ac:dyDescent="0.25">
      <c r="B296" s="32">
        <v>284</v>
      </c>
      <c r="C296" s="229" t="s">
        <v>1990</v>
      </c>
      <c r="D296" s="229"/>
      <c r="E296" s="229"/>
      <c r="F296" s="229"/>
      <c r="G296" s="229"/>
      <c r="H296" s="229"/>
      <c r="I296" s="229"/>
      <c r="J296" s="59" t="s">
        <v>1991</v>
      </c>
      <c r="K296" s="46">
        <v>5420000</v>
      </c>
      <c r="L296" s="2">
        <v>44386</v>
      </c>
      <c r="M296" s="32"/>
      <c r="N296" s="32" t="s">
        <v>1992</v>
      </c>
      <c r="O296" s="51" t="s">
        <v>1993</v>
      </c>
      <c r="P296" s="52" t="s">
        <v>1994</v>
      </c>
    </row>
    <row r="297" spans="2:16" x14ac:dyDescent="0.25">
      <c r="B297" s="32">
        <v>285</v>
      </c>
      <c r="C297" s="229" t="s">
        <v>1888</v>
      </c>
      <c r="D297" s="229"/>
      <c r="E297" s="229"/>
      <c r="F297" s="229"/>
      <c r="G297" s="229"/>
      <c r="H297" s="229"/>
      <c r="I297" s="229"/>
      <c r="J297" s="59" t="s">
        <v>1995</v>
      </c>
      <c r="K297" s="46">
        <v>24550000</v>
      </c>
      <c r="L297" s="2">
        <v>44387</v>
      </c>
      <c r="M297" s="32"/>
      <c r="N297" s="32" t="s">
        <v>1996</v>
      </c>
      <c r="O297" s="51" t="s">
        <v>1997</v>
      </c>
      <c r="P297" s="52" t="s">
        <v>1998</v>
      </c>
    </row>
    <row r="298" spans="2:16" x14ac:dyDescent="0.25">
      <c r="B298" s="32">
        <v>286</v>
      </c>
      <c r="C298" s="229" t="s">
        <v>1999</v>
      </c>
      <c r="D298" s="229"/>
      <c r="E298" s="229"/>
      <c r="F298" s="229"/>
      <c r="G298" s="229"/>
      <c r="H298" s="229"/>
      <c r="I298" s="229"/>
      <c r="J298" s="59" t="s">
        <v>2000</v>
      </c>
      <c r="K298" s="46">
        <v>9400000</v>
      </c>
      <c r="L298" s="2">
        <v>44387</v>
      </c>
      <c r="M298" s="32"/>
      <c r="N298" s="32" t="s">
        <v>2001</v>
      </c>
      <c r="O298" s="51" t="s">
        <v>2002</v>
      </c>
      <c r="P298" s="52"/>
    </row>
    <row r="299" spans="2:16" x14ac:dyDescent="0.25">
      <c r="B299" s="32">
        <v>287</v>
      </c>
      <c r="C299" s="229" t="s">
        <v>2003</v>
      </c>
      <c r="D299" s="229"/>
      <c r="E299" s="229"/>
      <c r="F299" s="229"/>
      <c r="G299" s="229"/>
      <c r="H299" s="229"/>
      <c r="I299" s="229"/>
      <c r="J299" s="59" t="s">
        <v>702</v>
      </c>
      <c r="K299" s="46">
        <v>1250000</v>
      </c>
      <c r="L299" s="2">
        <v>44389</v>
      </c>
      <c r="M299" s="2" t="s">
        <v>3923</v>
      </c>
      <c r="N299" s="32">
        <v>3104680508</v>
      </c>
      <c r="O299" s="51" t="s">
        <v>212</v>
      </c>
      <c r="P299" s="38" t="s">
        <v>703</v>
      </c>
    </row>
    <row r="300" spans="2:16" x14ac:dyDescent="0.25">
      <c r="B300" s="32">
        <v>288</v>
      </c>
      <c r="C300" s="229" t="s">
        <v>2004</v>
      </c>
      <c r="D300" s="229"/>
      <c r="E300" s="229"/>
      <c r="F300" s="229"/>
      <c r="G300" s="229"/>
      <c r="H300" s="229"/>
      <c r="I300" s="229"/>
      <c r="J300" s="59" t="s">
        <v>1218</v>
      </c>
      <c r="K300" s="46">
        <v>2850000</v>
      </c>
      <c r="L300" s="2">
        <v>44390</v>
      </c>
      <c r="M300" s="32" t="s">
        <v>3923</v>
      </c>
      <c r="N300" s="32" t="s">
        <v>1642</v>
      </c>
      <c r="O300" s="51" t="s">
        <v>1643</v>
      </c>
      <c r="P300" s="52" t="s">
        <v>1644</v>
      </c>
    </row>
    <row r="301" spans="2:16" x14ac:dyDescent="0.25">
      <c r="B301" s="32">
        <v>289</v>
      </c>
      <c r="C301" s="229" t="s">
        <v>2005</v>
      </c>
      <c r="D301" s="229"/>
      <c r="E301" s="229"/>
      <c r="F301" s="229"/>
      <c r="G301" s="229"/>
      <c r="H301" s="229"/>
      <c r="I301" s="229"/>
      <c r="J301" s="59" t="s">
        <v>702</v>
      </c>
      <c r="K301" s="46">
        <v>1250000</v>
      </c>
      <c r="L301" s="2">
        <v>44391</v>
      </c>
      <c r="M301" s="2" t="s">
        <v>3923</v>
      </c>
      <c r="N301" s="32">
        <v>3104680508</v>
      </c>
      <c r="O301" s="51" t="s">
        <v>212</v>
      </c>
      <c r="P301" s="38" t="s">
        <v>703</v>
      </c>
    </row>
    <row r="302" spans="2:16" x14ac:dyDescent="0.25">
      <c r="B302" s="32">
        <v>290</v>
      </c>
      <c r="C302" s="229" t="s">
        <v>2006</v>
      </c>
      <c r="D302" s="229"/>
      <c r="E302" s="229"/>
      <c r="F302" s="229"/>
      <c r="G302" s="229"/>
      <c r="H302" s="229"/>
      <c r="I302" s="229"/>
      <c r="J302" s="59" t="s">
        <v>702</v>
      </c>
      <c r="K302" s="46">
        <v>500000</v>
      </c>
      <c r="L302" s="2">
        <v>44391</v>
      </c>
      <c r="M302" s="32" t="s">
        <v>3923</v>
      </c>
      <c r="N302" s="32">
        <v>3137546144</v>
      </c>
      <c r="O302" s="51" t="s">
        <v>186</v>
      </c>
      <c r="P302" s="38" t="s">
        <v>740</v>
      </c>
    </row>
    <row r="303" spans="2:16" x14ac:dyDescent="0.25">
      <c r="B303" s="32">
        <v>291</v>
      </c>
      <c r="C303" s="229" t="s">
        <v>2007</v>
      </c>
      <c r="D303" s="229"/>
      <c r="E303" s="229"/>
      <c r="F303" s="229"/>
      <c r="G303" s="229"/>
      <c r="H303" s="229"/>
      <c r="I303" s="229"/>
      <c r="J303" s="59" t="s">
        <v>702</v>
      </c>
      <c r="K303" s="46">
        <v>1500000</v>
      </c>
      <c r="L303" s="2">
        <v>44392</v>
      </c>
      <c r="M303" s="32"/>
      <c r="N303" s="32" t="s">
        <v>1974</v>
      </c>
      <c r="O303" s="51" t="s">
        <v>1975</v>
      </c>
      <c r="P303" s="52" t="s">
        <v>1976</v>
      </c>
    </row>
    <row r="304" spans="2:16" x14ac:dyDescent="0.25">
      <c r="B304" s="32">
        <v>292</v>
      </c>
      <c r="C304" s="229" t="s">
        <v>2008</v>
      </c>
      <c r="D304" s="229"/>
      <c r="E304" s="229"/>
      <c r="F304" s="229"/>
      <c r="G304" s="229"/>
      <c r="H304" s="229"/>
      <c r="I304" s="229"/>
      <c r="J304" s="59" t="s">
        <v>2009</v>
      </c>
      <c r="K304" s="46">
        <v>18790000</v>
      </c>
      <c r="L304" s="2">
        <v>44394</v>
      </c>
      <c r="M304" s="32"/>
      <c r="N304" s="32">
        <v>3104962713</v>
      </c>
      <c r="O304" s="51" t="s">
        <v>2010</v>
      </c>
      <c r="P304" s="52" t="s">
        <v>2011</v>
      </c>
    </row>
    <row r="305" spans="2:16" x14ac:dyDescent="0.25">
      <c r="B305" s="32">
        <v>293</v>
      </c>
      <c r="C305" s="229" t="s">
        <v>2012</v>
      </c>
      <c r="D305" s="229"/>
      <c r="E305" s="229"/>
      <c r="F305" s="229"/>
      <c r="G305" s="229"/>
      <c r="H305" s="229"/>
      <c r="I305" s="229"/>
      <c r="J305" s="59" t="s">
        <v>702</v>
      </c>
      <c r="K305" s="46">
        <v>1630000</v>
      </c>
      <c r="L305" s="2">
        <v>44394</v>
      </c>
      <c r="M305" s="32" t="s">
        <v>3923</v>
      </c>
      <c r="N305" s="32">
        <v>3103898043</v>
      </c>
      <c r="O305" s="51" t="s">
        <v>1237</v>
      </c>
      <c r="P305" s="38" t="s">
        <v>1238</v>
      </c>
    </row>
    <row r="306" spans="2:16" x14ac:dyDescent="0.25">
      <c r="B306" s="32">
        <v>294</v>
      </c>
      <c r="C306" s="229" t="s">
        <v>2013</v>
      </c>
      <c r="D306" s="229"/>
      <c r="E306" s="229"/>
      <c r="F306" s="229"/>
      <c r="G306" s="229"/>
      <c r="H306" s="229"/>
      <c r="I306" s="229"/>
      <c r="J306" s="59" t="s">
        <v>712</v>
      </c>
      <c r="K306" s="46">
        <v>3500000</v>
      </c>
      <c r="L306" s="2">
        <v>44394</v>
      </c>
      <c r="M306" s="32"/>
      <c r="N306" s="32">
        <v>3137851941</v>
      </c>
      <c r="O306" s="51" t="s">
        <v>192</v>
      </c>
      <c r="P306" s="38" t="s">
        <v>713</v>
      </c>
    </row>
    <row r="307" spans="2:16" x14ac:dyDescent="0.25">
      <c r="B307" s="32">
        <v>295</v>
      </c>
      <c r="C307" s="229" t="s">
        <v>2014</v>
      </c>
      <c r="D307" s="229"/>
      <c r="E307" s="229"/>
      <c r="F307" s="229"/>
      <c r="G307" s="229"/>
      <c r="H307" s="229"/>
      <c r="I307" s="229"/>
      <c r="J307" s="59" t="s">
        <v>702</v>
      </c>
      <c r="K307" s="46">
        <v>1000000</v>
      </c>
      <c r="L307" s="2">
        <v>44394</v>
      </c>
      <c r="M307" s="32"/>
      <c r="N307" s="32">
        <v>3137546144</v>
      </c>
      <c r="O307" s="51" t="s">
        <v>186</v>
      </c>
      <c r="P307" s="38" t="s">
        <v>740</v>
      </c>
    </row>
    <row r="308" spans="2:16" x14ac:dyDescent="0.25">
      <c r="B308" s="32">
        <v>296</v>
      </c>
      <c r="C308" s="263" t="s">
        <v>2015</v>
      </c>
      <c r="D308" s="229"/>
      <c r="E308" s="229"/>
      <c r="F308" s="229"/>
      <c r="G308" s="229"/>
      <c r="H308" s="229"/>
      <c r="I308" s="229"/>
      <c r="J308" s="59" t="s">
        <v>702</v>
      </c>
      <c r="K308" s="46">
        <v>1500000</v>
      </c>
      <c r="L308" s="2">
        <v>44394</v>
      </c>
      <c r="M308" s="32"/>
      <c r="N308" s="32">
        <v>3137546144</v>
      </c>
      <c r="O308" s="51" t="s">
        <v>186</v>
      </c>
      <c r="P308" s="38" t="s">
        <v>740</v>
      </c>
    </row>
    <row r="309" spans="2:16" x14ac:dyDescent="0.25">
      <c r="B309" s="32">
        <v>297</v>
      </c>
      <c r="C309" s="229" t="s">
        <v>2016</v>
      </c>
      <c r="D309" s="229"/>
      <c r="E309" s="229"/>
      <c r="F309" s="229"/>
      <c r="G309" s="229"/>
      <c r="H309" s="229"/>
      <c r="I309" s="229"/>
      <c r="J309" s="59" t="s">
        <v>702</v>
      </c>
      <c r="K309" s="1">
        <v>4990000</v>
      </c>
      <c r="L309" s="2">
        <v>44394</v>
      </c>
      <c r="M309" s="32"/>
      <c r="N309" s="32">
        <v>3104203649</v>
      </c>
      <c r="O309" s="51" t="s">
        <v>1257</v>
      </c>
      <c r="P309" s="38" t="s">
        <v>1258</v>
      </c>
    </row>
    <row r="310" spans="2:16" x14ac:dyDescent="0.25">
      <c r="B310" s="32">
        <v>298</v>
      </c>
      <c r="C310" s="229" t="s">
        <v>2017</v>
      </c>
      <c r="D310" s="229"/>
      <c r="E310" s="229"/>
      <c r="F310" s="229"/>
      <c r="G310" s="229"/>
      <c r="H310" s="229"/>
      <c r="I310" s="229"/>
      <c r="J310" s="59" t="s">
        <v>2009</v>
      </c>
      <c r="K310" s="46">
        <v>65000000</v>
      </c>
      <c r="L310" s="2">
        <v>44396</v>
      </c>
      <c r="M310" s="32"/>
      <c r="N310" s="32">
        <v>3104962713</v>
      </c>
      <c r="O310" s="51" t="s">
        <v>2010</v>
      </c>
      <c r="P310" s="52" t="s">
        <v>2011</v>
      </c>
    </row>
    <row r="311" spans="2:16" ht="15.75" thickBot="1" x14ac:dyDescent="0.3">
      <c r="B311" s="68">
        <v>299</v>
      </c>
      <c r="C311" s="263" t="s">
        <v>2018</v>
      </c>
      <c r="D311" s="229"/>
      <c r="E311" s="229"/>
      <c r="F311" s="229"/>
      <c r="G311" s="229"/>
      <c r="H311" s="229"/>
      <c r="I311" s="229"/>
      <c r="J311" s="59" t="s">
        <v>702</v>
      </c>
      <c r="K311" s="46">
        <v>1200000</v>
      </c>
      <c r="L311" s="2">
        <v>44392</v>
      </c>
      <c r="M311" s="32"/>
      <c r="N311" s="32" t="s">
        <v>1974</v>
      </c>
      <c r="O311" s="51" t="s">
        <v>1975</v>
      </c>
      <c r="P311" s="52" t="s">
        <v>1976</v>
      </c>
    </row>
    <row r="312" spans="2:16" x14ac:dyDescent="0.25">
      <c r="B312" s="67">
        <v>300</v>
      </c>
      <c r="C312" s="229" t="s">
        <v>2019</v>
      </c>
      <c r="D312" s="229"/>
      <c r="E312" s="229"/>
      <c r="F312" s="229"/>
      <c r="G312" s="229"/>
      <c r="H312" s="229"/>
      <c r="I312" s="229"/>
      <c r="J312" s="59" t="s">
        <v>1439</v>
      </c>
      <c r="K312" s="46">
        <v>20950000</v>
      </c>
      <c r="L312" s="2">
        <v>44399</v>
      </c>
      <c r="M312" s="32" t="s">
        <v>3923</v>
      </c>
      <c r="N312" s="32">
        <v>3104145629</v>
      </c>
      <c r="O312" s="51" t="s">
        <v>2020</v>
      </c>
      <c r="P312" s="52" t="s">
        <v>2021</v>
      </c>
    </row>
    <row r="313" spans="2:16" x14ac:dyDescent="0.25">
      <c r="B313" s="32">
        <v>301</v>
      </c>
      <c r="C313" s="229" t="s">
        <v>2022</v>
      </c>
      <c r="D313" s="229"/>
      <c r="E313" s="229"/>
      <c r="F313" s="229"/>
      <c r="G313" s="229"/>
      <c r="H313" s="229"/>
      <c r="I313" s="229"/>
      <c r="J313" s="64" t="s">
        <v>2023</v>
      </c>
      <c r="K313" s="46">
        <v>1880000</v>
      </c>
      <c r="L313" s="2">
        <v>44399</v>
      </c>
      <c r="M313" s="32"/>
      <c r="N313" s="49"/>
      <c r="O313" s="51" t="s">
        <v>2024</v>
      </c>
      <c r="P313" s="51"/>
    </row>
    <row r="314" spans="2:16" x14ac:dyDescent="0.25">
      <c r="B314" s="32">
        <v>302</v>
      </c>
      <c r="C314" s="229" t="s">
        <v>2025</v>
      </c>
      <c r="D314" s="229"/>
      <c r="E314" s="229"/>
      <c r="F314" s="229"/>
      <c r="G314" s="229"/>
      <c r="H314" s="229"/>
      <c r="I314" s="229"/>
      <c r="J314" s="59" t="s">
        <v>1439</v>
      </c>
      <c r="K314" s="46">
        <v>26950000</v>
      </c>
      <c r="L314" s="2">
        <v>44399</v>
      </c>
      <c r="M314" s="32"/>
      <c r="N314" s="32">
        <v>3014841003</v>
      </c>
      <c r="O314" s="51" t="s">
        <v>680</v>
      </c>
      <c r="P314" s="52" t="s">
        <v>1440</v>
      </c>
    </row>
    <row r="315" spans="2:16" x14ac:dyDescent="0.25">
      <c r="B315" s="32">
        <v>303</v>
      </c>
      <c r="C315" s="229" t="s">
        <v>2026</v>
      </c>
      <c r="D315" s="229"/>
      <c r="E315" s="229"/>
      <c r="F315" s="229"/>
      <c r="G315" s="229"/>
      <c r="H315" s="229"/>
      <c r="I315" s="229"/>
      <c r="J315" s="59" t="s">
        <v>805</v>
      </c>
      <c r="K315" s="46">
        <v>16940000</v>
      </c>
      <c r="L315" s="2">
        <v>44400</v>
      </c>
      <c r="M315" s="32" t="s">
        <v>3923</v>
      </c>
      <c r="N315" s="32" t="s">
        <v>2027</v>
      </c>
      <c r="O315" s="51" t="s">
        <v>1355</v>
      </c>
      <c r="P315" s="38" t="s">
        <v>1356</v>
      </c>
    </row>
    <row r="316" spans="2:16" x14ac:dyDescent="0.25">
      <c r="B316" s="32">
        <v>304</v>
      </c>
      <c r="C316" s="229" t="s">
        <v>2028</v>
      </c>
      <c r="D316" s="229"/>
      <c r="E316" s="229"/>
      <c r="F316" s="229"/>
      <c r="G316" s="229"/>
      <c r="H316" s="229"/>
      <c r="I316" s="229"/>
      <c r="J316" s="59" t="s">
        <v>702</v>
      </c>
      <c r="K316" s="46">
        <v>1250000</v>
      </c>
      <c r="L316" s="2">
        <v>44400</v>
      </c>
      <c r="M316" s="32"/>
      <c r="N316" s="32">
        <v>3104680508</v>
      </c>
      <c r="O316" s="51" t="s">
        <v>212</v>
      </c>
      <c r="P316" s="38" t="s">
        <v>703</v>
      </c>
    </row>
    <row r="317" spans="2:16" ht="15" customHeight="1" x14ac:dyDescent="0.25">
      <c r="B317" s="32">
        <v>305</v>
      </c>
      <c r="C317" s="229" t="s">
        <v>2029</v>
      </c>
      <c r="D317" s="229"/>
      <c r="E317" s="229"/>
      <c r="F317" s="229"/>
      <c r="G317" s="229"/>
      <c r="H317" s="229"/>
      <c r="I317" s="229"/>
      <c r="J317" s="59" t="s">
        <v>2030</v>
      </c>
      <c r="K317" s="46">
        <v>2500000</v>
      </c>
      <c r="L317" s="2">
        <v>44400</v>
      </c>
      <c r="M317" s="32"/>
      <c r="N317" s="49"/>
      <c r="O317" s="51" t="s">
        <v>2031</v>
      </c>
      <c r="P317" s="38" t="s">
        <v>2032</v>
      </c>
    </row>
    <row r="318" spans="2:16" x14ac:dyDescent="0.25">
      <c r="B318" s="32">
        <v>306</v>
      </c>
      <c r="C318" s="229" t="s">
        <v>2033</v>
      </c>
      <c r="D318" s="229"/>
      <c r="E318" s="229"/>
      <c r="F318" s="229"/>
      <c r="G318" s="229"/>
      <c r="H318" s="229"/>
      <c r="I318" s="229"/>
      <c r="J318" s="59" t="s">
        <v>1553</v>
      </c>
      <c r="K318" s="46">
        <v>750000</v>
      </c>
      <c r="L318" s="2">
        <v>44340</v>
      </c>
      <c r="M318" s="2" t="s">
        <v>3923</v>
      </c>
      <c r="N318" s="32">
        <v>3022295773</v>
      </c>
      <c r="O318" s="51" t="s">
        <v>1821</v>
      </c>
      <c r="P318" s="52" t="s">
        <v>1555</v>
      </c>
    </row>
    <row r="319" spans="2:16" x14ac:dyDescent="0.25">
      <c r="B319" s="32">
        <v>307</v>
      </c>
      <c r="C319" s="229" t="s">
        <v>2034</v>
      </c>
      <c r="D319" s="229"/>
      <c r="E319" s="229"/>
      <c r="F319" s="229"/>
      <c r="G319" s="229"/>
      <c r="H319" s="229"/>
      <c r="I319" s="229"/>
      <c r="J319" s="59" t="s">
        <v>702</v>
      </c>
      <c r="K319" s="46">
        <v>1800000</v>
      </c>
      <c r="L319" s="2">
        <v>44403</v>
      </c>
      <c r="M319" s="32" t="s">
        <v>3923</v>
      </c>
      <c r="N319" s="32">
        <v>3104680508</v>
      </c>
      <c r="O319" s="51" t="s">
        <v>212</v>
      </c>
      <c r="P319" s="38" t="s">
        <v>703</v>
      </c>
    </row>
    <row r="320" spans="2:16" x14ac:dyDescent="0.25">
      <c r="B320" s="32">
        <v>308</v>
      </c>
      <c r="C320" s="229" t="s">
        <v>2035</v>
      </c>
      <c r="D320" s="229"/>
      <c r="E320" s="229"/>
      <c r="F320" s="229"/>
      <c r="G320" s="229"/>
      <c r="H320" s="229"/>
      <c r="I320" s="229"/>
      <c r="J320" s="59" t="s">
        <v>702</v>
      </c>
      <c r="K320" s="46">
        <v>17940000</v>
      </c>
      <c r="L320" s="2">
        <v>44403</v>
      </c>
      <c r="M320" s="32"/>
      <c r="N320" s="32" t="s">
        <v>2036</v>
      </c>
      <c r="O320" s="51" t="s">
        <v>2037</v>
      </c>
      <c r="P320" s="38" t="s">
        <v>2038</v>
      </c>
    </row>
    <row r="321" spans="2:16" x14ac:dyDescent="0.25">
      <c r="B321" s="32">
        <v>309</v>
      </c>
      <c r="C321" s="229" t="s">
        <v>2039</v>
      </c>
      <c r="D321" s="229"/>
      <c r="E321" s="229"/>
      <c r="F321" s="229"/>
      <c r="G321" s="229"/>
      <c r="H321" s="229"/>
      <c r="I321" s="229"/>
      <c r="J321" s="59" t="s">
        <v>702</v>
      </c>
      <c r="K321" s="46">
        <v>13170000</v>
      </c>
      <c r="L321" s="2">
        <v>44405</v>
      </c>
      <c r="M321" s="32"/>
      <c r="N321" s="32">
        <v>3104680508</v>
      </c>
      <c r="O321" s="51" t="s">
        <v>212</v>
      </c>
      <c r="P321" s="38" t="s">
        <v>703</v>
      </c>
    </row>
    <row r="322" spans="2:16" x14ac:dyDescent="0.25">
      <c r="B322" s="32">
        <v>310</v>
      </c>
      <c r="C322" s="229" t="s">
        <v>2040</v>
      </c>
      <c r="D322" s="229"/>
      <c r="E322" s="229"/>
      <c r="F322" s="229"/>
      <c r="G322" s="229"/>
      <c r="H322" s="229"/>
      <c r="I322" s="229"/>
      <c r="J322" s="59" t="s">
        <v>1218</v>
      </c>
      <c r="K322" s="46"/>
      <c r="L322" s="2">
        <v>44405</v>
      </c>
      <c r="M322" s="32" t="s">
        <v>3923</v>
      </c>
      <c r="N322" s="32" t="s">
        <v>2041</v>
      </c>
      <c r="O322" s="51" t="s">
        <v>2042</v>
      </c>
      <c r="P322" s="66" t="s">
        <v>2043</v>
      </c>
    </row>
    <row r="323" spans="2:16" x14ac:dyDescent="0.25">
      <c r="B323" s="32">
        <v>311</v>
      </c>
      <c r="C323" s="229" t="s">
        <v>2044</v>
      </c>
      <c r="D323" s="229"/>
      <c r="E323" s="229"/>
      <c r="F323" s="229"/>
      <c r="G323" s="229"/>
      <c r="H323" s="229"/>
      <c r="I323" s="229"/>
      <c r="J323" s="59" t="s">
        <v>747</v>
      </c>
      <c r="K323" s="46">
        <v>11915000</v>
      </c>
      <c r="L323" s="2">
        <v>44405</v>
      </c>
      <c r="M323" s="32"/>
      <c r="N323" s="32">
        <v>3175594091</v>
      </c>
      <c r="O323" s="51" t="s">
        <v>2045</v>
      </c>
      <c r="P323" s="38" t="s">
        <v>748</v>
      </c>
    </row>
    <row r="324" spans="2:16" x14ac:dyDescent="0.25">
      <c r="B324" s="32">
        <v>312</v>
      </c>
      <c r="C324" s="229" t="s">
        <v>2046</v>
      </c>
      <c r="D324" s="229"/>
      <c r="E324" s="229"/>
      <c r="F324" s="229"/>
      <c r="G324" s="229"/>
      <c r="H324" s="229"/>
      <c r="I324" s="229"/>
      <c r="J324" s="59" t="s">
        <v>702</v>
      </c>
      <c r="K324" s="46">
        <v>8970000</v>
      </c>
      <c r="L324" s="2">
        <v>44405</v>
      </c>
      <c r="M324" s="32" t="s">
        <v>3923</v>
      </c>
      <c r="N324" s="32" t="s">
        <v>2036</v>
      </c>
      <c r="O324" s="51" t="s">
        <v>2037</v>
      </c>
      <c r="P324" s="38" t="s">
        <v>2038</v>
      </c>
    </row>
    <row r="325" spans="2:16" x14ac:dyDescent="0.25">
      <c r="B325" s="32">
        <v>313</v>
      </c>
      <c r="C325" s="275" t="s">
        <v>2047</v>
      </c>
      <c r="D325" s="275"/>
      <c r="E325" s="275"/>
      <c r="F325" s="275"/>
      <c r="G325" s="275"/>
      <c r="H325" s="275"/>
      <c r="I325" s="275"/>
      <c r="J325" s="59" t="s">
        <v>702</v>
      </c>
      <c r="K325" s="46">
        <v>1450000</v>
      </c>
      <c r="L325" s="2">
        <v>44405</v>
      </c>
      <c r="M325" s="2" t="s">
        <v>3923</v>
      </c>
      <c r="N325" s="32">
        <v>3103898043</v>
      </c>
      <c r="O325" s="51" t="s">
        <v>1237</v>
      </c>
      <c r="P325" s="38" t="s">
        <v>1238</v>
      </c>
    </row>
    <row r="326" spans="2:16" x14ac:dyDescent="0.25">
      <c r="B326" s="32">
        <v>314</v>
      </c>
      <c r="C326" s="229" t="s">
        <v>2048</v>
      </c>
      <c r="D326" s="229"/>
      <c r="E326" s="229"/>
      <c r="F326" s="229"/>
      <c r="G326" s="229"/>
      <c r="H326" s="229"/>
      <c r="I326" s="229"/>
      <c r="J326" s="59" t="s">
        <v>1139</v>
      </c>
      <c r="K326" s="46">
        <v>3250000</v>
      </c>
      <c r="L326" s="2">
        <v>44405</v>
      </c>
      <c r="M326" s="32" t="s">
        <v>3923</v>
      </c>
      <c r="N326" s="32">
        <v>3003404902</v>
      </c>
      <c r="O326" s="51" t="s">
        <v>2049</v>
      </c>
      <c r="P326" s="38" t="s">
        <v>2050</v>
      </c>
    </row>
    <row r="327" spans="2:16" x14ac:dyDescent="0.25">
      <c r="B327" s="32">
        <v>315</v>
      </c>
      <c r="C327" s="229" t="s">
        <v>2051</v>
      </c>
      <c r="D327" s="229"/>
      <c r="E327" s="229"/>
      <c r="F327" s="229"/>
      <c r="G327" s="229"/>
      <c r="H327" s="229"/>
      <c r="I327" s="229"/>
      <c r="J327" s="59" t="s">
        <v>702</v>
      </c>
      <c r="K327" s="46">
        <v>9400000</v>
      </c>
      <c r="L327" s="2">
        <v>44405</v>
      </c>
      <c r="M327" s="32"/>
      <c r="N327" s="32" t="s">
        <v>2052</v>
      </c>
      <c r="O327" s="51" t="s">
        <v>188</v>
      </c>
      <c r="P327" s="38" t="s">
        <v>2053</v>
      </c>
    </row>
    <row r="328" spans="2:16" x14ac:dyDescent="0.25">
      <c r="B328" s="32">
        <v>316</v>
      </c>
      <c r="C328" s="229" t="s">
        <v>2054</v>
      </c>
      <c r="D328" s="229"/>
      <c r="E328" s="229"/>
      <c r="F328" s="229"/>
      <c r="G328" s="229"/>
      <c r="H328" s="229"/>
      <c r="I328" s="229"/>
      <c r="J328" s="59" t="s">
        <v>712</v>
      </c>
      <c r="K328" s="46">
        <v>3100000</v>
      </c>
      <c r="L328" s="2">
        <v>44405</v>
      </c>
      <c r="M328" s="2" t="s">
        <v>3923</v>
      </c>
      <c r="N328" s="32">
        <v>3137851941</v>
      </c>
      <c r="O328" s="51" t="s">
        <v>2055</v>
      </c>
      <c r="P328" s="38" t="s">
        <v>713</v>
      </c>
    </row>
    <row r="329" spans="2:16" x14ac:dyDescent="0.25">
      <c r="B329" s="32">
        <v>317</v>
      </c>
      <c r="C329" s="229" t="s">
        <v>2056</v>
      </c>
      <c r="D329" s="229"/>
      <c r="E329" s="229"/>
      <c r="F329" s="229"/>
      <c r="G329" s="229"/>
      <c r="H329" s="229"/>
      <c r="I329" s="229"/>
      <c r="J329" s="59" t="s">
        <v>702</v>
      </c>
      <c r="K329" s="46">
        <v>700000</v>
      </c>
      <c r="L329" s="2">
        <v>44406</v>
      </c>
      <c r="M329" s="32"/>
      <c r="N329" s="32" t="s">
        <v>2036</v>
      </c>
      <c r="O329" s="51" t="s">
        <v>2037</v>
      </c>
      <c r="P329" s="38" t="s">
        <v>2038</v>
      </c>
    </row>
    <row r="330" spans="2:16" x14ac:dyDescent="0.25">
      <c r="B330" s="32">
        <v>318</v>
      </c>
      <c r="C330" s="229" t="s">
        <v>2057</v>
      </c>
      <c r="D330" s="229"/>
      <c r="E330" s="229"/>
      <c r="F330" s="229"/>
      <c r="G330" s="229"/>
      <c r="H330" s="229"/>
      <c r="I330" s="229"/>
      <c r="J330" s="59" t="s">
        <v>2058</v>
      </c>
      <c r="K330" s="46" t="s">
        <v>150</v>
      </c>
      <c r="L330" s="2">
        <v>44407</v>
      </c>
      <c r="M330" s="32"/>
      <c r="N330" s="32" t="s">
        <v>2059</v>
      </c>
      <c r="O330" s="51" t="s">
        <v>2060</v>
      </c>
      <c r="P330" s="38" t="s">
        <v>2061</v>
      </c>
    </row>
    <row r="331" spans="2:16" x14ac:dyDescent="0.25">
      <c r="B331" s="32">
        <v>319</v>
      </c>
      <c r="C331" s="229" t="s">
        <v>2062</v>
      </c>
      <c r="D331" s="229"/>
      <c r="E331" s="229"/>
      <c r="F331" s="229"/>
      <c r="G331" s="229"/>
      <c r="H331" s="229"/>
      <c r="I331" s="229"/>
      <c r="J331" s="59" t="s">
        <v>2058</v>
      </c>
      <c r="K331" s="46" t="s">
        <v>150</v>
      </c>
      <c r="L331" s="2">
        <v>44407</v>
      </c>
      <c r="M331" s="32"/>
      <c r="N331" s="32" t="s">
        <v>2059</v>
      </c>
      <c r="O331" s="51" t="s">
        <v>2060</v>
      </c>
      <c r="P331" s="38" t="s">
        <v>2061</v>
      </c>
    </row>
    <row r="332" spans="2:16" x14ac:dyDescent="0.25">
      <c r="B332" s="32">
        <v>320</v>
      </c>
      <c r="C332" s="229" t="s">
        <v>2063</v>
      </c>
      <c r="D332" s="229"/>
      <c r="E332" s="229"/>
      <c r="F332" s="229"/>
      <c r="G332" s="229"/>
      <c r="H332" s="229"/>
      <c r="I332" s="229"/>
      <c r="J332" s="59" t="s">
        <v>2058</v>
      </c>
      <c r="K332" s="46" t="s">
        <v>150</v>
      </c>
      <c r="L332" s="2">
        <v>44407</v>
      </c>
      <c r="M332" s="32"/>
      <c r="N332" s="32" t="s">
        <v>2059</v>
      </c>
      <c r="O332" s="51" t="s">
        <v>2060</v>
      </c>
      <c r="P332" s="38" t="s">
        <v>2061</v>
      </c>
    </row>
    <row r="333" spans="2:16" x14ac:dyDescent="0.25">
      <c r="B333" s="32">
        <v>321</v>
      </c>
      <c r="C333" s="229" t="s">
        <v>2064</v>
      </c>
      <c r="D333" s="229"/>
      <c r="E333" s="229"/>
      <c r="F333" s="229"/>
      <c r="G333" s="229"/>
      <c r="H333" s="229"/>
      <c r="I333" s="229"/>
      <c r="J333" s="59" t="s">
        <v>702</v>
      </c>
      <c r="K333" s="46">
        <v>1250000</v>
      </c>
      <c r="L333" s="2">
        <v>44407</v>
      </c>
      <c r="M333" s="32"/>
      <c r="N333" s="32">
        <v>3104680508</v>
      </c>
      <c r="O333" s="51" t="s">
        <v>212</v>
      </c>
      <c r="P333" s="38" t="s">
        <v>703</v>
      </c>
    </row>
    <row r="334" spans="2:16" x14ac:dyDescent="0.25">
      <c r="B334" s="32">
        <v>322</v>
      </c>
      <c r="C334" s="229" t="s">
        <v>2065</v>
      </c>
      <c r="D334" s="229"/>
      <c r="E334" s="229"/>
      <c r="F334" s="229"/>
      <c r="G334" s="229"/>
      <c r="H334" s="229"/>
      <c r="I334" s="229"/>
      <c r="J334" s="59" t="s">
        <v>2066</v>
      </c>
      <c r="K334" s="46">
        <v>47680000</v>
      </c>
      <c r="L334" s="2">
        <v>44411</v>
      </c>
      <c r="M334" s="32"/>
      <c r="N334" s="32" t="s">
        <v>2067</v>
      </c>
      <c r="O334" s="51" t="s">
        <v>2068</v>
      </c>
      <c r="P334" s="38" t="s">
        <v>2069</v>
      </c>
    </row>
    <row r="335" spans="2:16" x14ac:dyDescent="0.25">
      <c r="B335" s="32">
        <v>323</v>
      </c>
      <c r="C335" s="229" t="s">
        <v>2070</v>
      </c>
      <c r="D335" s="229"/>
      <c r="E335" s="229"/>
      <c r="F335" s="229"/>
      <c r="G335" s="229"/>
      <c r="H335" s="229"/>
      <c r="I335" s="229"/>
      <c r="J335" s="59" t="s">
        <v>702</v>
      </c>
      <c r="K335" s="46">
        <v>31990000</v>
      </c>
      <c r="L335" s="2">
        <v>44408</v>
      </c>
      <c r="M335" s="32"/>
      <c r="N335" s="32" t="s">
        <v>2036</v>
      </c>
      <c r="O335" s="51" t="s">
        <v>2037</v>
      </c>
      <c r="P335" s="38" t="s">
        <v>2038</v>
      </c>
    </row>
    <row r="336" spans="2:16" x14ac:dyDescent="0.25">
      <c r="B336" s="32">
        <v>324</v>
      </c>
      <c r="C336" s="229" t="s">
        <v>2071</v>
      </c>
      <c r="D336" s="229"/>
      <c r="E336" s="229"/>
      <c r="F336" s="229"/>
      <c r="G336" s="229"/>
      <c r="H336" s="229"/>
      <c r="I336" s="229"/>
      <c r="J336" s="59" t="s">
        <v>2072</v>
      </c>
      <c r="K336" s="46">
        <v>2760000</v>
      </c>
      <c r="L336" s="2">
        <v>44407</v>
      </c>
      <c r="M336" s="32"/>
      <c r="N336" s="32"/>
      <c r="O336" s="51" t="s">
        <v>2073</v>
      </c>
      <c r="P336" s="38" t="s">
        <v>707</v>
      </c>
    </row>
    <row r="337" spans="2:16" x14ac:dyDescent="0.25">
      <c r="B337" s="32">
        <v>325</v>
      </c>
      <c r="C337" s="271" t="s">
        <v>2074</v>
      </c>
      <c r="D337" s="272"/>
      <c r="E337" s="272"/>
      <c r="F337" s="272"/>
      <c r="G337" s="272"/>
      <c r="H337" s="272"/>
      <c r="I337" s="272"/>
      <c r="J337" s="23" t="s">
        <v>2075</v>
      </c>
      <c r="K337" s="46">
        <v>9828000</v>
      </c>
      <c r="L337" s="2">
        <v>44408</v>
      </c>
      <c r="M337" s="32"/>
      <c r="N337" s="32"/>
      <c r="O337" s="51" t="s">
        <v>2076</v>
      </c>
      <c r="P337" s="38" t="s">
        <v>1899</v>
      </c>
    </row>
    <row r="338" spans="2:16" x14ac:dyDescent="0.25">
      <c r="B338" s="32">
        <v>326</v>
      </c>
      <c r="C338" s="229" t="s">
        <v>2077</v>
      </c>
      <c r="D338" s="229"/>
      <c r="E338" s="229"/>
      <c r="F338" s="229"/>
      <c r="G338" s="229"/>
      <c r="H338" s="229"/>
      <c r="I338" s="229"/>
      <c r="J338" s="59" t="s">
        <v>1272</v>
      </c>
      <c r="K338" s="46">
        <v>1500000</v>
      </c>
      <c r="L338" s="2">
        <v>44411</v>
      </c>
      <c r="M338" s="32"/>
      <c r="N338" s="32" t="s">
        <v>2078</v>
      </c>
      <c r="O338" s="51" t="s">
        <v>2079</v>
      </c>
      <c r="P338" s="54" t="s">
        <v>1301</v>
      </c>
    </row>
    <row r="339" spans="2:16" x14ac:dyDescent="0.25">
      <c r="B339" s="32">
        <v>327</v>
      </c>
      <c r="C339" s="273" t="s">
        <v>2080</v>
      </c>
      <c r="D339" s="274"/>
      <c r="E339" s="274"/>
      <c r="F339" s="274"/>
      <c r="G339" s="274"/>
      <c r="H339" s="274"/>
      <c r="I339" s="274"/>
      <c r="J339" s="59" t="s">
        <v>2081</v>
      </c>
      <c r="K339" s="46">
        <v>1950000</v>
      </c>
      <c r="L339" s="2">
        <v>44410</v>
      </c>
      <c r="M339" s="32" t="s">
        <v>3923</v>
      </c>
      <c r="N339" s="32"/>
      <c r="O339" s="51" t="s">
        <v>2082</v>
      </c>
      <c r="P339" s="38" t="s">
        <v>2083</v>
      </c>
    </row>
    <row r="340" spans="2:16" x14ac:dyDescent="0.25">
      <c r="B340" s="32">
        <v>328</v>
      </c>
      <c r="C340" s="229" t="s">
        <v>2084</v>
      </c>
      <c r="D340" s="229"/>
      <c r="E340" s="229"/>
      <c r="F340" s="229"/>
      <c r="G340" s="229"/>
      <c r="H340" s="229"/>
      <c r="I340" s="229"/>
      <c r="J340" s="59" t="s">
        <v>702</v>
      </c>
      <c r="K340" s="46">
        <v>600000</v>
      </c>
      <c r="L340" s="2">
        <v>44411</v>
      </c>
      <c r="M340" s="32" t="s">
        <v>3923</v>
      </c>
      <c r="N340" s="32">
        <v>3104680508</v>
      </c>
      <c r="O340" s="51" t="s">
        <v>212</v>
      </c>
      <c r="P340" s="38" t="s">
        <v>703</v>
      </c>
    </row>
    <row r="341" spans="2:16" x14ac:dyDescent="0.25">
      <c r="B341" s="32">
        <v>329</v>
      </c>
      <c r="C341" s="271" t="s">
        <v>2085</v>
      </c>
      <c r="D341" s="272"/>
      <c r="E341" s="272"/>
      <c r="F341" s="272"/>
      <c r="G341" s="272"/>
      <c r="H341" s="272"/>
      <c r="I341" s="272"/>
      <c r="J341" s="59" t="s">
        <v>702</v>
      </c>
      <c r="K341" s="46">
        <v>750000</v>
      </c>
      <c r="L341" s="2">
        <v>44412</v>
      </c>
      <c r="M341" s="32" t="s">
        <v>3923</v>
      </c>
      <c r="N341" s="32">
        <v>3104203649</v>
      </c>
      <c r="O341" s="51" t="s">
        <v>1257</v>
      </c>
      <c r="P341" s="38" t="s">
        <v>2086</v>
      </c>
    </row>
    <row r="342" spans="2:16" x14ac:dyDescent="0.25">
      <c r="B342" s="32">
        <v>330</v>
      </c>
      <c r="C342" s="229" t="s">
        <v>2087</v>
      </c>
      <c r="D342" s="229"/>
      <c r="E342" s="229"/>
      <c r="F342" s="229"/>
      <c r="G342" s="229"/>
      <c r="H342" s="229"/>
      <c r="I342" s="229"/>
      <c r="J342" s="59" t="s">
        <v>712</v>
      </c>
      <c r="K342" s="46">
        <v>800000</v>
      </c>
      <c r="L342" s="2">
        <v>44412</v>
      </c>
      <c r="M342" s="32" t="s">
        <v>3923</v>
      </c>
      <c r="N342" s="32">
        <v>4441858</v>
      </c>
      <c r="O342" s="51" t="s">
        <v>2088</v>
      </c>
      <c r="P342" s="38"/>
    </row>
    <row r="343" spans="2:16" x14ac:dyDescent="0.25">
      <c r="B343" s="32">
        <v>331</v>
      </c>
      <c r="C343" s="229" t="s">
        <v>2089</v>
      </c>
      <c r="D343" s="229"/>
      <c r="E343" s="229"/>
      <c r="F343" s="229"/>
      <c r="G343" s="229"/>
      <c r="H343" s="229"/>
      <c r="I343" s="229"/>
      <c r="J343" s="59" t="s">
        <v>851</v>
      </c>
      <c r="K343" s="46"/>
      <c r="L343" s="2">
        <v>44413</v>
      </c>
      <c r="M343" s="32"/>
      <c r="N343" s="32" t="s">
        <v>2090</v>
      </c>
      <c r="O343" s="51" t="s">
        <v>284</v>
      </c>
      <c r="P343" s="38" t="s">
        <v>948</v>
      </c>
    </row>
    <row r="344" spans="2:16" x14ac:dyDescent="0.25">
      <c r="B344" s="32">
        <v>332</v>
      </c>
      <c r="C344" s="229" t="s">
        <v>2091</v>
      </c>
      <c r="D344" s="229"/>
      <c r="E344" s="229"/>
      <c r="F344" s="229"/>
      <c r="G344" s="229"/>
      <c r="H344" s="229"/>
      <c r="I344" s="229"/>
      <c r="J344" s="59" t="s">
        <v>2092</v>
      </c>
      <c r="K344" s="46">
        <v>15930000</v>
      </c>
      <c r="L344" s="2">
        <v>44413</v>
      </c>
      <c r="M344" s="32"/>
      <c r="N344" s="32"/>
      <c r="O344" s="51" t="s">
        <v>2093</v>
      </c>
      <c r="P344" s="38"/>
    </row>
    <row r="345" spans="2:16" x14ac:dyDescent="0.25">
      <c r="B345" s="32">
        <v>333</v>
      </c>
      <c r="C345" s="229" t="s">
        <v>2094</v>
      </c>
      <c r="D345" s="229"/>
      <c r="E345" s="229"/>
      <c r="F345" s="229"/>
      <c r="G345" s="229"/>
      <c r="H345" s="229"/>
      <c r="I345" s="229"/>
      <c r="J345" s="59" t="s">
        <v>1272</v>
      </c>
      <c r="K345" s="46">
        <v>2000000</v>
      </c>
      <c r="L345" s="2">
        <v>44413</v>
      </c>
      <c r="M345" s="32"/>
      <c r="N345" s="32" t="s">
        <v>2078</v>
      </c>
      <c r="O345" s="51" t="s">
        <v>2079</v>
      </c>
      <c r="P345" s="54" t="s">
        <v>1301</v>
      </c>
    </row>
    <row r="346" spans="2:16" x14ac:dyDescent="0.25">
      <c r="B346" s="32">
        <v>334</v>
      </c>
      <c r="C346" s="229" t="s">
        <v>2095</v>
      </c>
      <c r="D346" s="229"/>
      <c r="E346" s="229"/>
      <c r="F346" s="229"/>
      <c r="G346" s="229"/>
      <c r="H346" s="229"/>
      <c r="I346" s="229"/>
      <c r="J346" s="59" t="s">
        <v>2096</v>
      </c>
      <c r="K346" s="46">
        <v>3930000</v>
      </c>
      <c r="L346" s="2">
        <v>44417</v>
      </c>
      <c r="M346" s="32"/>
      <c r="N346" s="32" t="s">
        <v>2097</v>
      </c>
      <c r="O346" s="51" t="s">
        <v>2098</v>
      </c>
      <c r="P346" s="38" t="s">
        <v>2099</v>
      </c>
    </row>
    <row r="347" spans="2:16" x14ac:dyDescent="0.25">
      <c r="B347" s="32">
        <v>335</v>
      </c>
      <c r="C347" s="229" t="s">
        <v>2100</v>
      </c>
      <c r="D347" s="229"/>
      <c r="E347" s="229"/>
      <c r="F347" s="229"/>
      <c r="G347" s="229"/>
      <c r="H347" s="229"/>
      <c r="I347" s="229"/>
      <c r="J347" s="59" t="s">
        <v>2101</v>
      </c>
      <c r="K347" s="46">
        <v>1340000</v>
      </c>
      <c r="L347" s="2">
        <v>44417</v>
      </c>
      <c r="M347" s="32"/>
      <c r="N347" s="32">
        <v>3122371313</v>
      </c>
      <c r="O347" s="51" t="s">
        <v>2102</v>
      </c>
      <c r="P347" s="38" t="s">
        <v>2103</v>
      </c>
    </row>
    <row r="348" spans="2:16" x14ac:dyDescent="0.25">
      <c r="B348" s="32">
        <v>336</v>
      </c>
      <c r="C348" s="229" t="s">
        <v>2104</v>
      </c>
      <c r="D348" s="229"/>
      <c r="E348" s="229"/>
      <c r="F348" s="229"/>
      <c r="G348" s="229"/>
      <c r="H348" s="229"/>
      <c r="I348" s="229"/>
      <c r="J348" s="59" t="s">
        <v>702</v>
      </c>
      <c r="K348" s="46">
        <v>800000</v>
      </c>
      <c r="L348" s="2">
        <v>44418</v>
      </c>
      <c r="M348" s="32"/>
      <c r="N348" s="32">
        <v>3104680508</v>
      </c>
      <c r="O348" s="51" t="s">
        <v>212</v>
      </c>
      <c r="P348" s="38" t="s">
        <v>703</v>
      </c>
    </row>
    <row r="349" spans="2:16" x14ac:dyDescent="0.25">
      <c r="B349" s="32">
        <v>337</v>
      </c>
      <c r="C349" s="229" t="s">
        <v>2105</v>
      </c>
      <c r="D349" s="229"/>
      <c r="E349" s="229"/>
      <c r="F349" s="229"/>
      <c r="G349" s="229"/>
      <c r="H349" s="229"/>
      <c r="I349" s="229"/>
      <c r="J349" s="59" t="s">
        <v>702</v>
      </c>
      <c r="K349" s="46">
        <v>24970000</v>
      </c>
      <c r="L349" s="2">
        <v>44419</v>
      </c>
      <c r="M349" s="32"/>
      <c r="N349" s="32">
        <v>3104165783</v>
      </c>
      <c r="O349" s="51" t="s">
        <v>242</v>
      </c>
      <c r="P349" s="38" t="s">
        <v>917</v>
      </c>
    </row>
    <row r="350" spans="2:16" x14ac:dyDescent="0.25">
      <c r="B350" s="32">
        <v>338</v>
      </c>
      <c r="C350" s="271" t="s">
        <v>2106</v>
      </c>
      <c r="D350" s="272"/>
      <c r="E350" s="272"/>
      <c r="F350" s="272"/>
      <c r="G350" s="272"/>
      <c r="H350" s="272"/>
      <c r="I350" s="272"/>
      <c r="J350" s="59" t="s">
        <v>2107</v>
      </c>
      <c r="K350" s="46">
        <v>6900000</v>
      </c>
      <c r="L350" s="2">
        <v>44421</v>
      </c>
      <c r="M350" s="32"/>
      <c r="N350" s="32" t="s">
        <v>2108</v>
      </c>
      <c r="O350" s="51" t="s">
        <v>2109</v>
      </c>
      <c r="P350" s="38" t="s">
        <v>2110</v>
      </c>
    </row>
    <row r="351" spans="2:16" x14ac:dyDescent="0.25">
      <c r="B351" s="32">
        <v>339</v>
      </c>
      <c r="C351" s="229" t="s">
        <v>2111</v>
      </c>
      <c r="D351" s="229"/>
      <c r="E351" s="229"/>
      <c r="F351" s="229"/>
      <c r="G351" s="229"/>
      <c r="H351" s="229"/>
      <c r="I351" s="229"/>
      <c r="J351" s="59" t="s">
        <v>2112</v>
      </c>
      <c r="K351" s="46">
        <v>3135000</v>
      </c>
      <c r="L351" s="2">
        <v>44421</v>
      </c>
      <c r="M351" s="32" t="s">
        <v>3923</v>
      </c>
      <c r="N351" s="32">
        <v>3128222923</v>
      </c>
      <c r="O351" s="51" t="s">
        <v>2113</v>
      </c>
      <c r="P351" s="38" t="s">
        <v>1614</v>
      </c>
    </row>
    <row r="352" spans="2:16" x14ac:dyDescent="0.25">
      <c r="B352" s="32">
        <v>340</v>
      </c>
      <c r="C352" s="229" t="s">
        <v>2114</v>
      </c>
      <c r="D352" s="229"/>
      <c r="E352" s="229"/>
      <c r="F352" s="229"/>
      <c r="G352" s="229"/>
      <c r="H352" s="229"/>
      <c r="I352" s="229"/>
      <c r="J352" s="59" t="s">
        <v>1982</v>
      </c>
      <c r="K352" s="46">
        <v>4390000</v>
      </c>
      <c r="L352" s="2">
        <v>44421</v>
      </c>
      <c r="M352" s="32"/>
      <c r="N352" s="32" t="s">
        <v>1983</v>
      </c>
      <c r="O352" s="51" t="s">
        <v>1984</v>
      </c>
      <c r="P352" s="52" t="s">
        <v>1985</v>
      </c>
    </row>
    <row r="353" spans="2:16" x14ac:dyDescent="0.25">
      <c r="B353" s="32">
        <v>341</v>
      </c>
      <c r="C353" s="229" t="s">
        <v>2115</v>
      </c>
      <c r="D353" s="229"/>
      <c r="E353" s="229"/>
      <c r="F353" s="229"/>
      <c r="G353" s="229"/>
      <c r="H353" s="229"/>
      <c r="I353" s="229"/>
      <c r="J353" s="59" t="s">
        <v>1439</v>
      </c>
      <c r="K353" s="46">
        <v>1250000</v>
      </c>
      <c r="L353" s="2">
        <v>44422</v>
      </c>
      <c r="M353" s="32"/>
      <c r="N353" s="32">
        <v>3188384307</v>
      </c>
      <c r="O353" s="51" t="s">
        <v>2116</v>
      </c>
      <c r="P353" s="38" t="s">
        <v>2117</v>
      </c>
    </row>
    <row r="354" spans="2:16" x14ac:dyDescent="0.25">
      <c r="B354" s="32">
        <v>342</v>
      </c>
      <c r="C354" s="229" t="s">
        <v>2118</v>
      </c>
      <c r="D354" s="229"/>
      <c r="E354" s="229"/>
      <c r="F354" s="229"/>
      <c r="G354" s="229"/>
      <c r="H354" s="229"/>
      <c r="I354" s="229"/>
      <c r="J354" s="59" t="s">
        <v>2119</v>
      </c>
      <c r="K354" s="46"/>
      <c r="L354" s="2">
        <v>44419</v>
      </c>
      <c r="M354" s="32"/>
      <c r="N354" s="32">
        <v>3113901187</v>
      </c>
      <c r="O354" s="51" t="s">
        <v>2120</v>
      </c>
      <c r="P354" s="38" t="s">
        <v>2121</v>
      </c>
    </row>
    <row r="355" spans="2:16" x14ac:dyDescent="0.25">
      <c r="B355" s="32">
        <v>343</v>
      </c>
      <c r="C355" s="271" t="s">
        <v>2122</v>
      </c>
      <c r="D355" s="272"/>
      <c r="E355" s="272"/>
      <c r="F355" s="272"/>
      <c r="G355" s="272"/>
      <c r="H355" s="272"/>
      <c r="I355" s="272"/>
      <c r="J355" s="59" t="s">
        <v>857</v>
      </c>
      <c r="K355" s="46"/>
      <c r="L355" s="2">
        <v>44419</v>
      </c>
      <c r="M355" s="2" t="s">
        <v>3923</v>
      </c>
      <c r="N355" s="32" t="s">
        <v>2123</v>
      </c>
      <c r="O355" s="51" t="s">
        <v>1486</v>
      </c>
      <c r="P355" s="38" t="s">
        <v>1487</v>
      </c>
    </row>
    <row r="356" spans="2:16" ht="15" customHeight="1" x14ac:dyDescent="0.25">
      <c r="B356" s="32">
        <v>344</v>
      </c>
      <c r="C356" s="271" t="s">
        <v>4190</v>
      </c>
      <c r="D356" s="272"/>
      <c r="E356" s="272"/>
      <c r="F356" s="272"/>
      <c r="G356" s="272"/>
      <c r="H356" s="272"/>
      <c r="I356" s="272"/>
      <c r="J356" s="59" t="s">
        <v>702</v>
      </c>
      <c r="K356" s="46" t="s">
        <v>150</v>
      </c>
      <c r="L356" s="2">
        <v>44419</v>
      </c>
      <c r="M356" s="32" t="s">
        <v>3923</v>
      </c>
      <c r="N356" s="32" t="s">
        <v>2123</v>
      </c>
      <c r="O356" s="51" t="s">
        <v>1486</v>
      </c>
      <c r="P356" s="38" t="s">
        <v>1487</v>
      </c>
    </row>
    <row r="357" spans="2:16" x14ac:dyDescent="0.25">
      <c r="B357" s="32">
        <v>345</v>
      </c>
      <c r="C357" s="229" t="s">
        <v>2124</v>
      </c>
      <c r="D357" s="229"/>
      <c r="E357" s="229"/>
      <c r="F357" s="229"/>
      <c r="G357" s="229"/>
      <c r="H357" s="229"/>
      <c r="I357" s="229"/>
      <c r="J357" s="59" t="s">
        <v>702</v>
      </c>
      <c r="K357" s="46" t="s">
        <v>150</v>
      </c>
      <c r="L357" s="2">
        <v>44419</v>
      </c>
      <c r="M357" s="32"/>
      <c r="N357" s="32">
        <v>3104680508</v>
      </c>
      <c r="O357" s="51" t="s">
        <v>212</v>
      </c>
      <c r="P357" s="38" t="s">
        <v>703</v>
      </c>
    </row>
    <row r="358" spans="2:16" ht="15" customHeight="1" x14ac:dyDescent="0.25">
      <c r="B358" s="32">
        <v>346</v>
      </c>
      <c r="C358" s="229" t="s">
        <v>2125</v>
      </c>
      <c r="D358" s="229"/>
      <c r="E358" s="229"/>
      <c r="F358" s="229"/>
      <c r="G358" s="229"/>
      <c r="H358" s="229"/>
      <c r="I358" s="229"/>
      <c r="J358" s="59" t="s">
        <v>702</v>
      </c>
      <c r="K358" s="46">
        <v>1250000</v>
      </c>
      <c r="L358" s="2">
        <v>44421</v>
      </c>
      <c r="M358" s="32"/>
      <c r="N358" s="32">
        <v>3104680508</v>
      </c>
      <c r="O358" s="51" t="s">
        <v>212</v>
      </c>
      <c r="P358" s="38" t="s">
        <v>703</v>
      </c>
    </row>
    <row r="359" spans="2:16" x14ac:dyDescent="0.25">
      <c r="B359" s="32">
        <v>347</v>
      </c>
      <c r="C359" s="229" t="s">
        <v>2126</v>
      </c>
      <c r="D359" s="229"/>
      <c r="E359" s="229"/>
      <c r="F359" s="229"/>
      <c r="G359" s="229"/>
      <c r="H359" s="229"/>
      <c r="I359" s="229"/>
      <c r="J359" s="59" t="s">
        <v>702</v>
      </c>
      <c r="K359" s="46">
        <v>1400000</v>
      </c>
      <c r="L359" s="2">
        <v>44421</v>
      </c>
      <c r="M359" s="32"/>
      <c r="N359" s="32">
        <v>3104680508</v>
      </c>
      <c r="O359" s="51" t="s">
        <v>212</v>
      </c>
      <c r="P359" s="38" t="s">
        <v>703</v>
      </c>
    </row>
    <row r="360" spans="2:16" x14ac:dyDescent="0.25">
      <c r="B360" s="32">
        <v>348</v>
      </c>
      <c r="C360" s="229" t="s">
        <v>2127</v>
      </c>
      <c r="D360" s="229"/>
      <c r="E360" s="229"/>
      <c r="F360" s="229"/>
      <c r="G360" s="229"/>
      <c r="H360" s="229"/>
      <c r="I360" s="229"/>
      <c r="J360" s="59" t="s">
        <v>1546</v>
      </c>
      <c r="K360" s="46">
        <v>24250000</v>
      </c>
      <c r="L360" s="2">
        <v>44420</v>
      </c>
      <c r="M360" s="32"/>
      <c r="N360" s="32">
        <v>3125256833</v>
      </c>
      <c r="O360" s="51" t="s">
        <v>2128</v>
      </c>
      <c r="P360" s="38" t="s">
        <v>2129</v>
      </c>
    </row>
    <row r="361" spans="2:16" x14ac:dyDescent="0.25">
      <c r="B361" s="32">
        <v>349</v>
      </c>
      <c r="C361" s="229" t="s">
        <v>2130</v>
      </c>
      <c r="D361" s="229"/>
      <c r="E361" s="229"/>
      <c r="F361" s="229"/>
      <c r="G361" s="229"/>
      <c r="H361" s="229"/>
      <c r="I361" s="229"/>
      <c r="J361" s="59" t="s">
        <v>702</v>
      </c>
      <c r="K361" s="46">
        <v>39890000</v>
      </c>
      <c r="L361" s="2">
        <v>44425</v>
      </c>
      <c r="M361" s="32"/>
      <c r="N361" s="32" t="s">
        <v>2036</v>
      </c>
      <c r="O361" s="51" t="s">
        <v>2037</v>
      </c>
      <c r="P361" s="38" t="s">
        <v>2038</v>
      </c>
    </row>
    <row r="362" spans="2:16" x14ac:dyDescent="0.25">
      <c r="B362" s="32">
        <v>350</v>
      </c>
      <c r="C362" s="229" t="s">
        <v>2131</v>
      </c>
      <c r="D362" s="229"/>
      <c r="E362" s="229"/>
      <c r="F362" s="229"/>
      <c r="G362" s="229"/>
      <c r="H362" s="229"/>
      <c r="I362" s="229"/>
      <c r="J362" s="59" t="s">
        <v>702</v>
      </c>
      <c r="K362" s="46">
        <v>8990000</v>
      </c>
      <c r="L362" s="2">
        <v>44425</v>
      </c>
      <c r="M362" s="32"/>
      <c r="N362" s="32">
        <v>3137546144</v>
      </c>
      <c r="O362" s="51" t="s">
        <v>186</v>
      </c>
      <c r="P362" s="38" t="s">
        <v>740</v>
      </c>
    </row>
    <row r="363" spans="2:16" x14ac:dyDescent="0.25">
      <c r="B363" s="32">
        <v>351</v>
      </c>
      <c r="C363" s="271" t="s">
        <v>2132</v>
      </c>
      <c r="D363" s="272"/>
      <c r="E363" s="272"/>
      <c r="F363" s="272"/>
      <c r="G363" s="272"/>
      <c r="H363" s="272"/>
      <c r="I363" s="272"/>
      <c r="J363" s="59" t="s">
        <v>2101</v>
      </c>
      <c r="K363" s="46">
        <v>1790000</v>
      </c>
      <c r="L363" s="2">
        <v>44425</v>
      </c>
      <c r="M363" s="32"/>
      <c r="N363" s="32">
        <v>3122371313</v>
      </c>
      <c r="O363" s="51" t="s">
        <v>2102</v>
      </c>
      <c r="P363" s="38" t="s">
        <v>2103</v>
      </c>
    </row>
    <row r="364" spans="2:16" x14ac:dyDescent="0.25">
      <c r="B364" s="32">
        <v>352</v>
      </c>
      <c r="C364" s="229" t="s">
        <v>2133</v>
      </c>
      <c r="D364" s="229"/>
      <c r="E364" s="229"/>
      <c r="F364" s="229"/>
      <c r="G364" s="229"/>
      <c r="H364" s="229"/>
      <c r="I364" s="229"/>
      <c r="J364" s="59" t="s">
        <v>702</v>
      </c>
      <c r="K364" s="46">
        <v>940000</v>
      </c>
      <c r="L364" s="2">
        <v>44425</v>
      </c>
      <c r="M364" s="32" t="s">
        <v>3923</v>
      </c>
      <c r="N364" s="32" t="s">
        <v>2036</v>
      </c>
      <c r="O364" s="51" t="s">
        <v>2037</v>
      </c>
      <c r="P364" s="38" t="s">
        <v>2038</v>
      </c>
    </row>
    <row r="365" spans="2:16" x14ac:dyDescent="0.25">
      <c r="B365" s="32">
        <v>353</v>
      </c>
      <c r="C365" s="229" t="s">
        <v>2134</v>
      </c>
      <c r="D365" s="229"/>
      <c r="E365" s="229"/>
      <c r="F365" s="229"/>
      <c r="G365" s="229"/>
      <c r="H365" s="229"/>
      <c r="I365" s="229"/>
      <c r="J365" s="59" t="s">
        <v>857</v>
      </c>
      <c r="K365" s="46"/>
      <c r="L365" s="2">
        <v>44425</v>
      </c>
      <c r="M365" s="32" t="s">
        <v>3923</v>
      </c>
      <c r="N365" s="32" t="s">
        <v>2135</v>
      </c>
      <c r="O365" s="51" t="s">
        <v>2136</v>
      </c>
      <c r="P365" s="38" t="s">
        <v>2137</v>
      </c>
    </row>
    <row r="366" spans="2:16" x14ac:dyDescent="0.25">
      <c r="B366" s="32">
        <v>354</v>
      </c>
      <c r="C366" s="271" t="s">
        <v>2138</v>
      </c>
      <c r="D366" s="272"/>
      <c r="E366" s="272"/>
      <c r="F366" s="272"/>
      <c r="G366" s="272"/>
      <c r="H366" s="272"/>
      <c r="I366" s="272"/>
      <c r="J366" s="59" t="s">
        <v>702</v>
      </c>
      <c r="K366" s="46">
        <v>2445000</v>
      </c>
      <c r="L366" s="2">
        <v>44425</v>
      </c>
      <c r="M366" s="32"/>
      <c r="N366" s="32" t="s">
        <v>2036</v>
      </c>
      <c r="O366" s="51" t="s">
        <v>2037</v>
      </c>
      <c r="P366" s="38" t="s">
        <v>2038</v>
      </c>
    </row>
    <row r="367" spans="2:16" x14ac:dyDescent="0.25">
      <c r="B367" s="32">
        <v>355</v>
      </c>
      <c r="C367" s="229" t="s">
        <v>2139</v>
      </c>
      <c r="D367" s="229"/>
      <c r="E367" s="229"/>
      <c r="F367" s="229"/>
      <c r="G367" s="229"/>
      <c r="H367" s="229"/>
      <c r="I367" s="229"/>
      <c r="J367" s="59" t="s">
        <v>831</v>
      </c>
      <c r="K367" s="46">
        <v>950000</v>
      </c>
      <c r="L367" s="2">
        <v>44425</v>
      </c>
      <c r="M367" s="32"/>
      <c r="N367" s="32" t="s">
        <v>1751</v>
      </c>
      <c r="O367" s="51" t="s">
        <v>1752</v>
      </c>
      <c r="P367" s="52" t="s">
        <v>1753</v>
      </c>
    </row>
    <row r="368" spans="2:16" x14ac:dyDescent="0.25">
      <c r="B368" s="32">
        <v>356</v>
      </c>
      <c r="C368" s="229" t="s">
        <v>213</v>
      </c>
      <c r="D368" s="229"/>
      <c r="E368" s="229"/>
      <c r="F368" s="229"/>
      <c r="G368" s="229"/>
      <c r="H368" s="229"/>
      <c r="I368" s="229"/>
      <c r="J368" s="59" t="s">
        <v>2140</v>
      </c>
      <c r="K368" s="46">
        <v>2500000</v>
      </c>
      <c r="L368" s="2">
        <v>44426</v>
      </c>
      <c r="M368" s="32"/>
      <c r="N368" s="32">
        <v>3046417336</v>
      </c>
      <c r="O368" s="51" t="s">
        <v>2141</v>
      </c>
      <c r="P368" s="38" t="s">
        <v>2142</v>
      </c>
    </row>
    <row r="369" spans="2:16" x14ac:dyDescent="0.25">
      <c r="B369" s="32">
        <v>357</v>
      </c>
      <c r="C369" s="229" t="s">
        <v>2143</v>
      </c>
      <c r="D369" s="229"/>
      <c r="E369" s="229"/>
      <c r="F369" s="229"/>
      <c r="G369" s="229"/>
      <c r="H369" s="229"/>
      <c r="I369" s="229"/>
      <c r="J369" s="59" t="s">
        <v>2144</v>
      </c>
      <c r="K369" s="46">
        <v>17800000</v>
      </c>
      <c r="L369" s="2">
        <v>44426</v>
      </c>
      <c r="M369" s="2" t="s">
        <v>3923</v>
      </c>
      <c r="N369" s="32" t="s">
        <v>2145</v>
      </c>
      <c r="O369" s="51" t="s">
        <v>2146</v>
      </c>
      <c r="P369" s="38" t="s">
        <v>2147</v>
      </c>
    </row>
    <row r="370" spans="2:16" x14ac:dyDescent="0.25">
      <c r="B370" s="32">
        <v>358</v>
      </c>
      <c r="C370" s="229" t="s">
        <v>2148</v>
      </c>
      <c r="D370" s="229"/>
      <c r="E370" s="229"/>
      <c r="F370" s="229"/>
      <c r="G370" s="229"/>
      <c r="H370" s="229"/>
      <c r="I370" s="229"/>
      <c r="J370" s="59" t="s">
        <v>1470</v>
      </c>
      <c r="K370" s="46">
        <v>1250000</v>
      </c>
      <c r="L370" s="2">
        <v>44426</v>
      </c>
      <c r="M370" s="32" t="s">
        <v>3923</v>
      </c>
      <c r="N370" s="32">
        <v>3002041724</v>
      </c>
      <c r="O370" s="51" t="s">
        <v>2149</v>
      </c>
      <c r="P370" s="38" t="s">
        <v>2150</v>
      </c>
    </row>
    <row r="371" spans="2:16" x14ac:dyDescent="0.25">
      <c r="B371" s="32">
        <v>359</v>
      </c>
      <c r="C371" s="229" t="s">
        <v>2151</v>
      </c>
      <c r="D371" s="229"/>
      <c r="E371" s="229"/>
      <c r="F371" s="229"/>
      <c r="G371" s="229"/>
      <c r="H371" s="229"/>
      <c r="I371" s="229"/>
      <c r="J371" s="59" t="s">
        <v>2152</v>
      </c>
      <c r="K371" s="46">
        <v>9950000</v>
      </c>
      <c r="L371" s="2">
        <v>44426</v>
      </c>
      <c r="M371" s="32"/>
      <c r="N371" s="32">
        <v>3108372505</v>
      </c>
      <c r="O371" s="51" t="s">
        <v>2153</v>
      </c>
      <c r="P371" s="38" t="s">
        <v>2154</v>
      </c>
    </row>
    <row r="372" spans="2:16" x14ac:dyDescent="0.25">
      <c r="B372" s="32">
        <v>360</v>
      </c>
      <c r="C372" s="229" t="s">
        <v>2155</v>
      </c>
      <c r="D372" s="229"/>
      <c r="E372" s="229"/>
      <c r="F372" s="229"/>
      <c r="G372" s="229"/>
      <c r="H372" s="229"/>
      <c r="I372" s="229"/>
      <c r="J372" s="59" t="s">
        <v>1553</v>
      </c>
      <c r="K372" s="46">
        <v>750000</v>
      </c>
      <c r="L372" s="2">
        <v>44426</v>
      </c>
      <c r="M372" s="32"/>
      <c r="N372" s="32">
        <v>3022295772</v>
      </c>
      <c r="O372" s="51" t="s">
        <v>1554</v>
      </c>
      <c r="P372" s="52" t="s">
        <v>1555</v>
      </c>
    </row>
    <row r="373" spans="2:16" x14ac:dyDescent="0.25">
      <c r="B373" s="32">
        <v>361</v>
      </c>
      <c r="C373" s="271" t="s">
        <v>2156</v>
      </c>
      <c r="D373" s="272"/>
      <c r="E373" s="272"/>
      <c r="F373" s="272"/>
      <c r="G373" s="272"/>
      <c r="H373" s="272"/>
      <c r="I373" s="272"/>
      <c r="J373" s="59" t="s">
        <v>702</v>
      </c>
      <c r="K373" s="46">
        <v>2760000</v>
      </c>
      <c r="L373" s="2">
        <v>44427</v>
      </c>
      <c r="M373" s="32"/>
      <c r="N373" s="32" t="s">
        <v>2036</v>
      </c>
      <c r="O373" s="51" t="s">
        <v>2037</v>
      </c>
      <c r="P373" s="38" t="s">
        <v>2038</v>
      </c>
    </row>
    <row r="374" spans="2:16" x14ac:dyDescent="0.25">
      <c r="B374" s="32">
        <v>362</v>
      </c>
      <c r="C374" s="271" t="s">
        <v>2157</v>
      </c>
      <c r="D374" s="272"/>
      <c r="E374" s="272"/>
      <c r="F374" s="272"/>
      <c r="G374" s="272"/>
      <c r="H374" s="272"/>
      <c r="I374" s="272"/>
      <c r="J374" s="59" t="s">
        <v>702</v>
      </c>
      <c r="K374" s="46">
        <v>2290000</v>
      </c>
      <c r="L374" s="2">
        <v>44427</v>
      </c>
      <c r="M374" s="32"/>
      <c r="N374" s="32" t="s">
        <v>2036</v>
      </c>
      <c r="O374" s="51" t="s">
        <v>2037</v>
      </c>
      <c r="P374" s="38" t="s">
        <v>2038</v>
      </c>
    </row>
    <row r="375" spans="2:16" x14ac:dyDescent="0.25">
      <c r="B375" s="32">
        <v>363</v>
      </c>
      <c r="C375" s="229" t="s">
        <v>2158</v>
      </c>
      <c r="D375" s="229"/>
      <c r="E375" s="229"/>
      <c r="F375" s="229"/>
      <c r="G375" s="229"/>
      <c r="H375" s="229"/>
      <c r="I375" s="229"/>
      <c r="J375" s="59" t="s">
        <v>2159</v>
      </c>
      <c r="K375" s="46">
        <v>12920000</v>
      </c>
      <c r="L375" s="2">
        <v>44431</v>
      </c>
      <c r="M375" s="32"/>
      <c r="N375" s="32">
        <v>3127790756</v>
      </c>
      <c r="O375" s="51" t="s">
        <v>2160</v>
      </c>
      <c r="P375" s="38" t="s">
        <v>2161</v>
      </c>
    </row>
    <row r="376" spans="2:16" x14ac:dyDescent="0.25">
      <c r="B376" s="32">
        <v>364</v>
      </c>
      <c r="C376" s="229" t="s">
        <v>2162</v>
      </c>
      <c r="D376" s="229"/>
      <c r="E376" s="229"/>
      <c r="F376" s="229"/>
      <c r="G376" s="229"/>
      <c r="H376" s="229"/>
      <c r="I376" s="229"/>
      <c r="J376" s="59" t="s">
        <v>2159</v>
      </c>
      <c r="K376" s="46">
        <v>20815000</v>
      </c>
      <c r="L376" s="2">
        <v>44431</v>
      </c>
      <c r="M376" s="32"/>
      <c r="N376" s="32">
        <v>3127790756</v>
      </c>
      <c r="O376" s="51" t="s">
        <v>2160</v>
      </c>
      <c r="P376" s="38" t="s">
        <v>2161</v>
      </c>
    </row>
    <row r="377" spans="2:16" x14ac:dyDescent="0.25">
      <c r="B377" s="32">
        <v>365</v>
      </c>
      <c r="C377" s="271" t="s">
        <v>2163</v>
      </c>
      <c r="D377" s="272"/>
      <c r="E377" s="272"/>
      <c r="F377" s="272"/>
      <c r="G377" s="272"/>
      <c r="H377" s="272"/>
      <c r="I377" s="272"/>
      <c r="J377" s="59" t="s">
        <v>702</v>
      </c>
      <c r="K377" s="46">
        <v>1250000</v>
      </c>
      <c r="L377" s="2">
        <v>44431</v>
      </c>
      <c r="M377" s="32"/>
      <c r="N377" s="32">
        <v>3104680508</v>
      </c>
      <c r="O377" s="51" t="s">
        <v>212</v>
      </c>
      <c r="P377" s="38" t="s">
        <v>703</v>
      </c>
    </row>
    <row r="378" spans="2:16" x14ac:dyDescent="0.25">
      <c r="B378" s="32">
        <v>366</v>
      </c>
      <c r="C378" s="229" t="s">
        <v>2164</v>
      </c>
      <c r="D378" s="229"/>
      <c r="E378" s="229"/>
      <c r="F378" s="229"/>
      <c r="G378" s="229"/>
      <c r="H378" s="229"/>
      <c r="I378" s="229"/>
      <c r="J378" s="59" t="s">
        <v>2165</v>
      </c>
      <c r="K378" s="46">
        <v>9950000</v>
      </c>
      <c r="L378" s="2">
        <v>44431</v>
      </c>
      <c r="M378" s="32" t="s">
        <v>3923</v>
      </c>
      <c r="N378" s="32">
        <v>3042478572</v>
      </c>
      <c r="O378" s="51" t="s">
        <v>2166</v>
      </c>
      <c r="P378" s="38" t="s">
        <v>2167</v>
      </c>
    </row>
    <row r="379" spans="2:16" x14ac:dyDescent="0.25">
      <c r="B379" s="32">
        <v>367</v>
      </c>
      <c r="C379" s="229" t="s">
        <v>2168</v>
      </c>
      <c r="D379" s="229"/>
      <c r="E379" s="229"/>
      <c r="F379" s="229"/>
      <c r="G379" s="229"/>
      <c r="H379" s="229"/>
      <c r="I379" s="229"/>
      <c r="J379" s="59" t="s">
        <v>1439</v>
      </c>
      <c r="K379" s="46">
        <v>13500000</v>
      </c>
      <c r="L379" s="2">
        <v>44431</v>
      </c>
      <c r="M379" s="32" t="s">
        <v>3923</v>
      </c>
      <c r="N379" s="32">
        <v>3183484307</v>
      </c>
      <c r="O379" s="51" t="s">
        <v>2116</v>
      </c>
      <c r="P379" s="38" t="s">
        <v>2117</v>
      </c>
    </row>
    <row r="380" spans="2:16" x14ac:dyDescent="0.25">
      <c r="B380" s="32">
        <v>368</v>
      </c>
      <c r="C380" s="229" t="s">
        <v>2169</v>
      </c>
      <c r="D380" s="229"/>
      <c r="E380" s="229"/>
      <c r="F380" s="229"/>
      <c r="G380" s="229"/>
      <c r="H380" s="229"/>
      <c r="I380" s="229"/>
      <c r="J380" s="59" t="s">
        <v>702</v>
      </c>
      <c r="K380" s="46">
        <v>1100000</v>
      </c>
      <c r="L380" s="2">
        <v>44435</v>
      </c>
      <c r="M380" s="32"/>
      <c r="N380" s="32" t="s">
        <v>2036</v>
      </c>
      <c r="O380" s="51" t="s">
        <v>2037</v>
      </c>
      <c r="P380" s="38" t="s">
        <v>2038</v>
      </c>
    </row>
    <row r="381" spans="2:16" x14ac:dyDescent="0.25">
      <c r="B381" s="32">
        <v>369</v>
      </c>
      <c r="C381" s="229" t="s">
        <v>2170</v>
      </c>
      <c r="D381" s="229"/>
      <c r="E381" s="229"/>
      <c r="F381" s="229"/>
      <c r="G381" s="229"/>
      <c r="H381" s="229"/>
      <c r="I381" s="229"/>
      <c r="J381" s="59" t="s">
        <v>890</v>
      </c>
      <c r="K381" s="46">
        <v>4060000</v>
      </c>
      <c r="L381" s="2">
        <v>44436</v>
      </c>
      <c r="M381" s="32"/>
      <c r="N381" s="32">
        <v>3113396273</v>
      </c>
      <c r="O381" s="51" t="s">
        <v>989</v>
      </c>
      <c r="P381" s="52" t="s">
        <v>990</v>
      </c>
    </row>
    <row r="382" spans="2:16" x14ac:dyDescent="0.25">
      <c r="B382" s="32">
        <v>370</v>
      </c>
      <c r="C382" s="229" t="s">
        <v>2171</v>
      </c>
      <c r="D382" s="229"/>
      <c r="E382" s="229"/>
      <c r="F382" s="229"/>
      <c r="G382" s="229"/>
      <c r="H382" s="229"/>
      <c r="I382" s="229"/>
      <c r="J382" s="59" t="s">
        <v>702</v>
      </c>
      <c r="K382" s="46" t="s">
        <v>150</v>
      </c>
      <c r="L382" s="2">
        <v>44435</v>
      </c>
      <c r="M382" s="32"/>
      <c r="N382" s="32">
        <v>3128403568</v>
      </c>
      <c r="O382" s="51" t="s">
        <v>2172</v>
      </c>
      <c r="P382" s="38" t="s">
        <v>2173</v>
      </c>
    </row>
    <row r="383" spans="2:16" x14ac:dyDescent="0.25">
      <c r="B383" s="32">
        <v>371</v>
      </c>
      <c r="C383" s="229" t="s">
        <v>2174</v>
      </c>
      <c r="D383" s="229"/>
      <c r="E383" s="229"/>
      <c r="F383" s="229"/>
      <c r="G383" s="229"/>
      <c r="H383" s="229"/>
      <c r="I383" s="229"/>
      <c r="J383" s="59" t="s">
        <v>702</v>
      </c>
      <c r="K383" s="46">
        <v>1320000</v>
      </c>
      <c r="L383" s="2">
        <v>44435</v>
      </c>
      <c r="M383" s="32" t="s">
        <v>3923</v>
      </c>
      <c r="N383" s="32">
        <v>3106300056</v>
      </c>
      <c r="O383" s="51" t="s">
        <v>2175</v>
      </c>
      <c r="P383" s="38" t="s">
        <v>2176</v>
      </c>
    </row>
    <row r="384" spans="2:16" x14ac:dyDescent="0.25">
      <c r="B384" s="32">
        <v>372</v>
      </c>
      <c r="C384" s="229" t="s">
        <v>2177</v>
      </c>
      <c r="D384" s="229"/>
      <c r="E384" s="229"/>
      <c r="F384" s="229"/>
      <c r="G384" s="229"/>
      <c r="H384" s="229"/>
      <c r="I384" s="229"/>
      <c r="J384" s="59"/>
      <c r="K384" s="46">
        <v>25950000</v>
      </c>
      <c r="L384" s="2">
        <v>44435</v>
      </c>
      <c r="M384" s="32"/>
      <c r="N384" s="32"/>
      <c r="O384" s="51" t="s">
        <v>2178</v>
      </c>
      <c r="P384" s="38" t="s">
        <v>2179</v>
      </c>
    </row>
    <row r="385" spans="2:16" x14ac:dyDescent="0.25">
      <c r="B385" s="32">
        <v>373</v>
      </c>
      <c r="C385" s="229" t="s">
        <v>2180</v>
      </c>
      <c r="D385" s="229"/>
      <c r="E385" s="229"/>
      <c r="F385" s="229"/>
      <c r="G385" s="229"/>
      <c r="H385" s="229"/>
      <c r="I385" s="229"/>
      <c r="J385" s="59"/>
      <c r="K385" s="46">
        <v>18800000</v>
      </c>
      <c r="L385" s="2">
        <v>44435</v>
      </c>
      <c r="M385" s="32"/>
      <c r="N385" s="32"/>
      <c r="O385" s="51" t="s">
        <v>1867</v>
      </c>
      <c r="P385" s="52" t="s">
        <v>1868</v>
      </c>
    </row>
    <row r="386" spans="2:16" x14ac:dyDescent="0.25">
      <c r="B386" s="32">
        <v>374</v>
      </c>
      <c r="C386" s="229" t="s">
        <v>213</v>
      </c>
      <c r="D386" s="229"/>
      <c r="E386" s="229"/>
      <c r="F386" s="229"/>
      <c r="G386" s="229"/>
      <c r="H386" s="229"/>
      <c r="I386" s="229"/>
      <c r="J386" s="59"/>
      <c r="K386" s="46">
        <v>6270000</v>
      </c>
      <c r="L386" s="2">
        <v>44438</v>
      </c>
      <c r="M386" s="32"/>
      <c r="N386" s="32">
        <v>3046417336</v>
      </c>
      <c r="O386" s="51" t="s">
        <v>2141</v>
      </c>
      <c r="P386" s="38" t="s">
        <v>2142</v>
      </c>
    </row>
    <row r="387" spans="2:16" x14ac:dyDescent="0.25">
      <c r="B387" s="32">
        <v>375</v>
      </c>
      <c r="C387" s="229" t="s">
        <v>2181</v>
      </c>
      <c r="D387" s="229"/>
      <c r="E387" s="229"/>
      <c r="F387" s="229"/>
      <c r="G387" s="229"/>
      <c r="H387" s="229"/>
      <c r="I387" s="229"/>
      <c r="J387" s="59" t="s">
        <v>2096</v>
      </c>
      <c r="K387" s="46">
        <v>3380000</v>
      </c>
      <c r="L387" s="2">
        <v>44438</v>
      </c>
      <c r="M387" s="32" t="s">
        <v>3923</v>
      </c>
      <c r="N387" s="32" t="s">
        <v>2097</v>
      </c>
      <c r="O387" s="51" t="s">
        <v>2098</v>
      </c>
      <c r="P387" s="38" t="s">
        <v>2099</v>
      </c>
    </row>
    <row r="388" spans="2:16" x14ac:dyDescent="0.25">
      <c r="B388" s="32">
        <v>376</v>
      </c>
      <c r="C388" s="271" t="s">
        <v>2182</v>
      </c>
      <c r="D388" s="272"/>
      <c r="E388" s="272"/>
      <c r="F388" s="272"/>
      <c r="G388" s="272"/>
      <c r="H388" s="272"/>
      <c r="I388" s="272"/>
      <c r="J388" s="59"/>
      <c r="K388" s="46">
        <v>2900000</v>
      </c>
      <c r="L388" s="2">
        <v>44438</v>
      </c>
      <c r="M388" s="2" t="s">
        <v>3923</v>
      </c>
      <c r="N388" s="32">
        <v>3117628323</v>
      </c>
      <c r="O388" s="51" t="s">
        <v>2183</v>
      </c>
      <c r="P388" s="38" t="s">
        <v>2184</v>
      </c>
    </row>
    <row r="389" spans="2:16" x14ac:dyDescent="0.25">
      <c r="B389" s="32">
        <v>377</v>
      </c>
      <c r="C389" s="229" t="s">
        <v>2185</v>
      </c>
      <c r="D389" s="229"/>
      <c r="E389" s="229"/>
      <c r="F389" s="229"/>
      <c r="G389" s="229"/>
      <c r="H389" s="229"/>
      <c r="I389" s="229"/>
      <c r="J389" s="59"/>
      <c r="K389" s="46">
        <v>2960000</v>
      </c>
      <c r="L389" s="2">
        <v>44438</v>
      </c>
      <c r="M389" s="2" t="s">
        <v>3923</v>
      </c>
      <c r="N389" s="32">
        <v>3117628323</v>
      </c>
      <c r="O389" s="51" t="s">
        <v>2183</v>
      </c>
      <c r="P389" s="38" t="s">
        <v>2184</v>
      </c>
    </row>
    <row r="390" spans="2:16" ht="15" customHeight="1" x14ac:dyDescent="0.25">
      <c r="B390" s="32">
        <v>378</v>
      </c>
      <c r="C390" s="229" t="s">
        <v>2186</v>
      </c>
      <c r="D390" s="229"/>
      <c r="E390" s="229"/>
      <c r="F390" s="229"/>
      <c r="G390" s="229"/>
      <c r="H390" s="229"/>
      <c r="I390" s="229"/>
      <c r="J390" s="59" t="s">
        <v>2187</v>
      </c>
      <c r="K390" s="46">
        <v>2630000</v>
      </c>
      <c r="L390" s="2">
        <v>44439</v>
      </c>
      <c r="M390" s="32"/>
      <c r="N390" s="32"/>
      <c r="O390" s="51" t="s">
        <v>2188</v>
      </c>
      <c r="P390" s="38" t="s">
        <v>2189</v>
      </c>
    </row>
    <row r="391" spans="2:16" x14ac:dyDescent="0.25">
      <c r="B391" s="32">
        <v>379</v>
      </c>
      <c r="C391" s="229" t="s">
        <v>2190</v>
      </c>
      <c r="D391" s="229"/>
      <c r="E391" s="229"/>
      <c r="F391" s="229"/>
      <c r="G391" s="229"/>
      <c r="H391" s="229"/>
      <c r="I391" s="229"/>
      <c r="J391" s="59" t="s">
        <v>702</v>
      </c>
      <c r="K391" s="46">
        <v>3990000</v>
      </c>
      <c r="L391" s="2">
        <v>44439</v>
      </c>
      <c r="M391" s="32" t="s">
        <v>3923</v>
      </c>
      <c r="N391" s="32">
        <v>3103898043</v>
      </c>
      <c r="O391" s="51" t="s">
        <v>1237</v>
      </c>
      <c r="P391" s="38" t="s">
        <v>1238</v>
      </c>
    </row>
    <row r="392" spans="2:16" x14ac:dyDescent="0.25">
      <c r="B392" s="32">
        <v>380</v>
      </c>
      <c r="C392" s="229" t="s">
        <v>2191</v>
      </c>
      <c r="D392" s="229"/>
      <c r="E392" s="229"/>
      <c r="F392" s="229"/>
      <c r="G392" s="229"/>
      <c r="H392" s="229"/>
      <c r="I392" s="229"/>
      <c r="J392" s="59" t="s">
        <v>1100</v>
      </c>
      <c r="K392" s="46">
        <v>3135000</v>
      </c>
      <c r="L392" s="2">
        <v>44439</v>
      </c>
      <c r="M392" s="32"/>
      <c r="N392" s="32">
        <v>3014188503</v>
      </c>
      <c r="O392" s="51" t="s">
        <v>1101</v>
      </c>
      <c r="P392" s="38" t="s">
        <v>1102</v>
      </c>
    </row>
    <row r="393" spans="2:16" x14ac:dyDescent="0.25">
      <c r="B393" s="32">
        <v>381</v>
      </c>
      <c r="C393" s="229" t="s">
        <v>2192</v>
      </c>
      <c r="D393" s="229"/>
      <c r="E393" s="229"/>
      <c r="F393" s="229"/>
      <c r="G393" s="229"/>
      <c r="H393" s="229"/>
      <c r="I393" s="229"/>
      <c r="J393" s="59" t="s">
        <v>890</v>
      </c>
      <c r="K393" s="46">
        <v>6270000</v>
      </c>
      <c r="L393" s="2">
        <v>44439</v>
      </c>
      <c r="M393" s="32"/>
      <c r="N393" s="32" t="s">
        <v>2193</v>
      </c>
      <c r="O393" s="51" t="s">
        <v>2194</v>
      </c>
      <c r="P393" s="38" t="s">
        <v>2195</v>
      </c>
    </row>
    <row r="394" spans="2:16" x14ac:dyDescent="0.25">
      <c r="B394" s="32">
        <v>382</v>
      </c>
      <c r="C394" s="229" t="s">
        <v>2196</v>
      </c>
      <c r="D394" s="229"/>
      <c r="E394" s="229"/>
      <c r="F394" s="229"/>
      <c r="G394" s="229"/>
      <c r="H394" s="229"/>
      <c r="I394" s="229"/>
      <c r="J394" s="59" t="s">
        <v>1683</v>
      </c>
      <c r="K394" s="46">
        <v>750000</v>
      </c>
      <c r="L394" s="2">
        <v>44439</v>
      </c>
      <c r="M394" s="32"/>
      <c r="N394" s="32">
        <v>3137533648</v>
      </c>
      <c r="O394" s="51" t="s">
        <v>2197</v>
      </c>
      <c r="P394" s="38" t="s">
        <v>2198</v>
      </c>
    </row>
    <row r="395" spans="2:16" x14ac:dyDescent="0.25">
      <c r="B395" s="32">
        <v>383</v>
      </c>
      <c r="C395" s="229" t="s">
        <v>2199</v>
      </c>
      <c r="D395" s="229"/>
      <c r="E395" s="229"/>
      <c r="F395" s="229"/>
      <c r="G395" s="229"/>
      <c r="H395" s="229"/>
      <c r="I395" s="229"/>
      <c r="J395" s="59" t="s">
        <v>2200</v>
      </c>
      <c r="K395" s="46">
        <v>5990000</v>
      </c>
      <c r="L395" s="2">
        <v>44440</v>
      </c>
      <c r="M395" s="32"/>
      <c r="N395" s="32"/>
      <c r="O395" s="51" t="s">
        <v>2201</v>
      </c>
      <c r="P395" s="38" t="s">
        <v>2202</v>
      </c>
    </row>
    <row r="396" spans="2:16" x14ac:dyDescent="0.25">
      <c r="B396" s="32">
        <v>384</v>
      </c>
      <c r="C396" s="271" t="s">
        <v>2203</v>
      </c>
      <c r="D396" s="272"/>
      <c r="E396" s="272"/>
      <c r="F396" s="272"/>
      <c r="G396" s="272"/>
      <c r="H396" s="272"/>
      <c r="I396" s="272"/>
      <c r="J396" s="59" t="s">
        <v>2204</v>
      </c>
      <c r="K396" s="46">
        <v>6580000</v>
      </c>
      <c r="L396" s="2">
        <v>44440</v>
      </c>
      <c r="M396" s="32"/>
      <c r="N396" s="32">
        <v>3218381675</v>
      </c>
      <c r="O396" s="51" t="s">
        <v>2205</v>
      </c>
      <c r="P396" s="38" t="s">
        <v>2206</v>
      </c>
    </row>
    <row r="397" spans="2:16" x14ac:dyDescent="0.25">
      <c r="B397" s="32">
        <v>385</v>
      </c>
      <c r="C397" s="229" t="s">
        <v>2207</v>
      </c>
      <c r="D397" s="229"/>
      <c r="E397" s="229"/>
      <c r="F397" s="229"/>
      <c r="G397" s="229"/>
      <c r="H397" s="229"/>
      <c r="I397" s="229"/>
      <c r="J397" s="59" t="s">
        <v>2204</v>
      </c>
      <c r="K397" s="46">
        <v>3760000</v>
      </c>
      <c r="L397" s="2">
        <v>44440</v>
      </c>
      <c r="M397" s="32"/>
      <c r="N397" s="32">
        <v>3218381675</v>
      </c>
      <c r="O397" s="51" t="s">
        <v>2205</v>
      </c>
      <c r="P397" s="38" t="s">
        <v>2206</v>
      </c>
    </row>
    <row r="398" spans="2:16" x14ac:dyDescent="0.25">
      <c r="B398" s="32">
        <v>386</v>
      </c>
      <c r="C398" s="229" t="s">
        <v>2208</v>
      </c>
      <c r="D398" s="229"/>
      <c r="E398" s="229"/>
      <c r="F398" s="229"/>
      <c r="G398" s="229"/>
      <c r="H398" s="229"/>
      <c r="I398" s="229"/>
      <c r="J398" s="59" t="s">
        <v>712</v>
      </c>
      <c r="K398" s="46">
        <v>7520000</v>
      </c>
      <c r="L398" s="2">
        <v>44441</v>
      </c>
      <c r="M398" s="32"/>
      <c r="N398" s="32">
        <v>3137851941</v>
      </c>
      <c r="O398" s="51" t="s">
        <v>2055</v>
      </c>
      <c r="P398" s="38" t="s">
        <v>713</v>
      </c>
    </row>
    <row r="399" spans="2:16" x14ac:dyDescent="0.25">
      <c r="B399" s="32">
        <v>387</v>
      </c>
      <c r="C399" s="271" t="s">
        <v>2209</v>
      </c>
      <c r="D399" s="272"/>
      <c r="E399" s="272"/>
      <c r="F399" s="272"/>
      <c r="G399" s="272"/>
      <c r="H399" s="272"/>
      <c r="I399" s="272"/>
      <c r="J399" s="59" t="s">
        <v>805</v>
      </c>
      <c r="K399" s="46">
        <v>49450000</v>
      </c>
      <c r="L399" s="2">
        <v>44441</v>
      </c>
      <c r="M399" s="32"/>
      <c r="N399" s="32">
        <v>3004748607</v>
      </c>
      <c r="O399" s="51" t="s">
        <v>2210</v>
      </c>
      <c r="P399" s="38" t="s">
        <v>2211</v>
      </c>
    </row>
    <row r="400" spans="2:16" x14ac:dyDescent="0.25">
      <c r="B400" s="32">
        <v>388</v>
      </c>
      <c r="C400" s="229" t="s">
        <v>2212</v>
      </c>
      <c r="D400" s="229"/>
      <c r="E400" s="229"/>
      <c r="F400" s="229"/>
      <c r="G400" s="229"/>
      <c r="H400" s="229"/>
      <c r="I400" s="229"/>
      <c r="J400" s="59" t="s">
        <v>2213</v>
      </c>
      <c r="K400" s="46">
        <v>6250000</v>
      </c>
      <c r="L400" s="2">
        <v>44441</v>
      </c>
      <c r="M400" s="32"/>
      <c r="N400" s="32" t="s">
        <v>2214</v>
      </c>
      <c r="O400" s="51" t="s">
        <v>2215</v>
      </c>
      <c r="P400" s="38" t="s">
        <v>2216</v>
      </c>
    </row>
    <row r="401" spans="2:16" x14ac:dyDescent="0.25">
      <c r="B401" s="32">
        <v>389</v>
      </c>
      <c r="C401" s="229" t="s">
        <v>2217</v>
      </c>
      <c r="D401" s="229"/>
      <c r="E401" s="229"/>
      <c r="F401" s="229"/>
      <c r="G401" s="229"/>
      <c r="H401" s="229"/>
      <c r="I401" s="229"/>
      <c r="J401" s="59" t="s">
        <v>702</v>
      </c>
      <c r="K401" s="46">
        <v>14920000</v>
      </c>
      <c r="L401" s="2">
        <v>44442</v>
      </c>
      <c r="M401" s="32" t="s">
        <v>3923</v>
      </c>
      <c r="N401" s="32" t="s">
        <v>2218</v>
      </c>
      <c r="O401" s="51" t="s">
        <v>2219</v>
      </c>
      <c r="P401" s="38" t="s">
        <v>2220</v>
      </c>
    </row>
    <row r="402" spans="2:16" x14ac:dyDescent="0.25">
      <c r="B402" s="32">
        <v>390</v>
      </c>
      <c r="C402" s="229" t="s">
        <v>2221</v>
      </c>
      <c r="D402" s="229"/>
      <c r="E402" s="229"/>
      <c r="F402" s="229"/>
      <c r="G402" s="229"/>
      <c r="H402" s="229"/>
      <c r="I402" s="229"/>
      <c r="J402" s="59" t="s">
        <v>702</v>
      </c>
      <c r="K402" s="46">
        <v>1350000</v>
      </c>
      <c r="L402" s="2">
        <v>44443</v>
      </c>
      <c r="M402" s="32" t="s">
        <v>3923</v>
      </c>
      <c r="N402" s="32" t="s">
        <v>2036</v>
      </c>
      <c r="O402" s="51" t="s">
        <v>2037</v>
      </c>
      <c r="P402" s="38" t="s">
        <v>2038</v>
      </c>
    </row>
    <row r="403" spans="2:16" x14ac:dyDescent="0.25">
      <c r="B403" s="32">
        <v>391</v>
      </c>
      <c r="C403" s="229" t="s">
        <v>2222</v>
      </c>
      <c r="D403" s="229"/>
      <c r="E403" s="229"/>
      <c r="F403" s="229"/>
      <c r="G403" s="229"/>
      <c r="H403" s="229"/>
      <c r="I403" s="229"/>
      <c r="J403" s="59" t="s">
        <v>702</v>
      </c>
      <c r="K403" s="46">
        <v>1350000</v>
      </c>
      <c r="L403" s="2">
        <v>44443</v>
      </c>
      <c r="M403" s="32" t="s">
        <v>3923</v>
      </c>
      <c r="N403" s="32" t="s">
        <v>2036</v>
      </c>
      <c r="O403" s="51" t="s">
        <v>2037</v>
      </c>
      <c r="P403" s="38" t="s">
        <v>2038</v>
      </c>
    </row>
    <row r="404" spans="2:16" x14ac:dyDescent="0.25">
      <c r="B404" s="32">
        <v>392</v>
      </c>
      <c r="C404" s="229" t="s">
        <v>2223</v>
      </c>
      <c r="D404" s="229"/>
      <c r="E404" s="229"/>
      <c r="F404" s="229"/>
      <c r="G404" s="229"/>
      <c r="H404" s="229"/>
      <c r="I404" s="229"/>
      <c r="J404" s="59" t="s">
        <v>1553</v>
      </c>
      <c r="K404" s="46">
        <v>700000</v>
      </c>
      <c r="L404" s="2">
        <v>44443</v>
      </c>
      <c r="M404" s="32" t="s">
        <v>3923</v>
      </c>
      <c r="N404" s="32">
        <v>3022295772</v>
      </c>
      <c r="O404" s="51" t="s">
        <v>1554</v>
      </c>
      <c r="P404" s="52" t="s">
        <v>1555</v>
      </c>
    </row>
    <row r="405" spans="2:16" x14ac:dyDescent="0.25">
      <c r="B405" s="32">
        <v>393</v>
      </c>
      <c r="C405" s="229" t="s">
        <v>2224</v>
      </c>
      <c r="D405" s="229"/>
      <c r="E405" s="229"/>
      <c r="F405" s="229"/>
      <c r="G405" s="229"/>
      <c r="H405" s="229"/>
      <c r="I405" s="229"/>
      <c r="J405" s="71" t="s">
        <v>2225</v>
      </c>
      <c r="K405" s="46">
        <v>3000000</v>
      </c>
      <c r="L405" s="2">
        <v>44443</v>
      </c>
      <c r="M405" s="32" t="s">
        <v>3923</v>
      </c>
      <c r="N405" s="32" t="s">
        <v>2226</v>
      </c>
      <c r="O405" s="51" t="s">
        <v>2227</v>
      </c>
      <c r="P405" s="38" t="s">
        <v>2228</v>
      </c>
    </row>
    <row r="406" spans="2:16" x14ac:dyDescent="0.25">
      <c r="B406" s="32">
        <v>394</v>
      </c>
      <c r="C406" s="229" t="s">
        <v>2229</v>
      </c>
      <c r="D406" s="229"/>
      <c r="E406" s="229"/>
      <c r="F406" s="229"/>
      <c r="G406" s="229"/>
      <c r="H406" s="229"/>
      <c r="I406" s="229"/>
      <c r="J406" s="59" t="s">
        <v>2230</v>
      </c>
      <c r="K406" s="46">
        <v>1000000</v>
      </c>
      <c r="L406" s="2">
        <v>44445</v>
      </c>
      <c r="M406" s="32" t="s">
        <v>3923</v>
      </c>
      <c r="N406" s="32">
        <v>3024787538</v>
      </c>
      <c r="O406" s="51" t="s">
        <v>2231</v>
      </c>
      <c r="P406" s="38" t="s">
        <v>2232</v>
      </c>
    </row>
    <row r="407" spans="2:16" x14ac:dyDescent="0.25">
      <c r="B407" s="32">
        <v>395</v>
      </c>
      <c r="C407" s="229" t="s">
        <v>2233</v>
      </c>
      <c r="D407" s="229"/>
      <c r="E407" s="229"/>
      <c r="F407" s="229"/>
      <c r="G407" s="229"/>
      <c r="H407" s="229"/>
      <c r="I407" s="229"/>
      <c r="J407" s="59" t="s">
        <v>851</v>
      </c>
      <c r="K407" s="46">
        <v>1870000</v>
      </c>
      <c r="L407" s="2">
        <v>44445</v>
      </c>
      <c r="M407" s="32"/>
      <c r="N407" s="32">
        <v>3014111727</v>
      </c>
      <c r="O407" s="51" t="s">
        <v>2234</v>
      </c>
      <c r="P407" s="38" t="s">
        <v>2235</v>
      </c>
    </row>
    <row r="408" spans="2:16" x14ac:dyDescent="0.25">
      <c r="B408" s="32">
        <v>396</v>
      </c>
      <c r="C408" s="271" t="s">
        <v>2236</v>
      </c>
      <c r="D408" s="272"/>
      <c r="E408" s="272"/>
      <c r="F408" s="272"/>
      <c r="G408" s="272"/>
      <c r="H408" s="272"/>
      <c r="I408" s="272"/>
      <c r="J408" s="59" t="s">
        <v>1163</v>
      </c>
      <c r="K408" s="46">
        <v>4500000</v>
      </c>
      <c r="L408" s="2">
        <v>44445</v>
      </c>
      <c r="M408" s="32"/>
      <c r="N408" s="32" t="s">
        <v>2237</v>
      </c>
      <c r="O408" s="51" t="s">
        <v>2238</v>
      </c>
      <c r="P408" s="38" t="s">
        <v>1672</v>
      </c>
    </row>
    <row r="409" spans="2:16" x14ac:dyDescent="0.25">
      <c r="B409" s="32">
        <v>397</v>
      </c>
      <c r="C409" s="271" t="s">
        <v>2239</v>
      </c>
      <c r="D409" s="272"/>
      <c r="E409" s="272"/>
      <c r="F409" s="272"/>
      <c r="G409" s="272"/>
      <c r="H409" s="272"/>
      <c r="I409" s="272"/>
      <c r="J409" s="59" t="s">
        <v>2204</v>
      </c>
      <c r="K409" s="1">
        <v>7500000</v>
      </c>
      <c r="L409" s="2">
        <v>44446</v>
      </c>
      <c r="M409" s="32"/>
      <c r="N409" s="32">
        <v>3126658022</v>
      </c>
      <c r="O409" s="51" t="s">
        <v>2240</v>
      </c>
      <c r="P409" s="38" t="s">
        <v>2241</v>
      </c>
    </row>
    <row r="410" spans="2:16" x14ac:dyDescent="0.25">
      <c r="B410" s="32">
        <v>398</v>
      </c>
      <c r="C410" s="229" t="s">
        <v>2242</v>
      </c>
      <c r="D410" s="229"/>
      <c r="E410" s="229"/>
      <c r="F410" s="229"/>
      <c r="G410" s="229"/>
      <c r="H410" s="229"/>
      <c r="I410" s="229"/>
      <c r="J410" s="59" t="s">
        <v>712</v>
      </c>
      <c r="K410" s="1">
        <v>5650000</v>
      </c>
      <c r="L410" s="2">
        <v>44446</v>
      </c>
      <c r="M410" s="32"/>
      <c r="N410" s="32">
        <v>3137851941</v>
      </c>
      <c r="O410" s="51" t="s">
        <v>2055</v>
      </c>
      <c r="P410" s="38" t="s">
        <v>713</v>
      </c>
    </row>
    <row r="411" spans="2:16" x14ac:dyDescent="0.25">
      <c r="B411" s="32">
        <v>399</v>
      </c>
      <c r="C411" s="229" t="s">
        <v>2243</v>
      </c>
      <c r="D411" s="229"/>
      <c r="E411" s="229"/>
      <c r="F411" s="229"/>
      <c r="G411" s="229"/>
      <c r="H411" s="229"/>
      <c r="I411" s="229"/>
      <c r="J411" s="59" t="s">
        <v>2244</v>
      </c>
      <c r="K411" s="1">
        <v>2500000</v>
      </c>
      <c r="L411" s="2">
        <v>44447</v>
      </c>
      <c r="M411" s="32"/>
      <c r="N411" s="32" t="s">
        <v>2245</v>
      </c>
      <c r="O411" s="51" t="s">
        <v>2246</v>
      </c>
      <c r="P411" s="38" t="s">
        <v>2247</v>
      </c>
    </row>
    <row r="412" spans="2:16" x14ac:dyDescent="0.25">
      <c r="B412" s="32">
        <v>400</v>
      </c>
      <c r="C412" s="271" t="s">
        <v>2248</v>
      </c>
      <c r="D412" s="272"/>
      <c r="E412" s="272"/>
      <c r="F412" s="272"/>
      <c r="G412" s="272"/>
      <c r="H412" s="272"/>
      <c r="I412" s="272"/>
      <c r="J412" s="59" t="s">
        <v>802</v>
      </c>
      <c r="K412" s="1">
        <v>6950000</v>
      </c>
      <c r="L412" s="2">
        <v>44447</v>
      </c>
      <c r="M412" s="32"/>
      <c r="N412" s="32">
        <v>3108279836</v>
      </c>
      <c r="O412" s="51" t="s">
        <v>2249</v>
      </c>
      <c r="P412" s="38" t="s">
        <v>2250</v>
      </c>
    </row>
    <row r="413" spans="2:16" x14ac:dyDescent="0.25">
      <c r="B413" s="32">
        <v>401</v>
      </c>
      <c r="C413" s="271" t="s">
        <v>2248</v>
      </c>
      <c r="D413" s="272"/>
      <c r="E413" s="272"/>
      <c r="F413" s="272"/>
      <c r="G413" s="272"/>
      <c r="H413" s="272"/>
      <c r="I413" s="272"/>
      <c r="J413" s="59" t="s">
        <v>831</v>
      </c>
      <c r="K413" s="1">
        <v>6950001</v>
      </c>
      <c r="L413" s="2">
        <v>44417</v>
      </c>
      <c r="M413" s="32"/>
      <c r="N413" s="32" t="s">
        <v>1751</v>
      </c>
      <c r="O413" s="51" t="s">
        <v>1752</v>
      </c>
      <c r="P413" s="52" t="s">
        <v>1753</v>
      </c>
    </row>
    <row r="414" spans="2:16" ht="15" customHeight="1" x14ac:dyDescent="0.25">
      <c r="B414" s="32">
        <v>402</v>
      </c>
      <c r="C414" s="263" t="s">
        <v>2251</v>
      </c>
      <c r="D414" s="229"/>
      <c r="E414" s="229"/>
      <c r="F414" s="229"/>
      <c r="G414" s="229"/>
      <c r="H414" s="229"/>
      <c r="I414" s="229"/>
      <c r="J414" s="59" t="s">
        <v>2252</v>
      </c>
      <c r="K414" s="1">
        <v>4500000</v>
      </c>
      <c r="L414" s="2">
        <v>44448</v>
      </c>
      <c r="M414" s="32" t="s">
        <v>3923</v>
      </c>
      <c r="N414" s="32" t="s">
        <v>2253</v>
      </c>
      <c r="O414" s="51" t="s">
        <v>2254</v>
      </c>
      <c r="P414" s="38" t="s">
        <v>1075</v>
      </c>
    </row>
    <row r="415" spans="2:16" x14ac:dyDescent="0.25">
      <c r="B415" s="32">
        <v>403</v>
      </c>
      <c r="C415" s="229" t="s">
        <v>2255</v>
      </c>
      <c r="D415" s="229"/>
      <c r="E415" s="229"/>
      <c r="F415" s="229"/>
      <c r="G415" s="229"/>
      <c r="H415" s="229"/>
      <c r="I415" s="229"/>
      <c r="J415" s="59" t="s">
        <v>702</v>
      </c>
      <c r="K415" s="46">
        <v>14950000</v>
      </c>
      <c r="L415" s="2">
        <v>44448</v>
      </c>
      <c r="M415" s="32"/>
      <c r="N415" s="32">
        <v>3104680508</v>
      </c>
      <c r="O415" s="51" t="s">
        <v>212</v>
      </c>
      <c r="P415" s="38" t="s">
        <v>703</v>
      </c>
    </row>
    <row r="416" spans="2:16" x14ac:dyDescent="0.25">
      <c r="B416" s="32">
        <v>404</v>
      </c>
      <c r="C416" s="229" t="s">
        <v>2256</v>
      </c>
      <c r="D416" s="229"/>
      <c r="E416" s="229"/>
      <c r="F416" s="229"/>
      <c r="G416" s="229"/>
      <c r="H416" s="229"/>
      <c r="I416" s="229"/>
      <c r="J416" s="59" t="s">
        <v>1428</v>
      </c>
      <c r="K416" s="1" t="s">
        <v>381</v>
      </c>
      <c r="L416" s="2">
        <v>44448</v>
      </c>
      <c r="M416" s="32"/>
      <c r="N416" s="32">
        <v>3132971351</v>
      </c>
      <c r="O416" s="51" t="s">
        <v>2257</v>
      </c>
      <c r="P416" s="38" t="s">
        <v>2258</v>
      </c>
    </row>
    <row r="417" spans="2:16" x14ac:dyDescent="0.25">
      <c r="B417" s="32">
        <v>405</v>
      </c>
      <c r="C417" s="229" t="s">
        <v>2259</v>
      </c>
      <c r="D417" s="229"/>
      <c r="E417" s="229"/>
      <c r="F417" s="229"/>
      <c r="G417" s="229"/>
      <c r="H417" s="229"/>
      <c r="I417" s="229"/>
      <c r="J417" s="59" t="s">
        <v>2260</v>
      </c>
      <c r="K417" s="1">
        <v>19990000</v>
      </c>
      <c r="L417" s="2">
        <v>44449</v>
      </c>
      <c r="M417" s="32"/>
      <c r="N417" s="32">
        <v>3013072880</v>
      </c>
      <c r="O417" s="51" t="s">
        <v>2261</v>
      </c>
      <c r="P417" s="38" t="s">
        <v>2262</v>
      </c>
    </row>
    <row r="418" spans="2:16" x14ac:dyDescent="0.25">
      <c r="B418" s="32">
        <v>406</v>
      </c>
      <c r="C418" s="229" t="s">
        <v>2263</v>
      </c>
      <c r="D418" s="229"/>
      <c r="E418" s="229"/>
      <c r="F418" s="229"/>
      <c r="G418" s="229"/>
      <c r="H418" s="229"/>
      <c r="I418" s="229"/>
      <c r="J418" s="59" t="s">
        <v>2264</v>
      </c>
      <c r="K418" s="1">
        <v>5950000</v>
      </c>
      <c r="L418" s="2">
        <v>44452</v>
      </c>
      <c r="M418" s="32"/>
      <c r="N418" s="32" t="s">
        <v>2265</v>
      </c>
      <c r="O418" s="51" t="s">
        <v>2266</v>
      </c>
      <c r="P418" s="38" t="s">
        <v>2267</v>
      </c>
    </row>
    <row r="419" spans="2:16" x14ac:dyDescent="0.25">
      <c r="B419" s="32">
        <v>407</v>
      </c>
      <c r="C419" s="229" t="s">
        <v>2268</v>
      </c>
      <c r="D419" s="229"/>
      <c r="E419" s="229"/>
      <c r="F419" s="229"/>
      <c r="G419" s="229"/>
      <c r="H419" s="229"/>
      <c r="I419" s="229"/>
      <c r="J419" s="59" t="s">
        <v>831</v>
      </c>
      <c r="K419" s="1">
        <v>3950000</v>
      </c>
      <c r="L419" s="2">
        <v>44452</v>
      </c>
      <c r="M419" s="32" t="s">
        <v>3923</v>
      </c>
      <c r="N419" s="32">
        <v>3147943785</v>
      </c>
      <c r="O419" s="51" t="s">
        <v>2269</v>
      </c>
      <c r="P419" s="38" t="s">
        <v>2270</v>
      </c>
    </row>
    <row r="420" spans="2:16" x14ac:dyDescent="0.25">
      <c r="B420" s="32">
        <v>408</v>
      </c>
      <c r="C420" s="271" t="s">
        <v>2271</v>
      </c>
      <c r="D420" s="272"/>
      <c r="E420" s="272"/>
      <c r="F420" s="272"/>
      <c r="G420" s="272"/>
      <c r="H420" s="272"/>
      <c r="I420" s="272"/>
      <c r="J420" s="59" t="s">
        <v>2272</v>
      </c>
      <c r="K420" s="1">
        <v>2630000</v>
      </c>
      <c r="L420" s="2">
        <v>44453</v>
      </c>
      <c r="M420" s="32"/>
      <c r="N420" s="32">
        <v>3147743362</v>
      </c>
      <c r="O420" s="51" t="s">
        <v>2273</v>
      </c>
      <c r="P420" s="38" t="s">
        <v>2274</v>
      </c>
    </row>
    <row r="421" spans="2:16" x14ac:dyDescent="0.25">
      <c r="B421" s="32">
        <v>409</v>
      </c>
      <c r="C421" s="229" t="s">
        <v>2275</v>
      </c>
      <c r="D421" s="229"/>
      <c r="E421" s="229"/>
      <c r="F421" s="229"/>
      <c r="G421" s="229"/>
      <c r="H421" s="229"/>
      <c r="I421" s="229"/>
      <c r="J421" s="59" t="s">
        <v>2244</v>
      </c>
      <c r="K421" s="1">
        <v>6000000</v>
      </c>
      <c r="L421" s="2">
        <v>44453</v>
      </c>
      <c r="M421" s="32"/>
      <c r="N421" s="32" t="s">
        <v>2245</v>
      </c>
      <c r="O421" s="51" t="s">
        <v>2246</v>
      </c>
      <c r="P421" s="38" t="s">
        <v>2247</v>
      </c>
    </row>
    <row r="422" spans="2:16" x14ac:dyDescent="0.25">
      <c r="B422" s="32">
        <v>410</v>
      </c>
      <c r="C422" s="229" t="s">
        <v>2276</v>
      </c>
      <c r="D422" s="229"/>
      <c r="E422" s="229"/>
      <c r="F422" s="229"/>
      <c r="G422" s="229"/>
      <c r="H422" s="229"/>
      <c r="I422" s="229"/>
      <c r="J422" s="59" t="s">
        <v>2277</v>
      </c>
      <c r="K422" s="1"/>
      <c r="L422" s="2">
        <v>44453</v>
      </c>
      <c r="M422" s="32"/>
      <c r="N422" s="32">
        <v>3004659012</v>
      </c>
      <c r="O422" s="51" t="s">
        <v>1747</v>
      </c>
      <c r="P422" s="38" t="s">
        <v>1748</v>
      </c>
    </row>
    <row r="423" spans="2:16" x14ac:dyDescent="0.25">
      <c r="B423" s="32">
        <v>411</v>
      </c>
      <c r="C423" s="229" t="s">
        <v>2278</v>
      </c>
      <c r="D423" s="229"/>
      <c r="E423" s="229"/>
      <c r="F423" s="229"/>
      <c r="G423" s="229"/>
      <c r="H423" s="229"/>
      <c r="I423" s="229"/>
      <c r="J423" s="59" t="s">
        <v>702</v>
      </c>
      <c r="K423" s="1">
        <v>2950000</v>
      </c>
      <c r="L423" s="2">
        <v>44453</v>
      </c>
      <c r="M423" s="32" t="s">
        <v>3923</v>
      </c>
      <c r="N423" s="32">
        <v>3137546144</v>
      </c>
      <c r="O423" s="51" t="s">
        <v>186</v>
      </c>
      <c r="P423" s="38" t="s">
        <v>2279</v>
      </c>
    </row>
    <row r="424" spans="2:16" x14ac:dyDescent="0.25">
      <c r="B424" s="32">
        <v>412</v>
      </c>
      <c r="C424" s="229" t="s">
        <v>2280</v>
      </c>
      <c r="D424" s="229"/>
      <c r="E424" s="229"/>
      <c r="F424" s="229"/>
      <c r="G424" s="229"/>
      <c r="H424" s="229"/>
      <c r="I424" s="229"/>
      <c r="J424" s="59" t="s">
        <v>702</v>
      </c>
      <c r="K424" s="1">
        <v>4390000</v>
      </c>
      <c r="L424" s="2">
        <v>44454</v>
      </c>
      <c r="M424" s="32"/>
      <c r="N424" s="32">
        <v>3102677466</v>
      </c>
      <c r="O424" s="51" t="s">
        <v>2219</v>
      </c>
      <c r="P424" s="38" t="s">
        <v>2281</v>
      </c>
    </row>
    <row r="425" spans="2:16" x14ac:dyDescent="0.25">
      <c r="B425" s="32">
        <v>413</v>
      </c>
      <c r="C425" s="229" t="s">
        <v>2282</v>
      </c>
      <c r="D425" s="229"/>
      <c r="E425" s="229"/>
      <c r="F425" s="229"/>
      <c r="G425" s="229"/>
      <c r="H425" s="229"/>
      <c r="I425" s="229"/>
      <c r="J425" s="59" t="s">
        <v>2283</v>
      </c>
      <c r="K425" s="1">
        <v>4950000</v>
      </c>
      <c r="L425" s="2">
        <v>44455</v>
      </c>
      <c r="M425" s="32"/>
      <c r="N425" s="32" t="s">
        <v>2284</v>
      </c>
      <c r="O425" s="51" t="s">
        <v>2285</v>
      </c>
      <c r="P425" s="38" t="s">
        <v>2286</v>
      </c>
    </row>
    <row r="426" spans="2:16" x14ac:dyDescent="0.25">
      <c r="B426" s="32">
        <v>414</v>
      </c>
      <c r="C426" s="229" t="s">
        <v>2287</v>
      </c>
      <c r="D426" s="229"/>
      <c r="E426" s="229"/>
      <c r="F426" s="229"/>
      <c r="G426" s="229"/>
      <c r="H426" s="229"/>
      <c r="I426" s="229"/>
      <c r="J426" s="59" t="s">
        <v>702</v>
      </c>
      <c r="K426" s="1">
        <v>2500000</v>
      </c>
      <c r="L426" s="2">
        <v>44455</v>
      </c>
      <c r="M426" s="32"/>
      <c r="N426" s="32">
        <v>3104165783</v>
      </c>
      <c r="O426" s="51" t="s">
        <v>242</v>
      </c>
      <c r="P426" s="38" t="s">
        <v>2288</v>
      </c>
    </row>
    <row r="427" spans="2:16" x14ac:dyDescent="0.25">
      <c r="B427" s="32">
        <v>415</v>
      </c>
      <c r="C427" s="229" t="s">
        <v>2289</v>
      </c>
      <c r="D427" s="229"/>
      <c r="E427" s="229"/>
      <c r="F427" s="229"/>
      <c r="G427" s="229"/>
      <c r="H427" s="229"/>
      <c r="I427" s="229"/>
      <c r="J427" s="59" t="s">
        <v>1343</v>
      </c>
      <c r="K427" s="1">
        <v>4500000</v>
      </c>
      <c r="L427" s="2">
        <v>44455</v>
      </c>
      <c r="M427" s="32" t="s">
        <v>3923</v>
      </c>
      <c r="N427" s="32" t="s">
        <v>1253</v>
      </c>
      <c r="O427" s="51" t="s">
        <v>1023</v>
      </c>
      <c r="P427" s="38" t="s">
        <v>1024</v>
      </c>
    </row>
    <row r="428" spans="2:16" x14ac:dyDescent="0.25">
      <c r="B428" s="32">
        <v>416</v>
      </c>
      <c r="C428" s="229" t="s">
        <v>2290</v>
      </c>
      <c r="D428" s="229"/>
      <c r="E428" s="229"/>
      <c r="F428" s="229"/>
      <c r="G428" s="229"/>
      <c r="H428" s="229"/>
      <c r="I428" s="229"/>
      <c r="J428" s="59" t="s">
        <v>2291</v>
      </c>
      <c r="K428" s="1">
        <v>3135000</v>
      </c>
      <c r="L428" s="2">
        <v>44455</v>
      </c>
      <c r="M428" s="32"/>
      <c r="N428" s="32">
        <v>3116725581</v>
      </c>
      <c r="O428" s="51" t="s">
        <v>2292</v>
      </c>
      <c r="P428" s="38" t="s">
        <v>2293</v>
      </c>
    </row>
    <row r="429" spans="2:16" x14ac:dyDescent="0.25">
      <c r="B429" s="32">
        <v>417</v>
      </c>
      <c r="C429" s="229" t="s">
        <v>2294</v>
      </c>
      <c r="D429" s="229"/>
      <c r="E429" s="229"/>
      <c r="F429" s="229"/>
      <c r="G429" s="229"/>
      <c r="H429" s="229"/>
      <c r="I429" s="229"/>
      <c r="J429" s="59" t="s">
        <v>2295</v>
      </c>
      <c r="K429" s="1">
        <v>4950000</v>
      </c>
      <c r="L429" s="2">
        <v>44455</v>
      </c>
      <c r="M429" s="32"/>
      <c r="N429" s="32">
        <v>3007309228</v>
      </c>
      <c r="O429" s="51" t="s">
        <v>2296</v>
      </c>
      <c r="P429" s="38" t="s">
        <v>2297</v>
      </c>
    </row>
    <row r="430" spans="2:16" x14ac:dyDescent="0.25">
      <c r="B430" s="32">
        <v>418</v>
      </c>
      <c r="C430" s="229" t="s">
        <v>2298</v>
      </c>
      <c r="D430" s="229"/>
      <c r="E430" s="229"/>
      <c r="F430" s="229"/>
      <c r="G430" s="229"/>
      <c r="H430" s="229"/>
      <c r="I430" s="229"/>
      <c r="J430" s="59" t="s">
        <v>702</v>
      </c>
      <c r="K430" s="1">
        <v>1500000</v>
      </c>
      <c r="L430" s="2">
        <v>44456</v>
      </c>
      <c r="M430" s="32" t="s">
        <v>3923</v>
      </c>
      <c r="N430" s="32">
        <v>3137546144</v>
      </c>
      <c r="O430" s="51" t="s">
        <v>417</v>
      </c>
      <c r="P430" s="38" t="s">
        <v>2279</v>
      </c>
    </row>
    <row r="431" spans="2:16" x14ac:dyDescent="0.25">
      <c r="B431" s="32">
        <v>419</v>
      </c>
      <c r="C431" s="271" t="s">
        <v>2299</v>
      </c>
      <c r="D431" s="272"/>
      <c r="E431" s="272"/>
      <c r="F431" s="272"/>
      <c r="G431" s="272"/>
      <c r="H431" s="272"/>
      <c r="I431" s="272"/>
      <c r="J431" s="59" t="s">
        <v>2300</v>
      </c>
      <c r="K431" s="1">
        <v>2950000</v>
      </c>
      <c r="L431" s="2">
        <v>44456</v>
      </c>
      <c r="M431" s="32"/>
      <c r="N431" s="32" t="s">
        <v>2301</v>
      </c>
      <c r="O431" s="51" t="s">
        <v>2302</v>
      </c>
      <c r="P431" s="38" t="s">
        <v>2303</v>
      </c>
    </row>
    <row r="432" spans="2:16" x14ac:dyDescent="0.25">
      <c r="B432" s="32">
        <v>420</v>
      </c>
      <c r="C432" s="229" t="s">
        <v>2304</v>
      </c>
      <c r="D432" s="229"/>
      <c r="E432" s="229"/>
      <c r="F432" s="229"/>
      <c r="G432" s="229"/>
      <c r="H432" s="229"/>
      <c r="I432" s="229"/>
      <c r="J432" s="59" t="s">
        <v>2300</v>
      </c>
      <c r="K432" s="1">
        <v>1500000</v>
      </c>
      <c r="L432" s="2">
        <v>44456</v>
      </c>
      <c r="M432" s="32" t="s">
        <v>3923</v>
      </c>
      <c r="N432" s="32" t="s">
        <v>2301</v>
      </c>
      <c r="O432" s="51" t="s">
        <v>2302</v>
      </c>
      <c r="P432" s="38" t="s">
        <v>2303</v>
      </c>
    </row>
    <row r="433" spans="2:16" x14ac:dyDescent="0.25">
      <c r="B433" s="32">
        <v>421</v>
      </c>
      <c r="C433" s="229" t="s">
        <v>2305</v>
      </c>
      <c r="D433" s="229"/>
      <c r="E433" s="229"/>
      <c r="F433" s="229"/>
      <c r="G433" s="229"/>
      <c r="H433" s="229"/>
      <c r="I433" s="229"/>
      <c r="J433" s="59" t="s">
        <v>2306</v>
      </c>
      <c r="K433" s="1">
        <v>1500000</v>
      </c>
      <c r="L433" s="2">
        <v>44459</v>
      </c>
      <c r="M433" s="32"/>
      <c r="N433" s="32">
        <v>3122371313</v>
      </c>
      <c r="O433" s="51" t="s">
        <v>2102</v>
      </c>
      <c r="P433" s="38" t="s">
        <v>2103</v>
      </c>
    </row>
    <row r="434" spans="2:16" x14ac:dyDescent="0.25">
      <c r="B434" s="32">
        <v>422</v>
      </c>
      <c r="C434" s="229" t="s">
        <v>2307</v>
      </c>
      <c r="D434" s="229"/>
      <c r="E434" s="229"/>
      <c r="F434" s="229"/>
      <c r="G434" s="229"/>
      <c r="H434" s="229"/>
      <c r="I434" s="229"/>
      <c r="J434" s="59" t="s">
        <v>2308</v>
      </c>
      <c r="K434" s="1"/>
      <c r="L434" s="2">
        <v>44460</v>
      </c>
      <c r="M434" s="32"/>
      <c r="N434" s="32">
        <v>3108227462</v>
      </c>
      <c r="O434" s="51" t="s">
        <v>2309</v>
      </c>
      <c r="P434" s="38" t="s">
        <v>2310</v>
      </c>
    </row>
    <row r="435" spans="2:16" ht="15" customHeight="1" x14ac:dyDescent="0.25">
      <c r="B435" s="32">
        <v>423</v>
      </c>
      <c r="C435" s="263" t="s">
        <v>2311</v>
      </c>
      <c r="D435" s="229"/>
      <c r="E435" s="229"/>
      <c r="F435" s="229"/>
      <c r="G435" s="229"/>
      <c r="H435" s="229"/>
      <c r="I435" s="229"/>
      <c r="J435" s="59" t="s">
        <v>831</v>
      </c>
      <c r="K435" s="1">
        <v>5000000</v>
      </c>
      <c r="L435" s="2">
        <v>44460</v>
      </c>
      <c r="M435" s="32"/>
      <c r="N435" s="32">
        <v>3147943785</v>
      </c>
      <c r="O435" s="51" t="s">
        <v>2269</v>
      </c>
      <c r="P435" s="38" t="s">
        <v>2270</v>
      </c>
    </row>
    <row r="436" spans="2:16" x14ac:dyDescent="0.25">
      <c r="B436" s="32">
        <v>424</v>
      </c>
      <c r="C436" s="263" t="s">
        <v>2312</v>
      </c>
      <c r="D436" s="229"/>
      <c r="E436" s="229"/>
      <c r="F436" s="229"/>
      <c r="G436" s="229"/>
      <c r="H436" s="229"/>
      <c r="I436" s="229"/>
      <c r="J436" s="59" t="s">
        <v>702</v>
      </c>
      <c r="K436" s="1">
        <v>15000</v>
      </c>
      <c r="L436" s="2">
        <v>44460</v>
      </c>
      <c r="M436" s="32"/>
      <c r="N436" s="32">
        <v>3104165783</v>
      </c>
      <c r="O436" s="51" t="s">
        <v>2313</v>
      </c>
      <c r="P436" s="38" t="s">
        <v>2288</v>
      </c>
    </row>
    <row r="437" spans="2:16" x14ac:dyDescent="0.25">
      <c r="B437" s="32">
        <v>425</v>
      </c>
      <c r="C437" s="229" t="s">
        <v>2314</v>
      </c>
      <c r="D437" s="229"/>
      <c r="E437" s="229"/>
      <c r="F437" s="229"/>
      <c r="G437" s="229"/>
      <c r="H437" s="229"/>
      <c r="I437" s="229"/>
      <c r="J437" s="59" t="s">
        <v>831</v>
      </c>
      <c r="K437" s="1">
        <v>2250000</v>
      </c>
      <c r="L437" s="2">
        <v>44460</v>
      </c>
      <c r="M437" s="32"/>
      <c r="N437" s="32">
        <v>3147943785</v>
      </c>
      <c r="O437" s="51" t="s">
        <v>2269</v>
      </c>
      <c r="P437" s="38" t="s">
        <v>2270</v>
      </c>
    </row>
    <row r="438" spans="2:16" x14ac:dyDescent="0.25">
      <c r="B438" s="32">
        <v>426</v>
      </c>
      <c r="C438" s="229" t="s">
        <v>2315</v>
      </c>
      <c r="D438" s="229"/>
      <c r="E438" s="229"/>
      <c r="F438" s="229"/>
      <c r="G438" s="229"/>
      <c r="H438" s="229"/>
      <c r="I438" s="229"/>
      <c r="J438" s="59" t="s">
        <v>2316</v>
      </c>
      <c r="K438" s="1">
        <v>12850000</v>
      </c>
      <c r="L438" s="2">
        <v>44460</v>
      </c>
      <c r="M438" s="32"/>
      <c r="N438" s="32">
        <v>3106958133</v>
      </c>
      <c r="O438" s="51" t="s">
        <v>2317</v>
      </c>
      <c r="P438" s="38" t="s">
        <v>2318</v>
      </c>
    </row>
    <row r="439" spans="2:16" x14ac:dyDescent="0.25">
      <c r="B439" s="32">
        <v>427</v>
      </c>
      <c r="C439" s="229" t="s">
        <v>2319</v>
      </c>
      <c r="D439" s="229"/>
      <c r="E439" s="229"/>
      <c r="F439" s="229"/>
      <c r="G439" s="229"/>
      <c r="H439" s="229"/>
      <c r="I439" s="229"/>
      <c r="J439" s="59" t="s">
        <v>851</v>
      </c>
      <c r="K439" s="1">
        <v>550000</v>
      </c>
      <c r="L439" s="2">
        <v>44461</v>
      </c>
      <c r="M439" s="32"/>
      <c r="N439" s="32">
        <v>3206678830</v>
      </c>
      <c r="O439" s="51" t="s">
        <v>284</v>
      </c>
      <c r="P439" s="38" t="s">
        <v>948</v>
      </c>
    </row>
    <row r="440" spans="2:16" x14ac:dyDescent="0.25">
      <c r="B440" s="32">
        <v>428</v>
      </c>
      <c r="C440" s="263" t="s">
        <v>2320</v>
      </c>
      <c r="D440" s="229"/>
      <c r="E440" s="229"/>
      <c r="F440" s="229"/>
      <c r="G440" s="229"/>
      <c r="H440" s="229"/>
      <c r="I440" s="229"/>
      <c r="J440" s="59" t="s">
        <v>702</v>
      </c>
      <c r="K440" s="1">
        <v>1500000</v>
      </c>
      <c r="L440" s="2">
        <v>44461</v>
      </c>
      <c r="M440" s="32" t="s">
        <v>3923</v>
      </c>
      <c r="N440" s="32">
        <v>3104165783</v>
      </c>
      <c r="O440" s="51" t="s">
        <v>2313</v>
      </c>
      <c r="P440" s="38" t="s">
        <v>2288</v>
      </c>
    </row>
    <row r="441" spans="2:16" x14ac:dyDescent="0.25">
      <c r="B441" s="32">
        <v>429</v>
      </c>
      <c r="C441" s="229" t="s">
        <v>2321</v>
      </c>
      <c r="D441" s="229"/>
      <c r="E441" s="229"/>
      <c r="F441" s="229"/>
      <c r="G441" s="229"/>
      <c r="H441" s="229"/>
      <c r="I441" s="229"/>
      <c r="J441" s="59" t="s">
        <v>702</v>
      </c>
      <c r="K441" s="1">
        <v>1500000</v>
      </c>
      <c r="L441" s="2">
        <v>44462</v>
      </c>
      <c r="M441" s="32"/>
      <c r="N441" s="32">
        <v>3137546144</v>
      </c>
      <c r="O441" s="51" t="s">
        <v>417</v>
      </c>
      <c r="P441" s="38" t="s">
        <v>2279</v>
      </c>
    </row>
    <row r="442" spans="2:16" x14ac:dyDescent="0.25">
      <c r="B442" s="32">
        <v>430</v>
      </c>
      <c r="C442" s="229" t="s">
        <v>2322</v>
      </c>
      <c r="D442" s="229"/>
      <c r="E442" s="229"/>
      <c r="F442" s="229"/>
      <c r="G442" s="229"/>
      <c r="H442" s="229"/>
      <c r="I442" s="229"/>
      <c r="J442" s="59" t="s">
        <v>702</v>
      </c>
      <c r="K442" s="1">
        <v>4390000</v>
      </c>
      <c r="L442" s="2">
        <v>44462</v>
      </c>
      <c r="M442" s="32"/>
      <c r="N442" s="32">
        <v>3104680508</v>
      </c>
      <c r="O442" s="51" t="s">
        <v>212</v>
      </c>
      <c r="P442" s="38" t="s">
        <v>703</v>
      </c>
    </row>
    <row r="443" spans="2:16" x14ac:dyDescent="0.25">
      <c r="B443" s="32">
        <v>431</v>
      </c>
      <c r="C443" s="229" t="s">
        <v>2323</v>
      </c>
      <c r="D443" s="229"/>
      <c r="E443" s="229"/>
      <c r="F443" s="229"/>
      <c r="G443" s="229"/>
      <c r="H443" s="229"/>
      <c r="I443" s="229"/>
      <c r="J443" s="59" t="s">
        <v>1553</v>
      </c>
      <c r="K443" s="1"/>
      <c r="L443" s="2">
        <v>44463</v>
      </c>
      <c r="M443" s="32" t="s">
        <v>3923</v>
      </c>
      <c r="N443" s="32">
        <v>3022295772</v>
      </c>
      <c r="O443" s="51" t="s">
        <v>1554</v>
      </c>
      <c r="P443" s="52" t="s">
        <v>1555</v>
      </c>
    </row>
    <row r="444" spans="2:16" x14ac:dyDescent="0.25">
      <c r="B444" s="32">
        <v>432</v>
      </c>
      <c r="C444" s="229" t="s">
        <v>2324</v>
      </c>
      <c r="D444" s="229"/>
      <c r="E444" s="229"/>
      <c r="F444" s="229"/>
      <c r="G444" s="229"/>
      <c r="H444" s="229"/>
      <c r="I444" s="229"/>
      <c r="J444" s="59" t="s">
        <v>2325</v>
      </c>
      <c r="K444" s="1">
        <v>2500000</v>
      </c>
      <c r="L444" s="2">
        <v>44463</v>
      </c>
      <c r="M444" s="32"/>
      <c r="N444" s="32" t="s">
        <v>2326</v>
      </c>
      <c r="O444" s="51" t="s">
        <v>2327</v>
      </c>
      <c r="P444" s="38" t="s">
        <v>2328</v>
      </c>
    </row>
    <row r="445" spans="2:16" x14ac:dyDescent="0.25">
      <c r="B445" s="32">
        <v>433</v>
      </c>
      <c r="C445" s="229" t="s">
        <v>2329</v>
      </c>
      <c r="D445" s="229"/>
      <c r="E445" s="229"/>
      <c r="F445" s="229"/>
      <c r="G445" s="229"/>
      <c r="H445" s="229"/>
      <c r="I445" s="229"/>
      <c r="J445" s="59" t="s">
        <v>2330</v>
      </c>
      <c r="K445" s="1"/>
      <c r="L445" s="2">
        <v>44463</v>
      </c>
      <c r="M445" s="32"/>
      <c r="N445" s="32"/>
      <c r="O445" s="51" t="s">
        <v>2331</v>
      </c>
      <c r="P445" s="51"/>
    </row>
    <row r="446" spans="2:16" x14ac:dyDescent="0.25">
      <c r="B446" s="32">
        <v>434</v>
      </c>
      <c r="C446" s="271" t="s">
        <v>2332</v>
      </c>
      <c r="D446" s="272"/>
      <c r="E446" s="272"/>
      <c r="F446" s="272"/>
      <c r="G446" s="272"/>
      <c r="H446" s="272"/>
      <c r="I446" s="272"/>
      <c r="J446" s="59" t="s">
        <v>2330</v>
      </c>
      <c r="K446" s="1"/>
      <c r="L446" s="2">
        <v>44463</v>
      </c>
      <c r="M446" s="32"/>
      <c r="N446" s="32"/>
      <c r="O446" s="51" t="s">
        <v>2331</v>
      </c>
      <c r="P446" s="51"/>
    </row>
    <row r="447" spans="2:16" x14ac:dyDescent="0.25">
      <c r="B447" s="32">
        <v>435</v>
      </c>
      <c r="C447" s="271" t="s">
        <v>2333</v>
      </c>
      <c r="D447" s="272"/>
      <c r="E447" s="272"/>
      <c r="F447" s="272"/>
      <c r="G447" s="272"/>
      <c r="H447" s="272"/>
      <c r="I447" s="272"/>
      <c r="J447" s="59" t="s">
        <v>2330</v>
      </c>
      <c r="K447" s="1"/>
      <c r="L447" s="2">
        <v>44463</v>
      </c>
      <c r="M447" s="32"/>
      <c r="N447" s="32"/>
      <c r="O447" s="51" t="s">
        <v>2331</v>
      </c>
      <c r="P447" s="51"/>
    </row>
    <row r="448" spans="2:16" x14ac:dyDescent="0.25">
      <c r="B448" s="32">
        <v>436</v>
      </c>
      <c r="C448" s="229" t="s">
        <v>2334</v>
      </c>
      <c r="D448" s="229"/>
      <c r="E448" s="229"/>
      <c r="F448" s="229"/>
      <c r="G448" s="229"/>
      <c r="H448" s="229"/>
      <c r="I448" s="229"/>
      <c r="J448" s="59" t="s">
        <v>805</v>
      </c>
      <c r="K448" s="1">
        <v>7950000</v>
      </c>
      <c r="L448" s="2">
        <v>44466</v>
      </c>
      <c r="M448" s="32" t="s">
        <v>3923</v>
      </c>
      <c r="N448" s="32">
        <v>3008643710</v>
      </c>
      <c r="O448" s="51" t="s">
        <v>639</v>
      </c>
      <c r="P448" s="38" t="s">
        <v>1326</v>
      </c>
    </row>
    <row r="449" spans="2:16" x14ac:dyDescent="0.25">
      <c r="B449" s="32">
        <v>437</v>
      </c>
      <c r="C449" s="229" t="s">
        <v>2335</v>
      </c>
      <c r="D449" s="229"/>
      <c r="E449" s="229"/>
      <c r="F449" s="229"/>
      <c r="G449" s="229"/>
      <c r="H449" s="229"/>
      <c r="I449" s="229"/>
      <c r="J449" s="59" t="s">
        <v>2336</v>
      </c>
      <c r="K449" s="1">
        <v>4700000</v>
      </c>
      <c r="L449" s="2">
        <v>44467</v>
      </c>
      <c r="M449" s="32"/>
      <c r="N449" s="32"/>
      <c r="O449" s="51" t="s">
        <v>2337</v>
      </c>
      <c r="P449" s="38" t="s">
        <v>2338</v>
      </c>
    </row>
    <row r="450" spans="2:16" x14ac:dyDescent="0.25">
      <c r="B450" s="32">
        <v>438</v>
      </c>
      <c r="C450" s="271" t="s">
        <v>2339</v>
      </c>
      <c r="D450" s="272"/>
      <c r="E450" s="272"/>
      <c r="F450" s="272"/>
      <c r="G450" s="272"/>
      <c r="H450" s="272"/>
      <c r="I450" s="272"/>
      <c r="J450" s="59" t="s">
        <v>702</v>
      </c>
      <c r="K450" s="1">
        <v>3390000</v>
      </c>
      <c r="L450" s="2">
        <v>44467</v>
      </c>
      <c r="M450" s="32"/>
      <c r="N450" s="32">
        <v>3137546144</v>
      </c>
      <c r="O450" s="51" t="s">
        <v>186</v>
      </c>
      <c r="P450" s="38" t="s">
        <v>2279</v>
      </c>
    </row>
    <row r="451" spans="2:16" x14ac:dyDescent="0.25">
      <c r="B451" s="32">
        <v>439</v>
      </c>
      <c r="C451" s="229" t="s">
        <v>2340</v>
      </c>
      <c r="D451" s="229"/>
      <c r="E451" s="229"/>
      <c r="F451" s="229"/>
      <c r="G451" s="229"/>
      <c r="H451" s="229"/>
      <c r="I451" s="229"/>
      <c r="J451" s="59" t="s">
        <v>1535</v>
      </c>
      <c r="K451" s="1">
        <v>8970000</v>
      </c>
      <c r="L451" s="2">
        <v>44467</v>
      </c>
      <c r="M451" s="32" t="s">
        <v>3923</v>
      </c>
      <c r="N451" s="32"/>
      <c r="O451" s="51" t="s">
        <v>2341</v>
      </c>
      <c r="P451" s="38" t="s">
        <v>2342</v>
      </c>
    </row>
    <row r="452" spans="2:16" x14ac:dyDescent="0.25">
      <c r="B452" s="32">
        <v>440</v>
      </c>
      <c r="C452" s="229" t="s">
        <v>2343</v>
      </c>
      <c r="D452" s="229"/>
      <c r="E452" s="229"/>
      <c r="F452" s="229"/>
      <c r="G452" s="229"/>
      <c r="H452" s="229"/>
      <c r="I452" s="229"/>
      <c r="J452" s="59" t="s">
        <v>1139</v>
      </c>
      <c r="K452" s="1">
        <v>62000000</v>
      </c>
      <c r="L452" s="2">
        <v>44467</v>
      </c>
      <c r="M452" s="32"/>
      <c r="N452" s="32"/>
      <c r="O452" s="51" t="s">
        <v>2344</v>
      </c>
      <c r="P452" s="38" t="s">
        <v>2345</v>
      </c>
    </row>
    <row r="453" spans="2:16" x14ac:dyDescent="0.25">
      <c r="B453" s="32">
        <v>441</v>
      </c>
      <c r="C453" s="229" t="s">
        <v>2346</v>
      </c>
      <c r="D453" s="229"/>
      <c r="E453" s="229"/>
      <c r="F453" s="229"/>
      <c r="G453" s="229"/>
      <c r="H453" s="229"/>
      <c r="I453" s="229"/>
      <c r="J453" s="59" t="s">
        <v>2347</v>
      </c>
      <c r="K453" s="1">
        <v>4200000</v>
      </c>
      <c r="L453" s="2">
        <v>44468</v>
      </c>
      <c r="M453" s="32"/>
      <c r="N453" s="32">
        <v>3015421412</v>
      </c>
      <c r="O453" s="51" t="s">
        <v>745</v>
      </c>
      <c r="P453" s="38" t="s">
        <v>1012</v>
      </c>
    </row>
    <row r="454" spans="2:16" x14ac:dyDescent="0.25">
      <c r="B454" s="32">
        <v>442</v>
      </c>
      <c r="C454" s="229" t="s">
        <v>2348</v>
      </c>
      <c r="D454" s="229"/>
      <c r="E454" s="229"/>
      <c r="F454" s="229"/>
      <c r="G454" s="229"/>
      <c r="H454" s="229"/>
      <c r="I454" s="229"/>
      <c r="J454" s="59" t="s">
        <v>1995</v>
      </c>
      <c r="K454" s="1">
        <v>11900000</v>
      </c>
      <c r="L454" s="2">
        <v>44470</v>
      </c>
      <c r="M454" s="32"/>
      <c r="N454" s="32" t="s">
        <v>2349</v>
      </c>
      <c r="O454" s="51" t="s">
        <v>2350</v>
      </c>
      <c r="P454" s="38" t="s">
        <v>1998</v>
      </c>
    </row>
    <row r="455" spans="2:16" x14ac:dyDescent="0.25">
      <c r="B455" s="32">
        <v>443</v>
      </c>
      <c r="C455" s="229" t="s">
        <v>2348</v>
      </c>
      <c r="D455" s="229"/>
      <c r="E455" s="229"/>
      <c r="F455" s="229"/>
      <c r="G455" s="229"/>
      <c r="H455" s="229"/>
      <c r="I455" s="229"/>
      <c r="J455" s="59" t="s">
        <v>702</v>
      </c>
      <c r="K455" s="1">
        <v>11000000</v>
      </c>
      <c r="L455" s="2">
        <v>44470</v>
      </c>
      <c r="M455" s="32"/>
      <c r="N455" s="32" t="s">
        <v>2036</v>
      </c>
      <c r="O455" s="51" t="s">
        <v>2037</v>
      </c>
      <c r="P455" s="38" t="s">
        <v>2038</v>
      </c>
    </row>
    <row r="456" spans="2:16" x14ac:dyDescent="0.25">
      <c r="B456" s="32">
        <v>444</v>
      </c>
      <c r="C456" s="229" t="s">
        <v>2351</v>
      </c>
      <c r="D456" s="229"/>
      <c r="E456" s="229"/>
      <c r="F456" s="229"/>
      <c r="G456" s="229"/>
      <c r="H456" s="229"/>
      <c r="I456" s="229"/>
      <c r="J456" s="59" t="s">
        <v>1139</v>
      </c>
      <c r="K456" s="1">
        <v>4390000</v>
      </c>
      <c r="L456" s="2">
        <v>44470</v>
      </c>
      <c r="M456" s="32"/>
      <c r="N456" s="32" t="s">
        <v>1305</v>
      </c>
      <c r="O456" s="51" t="s">
        <v>1306</v>
      </c>
      <c r="P456" s="38" t="s">
        <v>1307</v>
      </c>
    </row>
    <row r="457" spans="2:16" x14ac:dyDescent="0.25">
      <c r="B457" s="32">
        <v>445</v>
      </c>
      <c r="C457" s="229" t="s">
        <v>2352</v>
      </c>
      <c r="D457" s="229"/>
      <c r="E457" s="229"/>
      <c r="F457" s="229"/>
      <c r="G457" s="229"/>
      <c r="H457" s="229"/>
      <c r="I457" s="229"/>
      <c r="J457" s="59" t="s">
        <v>1804</v>
      </c>
      <c r="K457" s="1">
        <v>18190000</v>
      </c>
      <c r="L457" s="2">
        <v>44471</v>
      </c>
      <c r="M457" s="32" t="s">
        <v>3923</v>
      </c>
      <c r="N457" s="32">
        <v>4483960</v>
      </c>
      <c r="O457" s="51" t="s">
        <v>2353</v>
      </c>
      <c r="P457" s="54" t="s">
        <v>1806</v>
      </c>
    </row>
    <row r="458" spans="2:16" x14ac:dyDescent="0.25">
      <c r="B458" s="32">
        <v>446</v>
      </c>
      <c r="C458" s="229" t="s">
        <v>2354</v>
      </c>
      <c r="D458" s="229"/>
      <c r="E458" s="229"/>
      <c r="F458" s="229"/>
      <c r="G458" s="229"/>
      <c r="H458" s="229"/>
      <c r="I458" s="229"/>
      <c r="J458" s="59" t="s">
        <v>1804</v>
      </c>
      <c r="K458" s="1">
        <v>29850000</v>
      </c>
      <c r="L458" s="2">
        <v>44471</v>
      </c>
      <c r="M458" s="32" t="s">
        <v>3923</v>
      </c>
      <c r="N458" s="32">
        <v>4483960</v>
      </c>
      <c r="O458" s="51" t="s">
        <v>2353</v>
      </c>
      <c r="P458" s="38" t="s">
        <v>1806</v>
      </c>
    </row>
    <row r="459" spans="2:16" x14ac:dyDescent="0.25">
      <c r="B459" s="32">
        <v>447</v>
      </c>
      <c r="C459" s="229" t="s">
        <v>2355</v>
      </c>
      <c r="D459" s="229"/>
      <c r="E459" s="229"/>
      <c r="F459" s="229"/>
      <c r="G459" s="229"/>
      <c r="H459" s="229"/>
      <c r="I459" s="229"/>
      <c r="J459" s="59" t="s">
        <v>2356</v>
      </c>
      <c r="K459" s="1">
        <v>49600000</v>
      </c>
      <c r="L459" s="2">
        <v>44471</v>
      </c>
      <c r="M459" s="32"/>
      <c r="N459" s="32"/>
      <c r="O459" s="51" t="s">
        <v>2357</v>
      </c>
      <c r="P459" s="38" t="s">
        <v>2358</v>
      </c>
    </row>
    <row r="460" spans="2:16" x14ac:dyDescent="0.25">
      <c r="B460" s="32">
        <v>448</v>
      </c>
      <c r="C460" s="229" t="s">
        <v>2359</v>
      </c>
      <c r="D460" s="229"/>
      <c r="E460" s="229"/>
      <c r="F460" s="229"/>
      <c r="G460" s="229"/>
      <c r="H460" s="229"/>
      <c r="I460" s="229"/>
      <c r="J460" s="59" t="s">
        <v>857</v>
      </c>
      <c r="K460" s="1"/>
      <c r="L460" s="2">
        <v>44473</v>
      </c>
      <c r="M460" s="32" t="s">
        <v>3923</v>
      </c>
      <c r="N460" s="32"/>
      <c r="O460" s="51" t="s">
        <v>2360</v>
      </c>
      <c r="P460" s="38" t="s">
        <v>2083</v>
      </c>
    </row>
    <row r="461" spans="2:16" x14ac:dyDescent="0.25">
      <c r="B461" s="32">
        <v>449</v>
      </c>
      <c r="C461" s="229" t="s">
        <v>2361</v>
      </c>
      <c r="D461" s="229"/>
      <c r="E461" s="229"/>
      <c r="F461" s="229"/>
      <c r="G461" s="229"/>
      <c r="H461" s="229"/>
      <c r="I461" s="229"/>
      <c r="J461" s="59" t="s">
        <v>1343</v>
      </c>
      <c r="K461" s="1"/>
      <c r="L461" s="2">
        <v>44473</v>
      </c>
      <c r="M461" s="32" t="s">
        <v>3923</v>
      </c>
      <c r="N461" s="32"/>
      <c r="O461" s="51" t="s">
        <v>331</v>
      </c>
      <c r="P461" s="38" t="s">
        <v>1024</v>
      </c>
    </row>
    <row r="462" spans="2:16" x14ac:dyDescent="0.25">
      <c r="B462" s="32">
        <v>450</v>
      </c>
      <c r="C462" s="271" t="s">
        <v>2362</v>
      </c>
      <c r="D462" s="272"/>
      <c r="E462" s="272"/>
      <c r="F462" s="272"/>
      <c r="G462" s="272"/>
      <c r="H462" s="272"/>
      <c r="I462" s="272"/>
      <c r="J462" s="59" t="s">
        <v>2363</v>
      </c>
      <c r="K462" s="1">
        <v>1880000</v>
      </c>
      <c r="L462" s="2">
        <v>44474</v>
      </c>
      <c r="M462" s="32"/>
      <c r="N462" s="32" t="s">
        <v>2364</v>
      </c>
      <c r="O462" s="51" t="s">
        <v>2365</v>
      </c>
      <c r="P462" s="38" t="s">
        <v>2366</v>
      </c>
    </row>
    <row r="463" spans="2:16" x14ac:dyDescent="0.25">
      <c r="B463" s="32">
        <v>451</v>
      </c>
      <c r="C463" s="229" t="s">
        <v>2367</v>
      </c>
      <c r="D463" s="229"/>
      <c r="E463" s="229"/>
      <c r="F463" s="229"/>
      <c r="G463" s="229"/>
      <c r="H463" s="229"/>
      <c r="I463" s="229"/>
      <c r="J463" s="59" t="s">
        <v>1262</v>
      </c>
      <c r="K463" s="1"/>
      <c r="L463" s="2">
        <v>44474</v>
      </c>
      <c r="M463" s="32" t="s">
        <v>3923</v>
      </c>
      <c r="N463" s="32">
        <v>3007701428</v>
      </c>
      <c r="O463" s="51" t="s">
        <v>2368</v>
      </c>
      <c r="P463" s="38" t="s">
        <v>2369</v>
      </c>
    </row>
    <row r="464" spans="2:16" x14ac:dyDescent="0.25">
      <c r="B464" s="32">
        <v>452</v>
      </c>
      <c r="C464" s="271" t="s">
        <v>2370</v>
      </c>
      <c r="D464" s="272"/>
      <c r="E464" s="272"/>
      <c r="F464" s="272"/>
      <c r="G464" s="272"/>
      <c r="H464" s="272"/>
      <c r="I464" s="272"/>
      <c r="J464" s="59" t="s">
        <v>2204</v>
      </c>
      <c r="K464" s="1">
        <v>17500000</v>
      </c>
      <c r="L464" s="2">
        <v>44474</v>
      </c>
      <c r="M464" s="32"/>
      <c r="N464" s="32">
        <v>3218381675</v>
      </c>
      <c r="O464" s="51" t="s">
        <v>2371</v>
      </c>
      <c r="P464" s="38" t="s">
        <v>2206</v>
      </c>
    </row>
    <row r="465" spans="2:16" x14ac:dyDescent="0.25">
      <c r="B465" s="32">
        <v>453</v>
      </c>
      <c r="C465" s="229" t="s">
        <v>2372</v>
      </c>
      <c r="D465" s="229"/>
      <c r="E465" s="229"/>
      <c r="F465" s="229"/>
      <c r="G465" s="229"/>
      <c r="H465" s="229"/>
      <c r="I465" s="229"/>
      <c r="J465" s="59" t="s">
        <v>2200</v>
      </c>
      <c r="K465" s="1">
        <v>15650000</v>
      </c>
      <c r="L465" s="2">
        <v>44475</v>
      </c>
      <c r="M465" s="72"/>
      <c r="N465" s="32"/>
      <c r="O465" s="51" t="s">
        <v>2201</v>
      </c>
      <c r="P465" s="38" t="s">
        <v>2202</v>
      </c>
    </row>
    <row r="466" spans="2:16" x14ac:dyDescent="0.25">
      <c r="B466" s="32">
        <v>454</v>
      </c>
      <c r="C466" s="229" t="s">
        <v>2373</v>
      </c>
      <c r="D466" s="229"/>
      <c r="E466" s="229"/>
      <c r="F466" s="229"/>
      <c r="G466" s="229"/>
      <c r="H466" s="229"/>
      <c r="I466" s="229"/>
      <c r="J466" s="59" t="s">
        <v>1262</v>
      </c>
      <c r="K466" s="1"/>
      <c r="L466" s="2">
        <v>44474</v>
      </c>
      <c r="M466" s="2" t="s">
        <v>3923</v>
      </c>
      <c r="N466" s="32">
        <v>3007701428</v>
      </c>
      <c r="O466" s="51" t="s">
        <v>2368</v>
      </c>
      <c r="P466" s="38" t="s">
        <v>2369</v>
      </c>
    </row>
    <row r="467" spans="2:16" x14ac:dyDescent="0.25">
      <c r="B467" s="32">
        <v>455</v>
      </c>
      <c r="C467" s="229" t="s">
        <v>2374</v>
      </c>
      <c r="D467" s="229"/>
      <c r="E467" s="229"/>
      <c r="F467" s="229"/>
      <c r="G467" s="229"/>
      <c r="H467" s="229"/>
      <c r="I467" s="229"/>
      <c r="J467" s="59" t="s">
        <v>712</v>
      </c>
      <c r="K467" s="1">
        <v>2680000</v>
      </c>
      <c r="L467" s="2">
        <v>44480</v>
      </c>
      <c r="M467" s="32" t="s">
        <v>3923</v>
      </c>
      <c r="N467" s="32">
        <v>3137851941</v>
      </c>
      <c r="O467" s="51" t="s">
        <v>2055</v>
      </c>
      <c r="P467" s="38" t="s">
        <v>713</v>
      </c>
    </row>
    <row r="468" spans="2:16" x14ac:dyDescent="0.25">
      <c r="B468" s="32">
        <v>456</v>
      </c>
      <c r="C468" s="229" t="s">
        <v>2375</v>
      </c>
      <c r="D468" s="229"/>
      <c r="E468" s="229"/>
      <c r="F468" s="229"/>
      <c r="G468" s="229"/>
      <c r="H468" s="229"/>
      <c r="I468" s="229"/>
      <c r="J468" s="59" t="s">
        <v>831</v>
      </c>
      <c r="K468" s="1"/>
      <c r="L468" s="2">
        <v>44480</v>
      </c>
      <c r="M468" s="32"/>
      <c r="N468" s="32" t="s">
        <v>1751</v>
      </c>
      <c r="O468" s="51" t="s">
        <v>1752</v>
      </c>
      <c r="P468" s="52" t="s">
        <v>1753</v>
      </c>
    </row>
    <row r="469" spans="2:16" x14ac:dyDescent="0.25">
      <c r="B469" s="32">
        <v>457</v>
      </c>
      <c r="C469" s="271" t="s">
        <v>2376</v>
      </c>
      <c r="D469" s="272"/>
      <c r="E469" s="272"/>
      <c r="F469" s="272"/>
      <c r="G469" s="272"/>
      <c r="H469" s="272"/>
      <c r="I469" s="272"/>
      <c r="J469" s="59" t="s">
        <v>2377</v>
      </c>
      <c r="K469" s="1"/>
      <c r="L469" s="2">
        <v>44480</v>
      </c>
      <c r="M469" s="32"/>
      <c r="N469" s="32" t="s">
        <v>2378</v>
      </c>
      <c r="O469" s="51" t="s">
        <v>2379</v>
      </c>
      <c r="P469" s="38" t="s">
        <v>2380</v>
      </c>
    </row>
    <row r="470" spans="2:16" x14ac:dyDescent="0.25">
      <c r="B470" s="32">
        <v>458</v>
      </c>
      <c r="C470" s="229" t="s">
        <v>2374</v>
      </c>
      <c r="D470" s="229"/>
      <c r="E470" s="229"/>
      <c r="F470" s="229"/>
      <c r="G470" s="229"/>
      <c r="H470" s="229"/>
      <c r="I470" s="229"/>
      <c r="J470" s="59" t="s">
        <v>1415</v>
      </c>
      <c r="K470" s="1">
        <v>2820000</v>
      </c>
      <c r="L470" s="2">
        <v>44481</v>
      </c>
      <c r="M470" s="32"/>
      <c r="N470" s="32" t="s">
        <v>2381</v>
      </c>
      <c r="O470" s="51" t="s">
        <v>2382</v>
      </c>
      <c r="P470" s="38" t="s">
        <v>2383</v>
      </c>
    </row>
    <row r="471" spans="2:16" x14ac:dyDescent="0.25">
      <c r="B471" s="32">
        <v>459</v>
      </c>
      <c r="C471" s="229" t="s">
        <v>2384</v>
      </c>
      <c r="D471" s="229"/>
      <c r="E471" s="229"/>
      <c r="F471" s="229"/>
      <c r="G471" s="229"/>
      <c r="H471" s="229"/>
      <c r="I471" s="229"/>
      <c r="J471" s="59" t="s">
        <v>1553</v>
      </c>
      <c r="K471" s="1">
        <v>750000</v>
      </c>
      <c r="L471" s="2">
        <v>44482</v>
      </c>
      <c r="M471" s="32" t="s">
        <v>3923</v>
      </c>
      <c r="N471" s="32">
        <v>3022295772</v>
      </c>
      <c r="O471" s="51" t="s">
        <v>1554</v>
      </c>
      <c r="P471" s="52" t="s">
        <v>1555</v>
      </c>
    </row>
    <row r="472" spans="2:16" x14ac:dyDescent="0.25">
      <c r="B472" s="32">
        <v>460</v>
      </c>
      <c r="C472" s="229" t="s">
        <v>2385</v>
      </c>
      <c r="D472" s="229"/>
      <c r="E472" s="229"/>
      <c r="F472" s="229"/>
      <c r="G472" s="229"/>
      <c r="H472" s="229"/>
      <c r="I472" s="229"/>
      <c r="J472" s="59" t="s">
        <v>2308</v>
      </c>
      <c r="K472" s="1"/>
      <c r="L472" s="2">
        <v>44482</v>
      </c>
      <c r="M472" s="32"/>
      <c r="N472" s="32">
        <v>3108227462</v>
      </c>
      <c r="O472" s="51" t="s">
        <v>2309</v>
      </c>
      <c r="P472" s="38" t="s">
        <v>2310</v>
      </c>
    </row>
    <row r="473" spans="2:16" ht="15" customHeight="1" x14ac:dyDescent="0.25">
      <c r="B473" s="32">
        <v>461</v>
      </c>
      <c r="C473" s="229" t="s">
        <v>2386</v>
      </c>
      <c r="D473" s="229"/>
      <c r="E473" s="229"/>
      <c r="F473" s="229"/>
      <c r="G473" s="229"/>
      <c r="H473" s="229"/>
      <c r="I473" s="229"/>
      <c r="J473" s="59" t="s">
        <v>1343</v>
      </c>
      <c r="K473" s="1"/>
      <c r="L473" s="2">
        <v>44483</v>
      </c>
      <c r="M473" s="32"/>
      <c r="N473" s="32">
        <v>3007808119</v>
      </c>
      <c r="O473" s="51" t="s">
        <v>2387</v>
      </c>
      <c r="P473" s="38" t="s">
        <v>2388</v>
      </c>
    </row>
    <row r="474" spans="2:16" x14ac:dyDescent="0.25">
      <c r="B474" s="32">
        <v>462</v>
      </c>
      <c r="C474" s="229" t="s">
        <v>2389</v>
      </c>
      <c r="D474" s="229"/>
      <c r="E474" s="229"/>
      <c r="F474" s="229"/>
      <c r="G474" s="229"/>
      <c r="H474" s="229"/>
      <c r="I474" s="229"/>
      <c r="J474" s="59" t="s">
        <v>890</v>
      </c>
      <c r="K474" s="1"/>
      <c r="L474" s="2">
        <v>44484</v>
      </c>
      <c r="M474" s="32"/>
      <c r="N474" s="32">
        <v>3113396273</v>
      </c>
      <c r="O474" s="51" t="s">
        <v>2390</v>
      </c>
      <c r="P474" s="38" t="s">
        <v>990</v>
      </c>
    </row>
    <row r="475" spans="2:16" x14ac:dyDescent="0.25">
      <c r="B475" s="32">
        <v>463</v>
      </c>
      <c r="C475" s="229" t="s">
        <v>2391</v>
      </c>
      <c r="D475" s="229"/>
      <c r="E475" s="229"/>
      <c r="F475" s="229"/>
      <c r="G475" s="229"/>
      <c r="H475" s="229"/>
      <c r="I475" s="229"/>
      <c r="J475" s="59" t="s">
        <v>702</v>
      </c>
      <c r="K475" s="1">
        <v>9780000</v>
      </c>
      <c r="L475" s="2">
        <v>44484</v>
      </c>
      <c r="M475" s="32"/>
      <c r="N475" s="32" t="s">
        <v>2036</v>
      </c>
      <c r="O475" s="51" t="s">
        <v>2037</v>
      </c>
      <c r="P475" s="38" t="s">
        <v>2038</v>
      </c>
    </row>
    <row r="476" spans="2:16" x14ac:dyDescent="0.25">
      <c r="B476" s="32">
        <v>464</v>
      </c>
      <c r="C476" s="229" t="s">
        <v>2392</v>
      </c>
      <c r="D476" s="229"/>
      <c r="E476" s="229"/>
      <c r="F476" s="229"/>
      <c r="G476" s="229"/>
      <c r="H476" s="229"/>
      <c r="I476" s="229"/>
      <c r="J476" s="59" t="s">
        <v>2393</v>
      </c>
      <c r="K476" s="1">
        <v>49950000</v>
      </c>
      <c r="L476" s="2">
        <v>44484</v>
      </c>
      <c r="M476" s="32"/>
      <c r="N476" s="32" t="s">
        <v>2394</v>
      </c>
      <c r="O476" s="51" t="s">
        <v>2395</v>
      </c>
      <c r="P476" s="38" t="s">
        <v>2396</v>
      </c>
    </row>
    <row r="477" spans="2:16" x14ac:dyDescent="0.25">
      <c r="B477" s="32">
        <v>465</v>
      </c>
      <c r="C477" s="229" t="s">
        <v>2397</v>
      </c>
      <c r="D477" s="229"/>
      <c r="E477" s="229"/>
      <c r="F477" s="229"/>
      <c r="G477" s="229"/>
      <c r="H477" s="229"/>
      <c r="I477" s="229"/>
      <c r="J477" s="59" t="s">
        <v>742</v>
      </c>
      <c r="K477" s="1">
        <v>1990000</v>
      </c>
      <c r="L477" s="2">
        <v>44489</v>
      </c>
      <c r="M477" s="32"/>
      <c r="N477" s="32" t="s">
        <v>1071</v>
      </c>
      <c r="O477" s="51" t="s">
        <v>272</v>
      </c>
      <c r="P477" s="38" t="s">
        <v>1072</v>
      </c>
    </row>
    <row r="478" spans="2:16" x14ac:dyDescent="0.25">
      <c r="B478" s="32">
        <v>466</v>
      </c>
      <c r="C478" s="229" t="s">
        <v>2398</v>
      </c>
      <c r="D478" s="229"/>
      <c r="E478" s="229"/>
      <c r="F478" s="229"/>
      <c r="G478" s="229"/>
      <c r="H478" s="229"/>
      <c r="I478" s="229"/>
      <c r="J478" s="59" t="s">
        <v>702</v>
      </c>
      <c r="K478" s="1">
        <v>1690000</v>
      </c>
      <c r="L478" s="2">
        <v>44490</v>
      </c>
      <c r="M478" s="32"/>
      <c r="N478" s="32">
        <v>3137546144</v>
      </c>
      <c r="O478" s="51" t="s">
        <v>186</v>
      </c>
      <c r="P478" s="38" t="s">
        <v>740</v>
      </c>
    </row>
    <row r="479" spans="2:16" x14ac:dyDescent="0.25">
      <c r="B479" s="32">
        <v>467</v>
      </c>
      <c r="C479" s="229" t="s">
        <v>2399</v>
      </c>
      <c r="D479" s="229"/>
      <c r="E479" s="229"/>
      <c r="F479" s="229"/>
      <c r="G479" s="229"/>
      <c r="H479" s="229"/>
      <c r="I479" s="229"/>
      <c r="J479" s="59" t="s">
        <v>712</v>
      </c>
      <c r="K479" s="1">
        <v>3390000</v>
      </c>
      <c r="L479" s="2">
        <v>44491</v>
      </c>
      <c r="M479" s="32"/>
      <c r="N479" s="32">
        <v>3137851941</v>
      </c>
      <c r="O479" s="51" t="s">
        <v>2055</v>
      </c>
      <c r="P479" s="38" t="s">
        <v>713</v>
      </c>
    </row>
    <row r="480" spans="2:16" x14ac:dyDescent="0.25">
      <c r="B480" s="32">
        <v>468</v>
      </c>
      <c r="C480" s="229" t="s">
        <v>2400</v>
      </c>
      <c r="D480" s="229"/>
      <c r="E480" s="229"/>
      <c r="F480" s="229"/>
      <c r="G480" s="229"/>
      <c r="H480" s="229"/>
      <c r="I480" s="229"/>
      <c r="J480" s="59" t="s">
        <v>702</v>
      </c>
      <c r="K480" s="1">
        <v>15050000</v>
      </c>
      <c r="L480" s="2">
        <v>44491</v>
      </c>
      <c r="M480" s="32"/>
      <c r="N480" s="32">
        <v>3137546144</v>
      </c>
      <c r="O480" s="51" t="s">
        <v>186</v>
      </c>
      <c r="P480" s="38" t="s">
        <v>740</v>
      </c>
    </row>
    <row r="481" spans="2:16" x14ac:dyDescent="0.25">
      <c r="B481" s="32">
        <v>469</v>
      </c>
      <c r="C481" s="271" t="s">
        <v>2401</v>
      </c>
      <c r="D481" s="272"/>
      <c r="E481" s="272"/>
      <c r="F481" s="272"/>
      <c r="G481" s="272"/>
      <c r="H481" s="272"/>
      <c r="I481" s="272"/>
      <c r="J481" s="59" t="s">
        <v>702</v>
      </c>
      <c r="K481" s="1">
        <v>16300000</v>
      </c>
      <c r="L481" s="2">
        <v>44491</v>
      </c>
      <c r="M481" s="32"/>
      <c r="N481" s="32">
        <v>3137546144</v>
      </c>
      <c r="O481" s="51" t="s">
        <v>186</v>
      </c>
      <c r="P481" s="38" t="s">
        <v>740</v>
      </c>
    </row>
    <row r="482" spans="2:16" x14ac:dyDescent="0.25">
      <c r="B482" s="32">
        <v>470</v>
      </c>
      <c r="C482" s="229" t="s">
        <v>2402</v>
      </c>
      <c r="D482" s="229"/>
      <c r="E482" s="229"/>
      <c r="F482" s="229"/>
      <c r="G482" s="229"/>
      <c r="H482" s="229"/>
      <c r="I482" s="229"/>
      <c r="J482" s="59" t="s">
        <v>702</v>
      </c>
      <c r="K482" s="1">
        <v>18190000</v>
      </c>
      <c r="L482" s="2">
        <v>44491</v>
      </c>
      <c r="M482" s="32"/>
      <c r="N482" s="32">
        <v>3137546144</v>
      </c>
      <c r="O482" s="51" t="s">
        <v>186</v>
      </c>
      <c r="P482" s="38" t="s">
        <v>740</v>
      </c>
    </row>
    <row r="483" spans="2:16" x14ac:dyDescent="0.25">
      <c r="B483" s="32">
        <v>471</v>
      </c>
      <c r="C483" s="229" t="s">
        <v>2403</v>
      </c>
      <c r="D483" s="229"/>
      <c r="E483" s="229"/>
      <c r="F483" s="229"/>
      <c r="G483" s="229"/>
      <c r="H483" s="229"/>
      <c r="I483" s="229"/>
      <c r="J483" s="59" t="s">
        <v>2204</v>
      </c>
      <c r="K483" s="1">
        <v>4990000</v>
      </c>
      <c r="L483" s="2">
        <v>44491</v>
      </c>
      <c r="M483" s="32"/>
      <c r="N483" s="32">
        <v>3218381675</v>
      </c>
      <c r="O483" s="51" t="s">
        <v>2371</v>
      </c>
      <c r="P483" s="38" t="s">
        <v>2206</v>
      </c>
    </row>
    <row r="484" spans="2:16" x14ac:dyDescent="0.25">
      <c r="B484" s="32">
        <v>472</v>
      </c>
      <c r="C484" s="229" t="s">
        <v>2404</v>
      </c>
      <c r="D484" s="229"/>
      <c r="E484" s="229"/>
      <c r="F484" s="229"/>
      <c r="G484" s="229"/>
      <c r="H484" s="229"/>
      <c r="I484" s="229"/>
      <c r="J484" s="59" t="s">
        <v>2405</v>
      </c>
      <c r="K484" s="1">
        <v>1130000</v>
      </c>
      <c r="L484" s="2">
        <v>44491</v>
      </c>
      <c r="M484" s="32"/>
      <c r="N484" s="32">
        <v>3104477501</v>
      </c>
      <c r="O484" s="51" t="s">
        <v>2406</v>
      </c>
      <c r="P484" s="38" t="s">
        <v>2407</v>
      </c>
    </row>
    <row r="485" spans="2:16" x14ac:dyDescent="0.25">
      <c r="B485" s="32">
        <v>473</v>
      </c>
      <c r="C485" s="229" t="s">
        <v>2408</v>
      </c>
      <c r="D485" s="229"/>
      <c r="E485" s="229"/>
      <c r="F485" s="229"/>
      <c r="G485" s="229"/>
      <c r="H485" s="229"/>
      <c r="I485" s="229"/>
      <c r="J485" s="59" t="s">
        <v>2405</v>
      </c>
      <c r="K485" s="1">
        <v>4390000</v>
      </c>
      <c r="L485" s="2">
        <v>44491</v>
      </c>
      <c r="M485" s="32"/>
      <c r="N485" s="32">
        <v>3104477502</v>
      </c>
      <c r="O485" s="51" t="s">
        <v>2406</v>
      </c>
      <c r="P485" s="38" t="s">
        <v>2407</v>
      </c>
    </row>
    <row r="486" spans="2:16" x14ac:dyDescent="0.25">
      <c r="B486" s="32">
        <v>474</v>
      </c>
      <c r="C486" s="229" t="s">
        <v>2409</v>
      </c>
      <c r="D486" s="229"/>
      <c r="E486" s="229"/>
      <c r="F486" s="229"/>
      <c r="G486" s="229"/>
      <c r="H486" s="229"/>
      <c r="I486" s="229"/>
      <c r="J486" s="59" t="s">
        <v>890</v>
      </c>
      <c r="K486" s="1">
        <v>6960000</v>
      </c>
      <c r="L486" s="2">
        <v>44494</v>
      </c>
      <c r="M486" s="32"/>
      <c r="N486" s="32"/>
      <c r="O486" s="51"/>
      <c r="P486" s="51"/>
    </row>
    <row r="487" spans="2:16" x14ac:dyDescent="0.25">
      <c r="B487" s="32">
        <v>475</v>
      </c>
      <c r="C487" s="263" t="s">
        <v>2410</v>
      </c>
      <c r="D487" s="229"/>
      <c r="E487" s="229"/>
      <c r="F487" s="229"/>
      <c r="G487" s="229"/>
      <c r="H487" s="229"/>
      <c r="I487" s="229"/>
      <c r="J487" s="59" t="s">
        <v>890</v>
      </c>
      <c r="K487" s="1">
        <v>16930000</v>
      </c>
      <c r="L487" s="2">
        <v>44494</v>
      </c>
      <c r="M487" s="32"/>
      <c r="N487" s="32"/>
      <c r="O487" s="51"/>
      <c r="P487" s="51"/>
    </row>
    <row r="488" spans="2:16" x14ac:dyDescent="0.25">
      <c r="B488" s="32">
        <v>476</v>
      </c>
      <c r="C488" s="229" t="s">
        <v>2411</v>
      </c>
      <c r="D488" s="229"/>
      <c r="E488" s="229"/>
      <c r="F488" s="229"/>
      <c r="G488" s="229"/>
      <c r="H488" s="229"/>
      <c r="I488" s="229"/>
      <c r="J488" s="59" t="s">
        <v>2412</v>
      </c>
      <c r="K488" s="1"/>
      <c r="L488" s="2">
        <v>44494</v>
      </c>
      <c r="M488" s="32"/>
      <c r="N488" s="32"/>
      <c r="O488" s="51" t="s">
        <v>1009</v>
      </c>
      <c r="P488" s="51"/>
    </row>
    <row r="489" spans="2:16" x14ac:dyDescent="0.25">
      <c r="B489" s="32">
        <v>477</v>
      </c>
      <c r="C489" s="229" t="s">
        <v>2413</v>
      </c>
      <c r="D489" s="229"/>
      <c r="E489" s="229"/>
      <c r="F489" s="229"/>
      <c r="G489" s="229"/>
      <c r="H489" s="229"/>
      <c r="I489" s="229"/>
      <c r="J489" s="59" t="s">
        <v>890</v>
      </c>
      <c r="K489" s="1">
        <v>9970000</v>
      </c>
      <c r="L489" s="2">
        <v>44494</v>
      </c>
      <c r="M489" s="32"/>
      <c r="N489" s="32"/>
      <c r="O489" s="51"/>
      <c r="P489" s="51"/>
    </row>
    <row r="490" spans="2:16" x14ac:dyDescent="0.25">
      <c r="B490" s="32">
        <v>478</v>
      </c>
      <c r="C490" s="229" t="s">
        <v>2414</v>
      </c>
      <c r="D490" s="229"/>
      <c r="E490" s="229"/>
      <c r="F490" s="229"/>
      <c r="G490" s="229"/>
      <c r="H490" s="229"/>
      <c r="I490" s="229"/>
      <c r="J490" s="59" t="s">
        <v>1139</v>
      </c>
      <c r="K490" s="1">
        <v>2630000</v>
      </c>
      <c r="L490" s="2">
        <v>44494</v>
      </c>
      <c r="M490" s="32"/>
      <c r="N490" s="32"/>
      <c r="O490" s="51"/>
      <c r="P490" s="51"/>
    </row>
    <row r="491" spans="2:16" x14ac:dyDescent="0.25">
      <c r="B491" s="32">
        <v>479</v>
      </c>
      <c r="C491" s="229" t="s">
        <v>2415</v>
      </c>
      <c r="D491" s="229"/>
      <c r="E491" s="229"/>
      <c r="F491" s="229"/>
      <c r="G491" s="229"/>
      <c r="H491" s="229"/>
      <c r="I491" s="229"/>
      <c r="J491" s="59" t="s">
        <v>2416</v>
      </c>
      <c r="K491" s="1"/>
      <c r="L491" s="2">
        <v>44494</v>
      </c>
      <c r="M491" s="32"/>
      <c r="N491" s="32">
        <v>3157021528</v>
      </c>
      <c r="O491" s="51" t="s">
        <v>2417</v>
      </c>
      <c r="P491" s="38" t="s">
        <v>2418</v>
      </c>
    </row>
    <row r="492" spans="2:16" x14ac:dyDescent="0.25">
      <c r="B492" s="32">
        <v>480</v>
      </c>
      <c r="C492" s="229" t="s">
        <v>2419</v>
      </c>
      <c r="D492" s="229"/>
      <c r="E492" s="229"/>
      <c r="F492" s="229"/>
      <c r="G492" s="229"/>
      <c r="H492" s="229"/>
      <c r="I492" s="229"/>
      <c r="J492" s="59" t="s">
        <v>2420</v>
      </c>
      <c r="K492" s="1">
        <v>3500000</v>
      </c>
      <c r="L492" s="2">
        <v>44495</v>
      </c>
      <c r="M492" s="32"/>
      <c r="N492" s="32" t="s">
        <v>2421</v>
      </c>
      <c r="O492" s="51" t="s">
        <v>2422</v>
      </c>
      <c r="P492" s="38" t="s">
        <v>2423</v>
      </c>
    </row>
    <row r="493" spans="2:16" x14ac:dyDescent="0.25">
      <c r="B493" s="32">
        <v>481</v>
      </c>
      <c r="C493" s="229" t="s">
        <v>2424</v>
      </c>
      <c r="D493" s="229"/>
      <c r="E493" s="229"/>
      <c r="F493" s="229"/>
      <c r="G493" s="229"/>
      <c r="H493" s="229"/>
      <c r="I493" s="229"/>
      <c r="J493" s="59" t="s">
        <v>702</v>
      </c>
      <c r="K493" s="1">
        <v>1000000</v>
      </c>
      <c r="L493" s="2">
        <v>44496</v>
      </c>
      <c r="M493" s="32"/>
      <c r="N493" s="32">
        <v>3137546144</v>
      </c>
      <c r="O493" s="51" t="s">
        <v>186</v>
      </c>
      <c r="P493" s="38" t="s">
        <v>740</v>
      </c>
    </row>
    <row r="494" spans="2:16" x14ac:dyDescent="0.25">
      <c r="B494" s="32">
        <v>482</v>
      </c>
      <c r="C494" s="229" t="s">
        <v>2425</v>
      </c>
      <c r="D494" s="229"/>
      <c r="E494" s="229"/>
      <c r="F494" s="229"/>
      <c r="G494" s="229"/>
      <c r="H494" s="229"/>
      <c r="I494" s="229"/>
      <c r="J494" s="59" t="s">
        <v>1125</v>
      </c>
      <c r="K494" s="1" t="s">
        <v>2426</v>
      </c>
      <c r="L494" s="2">
        <v>44496</v>
      </c>
      <c r="M494" s="32"/>
      <c r="N494" s="32">
        <v>3134587240</v>
      </c>
      <c r="O494" s="51" t="s">
        <v>1839</v>
      </c>
      <c r="P494" s="52" t="s">
        <v>1840</v>
      </c>
    </row>
    <row r="495" spans="2:16" x14ac:dyDescent="0.25">
      <c r="B495" s="32">
        <v>483</v>
      </c>
      <c r="C495" s="229" t="s">
        <v>2427</v>
      </c>
      <c r="D495" s="229"/>
      <c r="E495" s="229"/>
      <c r="F495" s="229"/>
      <c r="G495" s="229"/>
      <c r="H495" s="229"/>
      <c r="I495" s="229"/>
      <c r="J495" s="59" t="s">
        <v>712</v>
      </c>
      <c r="K495" s="1">
        <v>15680000</v>
      </c>
      <c r="L495" s="2">
        <v>44496</v>
      </c>
      <c r="M495" s="32"/>
      <c r="N495" s="32">
        <v>3137851941</v>
      </c>
      <c r="O495" s="51" t="s">
        <v>192</v>
      </c>
      <c r="P495" s="38" t="s">
        <v>713</v>
      </c>
    </row>
    <row r="496" spans="2:16" x14ac:dyDescent="0.25">
      <c r="B496" s="32">
        <v>484</v>
      </c>
      <c r="C496" s="229" t="s">
        <v>2428</v>
      </c>
      <c r="D496" s="229"/>
      <c r="E496" s="229"/>
      <c r="F496" s="229"/>
      <c r="G496" s="229"/>
      <c r="H496" s="229"/>
      <c r="I496" s="229"/>
      <c r="J496" s="59" t="s">
        <v>805</v>
      </c>
      <c r="K496" s="1"/>
      <c r="L496" s="2">
        <v>44496</v>
      </c>
      <c r="M496" s="32"/>
      <c r="N496" s="32" t="s">
        <v>1405</v>
      </c>
      <c r="O496" s="51" t="s">
        <v>639</v>
      </c>
      <c r="P496" s="38" t="s">
        <v>1326</v>
      </c>
    </row>
    <row r="497" spans="2:16" x14ac:dyDescent="0.25">
      <c r="B497" s="32">
        <v>485</v>
      </c>
      <c r="C497" s="229" t="s">
        <v>2429</v>
      </c>
      <c r="D497" s="229"/>
      <c r="E497" s="229"/>
      <c r="F497" s="229"/>
      <c r="G497" s="229"/>
      <c r="H497" s="229"/>
      <c r="I497" s="229"/>
      <c r="J497" s="59" t="s">
        <v>2430</v>
      </c>
      <c r="K497" s="1"/>
      <c r="L497" s="2">
        <v>44496</v>
      </c>
      <c r="M497" s="32" t="s">
        <v>3923</v>
      </c>
      <c r="N497" s="32">
        <v>3122500703</v>
      </c>
      <c r="O497" s="51" t="s">
        <v>2431</v>
      </c>
      <c r="P497" s="38" t="s">
        <v>2432</v>
      </c>
    </row>
    <row r="498" spans="2:16" x14ac:dyDescent="0.25">
      <c r="B498" s="32">
        <v>486</v>
      </c>
      <c r="C498" s="229" t="s">
        <v>2433</v>
      </c>
      <c r="D498" s="229"/>
      <c r="E498" s="229"/>
      <c r="F498" s="229"/>
      <c r="G498" s="229"/>
      <c r="H498" s="229"/>
      <c r="I498" s="229"/>
      <c r="J498" s="59" t="s">
        <v>1415</v>
      </c>
      <c r="K498" s="1">
        <v>3760000</v>
      </c>
      <c r="L498" s="2">
        <v>44497</v>
      </c>
      <c r="M498" s="32"/>
      <c r="N498" s="32"/>
      <c r="O498" s="51" t="s">
        <v>2434</v>
      </c>
      <c r="P498" s="38" t="s">
        <v>2435</v>
      </c>
    </row>
    <row r="499" spans="2:16" x14ac:dyDescent="0.25">
      <c r="B499" s="32">
        <v>487</v>
      </c>
      <c r="C499" s="229" t="s">
        <v>2436</v>
      </c>
      <c r="D499" s="229"/>
      <c r="E499" s="229"/>
      <c r="F499" s="229"/>
      <c r="G499" s="229"/>
      <c r="H499" s="229"/>
      <c r="I499" s="229"/>
      <c r="J499" s="59" t="s">
        <v>702</v>
      </c>
      <c r="K499" s="1">
        <v>1150000</v>
      </c>
      <c r="L499" s="2">
        <v>44497</v>
      </c>
      <c r="M499" s="32"/>
      <c r="N499" s="32" t="s">
        <v>2036</v>
      </c>
      <c r="O499" s="51" t="s">
        <v>2037</v>
      </c>
      <c r="P499" s="38" t="s">
        <v>2038</v>
      </c>
    </row>
    <row r="500" spans="2:16" x14ac:dyDescent="0.25">
      <c r="B500" s="32">
        <v>488</v>
      </c>
      <c r="C500" s="229" t="s">
        <v>2437</v>
      </c>
      <c r="D500" s="229"/>
      <c r="E500" s="229"/>
      <c r="F500" s="229"/>
      <c r="G500" s="229"/>
      <c r="H500" s="229"/>
      <c r="I500" s="229"/>
      <c r="J500" s="59" t="s">
        <v>2438</v>
      </c>
      <c r="K500" s="1"/>
      <c r="L500" s="2">
        <v>44498</v>
      </c>
      <c r="M500" s="32"/>
      <c r="N500" s="32">
        <v>3128459851</v>
      </c>
      <c r="O500" s="51" t="s">
        <v>2439</v>
      </c>
      <c r="P500" s="66" t="s">
        <v>2440</v>
      </c>
    </row>
    <row r="501" spans="2:16" ht="15" customHeight="1" x14ac:dyDescent="0.25">
      <c r="B501" s="32">
        <v>489</v>
      </c>
      <c r="C501" s="229" t="s">
        <v>2441</v>
      </c>
      <c r="D501" s="229"/>
      <c r="E501" s="229"/>
      <c r="F501" s="229"/>
      <c r="G501" s="229"/>
      <c r="H501" s="229"/>
      <c r="I501" s="229"/>
      <c r="J501" s="59" t="s">
        <v>2442</v>
      </c>
      <c r="K501" s="1"/>
      <c r="L501" s="2">
        <v>44502</v>
      </c>
      <c r="M501" s="32"/>
      <c r="N501" s="32"/>
      <c r="O501" s="51" t="s">
        <v>2443</v>
      </c>
      <c r="P501" s="38" t="s">
        <v>1408</v>
      </c>
    </row>
    <row r="502" spans="2:16" x14ac:dyDescent="0.25">
      <c r="B502" s="32">
        <v>490</v>
      </c>
      <c r="C502" s="229" t="s">
        <v>2444</v>
      </c>
      <c r="D502" s="229"/>
      <c r="E502" s="229"/>
      <c r="F502" s="229"/>
      <c r="G502" s="229"/>
      <c r="H502" s="229"/>
      <c r="I502" s="229"/>
      <c r="J502" s="59" t="s">
        <v>2445</v>
      </c>
      <c r="K502" s="1">
        <v>3500000</v>
      </c>
      <c r="L502" s="2">
        <v>44503</v>
      </c>
      <c r="M502" s="32" t="s">
        <v>3923</v>
      </c>
      <c r="N502" s="32" t="s">
        <v>1485</v>
      </c>
      <c r="O502" s="51" t="s">
        <v>2446</v>
      </c>
      <c r="P502" s="38" t="s">
        <v>1487</v>
      </c>
    </row>
    <row r="503" spans="2:16" x14ac:dyDescent="0.25">
      <c r="B503" s="32">
        <v>491</v>
      </c>
      <c r="C503" s="229" t="s">
        <v>2447</v>
      </c>
      <c r="D503" s="229"/>
      <c r="E503" s="229"/>
      <c r="F503" s="229"/>
      <c r="G503" s="229"/>
      <c r="H503" s="229"/>
      <c r="I503" s="229"/>
      <c r="J503" s="59" t="s">
        <v>2448</v>
      </c>
      <c r="K503" s="1">
        <v>1500000</v>
      </c>
      <c r="L503" s="2">
        <v>44503</v>
      </c>
      <c r="M503" s="32"/>
      <c r="N503" s="32">
        <v>3053387520</v>
      </c>
      <c r="O503" s="51" t="s">
        <v>2449</v>
      </c>
      <c r="P503" s="38" t="s">
        <v>2450</v>
      </c>
    </row>
    <row r="504" spans="2:16" x14ac:dyDescent="0.25">
      <c r="B504" s="32">
        <v>492</v>
      </c>
      <c r="C504" s="229" t="s">
        <v>2451</v>
      </c>
      <c r="D504" s="229"/>
      <c r="E504" s="229"/>
      <c r="F504" s="229"/>
      <c r="G504" s="229"/>
      <c r="H504" s="229"/>
      <c r="I504" s="229"/>
      <c r="J504" s="59" t="s">
        <v>2225</v>
      </c>
      <c r="K504" s="1">
        <v>3250000</v>
      </c>
      <c r="L504" s="2">
        <v>44503</v>
      </c>
      <c r="M504" s="32" t="s">
        <v>3923</v>
      </c>
      <c r="N504" s="32" t="s">
        <v>2452</v>
      </c>
      <c r="O504" s="51" t="s">
        <v>2453</v>
      </c>
      <c r="P504" s="38" t="s">
        <v>2454</v>
      </c>
    </row>
    <row r="505" spans="2:16" x14ac:dyDescent="0.25">
      <c r="B505" s="32">
        <v>493</v>
      </c>
      <c r="C505" s="229" t="s">
        <v>2455</v>
      </c>
      <c r="D505" s="229"/>
      <c r="E505" s="229"/>
      <c r="F505" s="229"/>
      <c r="G505" s="229"/>
      <c r="H505" s="229"/>
      <c r="I505" s="229"/>
      <c r="J505" s="59" t="s">
        <v>2456</v>
      </c>
      <c r="K505" s="1"/>
      <c r="L505" s="2">
        <v>44503</v>
      </c>
      <c r="M505" s="32"/>
      <c r="N505" s="32" t="s">
        <v>2457</v>
      </c>
      <c r="O505" s="51" t="s">
        <v>2458</v>
      </c>
      <c r="P505" s="38" t="s">
        <v>2459</v>
      </c>
    </row>
    <row r="506" spans="2:16" x14ac:dyDescent="0.25">
      <c r="B506" s="32">
        <v>494</v>
      </c>
      <c r="C506" s="229" t="s">
        <v>2460</v>
      </c>
      <c r="D506" s="229"/>
      <c r="E506" s="229"/>
      <c r="F506" s="229"/>
      <c r="G506" s="229"/>
      <c r="H506" s="229"/>
      <c r="I506" s="229"/>
      <c r="J506" s="59" t="s">
        <v>2456</v>
      </c>
      <c r="K506" s="1"/>
      <c r="L506" s="2">
        <v>44505</v>
      </c>
      <c r="M506" s="32"/>
      <c r="N506" s="32" t="s">
        <v>2457</v>
      </c>
      <c r="O506" s="51" t="s">
        <v>2458</v>
      </c>
      <c r="P506" s="38" t="s">
        <v>2459</v>
      </c>
    </row>
    <row r="507" spans="2:16" x14ac:dyDescent="0.25">
      <c r="B507" s="32">
        <v>495</v>
      </c>
      <c r="C507" s="229" t="s">
        <v>2461</v>
      </c>
      <c r="D507" s="229"/>
      <c r="E507" s="229"/>
      <c r="F507" s="229"/>
      <c r="G507" s="229"/>
      <c r="H507" s="229"/>
      <c r="I507" s="229"/>
      <c r="J507" s="59" t="s">
        <v>702</v>
      </c>
      <c r="K507" s="1">
        <v>1100000</v>
      </c>
      <c r="L507" s="2">
        <v>44508</v>
      </c>
      <c r="M507" s="32" t="s">
        <v>3923</v>
      </c>
      <c r="N507" s="32" t="s">
        <v>2036</v>
      </c>
      <c r="O507" s="51" t="s">
        <v>2037</v>
      </c>
      <c r="P507" s="38" t="s">
        <v>2038</v>
      </c>
    </row>
    <row r="508" spans="2:16" x14ac:dyDescent="0.25">
      <c r="B508" s="32">
        <v>496</v>
      </c>
      <c r="C508" s="229" t="s">
        <v>2462</v>
      </c>
      <c r="D508" s="229"/>
      <c r="E508" s="229"/>
      <c r="F508" s="229"/>
      <c r="G508" s="229"/>
      <c r="H508" s="229"/>
      <c r="I508" s="229"/>
      <c r="J508" s="59" t="s">
        <v>702</v>
      </c>
      <c r="K508" s="1">
        <v>950000</v>
      </c>
      <c r="L508" s="2">
        <v>44509</v>
      </c>
      <c r="M508" s="32" t="s">
        <v>3923</v>
      </c>
      <c r="N508" s="32" t="s">
        <v>2036</v>
      </c>
      <c r="O508" s="51" t="s">
        <v>2037</v>
      </c>
      <c r="P508" s="38" t="s">
        <v>2038</v>
      </c>
    </row>
    <row r="509" spans="2:16" x14ac:dyDescent="0.25">
      <c r="B509" s="32">
        <v>497</v>
      </c>
      <c r="C509" s="229" t="s">
        <v>2463</v>
      </c>
      <c r="D509" s="229"/>
      <c r="E509" s="229"/>
      <c r="F509" s="229"/>
      <c r="G509" s="229"/>
      <c r="H509" s="229"/>
      <c r="I509" s="229"/>
      <c r="J509" s="59" t="s">
        <v>1535</v>
      </c>
      <c r="K509" s="1">
        <v>17990000</v>
      </c>
      <c r="L509" s="2">
        <v>44509</v>
      </c>
      <c r="M509" s="32"/>
      <c r="N509" s="32" t="s">
        <v>2464</v>
      </c>
      <c r="O509" s="51" t="s">
        <v>2465</v>
      </c>
      <c r="P509" s="38" t="s">
        <v>2466</v>
      </c>
    </row>
    <row r="510" spans="2:16" x14ac:dyDescent="0.25">
      <c r="B510" s="32">
        <v>498</v>
      </c>
      <c r="C510" s="229" t="s">
        <v>2467</v>
      </c>
      <c r="D510" s="229"/>
      <c r="E510" s="229"/>
      <c r="F510" s="229"/>
      <c r="G510" s="229"/>
      <c r="H510" s="229"/>
      <c r="I510" s="229"/>
      <c r="J510" s="59" t="s">
        <v>2468</v>
      </c>
      <c r="K510" s="1">
        <v>3990000</v>
      </c>
      <c r="L510" s="2">
        <v>44509</v>
      </c>
      <c r="M510" s="32" t="s">
        <v>3923</v>
      </c>
      <c r="N510" s="32" t="s">
        <v>2469</v>
      </c>
      <c r="O510" s="51" t="s">
        <v>2470</v>
      </c>
      <c r="P510" s="38" t="s">
        <v>2471</v>
      </c>
    </row>
    <row r="511" spans="2:16" x14ac:dyDescent="0.25">
      <c r="B511" s="32">
        <v>499</v>
      </c>
      <c r="C511" s="229" t="s">
        <v>2472</v>
      </c>
      <c r="D511" s="229"/>
      <c r="E511" s="229"/>
      <c r="F511" s="229"/>
      <c r="G511" s="229"/>
      <c r="H511" s="229"/>
      <c r="I511" s="229"/>
      <c r="J511" s="59" t="s">
        <v>2473</v>
      </c>
      <c r="K511" s="1">
        <v>2760000</v>
      </c>
      <c r="L511" s="2">
        <v>44509</v>
      </c>
      <c r="M511" s="32" t="s">
        <v>3923</v>
      </c>
      <c r="N511" s="32" t="s">
        <v>2474</v>
      </c>
      <c r="O511" s="51" t="s">
        <v>2475</v>
      </c>
      <c r="P511" s="38" t="s">
        <v>2476</v>
      </c>
    </row>
    <row r="512" spans="2:16" x14ac:dyDescent="0.25">
      <c r="B512" s="32">
        <v>500</v>
      </c>
      <c r="C512" s="229" t="s">
        <v>2477</v>
      </c>
      <c r="D512" s="229"/>
      <c r="E512" s="229"/>
      <c r="F512" s="229"/>
      <c r="G512" s="229"/>
      <c r="H512" s="229"/>
      <c r="I512" s="229"/>
      <c r="J512" s="59" t="s">
        <v>2478</v>
      </c>
      <c r="K512" s="1"/>
      <c r="L512" s="2">
        <v>44510</v>
      </c>
      <c r="M512" s="32" t="s">
        <v>3923</v>
      </c>
      <c r="N512" s="32"/>
      <c r="O512" s="51" t="s">
        <v>2479</v>
      </c>
      <c r="P512" s="38" t="s">
        <v>2480</v>
      </c>
    </row>
    <row r="513" spans="2:16" x14ac:dyDescent="0.25">
      <c r="B513" s="32">
        <v>501</v>
      </c>
      <c r="C513" s="271" t="s">
        <v>2481</v>
      </c>
      <c r="D513" s="272"/>
      <c r="E513" s="272"/>
      <c r="F513" s="272"/>
      <c r="G513" s="272"/>
      <c r="H513" s="272"/>
      <c r="I513" s="272"/>
      <c r="J513" s="59" t="s">
        <v>2456</v>
      </c>
      <c r="K513" s="1"/>
      <c r="L513" s="2">
        <v>44505</v>
      </c>
      <c r="M513" s="32"/>
      <c r="N513" s="32" t="s">
        <v>2457</v>
      </c>
      <c r="O513" s="51" t="s">
        <v>2458</v>
      </c>
      <c r="P513" s="38" t="s">
        <v>2459</v>
      </c>
    </row>
    <row r="514" spans="2:16" x14ac:dyDescent="0.25">
      <c r="B514" s="32">
        <v>502</v>
      </c>
      <c r="C514" s="229" t="s">
        <v>2482</v>
      </c>
      <c r="D514" s="229"/>
      <c r="E514" s="229"/>
      <c r="F514" s="229"/>
      <c r="G514" s="229"/>
      <c r="H514" s="229"/>
      <c r="I514" s="229"/>
      <c r="J514" s="59" t="s">
        <v>747</v>
      </c>
      <c r="K514" s="1">
        <v>5000000</v>
      </c>
      <c r="L514" s="2">
        <v>44510</v>
      </c>
      <c r="M514" s="32"/>
      <c r="N514" s="32">
        <v>3175594091</v>
      </c>
      <c r="O514" s="51" t="s">
        <v>496</v>
      </c>
      <c r="P514" s="38" t="s">
        <v>748</v>
      </c>
    </row>
    <row r="515" spans="2:16" x14ac:dyDescent="0.25">
      <c r="B515" s="32">
        <v>503</v>
      </c>
      <c r="C515" s="229" t="s">
        <v>2483</v>
      </c>
      <c r="D515" s="229"/>
      <c r="E515" s="229"/>
      <c r="F515" s="229"/>
      <c r="G515" s="229"/>
      <c r="H515" s="229"/>
      <c r="I515" s="229"/>
      <c r="J515" s="59" t="s">
        <v>2484</v>
      </c>
      <c r="K515" s="1"/>
      <c r="L515" s="2">
        <v>44512</v>
      </c>
      <c r="M515" s="32"/>
      <c r="N515" s="32"/>
      <c r="O515" s="51"/>
      <c r="P515" s="38" t="s">
        <v>2485</v>
      </c>
    </row>
    <row r="516" spans="2:16" x14ac:dyDescent="0.25">
      <c r="B516" s="32">
        <v>504</v>
      </c>
      <c r="C516" s="229" t="s">
        <v>2486</v>
      </c>
      <c r="D516" s="229"/>
      <c r="E516" s="229"/>
      <c r="F516" s="229"/>
      <c r="G516" s="229"/>
      <c r="H516" s="229"/>
      <c r="I516" s="229"/>
      <c r="J516" s="59" t="s">
        <v>702</v>
      </c>
      <c r="K516" s="1">
        <v>9400000</v>
      </c>
      <c r="L516" s="2">
        <v>44512</v>
      </c>
      <c r="M516" s="32"/>
      <c r="N516" s="32">
        <v>3104680508</v>
      </c>
      <c r="O516" s="51" t="s">
        <v>212</v>
      </c>
      <c r="P516" s="38" t="s">
        <v>703</v>
      </c>
    </row>
    <row r="517" spans="2:16" x14ac:dyDescent="0.25">
      <c r="B517" s="32">
        <v>505</v>
      </c>
      <c r="C517" s="229" t="s">
        <v>2487</v>
      </c>
      <c r="D517" s="229"/>
      <c r="E517" s="229"/>
      <c r="F517" s="229"/>
      <c r="G517" s="229"/>
      <c r="H517" s="229"/>
      <c r="I517" s="229"/>
      <c r="J517" s="59" t="s">
        <v>880</v>
      </c>
      <c r="K517" s="1">
        <v>3850000</v>
      </c>
      <c r="L517" s="2">
        <v>44513</v>
      </c>
      <c r="M517" s="32"/>
      <c r="N517" s="32">
        <v>3134669894</v>
      </c>
      <c r="O517" s="51" t="s">
        <v>320</v>
      </c>
      <c r="P517" s="52" t="s">
        <v>1353</v>
      </c>
    </row>
    <row r="518" spans="2:16" x14ac:dyDescent="0.25">
      <c r="B518" s="32">
        <v>506</v>
      </c>
      <c r="C518" s="229" t="s">
        <v>2488</v>
      </c>
      <c r="D518" s="229"/>
      <c r="E518" s="229"/>
      <c r="F518" s="229"/>
      <c r="G518" s="229"/>
      <c r="H518" s="229"/>
      <c r="I518" s="229"/>
      <c r="J518" s="59" t="s">
        <v>1860</v>
      </c>
      <c r="K518" s="1"/>
      <c r="L518" s="2">
        <v>44516</v>
      </c>
      <c r="M518" s="32"/>
      <c r="N518" s="32">
        <v>3203476710</v>
      </c>
      <c r="O518" s="51" t="s">
        <v>2489</v>
      </c>
      <c r="P518" s="66" t="s">
        <v>2490</v>
      </c>
    </row>
    <row r="519" spans="2:16" x14ac:dyDescent="0.25">
      <c r="B519" s="32">
        <v>507</v>
      </c>
      <c r="C519" s="263" t="s">
        <v>2491</v>
      </c>
      <c r="D519" s="229"/>
      <c r="E519" s="229"/>
      <c r="F519" s="229"/>
      <c r="G519" s="229"/>
      <c r="H519" s="229"/>
      <c r="I519" s="229"/>
      <c r="J519" s="59" t="s">
        <v>747</v>
      </c>
      <c r="K519" s="1" t="s">
        <v>2492</v>
      </c>
      <c r="L519" s="2">
        <v>44516</v>
      </c>
      <c r="M519" s="32"/>
      <c r="N519" s="32">
        <v>3175594091</v>
      </c>
      <c r="O519" s="51" t="s">
        <v>496</v>
      </c>
      <c r="P519" s="38" t="s">
        <v>748</v>
      </c>
    </row>
    <row r="520" spans="2:16" x14ac:dyDescent="0.25">
      <c r="B520" s="32">
        <v>508</v>
      </c>
      <c r="C520" s="263" t="s">
        <v>2493</v>
      </c>
      <c r="D520" s="229"/>
      <c r="E520" s="229"/>
      <c r="F520" s="229"/>
      <c r="G520" s="229"/>
      <c r="H520" s="229"/>
      <c r="I520" s="229"/>
      <c r="J520" s="59" t="s">
        <v>1439</v>
      </c>
      <c r="K520" s="1"/>
      <c r="L520" s="2">
        <v>44517</v>
      </c>
      <c r="M520" s="2" t="s">
        <v>3923</v>
      </c>
      <c r="N520" s="32"/>
      <c r="O520" s="51" t="s">
        <v>2494</v>
      </c>
      <c r="P520" s="66" t="s">
        <v>2495</v>
      </c>
    </row>
    <row r="521" spans="2:16" x14ac:dyDescent="0.25">
      <c r="B521" s="32">
        <v>509</v>
      </c>
      <c r="C521" s="229" t="s">
        <v>2496</v>
      </c>
      <c r="D521" s="229"/>
      <c r="E521" s="229"/>
      <c r="F521" s="229"/>
      <c r="G521" s="229"/>
      <c r="H521" s="229"/>
      <c r="I521" s="229"/>
      <c r="J521" s="59" t="s">
        <v>702</v>
      </c>
      <c r="K521" s="1">
        <v>1250000</v>
      </c>
      <c r="L521" s="2">
        <v>44518</v>
      </c>
      <c r="M521" s="32" t="s">
        <v>3923</v>
      </c>
      <c r="N521" s="32" t="s">
        <v>2036</v>
      </c>
      <c r="O521" s="51" t="s">
        <v>2037</v>
      </c>
      <c r="P521" s="38" t="s">
        <v>2038</v>
      </c>
    </row>
    <row r="522" spans="2:16" x14ac:dyDescent="0.25">
      <c r="B522" s="32">
        <v>510</v>
      </c>
      <c r="C522" s="229" t="s">
        <v>2497</v>
      </c>
      <c r="D522" s="229"/>
      <c r="E522" s="229"/>
      <c r="F522" s="229"/>
      <c r="G522" s="229"/>
      <c r="H522" s="229"/>
      <c r="I522" s="229"/>
      <c r="J522" s="59" t="s">
        <v>2204</v>
      </c>
      <c r="K522" s="1">
        <v>6270000</v>
      </c>
      <c r="L522" s="2">
        <v>44518</v>
      </c>
      <c r="M522" s="32"/>
      <c r="N522" s="32">
        <v>3186899388</v>
      </c>
      <c r="O522" s="51" t="s">
        <v>2498</v>
      </c>
      <c r="P522" s="38" t="s">
        <v>2499</v>
      </c>
    </row>
    <row r="523" spans="2:16" x14ac:dyDescent="0.25">
      <c r="B523" s="32">
        <v>511</v>
      </c>
      <c r="C523" s="229" t="s">
        <v>2500</v>
      </c>
      <c r="D523" s="229"/>
      <c r="E523" s="229"/>
      <c r="F523" s="229"/>
      <c r="G523" s="229"/>
      <c r="H523" s="229"/>
      <c r="I523" s="229"/>
      <c r="J523" s="59" t="s">
        <v>880</v>
      </c>
      <c r="K523" s="1" t="s">
        <v>381</v>
      </c>
      <c r="L523" s="2">
        <v>44519</v>
      </c>
      <c r="M523" s="32"/>
      <c r="N523" s="32">
        <v>3134669894</v>
      </c>
      <c r="O523" s="51" t="s">
        <v>320</v>
      </c>
      <c r="P523" s="52" t="s">
        <v>1353</v>
      </c>
    </row>
    <row r="524" spans="2:16" x14ac:dyDescent="0.25">
      <c r="B524" s="32">
        <v>512</v>
      </c>
      <c r="C524" s="229" t="s">
        <v>2501</v>
      </c>
      <c r="D524" s="229"/>
      <c r="E524" s="229"/>
      <c r="F524" s="229"/>
      <c r="G524" s="229"/>
      <c r="H524" s="229"/>
      <c r="I524" s="229"/>
      <c r="J524" s="59" t="s">
        <v>890</v>
      </c>
      <c r="K524" s="46">
        <v>3000000</v>
      </c>
      <c r="L524" s="2">
        <v>44519</v>
      </c>
      <c r="M524" s="32"/>
      <c r="N524" s="32">
        <v>3113396273</v>
      </c>
      <c r="O524" s="51" t="s">
        <v>989</v>
      </c>
      <c r="P524" s="52" t="s">
        <v>990</v>
      </c>
    </row>
    <row r="525" spans="2:16" x14ac:dyDescent="0.25">
      <c r="B525" s="32">
        <v>513</v>
      </c>
      <c r="C525" s="229" t="s">
        <v>2502</v>
      </c>
      <c r="D525" s="229"/>
      <c r="E525" s="229"/>
      <c r="F525" s="229"/>
      <c r="G525" s="229"/>
      <c r="H525" s="229"/>
      <c r="I525" s="229"/>
      <c r="J525" s="59" t="s">
        <v>702</v>
      </c>
      <c r="K525" s="1">
        <v>6900000</v>
      </c>
      <c r="L525" s="2">
        <v>44519</v>
      </c>
      <c r="M525" s="32"/>
      <c r="N525" s="32">
        <v>3104680508</v>
      </c>
      <c r="O525" s="51" t="s">
        <v>212</v>
      </c>
      <c r="P525" s="38" t="s">
        <v>703</v>
      </c>
    </row>
    <row r="526" spans="2:16" x14ac:dyDescent="0.25">
      <c r="B526" s="32">
        <v>514</v>
      </c>
      <c r="C526" s="263" t="s">
        <v>2503</v>
      </c>
      <c r="D526" s="229"/>
      <c r="E526" s="229"/>
      <c r="F526" s="229"/>
      <c r="G526" s="229"/>
      <c r="H526" s="229"/>
      <c r="I526" s="229"/>
      <c r="J526" s="59" t="s">
        <v>702</v>
      </c>
      <c r="K526" s="1"/>
      <c r="L526" s="2">
        <v>44523</v>
      </c>
      <c r="M526" s="32" t="s">
        <v>3923</v>
      </c>
      <c r="N526" s="32"/>
      <c r="O526" s="51" t="s">
        <v>417</v>
      </c>
      <c r="P526" s="38" t="s">
        <v>2504</v>
      </c>
    </row>
    <row r="527" spans="2:16" x14ac:dyDescent="0.25">
      <c r="B527" s="32">
        <v>515</v>
      </c>
      <c r="C527" s="229" t="s">
        <v>2505</v>
      </c>
      <c r="D527" s="229"/>
      <c r="E527" s="229"/>
      <c r="F527" s="229"/>
      <c r="G527" s="229"/>
      <c r="H527" s="229"/>
      <c r="I527" s="229"/>
      <c r="J527" s="59" t="s">
        <v>702</v>
      </c>
      <c r="K527" s="1">
        <v>1800000</v>
      </c>
      <c r="L527" s="2">
        <v>44523</v>
      </c>
      <c r="M527" s="32"/>
      <c r="N527" s="32">
        <v>3104680508</v>
      </c>
      <c r="O527" s="51" t="s">
        <v>212</v>
      </c>
      <c r="P527" s="38" t="s">
        <v>703</v>
      </c>
    </row>
    <row r="528" spans="2:16" x14ac:dyDescent="0.25">
      <c r="B528" s="32">
        <v>516</v>
      </c>
      <c r="C528" s="229" t="s">
        <v>2506</v>
      </c>
      <c r="D528" s="229"/>
      <c r="E528" s="229"/>
      <c r="F528" s="229"/>
      <c r="G528" s="229"/>
      <c r="H528" s="229"/>
      <c r="I528" s="229"/>
      <c r="J528" s="59" t="s">
        <v>2507</v>
      </c>
      <c r="K528" s="1"/>
      <c r="L528" s="2">
        <v>44523</v>
      </c>
      <c r="M528" s="32"/>
      <c r="N528" s="32"/>
      <c r="O528" s="51" t="s">
        <v>2508</v>
      </c>
      <c r="P528" s="38" t="s">
        <v>2509</v>
      </c>
    </row>
    <row r="529" spans="2:16" x14ac:dyDescent="0.25">
      <c r="B529" s="32">
        <v>517</v>
      </c>
      <c r="C529" s="229" t="s">
        <v>2510</v>
      </c>
      <c r="D529" s="229"/>
      <c r="E529" s="229"/>
      <c r="F529" s="229"/>
      <c r="G529" s="229"/>
      <c r="H529" s="229"/>
      <c r="I529" s="229"/>
      <c r="J529" s="59" t="s">
        <v>2511</v>
      </c>
      <c r="K529" s="1">
        <v>8460000</v>
      </c>
      <c r="L529" s="2">
        <v>44523</v>
      </c>
      <c r="M529" s="32"/>
      <c r="N529" s="32" t="s">
        <v>2512</v>
      </c>
      <c r="O529" s="51" t="s">
        <v>2513</v>
      </c>
      <c r="P529" s="38" t="s">
        <v>2514</v>
      </c>
    </row>
    <row r="530" spans="2:16" x14ac:dyDescent="0.25">
      <c r="B530" s="32">
        <v>518</v>
      </c>
      <c r="C530" s="229" t="s">
        <v>2515</v>
      </c>
      <c r="D530" s="229"/>
      <c r="E530" s="229"/>
      <c r="F530" s="229"/>
      <c r="G530" s="229"/>
      <c r="H530" s="229"/>
      <c r="I530" s="229"/>
      <c r="J530" s="59" t="s">
        <v>2516</v>
      </c>
      <c r="K530" s="1" t="s">
        <v>150</v>
      </c>
      <c r="L530" s="2">
        <v>44523</v>
      </c>
      <c r="M530" s="32"/>
      <c r="N530" s="32" t="s">
        <v>2517</v>
      </c>
      <c r="O530" s="51" t="s">
        <v>2518</v>
      </c>
      <c r="P530" s="38" t="s">
        <v>2519</v>
      </c>
    </row>
    <row r="531" spans="2:16" x14ac:dyDescent="0.25">
      <c r="B531" s="32">
        <v>519</v>
      </c>
      <c r="C531" s="229" t="s">
        <v>2520</v>
      </c>
      <c r="D531" s="229"/>
      <c r="E531" s="229"/>
      <c r="F531" s="229"/>
      <c r="G531" s="229"/>
      <c r="H531" s="229"/>
      <c r="I531" s="229"/>
      <c r="J531" s="59" t="s">
        <v>2521</v>
      </c>
      <c r="K531" s="1">
        <v>1960000</v>
      </c>
      <c r="L531" s="2">
        <v>44524</v>
      </c>
      <c r="M531" s="32"/>
      <c r="N531" s="32">
        <v>3045624551</v>
      </c>
      <c r="O531" s="51" t="s">
        <v>2522</v>
      </c>
      <c r="P531" s="38" t="s">
        <v>2523</v>
      </c>
    </row>
    <row r="532" spans="2:16" x14ac:dyDescent="0.25">
      <c r="B532" s="32">
        <v>520</v>
      </c>
      <c r="C532" s="229" t="s">
        <v>2524</v>
      </c>
      <c r="D532" s="229"/>
      <c r="E532" s="229"/>
      <c r="F532" s="229"/>
      <c r="G532" s="229"/>
      <c r="H532" s="229"/>
      <c r="I532" s="229"/>
      <c r="J532" s="59" t="s">
        <v>2225</v>
      </c>
      <c r="K532" s="1">
        <v>4000000</v>
      </c>
      <c r="L532" s="2">
        <v>44524</v>
      </c>
      <c r="M532" s="32" t="s">
        <v>3923</v>
      </c>
      <c r="N532" s="32"/>
      <c r="O532" s="51" t="s">
        <v>2525</v>
      </c>
      <c r="P532" s="38" t="s">
        <v>2228</v>
      </c>
    </row>
    <row r="533" spans="2:16" x14ac:dyDescent="0.25">
      <c r="B533" s="32">
        <v>521</v>
      </c>
      <c r="C533" s="229" t="s">
        <v>2526</v>
      </c>
      <c r="D533" s="229"/>
      <c r="E533" s="229"/>
      <c r="F533" s="229"/>
      <c r="G533" s="229"/>
      <c r="H533" s="229"/>
      <c r="I533" s="229"/>
      <c r="J533" s="59" t="s">
        <v>2527</v>
      </c>
      <c r="K533" s="1">
        <v>9950000</v>
      </c>
      <c r="L533" s="2">
        <v>44525</v>
      </c>
      <c r="M533" s="32"/>
      <c r="N533" s="32" t="s">
        <v>2528</v>
      </c>
      <c r="O533" s="51" t="s">
        <v>2529</v>
      </c>
      <c r="P533" s="38" t="s">
        <v>2530</v>
      </c>
    </row>
    <row r="534" spans="2:16" x14ac:dyDescent="0.25">
      <c r="B534" s="32">
        <v>522</v>
      </c>
      <c r="C534" s="229" t="s">
        <v>2531</v>
      </c>
      <c r="D534" s="229"/>
      <c r="E534" s="229"/>
      <c r="F534" s="229"/>
      <c r="G534" s="229"/>
      <c r="H534" s="229"/>
      <c r="I534" s="229"/>
      <c r="J534" s="59" t="s">
        <v>2527</v>
      </c>
      <c r="K534" s="1">
        <v>21950000</v>
      </c>
      <c r="L534" s="2">
        <v>44525</v>
      </c>
      <c r="M534" s="32"/>
      <c r="N534" s="32" t="s">
        <v>2528</v>
      </c>
      <c r="O534" s="51" t="s">
        <v>2529</v>
      </c>
      <c r="P534" s="38" t="s">
        <v>2530</v>
      </c>
    </row>
    <row r="535" spans="2:16" x14ac:dyDescent="0.25">
      <c r="B535" s="32">
        <v>523</v>
      </c>
      <c r="C535" s="229" t="s">
        <v>2532</v>
      </c>
      <c r="D535" s="229"/>
      <c r="E535" s="229"/>
      <c r="F535" s="229"/>
      <c r="G535" s="229"/>
      <c r="H535" s="229"/>
      <c r="I535" s="229"/>
      <c r="J535" s="59" t="s">
        <v>2484</v>
      </c>
      <c r="K535" s="1">
        <v>10950000</v>
      </c>
      <c r="L535" s="2">
        <v>44526</v>
      </c>
      <c r="M535" s="32"/>
      <c r="N535" s="32"/>
      <c r="O535" s="51" t="s">
        <v>2533</v>
      </c>
      <c r="P535" s="38" t="s">
        <v>2485</v>
      </c>
    </row>
    <row r="536" spans="2:16" x14ac:dyDescent="0.25">
      <c r="B536" s="32">
        <v>524</v>
      </c>
      <c r="C536" s="229" t="s">
        <v>2534</v>
      </c>
      <c r="D536" s="229"/>
      <c r="E536" s="229"/>
      <c r="F536" s="229"/>
      <c r="G536" s="229"/>
      <c r="H536" s="229"/>
      <c r="I536" s="229"/>
      <c r="J536" s="59" t="s">
        <v>2165</v>
      </c>
      <c r="K536" s="1">
        <v>2950000</v>
      </c>
      <c r="L536" s="2">
        <v>44526</v>
      </c>
      <c r="M536" s="32" t="s">
        <v>3923</v>
      </c>
      <c r="N536" s="32">
        <v>3042478572</v>
      </c>
      <c r="O536" s="51" t="s">
        <v>2166</v>
      </c>
      <c r="P536" s="38" t="s">
        <v>2167</v>
      </c>
    </row>
    <row r="537" spans="2:16" x14ac:dyDescent="0.25">
      <c r="B537" s="32">
        <v>525</v>
      </c>
      <c r="C537" s="229" t="s">
        <v>2535</v>
      </c>
      <c r="D537" s="229"/>
      <c r="E537" s="229"/>
      <c r="F537" s="229"/>
      <c r="G537" s="229"/>
      <c r="H537" s="229"/>
      <c r="I537" s="229"/>
      <c r="J537" s="59" t="s">
        <v>2527</v>
      </c>
      <c r="K537" s="1">
        <v>65850000</v>
      </c>
      <c r="L537" s="2">
        <v>44527</v>
      </c>
      <c r="M537" s="32"/>
      <c r="N537" s="32" t="s">
        <v>2528</v>
      </c>
      <c r="O537" s="51" t="s">
        <v>2529</v>
      </c>
      <c r="P537" s="38" t="s">
        <v>2530</v>
      </c>
    </row>
    <row r="538" spans="2:16" x14ac:dyDescent="0.25">
      <c r="B538" s="32">
        <v>526</v>
      </c>
      <c r="C538" s="229" t="s">
        <v>2536</v>
      </c>
      <c r="D538" s="229"/>
      <c r="E538" s="229"/>
      <c r="F538" s="229"/>
      <c r="G538" s="229"/>
      <c r="H538" s="229"/>
      <c r="I538" s="229"/>
      <c r="J538" s="59" t="s">
        <v>747</v>
      </c>
      <c r="K538" s="1"/>
      <c r="L538" s="2">
        <v>44529</v>
      </c>
      <c r="M538" s="32" t="s">
        <v>3923</v>
      </c>
      <c r="N538" s="32"/>
      <c r="O538" s="51"/>
      <c r="P538" s="51"/>
    </row>
    <row r="539" spans="2:16" x14ac:dyDescent="0.25">
      <c r="B539" s="32">
        <v>527</v>
      </c>
      <c r="C539" s="229" t="s">
        <v>2537</v>
      </c>
      <c r="D539" s="229"/>
      <c r="E539" s="229"/>
      <c r="F539" s="229"/>
      <c r="G539" s="229"/>
      <c r="H539" s="229"/>
      <c r="I539" s="229"/>
      <c r="J539" s="59" t="s">
        <v>1016</v>
      </c>
      <c r="K539" s="1">
        <v>950000</v>
      </c>
      <c r="L539" s="2">
        <v>44531</v>
      </c>
      <c r="M539" s="32"/>
      <c r="N539" s="32">
        <v>3014695381</v>
      </c>
      <c r="O539" s="51" t="s">
        <v>1017</v>
      </c>
      <c r="P539" s="38" t="s">
        <v>1018</v>
      </c>
    </row>
    <row r="540" spans="2:16" x14ac:dyDescent="0.25">
      <c r="B540" s="32">
        <v>528</v>
      </c>
      <c r="C540" s="229" t="s">
        <v>2538</v>
      </c>
      <c r="D540" s="229"/>
      <c r="E540" s="229"/>
      <c r="F540" s="229"/>
      <c r="G540" s="229"/>
      <c r="H540" s="229"/>
      <c r="I540" s="229"/>
      <c r="J540" s="59" t="s">
        <v>2539</v>
      </c>
      <c r="K540" s="1">
        <v>1250000</v>
      </c>
      <c r="L540" s="2">
        <v>41245</v>
      </c>
      <c r="M540" s="32"/>
      <c r="N540" s="32" t="s">
        <v>2301</v>
      </c>
      <c r="O540" s="51" t="s">
        <v>2302</v>
      </c>
      <c r="P540" s="38" t="s">
        <v>2303</v>
      </c>
    </row>
    <row r="541" spans="2:16" x14ac:dyDescent="0.25">
      <c r="B541" s="32">
        <v>529</v>
      </c>
      <c r="C541" s="229" t="s">
        <v>2540</v>
      </c>
      <c r="D541" s="229"/>
      <c r="E541" s="229"/>
      <c r="F541" s="229"/>
      <c r="G541" s="229"/>
      <c r="H541" s="229"/>
      <c r="I541" s="229"/>
      <c r="J541" s="59" t="s">
        <v>2541</v>
      </c>
      <c r="K541" s="1">
        <v>1750000</v>
      </c>
      <c r="L541" s="2">
        <v>41246</v>
      </c>
      <c r="M541" s="32"/>
      <c r="N541" s="32">
        <v>3113396273</v>
      </c>
      <c r="O541" s="51" t="s">
        <v>989</v>
      </c>
      <c r="P541" s="52" t="s">
        <v>990</v>
      </c>
    </row>
    <row r="542" spans="2:16" x14ac:dyDescent="0.25">
      <c r="B542" s="32">
        <v>530</v>
      </c>
      <c r="C542" s="229" t="s">
        <v>2542</v>
      </c>
      <c r="D542" s="229"/>
      <c r="E542" s="229"/>
      <c r="F542" s="229"/>
      <c r="G542" s="229"/>
      <c r="H542" s="229"/>
      <c r="I542" s="229"/>
      <c r="J542" s="59" t="s">
        <v>890</v>
      </c>
      <c r="K542" s="1"/>
      <c r="L542" s="2">
        <v>44534</v>
      </c>
      <c r="M542" s="32"/>
      <c r="N542" s="32">
        <v>3113396273</v>
      </c>
      <c r="O542" s="51" t="s">
        <v>989</v>
      </c>
      <c r="P542" s="52" t="s">
        <v>990</v>
      </c>
    </row>
    <row r="543" spans="2:16" x14ac:dyDescent="0.25">
      <c r="B543" s="32">
        <v>531</v>
      </c>
      <c r="C543" s="229" t="s">
        <v>2543</v>
      </c>
      <c r="D543" s="229"/>
      <c r="E543" s="229"/>
      <c r="F543" s="229"/>
      <c r="G543" s="229"/>
      <c r="H543" s="229"/>
      <c r="I543" s="229"/>
      <c r="J543" s="59" t="s">
        <v>2544</v>
      </c>
      <c r="K543" s="1">
        <v>1500000</v>
      </c>
      <c r="L543" s="2">
        <v>44536</v>
      </c>
      <c r="M543" s="32"/>
      <c r="N543" s="32" t="s">
        <v>2545</v>
      </c>
      <c r="O543" s="51" t="s">
        <v>2546</v>
      </c>
      <c r="P543" s="51"/>
    </row>
    <row r="544" spans="2:16" x14ac:dyDescent="0.25">
      <c r="B544" s="32">
        <v>532</v>
      </c>
      <c r="C544" s="229" t="s">
        <v>1197</v>
      </c>
      <c r="D544" s="229"/>
      <c r="E544" s="229"/>
      <c r="F544" s="229"/>
      <c r="G544" s="229"/>
      <c r="H544" s="229"/>
      <c r="I544" s="229"/>
      <c r="J544" s="59" t="s">
        <v>823</v>
      </c>
      <c r="K544" s="1">
        <v>150000</v>
      </c>
      <c r="L544" s="2">
        <v>44536</v>
      </c>
      <c r="M544" s="32"/>
      <c r="N544" s="32">
        <v>3014383931</v>
      </c>
      <c r="O544" s="51" t="s">
        <v>1450</v>
      </c>
      <c r="P544" s="55" t="s">
        <v>1451</v>
      </c>
    </row>
    <row r="545" spans="2:16" x14ac:dyDescent="0.25">
      <c r="B545" s="32">
        <v>533</v>
      </c>
      <c r="C545" s="271" t="s">
        <v>2547</v>
      </c>
      <c r="D545" s="272"/>
      <c r="E545" s="272"/>
      <c r="F545" s="272"/>
      <c r="G545" s="272"/>
      <c r="H545" s="272"/>
      <c r="I545" s="272"/>
      <c r="J545" s="59" t="s">
        <v>831</v>
      </c>
      <c r="K545" s="1">
        <v>12950000</v>
      </c>
      <c r="L545" s="32" t="s">
        <v>2548</v>
      </c>
      <c r="M545" s="2"/>
      <c r="N545" s="32" t="s">
        <v>1751</v>
      </c>
      <c r="O545" s="51" t="s">
        <v>1752</v>
      </c>
      <c r="P545" s="52" t="s">
        <v>1753</v>
      </c>
    </row>
    <row r="546" spans="2:16" x14ac:dyDescent="0.25">
      <c r="B546" s="32">
        <v>534</v>
      </c>
      <c r="C546" s="229" t="s">
        <v>2549</v>
      </c>
      <c r="D546" s="229"/>
      <c r="E546" s="229"/>
      <c r="F546" s="229"/>
      <c r="G546" s="229"/>
      <c r="H546" s="229"/>
      <c r="I546" s="229"/>
      <c r="J546" s="59" t="s">
        <v>2300</v>
      </c>
      <c r="K546" s="1">
        <v>1350000</v>
      </c>
      <c r="L546" s="2">
        <v>44536</v>
      </c>
      <c r="M546" s="32"/>
      <c r="N546" s="32" t="s">
        <v>2301</v>
      </c>
      <c r="O546" s="51" t="s">
        <v>2302</v>
      </c>
      <c r="P546" s="38" t="s">
        <v>2303</v>
      </c>
    </row>
    <row r="547" spans="2:16" x14ac:dyDescent="0.25">
      <c r="B547" s="32">
        <v>535</v>
      </c>
      <c r="C547" s="229" t="s">
        <v>2550</v>
      </c>
      <c r="D547" s="229"/>
      <c r="E547" s="229"/>
      <c r="F547" s="229"/>
      <c r="G547" s="229"/>
      <c r="H547" s="229"/>
      <c r="I547" s="229"/>
      <c r="J547" s="59" t="s">
        <v>1995</v>
      </c>
      <c r="K547" s="1">
        <v>14950000</v>
      </c>
      <c r="L547" s="2">
        <v>44537</v>
      </c>
      <c r="M547" s="32"/>
      <c r="N547" s="32" t="s">
        <v>2349</v>
      </c>
      <c r="O547" s="51" t="s">
        <v>2551</v>
      </c>
      <c r="P547" s="38" t="s">
        <v>1998</v>
      </c>
    </row>
    <row r="548" spans="2:16" x14ac:dyDescent="0.25">
      <c r="B548" s="32">
        <v>536</v>
      </c>
      <c r="C548" s="229" t="s">
        <v>2552</v>
      </c>
      <c r="D548" s="229"/>
      <c r="E548" s="229"/>
      <c r="F548" s="229"/>
      <c r="G548" s="229"/>
      <c r="H548" s="229"/>
      <c r="I548" s="229"/>
      <c r="J548" s="59" t="s">
        <v>1870</v>
      </c>
      <c r="K548" s="1">
        <v>23950000</v>
      </c>
      <c r="L548" s="2">
        <v>44537</v>
      </c>
      <c r="M548" s="2" t="s">
        <v>3923</v>
      </c>
      <c r="N548" s="32">
        <v>3111770</v>
      </c>
      <c r="O548" s="51" t="s">
        <v>2553</v>
      </c>
      <c r="P548" s="38" t="s">
        <v>2554</v>
      </c>
    </row>
    <row r="549" spans="2:16" x14ac:dyDescent="0.25">
      <c r="B549" s="32">
        <v>537</v>
      </c>
      <c r="C549" s="229" t="s">
        <v>2550</v>
      </c>
      <c r="D549" s="229"/>
      <c r="E549" s="229"/>
      <c r="F549" s="229"/>
      <c r="G549" s="229"/>
      <c r="H549" s="229"/>
      <c r="I549" s="229"/>
      <c r="J549" s="59" t="s">
        <v>702</v>
      </c>
      <c r="K549" s="1">
        <v>13950000</v>
      </c>
      <c r="L549" s="2">
        <v>44539</v>
      </c>
      <c r="M549" s="32"/>
      <c r="N549" s="32" t="s">
        <v>2036</v>
      </c>
      <c r="O549" s="51" t="s">
        <v>2037</v>
      </c>
      <c r="P549" s="38" t="s">
        <v>2038</v>
      </c>
    </row>
    <row r="550" spans="2:16" x14ac:dyDescent="0.25">
      <c r="B550" s="32">
        <v>538</v>
      </c>
      <c r="C550" s="229" t="s">
        <v>2555</v>
      </c>
      <c r="D550" s="229"/>
      <c r="E550" s="229"/>
      <c r="F550" s="229"/>
      <c r="G550" s="229"/>
      <c r="H550" s="229"/>
      <c r="I550" s="229"/>
      <c r="J550" s="59" t="s">
        <v>771</v>
      </c>
      <c r="K550" s="1">
        <v>12900000</v>
      </c>
      <c r="L550" s="2">
        <v>44539</v>
      </c>
      <c r="M550" s="32" t="s">
        <v>3923</v>
      </c>
      <c r="N550" s="32"/>
      <c r="O550" s="51" t="s">
        <v>2556</v>
      </c>
      <c r="P550" s="38" t="s">
        <v>2557</v>
      </c>
    </row>
    <row r="551" spans="2:16" x14ac:dyDescent="0.25">
      <c r="B551" s="32">
        <v>539</v>
      </c>
      <c r="C551" s="229" t="s">
        <v>2558</v>
      </c>
      <c r="D551" s="229"/>
      <c r="E551" s="229"/>
      <c r="F551" s="229"/>
      <c r="G551" s="229"/>
      <c r="H551" s="229"/>
      <c r="I551" s="229"/>
      <c r="J551" s="59" t="s">
        <v>771</v>
      </c>
      <c r="K551" s="1">
        <v>26700000</v>
      </c>
      <c r="L551" s="2">
        <v>44539</v>
      </c>
      <c r="M551" s="32"/>
      <c r="N551" s="32"/>
      <c r="O551" s="51" t="s">
        <v>2556</v>
      </c>
      <c r="P551" s="38" t="s">
        <v>2557</v>
      </c>
    </row>
    <row r="552" spans="2:16" x14ac:dyDescent="0.25">
      <c r="B552" s="32">
        <v>540</v>
      </c>
      <c r="C552" s="229" t="s">
        <v>2559</v>
      </c>
      <c r="D552" s="229"/>
      <c r="E552" s="229"/>
      <c r="F552" s="229"/>
      <c r="G552" s="229"/>
      <c r="H552" s="229"/>
      <c r="I552" s="229"/>
      <c r="J552" s="59" t="s">
        <v>1875</v>
      </c>
      <c r="K552" s="1">
        <v>12190000</v>
      </c>
      <c r="L552" s="2">
        <v>44540</v>
      </c>
      <c r="M552" s="32"/>
      <c r="N552" s="32">
        <v>3113391008</v>
      </c>
      <c r="O552" s="51" t="s">
        <v>2560</v>
      </c>
      <c r="P552" s="38" t="s">
        <v>2561</v>
      </c>
    </row>
    <row r="553" spans="2:16" x14ac:dyDescent="0.25">
      <c r="B553" s="32">
        <v>541</v>
      </c>
      <c r="C553" s="229" t="s">
        <v>2562</v>
      </c>
      <c r="D553" s="229"/>
      <c r="E553" s="229"/>
      <c r="F553" s="229"/>
      <c r="G553" s="229"/>
      <c r="H553" s="229"/>
      <c r="I553" s="229"/>
      <c r="J553" s="59" t="s">
        <v>2563</v>
      </c>
      <c r="K553" s="1">
        <v>240000000</v>
      </c>
      <c r="L553" s="2">
        <v>44543</v>
      </c>
      <c r="M553" s="32"/>
      <c r="N553" s="32"/>
      <c r="O553" s="51" t="s">
        <v>2564</v>
      </c>
      <c r="P553" s="38" t="s">
        <v>2565</v>
      </c>
    </row>
    <row r="554" spans="2:16" x14ac:dyDescent="0.25">
      <c r="B554" s="32">
        <v>542</v>
      </c>
      <c r="C554" s="229" t="s">
        <v>2566</v>
      </c>
      <c r="D554" s="229"/>
      <c r="E554" s="229"/>
      <c r="F554" s="229"/>
      <c r="G554" s="229"/>
      <c r="H554" s="229"/>
      <c r="I554" s="229"/>
      <c r="J554" s="59" t="s">
        <v>2300</v>
      </c>
      <c r="K554" s="1">
        <v>2500000</v>
      </c>
      <c r="L554" s="2">
        <v>44544</v>
      </c>
      <c r="M554" s="32"/>
      <c r="N554" s="32" t="s">
        <v>2301</v>
      </c>
      <c r="O554" s="51" t="s">
        <v>2302</v>
      </c>
      <c r="P554" s="38" t="s">
        <v>2303</v>
      </c>
    </row>
    <row r="555" spans="2:16" x14ac:dyDescent="0.25">
      <c r="B555" s="32">
        <v>543</v>
      </c>
      <c r="C555" s="229" t="s">
        <v>2567</v>
      </c>
      <c r="D555" s="229"/>
      <c r="E555" s="229"/>
      <c r="F555" s="229"/>
      <c r="G555" s="229"/>
      <c r="H555" s="229"/>
      <c r="I555" s="229"/>
      <c r="J555" s="59" t="s">
        <v>1553</v>
      </c>
      <c r="K555" s="1">
        <v>600000</v>
      </c>
      <c r="L555" s="2">
        <v>44545</v>
      </c>
      <c r="M555" s="32" t="s">
        <v>3923</v>
      </c>
      <c r="N555" s="32">
        <v>3022295772</v>
      </c>
      <c r="O555" s="51" t="s">
        <v>1554</v>
      </c>
      <c r="P555" s="52" t="s">
        <v>1555</v>
      </c>
    </row>
    <row r="556" spans="2:16" x14ac:dyDescent="0.25">
      <c r="B556" s="32">
        <v>544</v>
      </c>
      <c r="C556" s="263" t="s">
        <v>5869</v>
      </c>
      <c r="D556" s="229"/>
      <c r="E556" s="229"/>
      <c r="F556" s="229"/>
      <c r="G556" s="229"/>
      <c r="H556" s="229"/>
      <c r="I556" s="229"/>
      <c r="J556" s="59" t="s">
        <v>702</v>
      </c>
      <c r="K556" s="1">
        <v>12500000</v>
      </c>
      <c r="L556" s="2">
        <v>44545</v>
      </c>
      <c r="M556" s="32" t="s">
        <v>3923</v>
      </c>
      <c r="N556" s="32" t="s">
        <v>2036</v>
      </c>
      <c r="O556" s="51" t="s">
        <v>2037</v>
      </c>
      <c r="P556" s="38" t="s">
        <v>2038</v>
      </c>
    </row>
    <row r="557" spans="2:16" x14ac:dyDescent="0.25">
      <c r="B557" s="32">
        <v>545</v>
      </c>
      <c r="C557" s="229" t="s">
        <v>2568</v>
      </c>
      <c r="D557" s="229"/>
      <c r="E557" s="229"/>
      <c r="F557" s="229"/>
      <c r="G557" s="229"/>
      <c r="H557" s="229"/>
      <c r="I557" s="229"/>
      <c r="J557" s="59" t="s">
        <v>831</v>
      </c>
      <c r="K557" s="1"/>
      <c r="L557" s="2">
        <v>44545</v>
      </c>
      <c r="M557" s="32"/>
      <c r="N557" s="32" t="s">
        <v>1751</v>
      </c>
      <c r="O557" s="51" t="s">
        <v>1752</v>
      </c>
      <c r="P557" s="52" t="s">
        <v>1753</v>
      </c>
    </row>
    <row r="558" spans="2:16" x14ac:dyDescent="0.25">
      <c r="B558" s="32">
        <v>546</v>
      </c>
      <c r="C558" s="229" t="s">
        <v>2569</v>
      </c>
      <c r="D558" s="229"/>
      <c r="E558" s="229"/>
      <c r="F558" s="229"/>
      <c r="G558" s="229"/>
      <c r="H558" s="229"/>
      <c r="I558" s="229"/>
      <c r="J558" s="59" t="s">
        <v>831</v>
      </c>
      <c r="K558" s="1"/>
      <c r="L558" s="2">
        <v>44545</v>
      </c>
      <c r="M558" s="32"/>
      <c r="N558" s="32" t="s">
        <v>1751</v>
      </c>
      <c r="O558" s="51" t="s">
        <v>1752</v>
      </c>
      <c r="P558" s="52" t="s">
        <v>1753</v>
      </c>
    </row>
    <row r="559" spans="2:16" x14ac:dyDescent="0.25">
      <c r="B559" s="32">
        <v>547</v>
      </c>
      <c r="C559" s="263" t="s">
        <v>5870</v>
      </c>
      <c r="D559" s="229"/>
      <c r="E559" s="229"/>
      <c r="F559" s="229"/>
      <c r="G559" s="229"/>
      <c r="H559" s="229"/>
      <c r="I559" s="229"/>
      <c r="J559" s="59" t="s">
        <v>2570</v>
      </c>
      <c r="K559" s="1">
        <v>21950000</v>
      </c>
      <c r="L559" s="2">
        <v>44545</v>
      </c>
      <c r="M559" s="32"/>
      <c r="N559" s="32">
        <v>3126799421</v>
      </c>
      <c r="O559" s="51" t="s">
        <v>2571</v>
      </c>
      <c r="P559" s="38" t="s">
        <v>2572</v>
      </c>
    </row>
    <row r="560" spans="2:16" x14ac:dyDescent="0.25">
      <c r="B560" s="32">
        <v>548</v>
      </c>
      <c r="C560" s="229" t="s">
        <v>2573</v>
      </c>
      <c r="D560" s="229"/>
      <c r="E560" s="229"/>
      <c r="F560" s="229"/>
      <c r="G560" s="229"/>
      <c r="H560" s="229"/>
      <c r="I560" s="229"/>
      <c r="J560" s="59" t="s">
        <v>2347</v>
      </c>
      <c r="K560" s="1"/>
      <c r="L560" s="2">
        <v>44545</v>
      </c>
      <c r="M560" s="32"/>
      <c r="N560" s="32">
        <v>3015421412</v>
      </c>
      <c r="O560" s="51" t="s">
        <v>745</v>
      </c>
      <c r="P560" s="38" t="s">
        <v>1012</v>
      </c>
    </row>
    <row r="561" spans="2:16" x14ac:dyDescent="0.25">
      <c r="B561" s="32">
        <v>549</v>
      </c>
      <c r="C561" s="229" t="s">
        <v>2574</v>
      </c>
      <c r="D561" s="229"/>
      <c r="E561" s="229"/>
      <c r="F561" s="229"/>
      <c r="G561" s="229"/>
      <c r="H561" s="229"/>
      <c r="I561" s="229"/>
      <c r="J561" s="59" t="s">
        <v>2200</v>
      </c>
      <c r="K561" s="1">
        <v>2500000</v>
      </c>
      <c r="L561" s="2">
        <v>44545</v>
      </c>
      <c r="M561" s="32"/>
      <c r="N561" s="32" t="s">
        <v>2575</v>
      </c>
      <c r="O561" s="51" t="s">
        <v>2576</v>
      </c>
      <c r="P561" s="38" t="s">
        <v>2557</v>
      </c>
    </row>
    <row r="562" spans="2:16" x14ac:dyDescent="0.25">
      <c r="B562" s="32">
        <v>550</v>
      </c>
      <c r="C562" s="229" t="s">
        <v>2577</v>
      </c>
      <c r="D562" s="229"/>
      <c r="E562" s="229"/>
      <c r="F562" s="229"/>
      <c r="G562" s="229"/>
      <c r="H562" s="229"/>
      <c r="I562" s="229"/>
      <c r="J562" s="59" t="s">
        <v>2144</v>
      </c>
      <c r="K562" s="1"/>
      <c r="L562" s="2">
        <v>44551</v>
      </c>
      <c r="M562" s="32"/>
      <c r="N562" s="32" t="s">
        <v>2578</v>
      </c>
      <c r="O562" s="51" t="s">
        <v>2579</v>
      </c>
      <c r="P562" s="38" t="s">
        <v>2580</v>
      </c>
    </row>
    <row r="563" spans="2:16" x14ac:dyDescent="0.25">
      <c r="B563" s="32">
        <v>551</v>
      </c>
      <c r="C563" s="230" t="s">
        <v>2581</v>
      </c>
      <c r="D563" s="231"/>
      <c r="E563" s="231"/>
      <c r="F563" s="231"/>
      <c r="G563" s="231"/>
      <c r="H563" s="231"/>
      <c r="I563" s="232"/>
      <c r="J563" s="59" t="s">
        <v>702</v>
      </c>
      <c r="K563" s="73">
        <v>14990000</v>
      </c>
      <c r="L563" s="2">
        <v>44552</v>
      </c>
      <c r="M563" s="32" t="s">
        <v>3923</v>
      </c>
      <c r="N563" s="32">
        <v>3104680508</v>
      </c>
      <c r="O563" s="51" t="s">
        <v>212</v>
      </c>
      <c r="P563" s="38" t="s">
        <v>703</v>
      </c>
    </row>
    <row r="564" spans="2:16" ht="15" customHeight="1" x14ac:dyDescent="0.25">
      <c r="B564" s="32">
        <v>552</v>
      </c>
    </row>
    <row r="565" spans="2:16" x14ac:dyDescent="0.25">
      <c r="B565" s="32">
        <v>553</v>
      </c>
      <c r="C565" s="229"/>
      <c r="D565" s="229"/>
      <c r="E565" s="229"/>
      <c r="F565" s="229"/>
      <c r="G565" s="229"/>
      <c r="H565" s="229"/>
      <c r="I565" s="229"/>
      <c r="J565" s="59"/>
      <c r="K565" s="1"/>
      <c r="L565" s="32"/>
      <c r="M565" s="32"/>
      <c r="N565" s="32"/>
      <c r="O565" s="51"/>
      <c r="P565" s="51"/>
    </row>
    <row r="566" spans="2:16" x14ac:dyDescent="0.25">
      <c r="B566" s="32">
        <v>554</v>
      </c>
      <c r="C566" s="229"/>
      <c r="D566" s="229"/>
      <c r="E566" s="229"/>
      <c r="F566" s="229"/>
      <c r="G566" s="229"/>
      <c r="H566" s="229"/>
      <c r="I566" s="229"/>
      <c r="J566" s="59"/>
      <c r="K566" s="1"/>
      <c r="L566" s="32"/>
      <c r="M566" s="32"/>
      <c r="N566" s="32"/>
      <c r="O566" s="51"/>
      <c r="P566" s="51"/>
    </row>
    <row r="567" spans="2:16" x14ac:dyDescent="0.25">
      <c r="B567" s="32">
        <v>555</v>
      </c>
      <c r="C567" s="229"/>
      <c r="D567" s="229"/>
      <c r="E567" s="229"/>
      <c r="F567" s="229"/>
      <c r="G567" s="229"/>
      <c r="H567" s="229"/>
      <c r="I567" s="229"/>
      <c r="J567" s="59"/>
      <c r="K567" s="1"/>
      <c r="L567" s="32"/>
      <c r="M567" s="32"/>
      <c r="N567" s="32"/>
      <c r="O567" s="51"/>
      <c r="P567" s="51"/>
    </row>
    <row r="568" spans="2:16" x14ac:dyDescent="0.25">
      <c r="B568" s="32">
        <v>556</v>
      </c>
      <c r="C568" s="229"/>
      <c r="D568" s="229"/>
      <c r="E568" s="229"/>
      <c r="F568" s="229"/>
      <c r="G568" s="229"/>
      <c r="H568" s="229"/>
      <c r="I568" s="229"/>
      <c r="J568" s="59"/>
      <c r="K568" s="1"/>
      <c r="L568" s="32"/>
      <c r="M568" s="32"/>
      <c r="N568" s="32"/>
      <c r="O568" s="51"/>
      <c r="P568" s="51"/>
    </row>
    <row r="569" spans="2:16" x14ac:dyDescent="0.25">
      <c r="B569" s="32">
        <v>557</v>
      </c>
      <c r="C569" s="229"/>
      <c r="D569" s="229"/>
      <c r="E569" s="229"/>
      <c r="F569" s="229"/>
      <c r="G569" s="229"/>
      <c r="H569" s="229"/>
      <c r="I569" s="229"/>
      <c r="J569" s="59"/>
      <c r="K569" s="1"/>
      <c r="L569" s="32"/>
      <c r="M569" s="32"/>
      <c r="N569" s="32"/>
      <c r="O569" s="51"/>
      <c r="P569" s="51"/>
    </row>
    <row r="570" spans="2:16" x14ac:dyDescent="0.25">
      <c r="B570" s="32">
        <v>558</v>
      </c>
      <c r="C570" s="229"/>
      <c r="D570" s="229"/>
      <c r="E570" s="229"/>
      <c r="F570" s="229"/>
      <c r="G570" s="229"/>
      <c r="H570" s="229"/>
      <c r="I570" s="229"/>
      <c r="J570" s="59"/>
      <c r="K570" s="1"/>
      <c r="L570" s="32"/>
      <c r="M570" s="32"/>
      <c r="N570" s="32"/>
      <c r="O570" s="51"/>
      <c r="P570" s="51"/>
    </row>
    <row r="571" spans="2:16" x14ac:dyDescent="0.25">
      <c r="B571" s="32">
        <v>559</v>
      </c>
      <c r="C571" s="229"/>
      <c r="D571" s="229"/>
      <c r="E571" s="229"/>
      <c r="F571" s="229"/>
      <c r="G571" s="229"/>
      <c r="H571" s="229"/>
      <c r="I571" s="229"/>
      <c r="J571" s="59"/>
      <c r="K571" s="1"/>
      <c r="L571" s="32"/>
      <c r="M571" s="32"/>
      <c r="N571" s="32"/>
      <c r="O571" s="51"/>
      <c r="P571" s="51"/>
    </row>
    <row r="572" spans="2:16" x14ac:dyDescent="0.25">
      <c r="B572" s="32">
        <v>560</v>
      </c>
      <c r="C572" s="229"/>
      <c r="D572" s="229"/>
      <c r="E572" s="229"/>
      <c r="F572" s="229"/>
      <c r="G572" s="229"/>
      <c r="H572" s="229"/>
      <c r="I572" s="229"/>
      <c r="J572" s="59"/>
      <c r="K572" s="1"/>
      <c r="L572" s="32"/>
      <c r="M572" s="32"/>
      <c r="N572" s="32"/>
      <c r="O572" s="51"/>
      <c r="P572" s="51"/>
    </row>
    <row r="573" spans="2:16" x14ac:dyDescent="0.25">
      <c r="B573" s="32"/>
      <c r="C573" s="229"/>
      <c r="D573" s="229"/>
      <c r="E573" s="229"/>
      <c r="F573" s="229"/>
      <c r="G573" s="229"/>
      <c r="H573" s="229"/>
      <c r="I573" s="229"/>
      <c r="J573" s="59"/>
      <c r="K573" s="1"/>
      <c r="L573" s="32"/>
      <c r="M573" s="32"/>
      <c r="N573" s="32"/>
      <c r="O573" s="51"/>
      <c r="P573" s="51"/>
    </row>
    <row r="574" spans="2:16" x14ac:dyDescent="0.25">
      <c r="B574" s="32"/>
      <c r="C574" s="229"/>
      <c r="D574" s="229"/>
      <c r="E574" s="229"/>
      <c r="F574" s="229"/>
      <c r="G574" s="229"/>
      <c r="H574" s="229"/>
      <c r="I574" s="229"/>
      <c r="J574" s="59"/>
      <c r="K574" s="1"/>
      <c r="L574" s="32"/>
      <c r="M574" s="32"/>
      <c r="N574" s="32"/>
      <c r="O574" s="51"/>
      <c r="P574" s="51"/>
    </row>
    <row r="575" spans="2:16" x14ac:dyDescent="0.25">
      <c r="B575" s="32"/>
      <c r="C575" s="229"/>
      <c r="D575" s="229"/>
      <c r="E575" s="229"/>
      <c r="F575" s="229"/>
      <c r="G575" s="229"/>
      <c r="H575" s="229"/>
      <c r="I575" s="229"/>
      <c r="J575" s="59"/>
      <c r="K575" s="1"/>
      <c r="L575" s="32"/>
      <c r="M575" s="32"/>
      <c r="N575" s="32"/>
      <c r="O575" s="51"/>
      <c r="P575" s="51"/>
    </row>
    <row r="576" spans="2:16" x14ac:dyDescent="0.25">
      <c r="B576" s="32"/>
      <c r="C576" s="229"/>
      <c r="D576" s="229"/>
      <c r="E576" s="229"/>
      <c r="F576" s="229"/>
      <c r="G576" s="229"/>
      <c r="H576" s="229"/>
      <c r="I576" s="229"/>
      <c r="J576" s="59"/>
      <c r="K576" s="1"/>
      <c r="L576" s="32"/>
      <c r="M576" s="32"/>
      <c r="N576" s="32"/>
      <c r="O576" s="51"/>
      <c r="P576" s="51"/>
    </row>
    <row r="577" spans="2:16" x14ac:dyDescent="0.25">
      <c r="B577" s="32"/>
      <c r="C577" s="229"/>
      <c r="D577" s="229"/>
      <c r="E577" s="229"/>
      <c r="F577" s="229"/>
      <c r="G577" s="229"/>
      <c r="H577" s="229"/>
      <c r="I577" s="229"/>
      <c r="J577" s="59"/>
      <c r="K577" s="1"/>
      <c r="L577" s="32"/>
      <c r="M577" s="32"/>
      <c r="N577" s="32"/>
      <c r="O577" s="51"/>
      <c r="P577" s="51"/>
    </row>
    <row r="578" spans="2:16" x14ac:dyDescent="0.25">
      <c r="B578" s="32"/>
      <c r="C578" s="229"/>
      <c r="D578" s="229"/>
      <c r="E578" s="229"/>
      <c r="F578" s="229"/>
      <c r="G578" s="229"/>
      <c r="H578" s="229"/>
      <c r="I578" s="229"/>
      <c r="J578" s="59"/>
      <c r="K578" s="1"/>
      <c r="L578" s="32"/>
      <c r="M578" s="32"/>
      <c r="N578" s="32"/>
      <c r="O578" s="51"/>
      <c r="P578" s="51"/>
    </row>
    <row r="579" spans="2:16" x14ac:dyDescent="0.25">
      <c r="B579" s="32"/>
      <c r="C579" s="229"/>
      <c r="D579" s="229"/>
      <c r="E579" s="229"/>
      <c r="F579" s="229"/>
      <c r="G579" s="229"/>
      <c r="H579" s="229"/>
      <c r="I579" s="229"/>
      <c r="J579" s="59"/>
      <c r="K579" s="1"/>
      <c r="L579" s="32"/>
      <c r="M579" s="32"/>
      <c r="N579" s="32"/>
      <c r="O579" s="51"/>
      <c r="P579" s="51"/>
    </row>
    <row r="580" spans="2:16" x14ac:dyDescent="0.25">
      <c r="B580" s="32"/>
      <c r="C580" s="229"/>
      <c r="D580" s="229"/>
      <c r="E580" s="229"/>
      <c r="F580" s="229"/>
      <c r="G580" s="229"/>
      <c r="H580" s="229"/>
      <c r="I580" s="229"/>
      <c r="J580" s="59"/>
      <c r="K580" s="1"/>
      <c r="L580" s="32"/>
      <c r="M580" s="32"/>
      <c r="N580" s="32"/>
      <c r="O580" s="51"/>
      <c r="P580" s="51"/>
    </row>
    <row r="581" spans="2:16" x14ac:dyDescent="0.25">
      <c r="B581" s="32"/>
      <c r="C581" s="229"/>
      <c r="D581" s="229"/>
      <c r="E581" s="229"/>
      <c r="F581" s="229"/>
      <c r="G581" s="229"/>
      <c r="H581" s="229"/>
      <c r="I581" s="229"/>
      <c r="J581" s="59"/>
      <c r="K581" s="1"/>
      <c r="L581" s="32"/>
      <c r="M581" s="32"/>
      <c r="N581" s="32"/>
      <c r="O581" s="51"/>
      <c r="P581" s="51"/>
    </row>
    <row r="582" spans="2:16" x14ac:dyDescent="0.25">
      <c r="B582" s="32"/>
      <c r="C582" s="229"/>
      <c r="D582" s="229"/>
      <c r="E582" s="229"/>
      <c r="F582" s="229"/>
      <c r="G582" s="229"/>
      <c r="H582" s="229"/>
      <c r="I582" s="229"/>
      <c r="J582" s="59"/>
      <c r="K582" s="1"/>
      <c r="L582" s="32"/>
      <c r="M582" s="32"/>
      <c r="N582" s="32"/>
      <c r="O582" s="51"/>
      <c r="P582" s="51"/>
    </row>
    <row r="583" spans="2:16" x14ac:dyDescent="0.25">
      <c r="B583" s="32"/>
      <c r="C583" s="229"/>
      <c r="D583" s="229"/>
      <c r="E583" s="229"/>
      <c r="F583" s="229"/>
      <c r="G583" s="229"/>
      <c r="H583" s="229"/>
      <c r="I583" s="229"/>
      <c r="J583" s="59"/>
      <c r="K583" s="1"/>
      <c r="L583" s="32"/>
      <c r="M583" s="32"/>
      <c r="N583" s="32"/>
      <c r="O583" s="51"/>
      <c r="P583" s="51"/>
    </row>
    <row r="584" spans="2:16" x14ac:dyDescent="0.25">
      <c r="B584" s="32"/>
      <c r="C584" s="229"/>
      <c r="D584" s="229"/>
      <c r="E584" s="229"/>
      <c r="F584" s="229"/>
      <c r="G584" s="229"/>
      <c r="H584" s="229"/>
      <c r="I584" s="229"/>
      <c r="J584" s="59"/>
      <c r="K584" s="1"/>
      <c r="L584" s="32"/>
      <c r="M584" s="32"/>
      <c r="N584" s="32"/>
      <c r="O584" s="51"/>
      <c r="P584" s="51"/>
    </row>
    <row r="585" spans="2:16" x14ac:dyDescent="0.25">
      <c r="B585" s="32"/>
      <c r="C585" s="229"/>
      <c r="D585" s="229"/>
      <c r="E585" s="229"/>
      <c r="F585" s="229"/>
      <c r="G585" s="229"/>
      <c r="H585" s="229"/>
      <c r="I585" s="229"/>
      <c r="J585" s="59"/>
      <c r="K585" s="1"/>
      <c r="L585" s="32"/>
      <c r="M585" s="32"/>
      <c r="N585" s="32"/>
      <c r="O585" s="51"/>
      <c r="P585" s="51"/>
    </row>
    <row r="586" spans="2:16" x14ac:dyDescent="0.25">
      <c r="B586" s="32"/>
      <c r="C586" s="229"/>
      <c r="D586" s="229"/>
      <c r="E586" s="229"/>
      <c r="F586" s="229"/>
      <c r="G586" s="229"/>
      <c r="H586" s="229"/>
      <c r="I586" s="229"/>
      <c r="J586" s="59"/>
      <c r="K586" s="1"/>
      <c r="L586" s="32"/>
      <c r="M586" s="32"/>
      <c r="N586" s="32"/>
      <c r="O586" s="51"/>
      <c r="P586" s="51"/>
    </row>
    <row r="587" spans="2:16" x14ac:dyDescent="0.25">
      <c r="B587" s="32"/>
      <c r="C587" s="229"/>
      <c r="D587" s="229"/>
      <c r="E587" s="229"/>
      <c r="F587" s="229"/>
      <c r="G587" s="229"/>
      <c r="H587" s="229"/>
      <c r="I587" s="229"/>
      <c r="J587" s="59"/>
      <c r="K587" s="1"/>
      <c r="L587" s="32"/>
      <c r="M587" s="32"/>
      <c r="N587" s="32"/>
      <c r="O587" s="51"/>
      <c r="P587" s="51"/>
    </row>
    <row r="588" spans="2:16" x14ac:dyDescent="0.25">
      <c r="B588" s="32"/>
      <c r="C588" s="229"/>
      <c r="D588" s="229"/>
      <c r="E588" s="229"/>
      <c r="F588" s="229"/>
      <c r="G588" s="229"/>
      <c r="H588" s="229"/>
      <c r="I588" s="229"/>
      <c r="J588" s="59"/>
      <c r="K588" s="1"/>
      <c r="L588" s="32"/>
      <c r="M588" s="32"/>
      <c r="N588" s="32"/>
      <c r="O588" s="51"/>
      <c r="P588" s="51"/>
    </row>
    <row r="589" spans="2:16" x14ac:dyDescent="0.25">
      <c r="B589" s="32"/>
      <c r="C589" s="229"/>
      <c r="D589" s="229"/>
      <c r="E589" s="229"/>
      <c r="F589" s="229"/>
      <c r="G589" s="229"/>
      <c r="H589" s="229"/>
      <c r="I589" s="229"/>
      <c r="J589" s="59"/>
      <c r="K589" s="1"/>
      <c r="L589" s="32"/>
      <c r="M589" s="32"/>
      <c r="N589" s="32"/>
      <c r="O589" s="51"/>
      <c r="P589" s="51"/>
    </row>
    <row r="590" spans="2:16" x14ac:dyDescent="0.25">
      <c r="B590" s="32"/>
      <c r="C590" s="229"/>
      <c r="D590" s="229"/>
      <c r="E590" s="229"/>
      <c r="F590" s="229"/>
      <c r="G590" s="229"/>
      <c r="H590" s="229"/>
      <c r="I590" s="229"/>
      <c r="J590" s="59"/>
      <c r="K590" s="1"/>
      <c r="L590" s="32"/>
      <c r="M590" s="32"/>
      <c r="N590" s="32"/>
      <c r="O590" s="51"/>
      <c r="P590" s="51"/>
    </row>
    <row r="591" spans="2:16" x14ac:dyDescent="0.25">
      <c r="B591" s="32"/>
      <c r="C591" s="229"/>
      <c r="D591" s="229"/>
      <c r="E591" s="229"/>
      <c r="F591" s="229"/>
      <c r="G591" s="229"/>
      <c r="H591" s="229"/>
      <c r="I591" s="229"/>
      <c r="J591" s="59"/>
      <c r="K591" s="1"/>
      <c r="L591" s="32"/>
      <c r="M591" s="32"/>
      <c r="N591" s="32"/>
      <c r="O591" s="51"/>
      <c r="P591" s="51"/>
    </row>
    <row r="592" spans="2:16" x14ac:dyDescent="0.25">
      <c r="B592" s="32"/>
      <c r="C592" s="229"/>
      <c r="D592" s="229"/>
      <c r="E592" s="229"/>
      <c r="F592" s="229"/>
      <c r="G592" s="229"/>
      <c r="H592" s="229"/>
      <c r="I592" s="229"/>
      <c r="J592" s="59"/>
      <c r="K592" s="1"/>
      <c r="L592" s="32"/>
      <c r="M592" s="32"/>
      <c r="N592" s="32"/>
      <c r="O592" s="51"/>
      <c r="P592" s="51"/>
    </row>
    <row r="593" spans="2:16" x14ac:dyDescent="0.25">
      <c r="B593" s="32"/>
      <c r="C593" s="229"/>
      <c r="D593" s="229"/>
      <c r="E593" s="229"/>
      <c r="F593" s="229"/>
      <c r="G593" s="229"/>
      <c r="H593" s="229"/>
      <c r="I593" s="229"/>
      <c r="J593" s="59"/>
      <c r="K593" s="1"/>
      <c r="L593" s="32"/>
      <c r="M593" s="32"/>
      <c r="N593" s="32"/>
      <c r="O593" s="51"/>
      <c r="P593" s="51"/>
    </row>
    <row r="594" spans="2:16" x14ac:dyDescent="0.25">
      <c r="B594" s="32"/>
      <c r="C594" s="229"/>
      <c r="D594" s="229"/>
      <c r="E594" s="229"/>
      <c r="F594" s="229"/>
      <c r="G594" s="229"/>
      <c r="H594" s="229"/>
      <c r="I594" s="229"/>
      <c r="J594" s="59"/>
      <c r="K594" s="1"/>
      <c r="L594" s="32"/>
      <c r="M594" s="32"/>
      <c r="N594" s="32"/>
      <c r="O594" s="51"/>
      <c r="P594" s="51"/>
    </row>
    <row r="595" spans="2:16" x14ac:dyDescent="0.25">
      <c r="B595" s="32"/>
      <c r="C595" s="229"/>
      <c r="D595" s="229"/>
      <c r="E595" s="229"/>
      <c r="F595" s="229"/>
      <c r="G595" s="229"/>
      <c r="H595" s="229"/>
      <c r="I595" s="229"/>
      <c r="J595" s="59"/>
      <c r="K595" s="1"/>
      <c r="L595" s="32"/>
      <c r="M595" s="32"/>
      <c r="N595" s="32"/>
      <c r="O595" s="51"/>
      <c r="P595" s="51"/>
    </row>
    <row r="596" spans="2:16" x14ac:dyDescent="0.25">
      <c r="B596" s="32"/>
      <c r="C596" s="229"/>
      <c r="D596" s="229"/>
      <c r="E596" s="229"/>
      <c r="F596" s="229"/>
      <c r="G596" s="229"/>
      <c r="H596" s="229"/>
      <c r="I596" s="229"/>
      <c r="J596" s="59"/>
      <c r="K596" s="1"/>
      <c r="L596" s="32"/>
      <c r="M596" s="32"/>
      <c r="N596" s="32"/>
      <c r="O596" s="51"/>
      <c r="P596" s="51"/>
    </row>
    <row r="597" spans="2:16" x14ac:dyDescent="0.25">
      <c r="B597" s="32"/>
      <c r="C597" s="229"/>
      <c r="D597" s="229"/>
      <c r="E597" s="229"/>
      <c r="F597" s="229"/>
      <c r="G597" s="229"/>
      <c r="H597" s="229"/>
      <c r="I597" s="229"/>
      <c r="J597" s="59"/>
      <c r="K597" s="1"/>
      <c r="L597" s="32"/>
      <c r="M597" s="32"/>
      <c r="N597" s="32"/>
      <c r="O597" s="51"/>
      <c r="P597" s="51"/>
    </row>
    <row r="598" spans="2:16" x14ac:dyDescent="0.25">
      <c r="B598" s="32"/>
      <c r="C598" s="229"/>
      <c r="D598" s="229"/>
      <c r="E598" s="229"/>
      <c r="F598" s="229"/>
      <c r="G598" s="229"/>
      <c r="H598" s="229"/>
      <c r="I598" s="229"/>
      <c r="J598" s="59"/>
      <c r="K598" s="1"/>
      <c r="L598" s="32"/>
      <c r="M598" s="32"/>
      <c r="N598" s="32"/>
      <c r="O598" s="51"/>
      <c r="P598" s="51"/>
    </row>
    <row r="599" spans="2:16" x14ac:dyDescent="0.25">
      <c r="B599" s="32"/>
      <c r="C599" s="229"/>
      <c r="D599" s="229"/>
      <c r="E599" s="229"/>
      <c r="F599" s="229"/>
      <c r="G599" s="229"/>
      <c r="H599" s="229"/>
      <c r="I599" s="229"/>
      <c r="J599" s="59"/>
      <c r="K599" s="1"/>
      <c r="L599" s="32"/>
      <c r="M599" s="32"/>
      <c r="N599" s="32"/>
      <c r="O599" s="51"/>
      <c r="P599" s="51"/>
    </row>
    <row r="600" spans="2:16" x14ac:dyDescent="0.25">
      <c r="B600" s="32"/>
      <c r="C600" s="229"/>
      <c r="D600" s="229"/>
      <c r="E600" s="229"/>
      <c r="F600" s="229"/>
      <c r="G600" s="229"/>
      <c r="H600" s="229"/>
      <c r="I600" s="229"/>
      <c r="J600" s="59"/>
      <c r="K600" s="1"/>
      <c r="L600" s="32"/>
      <c r="M600" s="32"/>
      <c r="N600" s="32"/>
      <c r="O600" s="51"/>
      <c r="P600" s="51"/>
    </row>
    <row r="601" spans="2:16" x14ac:dyDescent="0.25">
      <c r="B601" s="32"/>
      <c r="C601" s="229"/>
      <c r="D601" s="229"/>
      <c r="E601" s="229"/>
      <c r="F601" s="229"/>
      <c r="G601" s="229"/>
      <c r="H601" s="229"/>
      <c r="I601" s="229"/>
      <c r="J601" s="59"/>
      <c r="K601" s="1"/>
      <c r="L601" s="32"/>
      <c r="M601" s="32"/>
      <c r="N601" s="32"/>
      <c r="O601" s="51"/>
      <c r="P601" s="51"/>
    </row>
    <row r="602" spans="2:16" x14ac:dyDescent="0.25">
      <c r="B602" s="32"/>
      <c r="C602" s="229"/>
      <c r="D602" s="229"/>
      <c r="E602" s="229"/>
      <c r="F602" s="229"/>
      <c r="G602" s="229"/>
      <c r="H602" s="229"/>
      <c r="I602" s="229"/>
      <c r="J602" s="59"/>
      <c r="K602" s="1"/>
      <c r="L602" s="32"/>
      <c r="M602" s="32"/>
      <c r="N602" s="32"/>
      <c r="O602" s="51"/>
      <c r="P602" s="51"/>
    </row>
    <row r="603" spans="2:16" x14ac:dyDescent="0.25">
      <c r="B603" s="32"/>
      <c r="C603" s="229"/>
      <c r="D603" s="229"/>
      <c r="E603" s="229"/>
      <c r="F603" s="229"/>
      <c r="G603" s="229"/>
      <c r="H603" s="229"/>
      <c r="I603" s="229"/>
      <c r="J603" s="59"/>
      <c r="K603" s="1"/>
      <c r="L603" s="32"/>
      <c r="M603" s="32"/>
      <c r="N603" s="32"/>
      <c r="O603" s="51"/>
      <c r="P603" s="51"/>
    </row>
    <row r="604" spans="2:16" x14ac:dyDescent="0.25">
      <c r="B604" s="32"/>
      <c r="C604" s="229"/>
      <c r="D604" s="229"/>
      <c r="E604" s="229"/>
      <c r="F604" s="229"/>
      <c r="G604" s="229"/>
      <c r="H604" s="229"/>
      <c r="I604" s="229"/>
      <c r="J604" s="59"/>
      <c r="K604" s="1"/>
      <c r="L604" s="32"/>
      <c r="M604" s="32"/>
      <c r="N604" s="32"/>
      <c r="O604" s="51"/>
      <c r="P604" s="51"/>
    </row>
    <row r="605" spans="2:16" x14ac:dyDescent="0.25">
      <c r="B605" s="32"/>
      <c r="C605" s="229"/>
      <c r="D605" s="229"/>
      <c r="E605" s="229"/>
      <c r="F605" s="229"/>
      <c r="G605" s="229"/>
      <c r="H605" s="229"/>
      <c r="I605" s="229"/>
      <c r="J605" s="59"/>
      <c r="K605" s="1"/>
      <c r="L605" s="32"/>
      <c r="M605" s="32"/>
      <c r="N605" s="32"/>
      <c r="O605" s="51"/>
      <c r="P605" s="51"/>
    </row>
    <row r="606" spans="2:16" x14ac:dyDescent="0.25">
      <c r="B606" s="32"/>
      <c r="C606" s="229"/>
      <c r="D606" s="229"/>
      <c r="E606" s="229"/>
      <c r="F606" s="229"/>
      <c r="G606" s="229"/>
      <c r="H606" s="229"/>
      <c r="I606" s="229"/>
      <c r="J606" s="59"/>
      <c r="K606" s="1"/>
      <c r="L606" s="32"/>
      <c r="M606" s="32"/>
      <c r="N606" s="32"/>
      <c r="O606" s="51"/>
      <c r="P606" s="51"/>
    </row>
    <row r="607" spans="2:16" x14ac:dyDescent="0.25">
      <c r="B607" s="32"/>
      <c r="C607" s="229"/>
      <c r="D607" s="229"/>
      <c r="E607" s="229"/>
      <c r="F607" s="229"/>
      <c r="G607" s="229"/>
      <c r="H607" s="229"/>
      <c r="I607" s="229"/>
      <c r="J607" s="59"/>
      <c r="K607" s="1"/>
      <c r="L607" s="32"/>
      <c r="M607" s="32"/>
      <c r="N607" s="32"/>
      <c r="O607" s="51"/>
      <c r="P607" s="51"/>
    </row>
    <row r="608" spans="2:16" x14ac:dyDescent="0.25">
      <c r="B608" s="32"/>
      <c r="C608" s="229"/>
      <c r="D608" s="229"/>
      <c r="E608" s="229"/>
      <c r="F608" s="229"/>
      <c r="G608" s="229"/>
      <c r="H608" s="229"/>
      <c r="I608" s="229"/>
      <c r="J608" s="59"/>
      <c r="K608" s="1"/>
      <c r="L608" s="32"/>
      <c r="M608" s="32"/>
      <c r="N608" s="32"/>
      <c r="O608" s="51"/>
      <c r="P608" s="51"/>
    </row>
    <row r="609" spans="2:16" x14ac:dyDescent="0.25">
      <c r="B609" s="32"/>
      <c r="C609" s="229"/>
      <c r="D609" s="229"/>
      <c r="E609" s="229"/>
      <c r="F609" s="229"/>
      <c r="G609" s="229"/>
      <c r="H609" s="229"/>
      <c r="I609" s="229"/>
      <c r="J609" s="59"/>
      <c r="K609" s="1"/>
      <c r="L609" s="32"/>
      <c r="M609" s="32"/>
      <c r="N609" s="32"/>
      <c r="O609" s="51"/>
      <c r="P609" s="51"/>
    </row>
    <row r="610" spans="2:16" x14ac:dyDescent="0.25">
      <c r="B610" s="32"/>
      <c r="C610" s="229"/>
      <c r="D610" s="229"/>
      <c r="E610" s="229"/>
      <c r="F610" s="229"/>
      <c r="G610" s="229"/>
      <c r="H610" s="229"/>
      <c r="I610" s="229"/>
      <c r="J610" s="59"/>
      <c r="K610" s="1"/>
      <c r="L610" s="32"/>
      <c r="M610" s="32"/>
      <c r="N610" s="32"/>
      <c r="O610" s="51"/>
      <c r="P610" s="51"/>
    </row>
    <row r="611" spans="2:16" x14ac:dyDescent="0.25">
      <c r="B611" s="32"/>
      <c r="C611" s="229"/>
      <c r="D611" s="229"/>
      <c r="E611" s="229"/>
      <c r="F611" s="229"/>
      <c r="G611" s="229"/>
      <c r="H611" s="229"/>
      <c r="I611" s="229"/>
      <c r="J611" s="59"/>
      <c r="K611" s="1"/>
      <c r="L611" s="32"/>
      <c r="M611" s="32"/>
      <c r="N611" s="32"/>
      <c r="O611" s="51"/>
      <c r="P611" s="51"/>
    </row>
    <row r="612" spans="2:16" x14ac:dyDescent="0.25">
      <c r="B612" s="32"/>
      <c r="C612" s="229"/>
      <c r="D612" s="229"/>
      <c r="E612" s="229"/>
      <c r="F612" s="229"/>
      <c r="G612" s="229"/>
      <c r="H612" s="229"/>
      <c r="I612" s="229"/>
      <c r="J612" s="59"/>
      <c r="K612" s="1"/>
      <c r="L612" s="32"/>
      <c r="M612" s="32"/>
      <c r="N612" s="32"/>
      <c r="O612" s="51"/>
      <c r="P612" s="51"/>
    </row>
    <row r="613" spans="2:16" x14ac:dyDescent="0.25">
      <c r="B613" s="32"/>
      <c r="C613" s="229"/>
      <c r="D613" s="229"/>
      <c r="E613" s="229"/>
      <c r="F613" s="229"/>
      <c r="G613" s="229"/>
      <c r="H613" s="229"/>
      <c r="I613" s="229"/>
      <c r="J613" s="59"/>
      <c r="K613" s="1"/>
      <c r="L613" s="32"/>
      <c r="M613" s="32"/>
      <c r="N613" s="32"/>
      <c r="O613" s="51"/>
      <c r="P613" s="51"/>
    </row>
    <row r="614" spans="2:16" x14ac:dyDescent="0.25">
      <c r="B614" s="32"/>
      <c r="C614" s="229"/>
      <c r="D614" s="229"/>
      <c r="E614" s="229"/>
      <c r="F614" s="229"/>
      <c r="G614" s="229"/>
      <c r="H614" s="229"/>
      <c r="I614" s="229"/>
      <c r="J614" s="59"/>
      <c r="K614" s="1"/>
      <c r="L614" s="32"/>
      <c r="M614" s="32"/>
      <c r="N614" s="32"/>
      <c r="O614" s="51"/>
      <c r="P614" s="51"/>
    </row>
    <row r="615" spans="2:16" x14ac:dyDescent="0.25">
      <c r="B615" s="32"/>
      <c r="C615" s="229"/>
      <c r="D615" s="229"/>
      <c r="E615" s="229"/>
      <c r="F615" s="229"/>
      <c r="G615" s="229"/>
      <c r="H615" s="229"/>
      <c r="I615" s="229"/>
      <c r="J615" s="59"/>
      <c r="K615" s="1"/>
      <c r="L615" s="32"/>
      <c r="M615" s="32"/>
      <c r="N615" s="32"/>
      <c r="O615" s="51"/>
      <c r="P615" s="51"/>
    </row>
    <row r="616" spans="2:16" x14ac:dyDescent="0.25">
      <c r="B616" s="32"/>
      <c r="C616" s="229"/>
      <c r="D616" s="229"/>
      <c r="E616" s="229"/>
      <c r="F616" s="229"/>
      <c r="G616" s="229"/>
      <c r="H616" s="229"/>
      <c r="I616" s="229"/>
      <c r="J616" s="59"/>
      <c r="K616" s="1"/>
      <c r="L616" s="32"/>
      <c r="M616" s="32"/>
      <c r="N616" s="32"/>
      <c r="O616" s="51"/>
      <c r="P616" s="51"/>
    </row>
    <row r="617" spans="2:16" x14ac:dyDescent="0.25">
      <c r="B617" s="32"/>
      <c r="C617" s="229"/>
      <c r="D617" s="229"/>
      <c r="E617" s="229"/>
      <c r="F617" s="229"/>
      <c r="G617" s="229"/>
      <c r="H617" s="229"/>
      <c r="I617" s="229"/>
      <c r="J617" s="59"/>
      <c r="K617" s="1"/>
      <c r="L617" s="32"/>
      <c r="M617" s="32"/>
      <c r="N617" s="32"/>
      <c r="O617" s="51"/>
      <c r="P617" s="51"/>
    </row>
    <row r="618" spans="2:16" x14ac:dyDescent="0.25">
      <c r="B618" s="32"/>
      <c r="C618" s="229"/>
      <c r="D618" s="229"/>
      <c r="E618" s="229"/>
      <c r="F618" s="229"/>
      <c r="G618" s="229"/>
      <c r="H618" s="229"/>
      <c r="I618" s="229"/>
      <c r="J618" s="59"/>
      <c r="K618" s="1"/>
      <c r="L618" s="32"/>
      <c r="M618" s="32"/>
      <c r="N618" s="32"/>
      <c r="O618" s="51"/>
      <c r="P618" s="51"/>
    </row>
    <row r="619" spans="2:16" x14ac:dyDescent="0.25">
      <c r="B619" s="32"/>
      <c r="C619" s="229"/>
      <c r="D619" s="229"/>
      <c r="E619" s="229"/>
      <c r="F619" s="229"/>
      <c r="G619" s="229"/>
      <c r="H619" s="229"/>
      <c r="I619" s="229"/>
      <c r="J619" s="59"/>
      <c r="K619" s="1"/>
      <c r="L619" s="32"/>
      <c r="M619" s="32"/>
      <c r="N619" s="32"/>
      <c r="O619" s="51"/>
      <c r="P619" s="51"/>
    </row>
    <row r="620" spans="2:16" x14ac:dyDescent="0.25">
      <c r="B620" s="32"/>
      <c r="C620" s="229"/>
      <c r="D620" s="229"/>
      <c r="E620" s="229"/>
      <c r="F620" s="229"/>
      <c r="G620" s="229"/>
      <c r="H620" s="229"/>
      <c r="I620" s="229"/>
      <c r="J620" s="59"/>
      <c r="K620" s="1"/>
      <c r="L620" s="32"/>
      <c r="M620" s="32"/>
      <c r="N620" s="32"/>
      <c r="O620" s="51"/>
      <c r="P620" s="51"/>
    </row>
    <row r="621" spans="2:16" x14ac:dyDescent="0.25">
      <c r="B621" s="32"/>
      <c r="C621" s="229"/>
      <c r="D621" s="229"/>
      <c r="E621" s="229"/>
      <c r="F621" s="229"/>
      <c r="G621" s="229"/>
      <c r="H621" s="229"/>
      <c r="I621" s="229"/>
      <c r="J621" s="59"/>
      <c r="K621" s="1"/>
      <c r="L621" s="32"/>
      <c r="M621" s="32"/>
      <c r="N621" s="32"/>
      <c r="O621" s="51"/>
      <c r="P621" s="51"/>
    </row>
    <row r="622" spans="2:16" x14ac:dyDescent="0.25">
      <c r="B622" s="32"/>
      <c r="C622" s="229"/>
      <c r="D622" s="229"/>
      <c r="E622" s="229"/>
      <c r="F622" s="229"/>
      <c r="G622" s="229"/>
      <c r="H622" s="229"/>
      <c r="I622" s="229"/>
      <c r="J622" s="59"/>
      <c r="K622" s="1"/>
      <c r="L622" s="32"/>
      <c r="M622" s="32"/>
      <c r="N622" s="32"/>
      <c r="O622" s="51"/>
      <c r="P622" s="51"/>
    </row>
    <row r="623" spans="2:16" x14ac:dyDescent="0.25">
      <c r="B623" s="32"/>
      <c r="C623" s="229"/>
      <c r="D623" s="229"/>
      <c r="E623" s="229"/>
      <c r="F623" s="229"/>
      <c r="G623" s="229"/>
      <c r="H623" s="229"/>
      <c r="I623" s="229"/>
      <c r="J623" s="59"/>
      <c r="K623" s="1"/>
      <c r="L623" s="32"/>
      <c r="M623" s="32"/>
      <c r="N623" s="32"/>
      <c r="O623" s="51"/>
      <c r="P623" s="51"/>
    </row>
    <row r="624" spans="2:16" x14ac:dyDescent="0.25">
      <c r="B624" s="32"/>
      <c r="C624" s="229"/>
      <c r="D624" s="229"/>
      <c r="E624" s="229"/>
      <c r="F624" s="229"/>
      <c r="G624" s="229"/>
      <c r="H624" s="229"/>
      <c r="I624" s="229"/>
      <c r="J624" s="59"/>
      <c r="K624" s="1"/>
      <c r="L624" s="32"/>
      <c r="M624" s="32"/>
      <c r="N624" s="32"/>
      <c r="O624" s="51"/>
      <c r="P624" s="51"/>
    </row>
    <row r="625" spans="2:16" x14ac:dyDescent="0.25">
      <c r="B625" s="32"/>
      <c r="C625" s="229"/>
      <c r="D625" s="229"/>
      <c r="E625" s="229"/>
      <c r="F625" s="229"/>
      <c r="G625" s="229"/>
      <c r="H625" s="229"/>
      <c r="I625" s="229"/>
      <c r="J625" s="59"/>
      <c r="K625" s="1"/>
      <c r="L625" s="32"/>
      <c r="M625" s="32"/>
      <c r="N625" s="32"/>
      <c r="O625" s="51"/>
      <c r="P625" s="51"/>
    </row>
    <row r="626" spans="2:16" x14ac:dyDescent="0.25">
      <c r="B626" s="32"/>
      <c r="C626" s="229"/>
      <c r="D626" s="229"/>
      <c r="E626" s="229"/>
      <c r="F626" s="229"/>
      <c r="G626" s="229"/>
      <c r="H626" s="229"/>
      <c r="I626" s="229"/>
      <c r="J626" s="59"/>
      <c r="K626" s="1"/>
      <c r="L626" s="32"/>
      <c r="M626" s="32"/>
      <c r="N626" s="32"/>
      <c r="O626" s="51"/>
      <c r="P626" s="51"/>
    </row>
    <row r="627" spans="2:16" x14ac:dyDescent="0.25">
      <c r="B627" s="32"/>
      <c r="C627" s="229"/>
      <c r="D627" s="229"/>
      <c r="E627" s="229"/>
      <c r="F627" s="229"/>
      <c r="G627" s="229"/>
      <c r="H627" s="229"/>
      <c r="I627" s="229"/>
      <c r="J627" s="59"/>
      <c r="K627" s="1"/>
      <c r="L627" s="32"/>
      <c r="M627" s="32"/>
      <c r="N627" s="32"/>
      <c r="O627" s="51"/>
      <c r="P627" s="51"/>
    </row>
    <row r="628" spans="2:16" x14ac:dyDescent="0.25">
      <c r="B628" s="32"/>
      <c r="C628" s="229"/>
      <c r="D628" s="229"/>
      <c r="E628" s="229"/>
      <c r="F628" s="229"/>
      <c r="G628" s="229"/>
      <c r="H628" s="229"/>
      <c r="I628" s="229"/>
      <c r="J628" s="59"/>
      <c r="K628" s="1"/>
      <c r="L628" s="32"/>
      <c r="M628" s="32"/>
      <c r="N628" s="32"/>
      <c r="O628" s="51"/>
      <c r="P628" s="51"/>
    </row>
    <row r="629" spans="2:16" x14ac:dyDescent="0.25">
      <c r="B629" s="32"/>
      <c r="C629" s="229"/>
      <c r="D629" s="229"/>
      <c r="E629" s="229"/>
      <c r="F629" s="229"/>
      <c r="G629" s="229"/>
      <c r="H629" s="229"/>
      <c r="I629" s="229"/>
      <c r="J629" s="59"/>
      <c r="K629" s="1"/>
      <c r="L629" s="32"/>
      <c r="M629" s="32"/>
      <c r="N629" s="32"/>
      <c r="O629" s="51"/>
      <c r="P629" s="51"/>
    </row>
    <row r="630" spans="2:16" x14ac:dyDescent="0.25">
      <c r="B630" s="32"/>
      <c r="C630" s="229"/>
      <c r="D630" s="229"/>
      <c r="E630" s="229"/>
      <c r="F630" s="229"/>
      <c r="G630" s="229"/>
      <c r="H630" s="229"/>
      <c r="I630" s="229"/>
      <c r="J630" s="59"/>
      <c r="K630" s="1"/>
      <c r="L630" s="32"/>
      <c r="M630" s="32"/>
      <c r="N630" s="32"/>
      <c r="O630" s="51"/>
      <c r="P630" s="51"/>
    </row>
    <row r="631" spans="2:16" x14ac:dyDescent="0.25">
      <c r="B631" s="32"/>
      <c r="C631" s="229"/>
      <c r="D631" s="229"/>
      <c r="E631" s="229"/>
      <c r="F631" s="229"/>
      <c r="G631" s="229"/>
      <c r="H631" s="229"/>
      <c r="I631" s="229"/>
      <c r="J631" s="59"/>
      <c r="K631" s="1"/>
      <c r="L631" s="32"/>
      <c r="M631" s="32"/>
      <c r="N631" s="32"/>
      <c r="O631" s="51"/>
      <c r="P631" s="51"/>
    </row>
    <row r="632" spans="2:16" x14ac:dyDescent="0.25">
      <c r="B632" s="32"/>
      <c r="C632" s="229"/>
      <c r="D632" s="229"/>
      <c r="E632" s="229"/>
      <c r="F632" s="229"/>
      <c r="G632" s="229"/>
      <c r="H632" s="229"/>
      <c r="I632" s="229"/>
      <c r="J632" s="59"/>
      <c r="K632" s="1"/>
      <c r="L632" s="32"/>
      <c r="M632" s="32"/>
      <c r="N632" s="32"/>
      <c r="O632" s="51"/>
      <c r="P632" s="51"/>
    </row>
    <row r="633" spans="2:16" x14ac:dyDescent="0.25">
      <c r="B633" s="32"/>
      <c r="C633" s="229"/>
      <c r="D633" s="229"/>
      <c r="E633" s="229"/>
      <c r="F633" s="229"/>
      <c r="G633" s="229"/>
      <c r="H633" s="229"/>
      <c r="I633" s="229"/>
      <c r="J633" s="59"/>
      <c r="K633" s="1"/>
      <c r="L633" s="32"/>
      <c r="M633" s="32"/>
      <c r="N633" s="32"/>
      <c r="O633" s="51"/>
      <c r="P633" s="51"/>
    </row>
    <row r="634" spans="2:16" x14ac:dyDescent="0.25">
      <c r="B634" s="32"/>
      <c r="C634" s="229"/>
      <c r="D634" s="229"/>
      <c r="E634" s="229"/>
      <c r="F634" s="229"/>
      <c r="G634" s="229"/>
      <c r="H634" s="229"/>
      <c r="I634" s="229"/>
      <c r="J634" s="59"/>
      <c r="K634" s="1"/>
      <c r="L634" s="32"/>
      <c r="M634" s="32"/>
      <c r="N634" s="32"/>
      <c r="O634" s="51"/>
      <c r="P634" s="51"/>
    </row>
    <row r="635" spans="2:16" x14ac:dyDescent="0.25">
      <c r="B635" s="32"/>
      <c r="C635" s="229"/>
      <c r="D635" s="229"/>
      <c r="E635" s="229"/>
      <c r="F635" s="229"/>
      <c r="G635" s="229"/>
      <c r="H635" s="229"/>
      <c r="I635" s="229"/>
      <c r="J635" s="59"/>
      <c r="K635" s="1"/>
      <c r="L635" s="32"/>
      <c r="M635" s="32"/>
      <c r="N635" s="32"/>
      <c r="O635" s="51"/>
      <c r="P635" s="51"/>
    </row>
    <row r="636" spans="2:16" x14ac:dyDescent="0.25">
      <c r="B636" s="32"/>
      <c r="C636" s="229"/>
      <c r="D636" s="229"/>
      <c r="E636" s="229"/>
      <c r="F636" s="229"/>
      <c r="G636" s="229"/>
      <c r="H636" s="229"/>
      <c r="I636" s="229"/>
      <c r="J636" s="59"/>
      <c r="K636" s="1"/>
      <c r="L636" s="32"/>
      <c r="M636" s="32"/>
      <c r="N636" s="32"/>
      <c r="O636" s="51"/>
      <c r="P636" s="51"/>
    </row>
    <row r="637" spans="2:16" x14ac:dyDescent="0.25">
      <c r="B637" s="32"/>
      <c r="C637" s="229"/>
      <c r="D637" s="229"/>
      <c r="E637" s="229"/>
      <c r="F637" s="229"/>
      <c r="G637" s="229"/>
      <c r="H637" s="229"/>
      <c r="I637" s="229"/>
      <c r="J637" s="59"/>
      <c r="K637" s="1"/>
      <c r="L637" s="32"/>
      <c r="M637" s="32"/>
      <c r="N637" s="32"/>
      <c r="O637" s="51"/>
      <c r="P637" s="51"/>
    </row>
    <row r="638" spans="2:16" x14ac:dyDescent="0.25">
      <c r="B638" s="32"/>
      <c r="C638" s="229"/>
      <c r="D638" s="229"/>
      <c r="E638" s="229"/>
      <c r="F638" s="229"/>
      <c r="G638" s="229"/>
      <c r="H638" s="229"/>
      <c r="I638" s="229"/>
      <c r="J638" s="59"/>
      <c r="K638" s="1"/>
      <c r="L638" s="32"/>
      <c r="M638" s="32"/>
      <c r="N638" s="32"/>
      <c r="O638" s="51"/>
      <c r="P638" s="51"/>
    </row>
    <row r="639" spans="2:16" x14ac:dyDescent="0.25">
      <c r="B639" s="32"/>
      <c r="C639" s="229"/>
      <c r="D639" s="229"/>
      <c r="E639" s="229"/>
      <c r="F639" s="229"/>
      <c r="G639" s="229"/>
      <c r="H639" s="229"/>
      <c r="I639" s="229"/>
      <c r="J639" s="59"/>
      <c r="K639" s="1"/>
      <c r="L639" s="32"/>
      <c r="M639" s="32"/>
      <c r="N639" s="32"/>
      <c r="O639" s="51"/>
      <c r="P639" s="51"/>
    </row>
    <row r="640" spans="2:16" x14ac:dyDescent="0.25">
      <c r="B640" s="32"/>
      <c r="C640" s="229"/>
      <c r="D640" s="229"/>
      <c r="E640" s="229"/>
      <c r="F640" s="229"/>
      <c r="G640" s="229"/>
      <c r="H640" s="229"/>
      <c r="I640" s="229"/>
      <c r="J640" s="59"/>
      <c r="K640" s="1"/>
      <c r="L640" s="32"/>
      <c r="M640" s="32"/>
      <c r="N640" s="32"/>
      <c r="O640" s="51"/>
      <c r="P640" s="51"/>
    </row>
    <row r="641" spans="2:16" x14ac:dyDescent="0.25">
      <c r="B641" s="32"/>
      <c r="C641" s="229"/>
      <c r="D641" s="229"/>
      <c r="E641" s="229"/>
      <c r="F641" s="229"/>
      <c r="G641" s="229"/>
      <c r="H641" s="229"/>
      <c r="I641" s="229"/>
      <c r="J641" s="59"/>
      <c r="K641" s="1"/>
      <c r="L641" s="32"/>
      <c r="M641" s="32"/>
      <c r="N641" s="32"/>
      <c r="O641" s="51"/>
      <c r="P641" s="51"/>
    </row>
    <row r="642" spans="2:16" x14ac:dyDescent="0.25">
      <c r="B642" s="32"/>
      <c r="C642" s="229"/>
      <c r="D642" s="229"/>
      <c r="E642" s="229"/>
      <c r="F642" s="229"/>
      <c r="G642" s="229"/>
      <c r="H642" s="229"/>
      <c r="I642" s="229"/>
      <c r="J642" s="59"/>
      <c r="K642" s="1"/>
      <c r="L642" s="32"/>
      <c r="M642" s="32"/>
      <c r="N642" s="32"/>
      <c r="O642" s="51"/>
      <c r="P642" s="51"/>
    </row>
    <row r="643" spans="2:16" x14ac:dyDescent="0.25">
      <c r="B643" s="32"/>
      <c r="C643" s="229"/>
      <c r="D643" s="229"/>
      <c r="E643" s="229"/>
      <c r="F643" s="229"/>
      <c r="G643" s="229"/>
      <c r="H643" s="229"/>
      <c r="I643" s="229"/>
      <c r="J643" s="59"/>
      <c r="K643" s="1"/>
      <c r="L643" s="32"/>
      <c r="M643" s="32"/>
      <c r="N643" s="32"/>
      <c r="O643" s="51"/>
      <c r="P643" s="51"/>
    </row>
    <row r="644" spans="2:16" x14ac:dyDescent="0.25">
      <c r="B644" s="32"/>
      <c r="C644" s="229"/>
      <c r="D644" s="229"/>
      <c r="E644" s="229"/>
      <c r="F644" s="229"/>
      <c r="G644" s="229"/>
      <c r="H644" s="229"/>
      <c r="I644" s="229"/>
      <c r="J644" s="59"/>
      <c r="K644" s="1"/>
      <c r="L644" s="32"/>
      <c r="M644" s="32"/>
      <c r="N644" s="32"/>
      <c r="O644" s="51"/>
      <c r="P644" s="51"/>
    </row>
    <row r="645" spans="2:16" x14ac:dyDescent="0.25">
      <c r="B645" s="32"/>
      <c r="C645" s="229"/>
      <c r="D645" s="229"/>
      <c r="E645" s="229"/>
      <c r="F645" s="229"/>
      <c r="G645" s="229"/>
      <c r="H645" s="229"/>
      <c r="I645" s="229"/>
      <c r="J645" s="59"/>
      <c r="K645" s="1"/>
      <c r="L645" s="32"/>
      <c r="M645" s="32"/>
      <c r="N645" s="32"/>
      <c r="O645" s="51"/>
      <c r="P645" s="51"/>
    </row>
    <row r="646" spans="2:16" x14ac:dyDescent="0.25">
      <c r="B646" s="32"/>
      <c r="C646" s="229"/>
      <c r="D646" s="229"/>
      <c r="E646" s="229"/>
      <c r="F646" s="229"/>
      <c r="G646" s="229"/>
      <c r="H646" s="229"/>
      <c r="I646" s="229"/>
      <c r="J646" s="59"/>
      <c r="K646" s="1"/>
      <c r="L646" s="32"/>
      <c r="M646" s="32"/>
      <c r="N646" s="32"/>
      <c r="O646" s="51"/>
      <c r="P646" s="51"/>
    </row>
    <row r="647" spans="2:16" x14ac:dyDescent="0.25">
      <c r="B647" s="32"/>
      <c r="C647" s="229"/>
      <c r="D647" s="229"/>
      <c r="E647" s="229"/>
      <c r="F647" s="229"/>
      <c r="G647" s="229"/>
      <c r="H647" s="229"/>
      <c r="I647" s="229"/>
      <c r="J647" s="59"/>
      <c r="K647" s="1"/>
      <c r="L647" s="32"/>
      <c r="M647" s="32"/>
      <c r="N647" s="32"/>
      <c r="O647" s="51"/>
      <c r="P647" s="51"/>
    </row>
    <row r="648" spans="2:16" x14ac:dyDescent="0.25">
      <c r="B648" s="32"/>
      <c r="C648" s="229"/>
      <c r="D648" s="229"/>
      <c r="E648" s="229"/>
      <c r="F648" s="229"/>
      <c r="G648" s="229"/>
      <c r="H648" s="229"/>
      <c r="I648" s="229"/>
      <c r="J648" s="59"/>
      <c r="K648" s="1"/>
      <c r="L648" s="32"/>
      <c r="M648" s="32"/>
      <c r="N648" s="32"/>
      <c r="O648" s="51"/>
      <c r="P648" s="51"/>
    </row>
    <row r="649" spans="2:16" x14ac:dyDescent="0.25">
      <c r="B649" s="32"/>
      <c r="C649" s="229"/>
      <c r="D649" s="229"/>
      <c r="E649" s="229"/>
      <c r="F649" s="229"/>
      <c r="G649" s="229"/>
      <c r="H649" s="229"/>
      <c r="I649" s="229"/>
      <c r="J649" s="59"/>
      <c r="K649" s="1"/>
      <c r="L649" s="32"/>
      <c r="M649" s="32"/>
      <c r="N649" s="32"/>
      <c r="O649" s="51"/>
      <c r="P649" s="51"/>
    </row>
    <row r="650" spans="2:16" x14ac:dyDescent="0.25">
      <c r="B650" s="32"/>
      <c r="C650" s="229"/>
      <c r="D650" s="229"/>
      <c r="E650" s="229"/>
      <c r="F650" s="229"/>
      <c r="G650" s="229"/>
      <c r="H650" s="229"/>
      <c r="I650" s="229"/>
      <c r="J650" s="59"/>
      <c r="K650" s="1"/>
      <c r="L650" s="32"/>
      <c r="M650" s="32"/>
      <c r="N650" s="32"/>
      <c r="O650" s="51"/>
      <c r="P650" s="51"/>
    </row>
    <row r="651" spans="2:16" x14ac:dyDescent="0.25">
      <c r="B651" s="32"/>
      <c r="C651" s="229"/>
      <c r="D651" s="229"/>
      <c r="E651" s="229"/>
      <c r="F651" s="229"/>
      <c r="G651" s="229"/>
      <c r="H651" s="229"/>
      <c r="I651" s="229"/>
      <c r="J651" s="59"/>
      <c r="K651" s="1"/>
      <c r="L651" s="32"/>
      <c r="M651" s="32"/>
      <c r="N651" s="32"/>
      <c r="O651" s="51"/>
      <c r="P651" s="51"/>
    </row>
    <row r="652" spans="2:16" x14ac:dyDescent="0.25">
      <c r="B652" s="32"/>
      <c r="C652" s="229"/>
      <c r="D652" s="229"/>
      <c r="E652" s="229"/>
      <c r="F652" s="229"/>
      <c r="G652" s="229"/>
      <c r="H652" s="229"/>
      <c r="I652" s="229"/>
      <c r="J652" s="59"/>
      <c r="K652" s="1"/>
      <c r="L652" s="32"/>
      <c r="M652" s="32"/>
      <c r="N652" s="32"/>
      <c r="O652" s="51"/>
      <c r="P652" s="51"/>
    </row>
    <row r="653" spans="2:16" x14ac:dyDescent="0.25">
      <c r="B653" s="32"/>
      <c r="C653" s="229"/>
      <c r="D653" s="229"/>
      <c r="E653" s="229"/>
      <c r="F653" s="229"/>
      <c r="G653" s="229"/>
      <c r="H653" s="229"/>
      <c r="I653" s="229"/>
      <c r="J653" s="59"/>
      <c r="K653" s="1"/>
      <c r="L653" s="32"/>
      <c r="M653" s="32"/>
      <c r="N653" s="32"/>
      <c r="O653" s="51"/>
      <c r="P653" s="51"/>
    </row>
    <row r="654" spans="2:16" x14ac:dyDescent="0.25">
      <c r="B654" s="32"/>
      <c r="C654" s="229"/>
      <c r="D654" s="229"/>
      <c r="E654" s="229"/>
      <c r="F654" s="229"/>
      <c r="G654" s="229"/>
      <c r="H654" s="229"/>
      <c r="I654" s="229"/>
      <c r="J654" s="59"/>
      <c r="K654" s="1"/>
      <c r="L654" s="32"/>
      <c r="M654" s="32"/>
      <c r="N654" s="32"/>
      <c r="O654" s="51"/>
      <c r="P654" s="51"/>
    </row>
    <row r="655" spans="2:16" x14ac:dyDescent="0.25">
      <c r="B655" s="32"/>
      <c r="C655" s="229"/>
      <c r="D655" s="229"/>
      <c r="E655" s="229"/>
      <c r="F655" s="229"/>
      <c r="G655" s="229"/>
      <c r="H655" s="229"/>
      <c r="I655" s="229"/>
      <c r="J655" s="59"/>
      <c r="K655" s="1"/>
      <c r="L655" s="32"/>
      <c r="M655" s="32"/>
      <c r="N655" s="32"/>
      <c r="O655" s="51"/>
      <c r="P655" s="51"/>
    </row>
    <row r="656" spans="2:16" x14ac:dyDescent="0.25">
      <c r="B656" s="32"/>
      <c r="C656" s="229"/>
      <c r="D656" s="229"/>
      <c r="E656" s="229"/>
      <c r="F656" s="229"/>
      <c r="G656" s="229"/>
      <c r="H656" s="229"/>
      <c r="I656" s="229"/>
      <c r="J656" s="59"/>
      <c r="K656" s="1"/>
      <c r="L656" s="32"/>
      <c r="M656" s="32"/>
      <c r="N656" s="32"/>
      <c r="O656" s="51"/>
      <c r="P656" s="51"/>
    </row>
    <row r="657" spans="2:16" x14ac:dyDescent="0.25">
      <c r="B657" s="32"/>
      <c r="C657" s="229"/>
      <c r="D657" s="229"/>
      <c r="E657" s="229"/>
      <c r="F657" s="229"/>
      <c r="G657" s="229"/>
      <c r="H657" s="229"/>
      <c r="I657" s="229"/>
      <c r="J657" s="59"/>
      <c r="K657" s="1"/>
      <c r="L657" s="32"/>
      <c r="M657" s="32"/>
      <c r="N657" s="32"/>
      <c r="O657" s="51"/>
      <c r="P657" s="51"/>
    </row>
    <row r="658" spans="2:16" x14ac:dyDescent="0.25">
      <c r="B658" s="32"/>
      <c r="C658" s="229"/>
      <c r="D658" s="229"/>
      <c r="E658" s="229"/>
      <c r="F658" s="229"/>
      <c r="G658" s="229"/>
      <c r="H658" s="229"/>
      <c r="I658" s="229"/>
      <c r="J658" s="59"/>
      <c r="K658" s="1"/>
      <c r="L658" s="32"/>
      <c r="M658" s="32"/>
      <c r="N658" s="32"/>
      <c r="O658" s="51"/>
      <c r="P658" s="51"/>
    </row>
    <row r="659" spans="2:16" x14ac:dyDescent="0.25">
      <c r="B659" s="32"/>
      <c r="C659" s="229"/>
      <c r="D659" s="229"/>
      <c r="E659" s="229"/>
      <c r="F659" s="229"/>
      <c r="G659" s="229"/>
      <c r="H659" s="229"/>
      <c r="I659" s="229"/>
      <c r="J659" s="59"/>
      <c r="K659" s="1"/>
      <c r="L659" s="32"/>
      <c r="M659" s="32"/>
      <c r="N659" s="32"/>
      <c r="O659" s="51"/>
      <c r="P659" s="51"/>
    </row>
    <row r="660" spans="2:16" x14ac:dyDescent="0.25">
      <c r="B660" s="32"/>
      <c r="C660" s="229"/>
      <c r="D660" s="229"/>
      <c r="E660" s="229"/>
      <c r="F660" s="229"/>
      <c r="G660" s="229"/>
      <c r="H660" s="229"/>
      <c r="I660" s="229"/>
      <c r="J660" s="59"/>
      <c r="K660" s="1"/>
      <c r="L660" s="32"/>
      <c r="M660" s="32"/>
      <c r="N660" s="32"/>
      <c r="O660" s="51"/>
      <c r="P660" s="51"/>
    </row>
    <row r="661" spans="2:16" x14ac:dyDescent="0.25">
      <c r="B661" s="32"/>
      <c r="C661" s="229"/>
      <c r="D661" s="229"/>
      <c r="E661" s="229"/>
      <c r="F661" s="229"/>
      <c r="G661" s="229"/>
      <c r="H661" s="229"/>
      <c r="I661" s="229"/>
      <c r="J661" s="59"/>
      <c r="K661" s="1"/>
      <c r="L661" s="32"/>
      <c r="M661" s="32"/>
      <c r="N661" s="32"/>
      <c r="O661" s="51"/>
      <c r="P661" s="51"/>
    </row>
    <row r="662" spans="2:16" x14ac:dyDescent="0.25">
      <c r="B662" s="32"/>
      <c r="C662" s="229"/>
      <c r="D662" s="229"/>
      <c r="E662" s="229"/>
      <c r="F662" s="229"/>
      <c r="G662" s="229"/>
      <c r="H662" s="229"/>
      <c r="I662" s="229"/>
      <c r="J662" s="59"/>
      <c r="K662" s="1"/>
      <c r="L662" s="32"/>
      <c r="M662" s="32"/>
      <c r="N662" s="32"/>
      <c r="O662" s="51"/>
      <c r="P662" s="51"/>
    </row>
    <row r="663" spans="2:16" x14ac:dyDescent="0.25">
      <c r="B663" s="32"/>
      <c r="C663" s="229"/>
      <c r="D663" s="229"/>
      <c r="E663" s="229"/>
      <c r="F663" s="229"/>
      <c r="G663" s="229"/>
      <c r="H663" s="229"/>
      <c r="I663" s="229"/>
      <c r="J663" s="59"/>
      <c r="K663" s="1"/>
      <c r="L663" s="32"/>
      <c r="M663" s="32"/>
      <c r="N663" s="32"/>
      <c r="O663" s="51"/>
      <c r="P663" s="51"/>
    </row>
    <row r="664" spans="2:16" x14ac:dyDescent="0.25">
      <c r="B664" s="32"/>
      <c r="C664" s="229"/>
      <c r="D664" s="229"/>
      <c r="E664" s="229"/>
      <c r="F664" s="229"/>
      <c r="G664" s="229"/>
      <c r="H664" s="229"/>
      <c r="I664" s="229"/>
      <c r="J664" s="59"/>
      <c r="K664" s="1"/>
      <c r="L664" s="32"/>
      <c r="M664" s="32"/>
      <c r="N664" s="32"/>
      <c r="O664" s="51"/>
      <c r="P664" s="51"/>
    </row>
    <row r="665" spans="2:16" x14ac:dyDescent="0.25">
      <c r="B665" s="32"/>
      <c r="C665" s="229"/>
      <c r="D665" s="229"/>
      <c r="E665" s="229"/>
      <c r="F665" s="229"/>
      <c r="G665" s="229"/>
      <c r="H665" s="229"/>
      <c r="I665" s="229"/>
      <c r="J665" s="59"/>
      <c r="K665" s="1"/>
      <c r="L665" s="32"/>
      <c r="M665" s="32"/>
      <c r="N665" s="32"/>
      <c r="O665" s="51"/>
      <c r="P665" s="51"/>
    </row>
    <row r="666" spans="2:16" x14ac:dyDescent="0.25">
      <c r="B666" s="32"/>
      <c r="C666" s="229"/>
      <c r="D666" s="229"/>
      <c r="E666" s="229"/>
      <c r="F666" s="229"/>
      <c r="G666" s="229"/>
      <c r="H666" s="229"/>
      <c r="I666" s="229"/>
      <c r="J666" s="59"/>
      <c r="K666" s="1"/>
      <c r="L666" s="32"/>
      <c r="M666" s="32"/>
      <c r="N666" s="32"/>
      <c r="O666" s="51"/>
      <c r="P666" s="51"/>
    </row>
    <row r="667" spans="2:16" x14ac:dyDescent="0.25">
      <c r="B667" s="32"/>
      <c r="C667" s="229"/>
      <c r="D667" s="229"/>
      <c r="E667" s="229"/>
      <c r="F667" s="229"/>
      <c r="G667" s="229"/>
      <c r="H667" s="229"/>
      <c r="I667" s="229"/>
      <c r="J667" s="59"/>
      <c r="K667" s="1"/>
      <c r="L667" s="32"/>
      <c r="M667" s="32"/>
      <c r="N667" s="32"/>
      <c r="O667" s="51"/>
      <c r="P667" s="51"/>
    </row>
    <row r="668" spans="2:16" x14ac:dyDescent="0.25">
      <c r="B668" s="32"/>
      <c r="C668" s="229"/>
      <c r="D668" s="229"/>
      <c r="E668" s="229"/>
      <c r="F668" s="229"/>
      <c r="G668" s="229"/>
      <c r="H668" s="229"/>
      <c r="I668" s="229"/>
      <c r="J668" s="59"/>
      <c r="K668" s="1"/>
      <c r="L668" s="32"/>
      <c r="M668" s="32"/>
      <c r="N668" s="32"/>
      <c r="O668" s="51"/>
      <c r="P668" s="51"/>
    </row>
    <row r="669" spans="2:16" x14ac:dyDescent="0.25">
      <c r="B669" s="32"/>
      <c r="C669" s="229"/>
      <c r="D669" s="229"/>
      <c r="E669" s="229"/>
      <c r="F669" s="229"/>
      <c r="G669" s="229"/>
      <c r="H669" s="229"/>
      <c r="I669" s="229"/>
      <c r="J669" s="59"/>
      <c r="K669" s="1"/>
      <c r="L669" s="32"/>
      <c r="M669" s="32"/>
      <c r="N669" s="32"/>
      <c r="O669" s="51"/>
      <c r="P669" s="51"/>
    </row>
    <row r="670" spans="2:16" x14ac:dyDescent="0.25">
      <c r="B670" s="32"/>
      <c r="C670" s="229"/>
      <c r="D670" s="229"/>
      <c r="E670" s="229"/>
      <c r="F670" s="229"/>
      <c r="G670" s="229"/>
      <c r="H670" s="229"/>
      <c r="I670" s="229"/>
      <c r="J670" s="59"/>
      <c r="K670" s="1"/>
      <c r="L670" s="32"/>
      <c r="M670" s="32"/>
      <c r="N670" s="32"/>
      <c r="O670" s="51"/>
      <c r="P670" s="51"/>
    </row>
    <row r="671" spans="2:16" x14ac:dyDescent="0.25">
      <c r="B671" s="32"/>
      <c r="C671" s="229"/>
      <c r="D671" s="229"/>
      <c r="E671" s="229"/>
      <c r="F671" s="229"/>
      <c r="G671" s="229"/>
      <c r="H671" s="229"/>
      <c r="I671" s="229"/>
      <c r="J671" s="59"/>
      <c r="K671" s="1"/>
      <c r="L671" s="32"/>
      <c r="M671" s="32"/>
      <c r="N671" s="32"/>
      <c r="O671" s="51"/>
      <c r="P671" s="51"/>
    </row>
    <row r="672" spans="2:16" x14ac:dyDescent="0.25">
      <c r="B672" s="32"/>
      <c r="C672" s="229"/>
      <c r="D672" s="229"/>
      <c r="E672" s="229"/>
      <c r="F672" s="229"/>
      <c r="G672" s="229"/>
      <c r="H672" s="229"/>
      <c r="I672" s="229"/>
      <c r="J672" s="59"/>
      <c r="K672" s="1"/>
      <c r="L672" s="32"/>
      <c r="M672" s="32"/>
      <c r="N672" s="32"/>
      <c r="O672" s="51"/>
      <c r="P672" s="51"/>
    </row>
    <row r="673" spans="2:16" x14ac:dyDescent="0.25">
      <c r="B673" s="32"/>
      <c r="C673" s="229"/>
      <c r="D673" s="229"/>
      <c r="E673" s="229"/>
      <c r="F673" s="229"/>
      <c r="G673" s="229"/>
      <c r="H673" s="229"/>
      <c r="I673" s="229"/>
      <c r="J673" s="59"/>
      <c r="K673" s="1"/>
      <c r="L673" s="32"/>
      <c r="M673" s="32"/>
      <c r="N673" s="32"/>
      <c r="O673" s="51"/>
      <c r="P673" s="51"/>
    </row>
    <row r="674" spans="2:16" x14ac:dyDescent="0.25">
      <c r="B674" s="32"/>
      <c r="C674" s="229"/>
      <c r="D674" s="229"/>
      <c r="E674" s="229"/>
      <c r="F674" s="229"/>
      <c r="G674" s="229"/>
      <c r="H674" s="229"/>
      <c r="I674" s="229"/>
      <c r="J674" s="59"/>
      <c r="K674" s="1"/>
      <c r="L674" s="32"/>
      <c r="M674" s="32"/>
      <c r="N674" s="32"/>
      <c r="O674" s="51"/>
      <c r="P674" s="51"/>
    </row>
    <row r="675" spans="2:16" x14ac:dyDescent="0.25">
      <c r="B675" s="32"/>
      <c r="C675" s="229"/>
      <c r="D675" s="229"/>
      <c r="E675" s="229"/>
      <c r="F675" s="229"/>
      <c r="G675" s="229"/>
      <c r="H675" s="229"/>
      <c r="I675" s="229"/>
      <c r="J675" s="59"/>
      <c r="K675" s="1"/>
      <c r="L675" s="32"/>
      <c r="M675" s="32"/>
      <c r="N675" s="32"/>
      <c r="O675" s="51"/>
      <c r="P675" s="51"/>
    </row>
    <row r="676" spans="2:16" x14ac:dyDescent="0.25">
      <c r="B676" s="32"/>
      <c r="C676" s="229"/>
      <c r="D676" s="229"/>
      <c r="E676" s="229"/>
      <c r="F676" s="229"/>
      <c r="G676" s="229"/>
      <c r="H676" s="229"/>
      <c r="I676" s="229"/>
      <c r="J676" s="59"/>
      <c r="K676" s="1"/>
      <c r="L676" s="32"/>
      <c r="M676" s="32"/>
      <c r="N676" s="32"/>
      <c r="O676" s="51"/>
      <c r="P676" s="51"/>
    </row>
    <row r="677" spans="2:16" x14ac:dyDescent="0.25">
      <c r="B677" s="32"/>
      <c r="C677" s="229"/>
      <c r="D677" s="229"/>
      <c r="E677" s="229"/>
      <c r="F677" s="229"/>
      <c r="G677" s="229"/>
      <c r="H677" s="229"/>
      <c r="I677" s="229"/>
      <c r="J677" s="59"/>
      <c r="K677" s="1"/>
      <c r="L677" s="32"/>
      <c r="M677" s="32"/>
      <c r="N677" s="32"/>
      <c r="O677" s="51"/>
      <c r="P677" s="51"/>
    </row>
    <row r="678" spans="2:16" x14ac:dyDescent="0.25">
      <c r="B678" s="32"/>
      <c r="C678" s="229"/>
      <c r="D678" s="229"/>
      <c r="E678" s="229"/>
      <c r="F678" s="229"/>
      <c r="G678" s="229"/>
      <c r="H678" s="229"/>
      <c r="I678" s="229"/>
      <c r="J678" s="59"/>
      <c r="K678" s="1"/>
      <c r="L678" s="32"/>
      <c r="M678" s="32"/>
      <c r="N678" s="32"/>
      <c r="O678" s="51"/>
      <c r="P678" s="51"/>
    </row>
    <row r="679" spans="2:16" x14ac:dyDescent="0.25">
      <c r="B679" s="32"/>
      <c r="C679" s="229"/>
      <c r="D679" s="229"/>
      <c r="E679" s="229"/>
      <c r="F679" s="229"/>
      <c r="G679" s="229"/>
      <c r="H679" s="229"/>
      <c r="I679" s="229"/>
      <c r="J679" s="59"/>
      <c r="K679" s="1"/>
      <c r="L679" s="32"/>
      <c r="M679" s="32"/>
      <c r="N679" s="32"/>
      <c r="O679" s="51"/>
      <c r="P679" s="51"/>
    </row>
    <row r="680" spans="2:16" x14ac:dyDescent="0.25">
      <c r="B680" s="32"/>
      <c r="C680" s="229"/>
      <c r="D680" s="229"/>
      <c r="E680" s="229"/>
      <c r="F680" s="229"/>
      <c r="G680" s="229"/>
      <c r="H680" s="229"/>
      <c r="I680" s="229"/>
      <c r="J680" s="59"/>
      <c r="K680" s="1"/>
      <c r="L680" s="32"/>
      <c r="M680" s="32"/>
      <c r="N680" s="32"/>
      <c r="O680" s="51"/>
      <c r="P680" s="51"/>
    </row>
    <row r="681" spans="2:16" x14ac:dyDescent="0.25">
      <c r="B681" s="32"/>
      <c r="C681" s="229"/>
      <c r="D681" s="229"/>
      <c r="E681" s="229"/>
      <c r="F681" s="229"/>
      <c r="G681" s="229"/>
      <c r="H681" s="229"/>
      <c r="I681" s="229"/>
      <c r="J681" s="59"/>
      <c r="K681" s="1"/>
      <c r="L681" s="32"/>
      <c r="M681" s="32"/>
      <c r="N681" s="32"/>
      <c r="O681" s="51"/>
      <c r="P681" s="51"/>
    </row>
    <row r="682" spans="2:16" x14ac:dyDescent="0.25">
      <c r="B682" s="32"/>
      <c r="C682" s="229"/>
      <c r="D682" s="229"/>
      <c r="E682" s="229"/>
      <c r="F682" s="229"/>
      <c r="G682" s="229"/>
      <c r="H682" s="229"/>
      <c r="I682" s="229"/>
      <c r="J682" s="59"/>
      <c r="K682" s="1"/>
      <c r="L682" s="32"/>
      <c r="M682" s="32"/>
      <c r="N682" s="32"/>
      <c r="O682" s="51"/>
      <c r="P682" s="51"/>
    </row>
    <row r="683" spans="2:16" x14ac:dyDescent="0.25">
      <c r="B683" s="32"/>
      <c r="C683" s="229"/>
      <c r="D683" s="229"/>
      <c r="E683" s="229"/>
      <c r="F683" s="229"/>
      <c r="G683" s="229"/>
      <c r="H683" s="229"/>
      <c r="I683" s="229"/>
      <c r="J683" s="59"/>
      <c r="K683" s="1"/>
      <c r="L683" s="32"/>
      <c r="M683" s="32"/>
      <c r="N683" s="32"/>
      <c r="O683" s="51"/>
      <c r="P683" s="51"/>
    </row>
    <row r="684" spans="2:16" x14ac:dyDescent="0.25">
      <c r="B684" s="32"/>
      <c r="C684" s="229"/>
      <c r="D684" s="229"/>
      <c r="E684" s="229"/>
      <c r="F684" s="229"/>
      <c r="G684" s="229"/>
      <c r="H684" s="229"/>
      <c r="I684" s="229"/>
      <c r="J684" s="59"/>
      <c r="K684" s="1"/>
      <c r="L684" s="32"/>
      <c r="M684" s="32"/>
      <c r="N684" s="32"/>
      <c r="O684" s="51"/>
      <c r="P684" s="51"/>
    </row>
    <row r="685" spans="2:16" x14ac:dyDescent="0.25">
      <c r="B685" s="32"/>
      <c r="C685" s="229"/>
      <c r="D685" s="229"/>
      <c r="E685" s="229"/>
      <c r="F685" s="229"/>
      <c r="G685" s="229"/>
      <c r="H685" s="229"/>
      <c r="I685" s="229"/>
      <c r="J685" s="59"/>
      <c r="K685" s="1"/>
      <c r="L685" s="32"/>
      <c r="M685" s="32"/>
      <c r="N685" s="32"/>
      <c r="O685" s="51"/>
      <c r="P685" s="51"/>
    </row>
    <row r="686" spans="2:16" x14ac:dyDescent="0.25">
      <c r="B686" s="32"/>
      <c r="C686" s="229"/>
      <c r="D686" s="229"/>
      <c r="E686" s="229"/>
      <c r="F686" s="229"/>
      <c r="G686" s="229"/>
      <c r="H686" s="229"/>
      <c r="I686" s="229"/>
      <c r="J686" s="59"/>
      <c r="K686" s="1"/>
      <c r="L686" s="32"/>
      <c r="M686" s="32"/>
      <c r="N686" s="32"/>
      <c r="O686" s="51"/>
      <c r="P686" s="51"/>
    </row>
    <row r="687" spans="2:16" x14ac:dyDescent="0.25">
      <c r="B687" s="32"/>
      <c r="C687" s="229"/>
      <c r="D687" s="229"/>
      <c r="E687" s="229"/>
      <c r="F687" s="229"/>
      <c r="G687" s="229"/>
      <c r="H687" s="229"/>
      <c r="I687" s="229"/>
      <c r="J687" s="59"/>
      <c r="K687" s="1"/>
      <c r="L687" s="32"/>
      <c r="M687" s="32"/>
      <c r="N687" s="32"/>
      <c r="O687" s="51"/>
      <c r="P687" s="51"/>
    </row>
    <row r="688" spans="2:16" x14ac:dyDescent="0.25">
      <c r="B688" s="32"/>
      <c r="C688" s="229"/>
      <c r="D688" s="229"/>
      <c r="E688" s="229"/>
      <c r="F688" s="229"/>
      <c r="G688" s="229"/>
      <c r="H688" s="229"/>
      <c r="I688" s="229"/>
      <c r="J688" s="59"/>
      <c r="K688" s="1"/>
      <c r="L688" s="32"/>
      <c r="M688" s="32"/>
      <c r="N688" s="32"/>
      <c r="O688" s="51"/>
      <c r="P688" s="51"/>
    </row>
    <row r="689" spans="2:16" x14ac:dyDescent="0.25">
      <c r="B689" s="32"/>
      <c r="C689" s="229"/>
      <c r="D689" s="229"/>
      <c r="E689" s="229"/>
      <c r="F689" s="229"/>
      <c r="G689" s="229"/>
      <c r="H689" s="229"/>
      <c r="I689" s="229"/>
      <c r="J689" s="59"/>
      <c r="K689" s="1"/>
      <c r="L689" s="32"/>
      <c r="M689" s="32"/>
      <c r="N689" s="32"/>
      <c r="O689" s="51"/>
      <c r="P689" s="51"/>
    </row>
    <row r="690" spans="2:16" x14ac:dyDescent="0.25">
      <c r="B690" s="32"/>
      <c r="C690" s="229"/>
      <c r="D690" s="229"/>
      <c r="E690" s="229"/>
      <c r="F690" s="229"/>
      <c r="G690" s="229"/>
      <c r="H690" s="229"/>
      <c r="I690" s="229"/>
      <c r="J690" s="59"/>
      <c r="K690" s="1"/>
      <c r="L690" s="32"/>
      <c r="M690" s="32"/>
      <c r="N690" s="32"/>
      <c r="O690" s="51"/>
      <c r="P690" s="51"/>
    </row>
    <row r="691" spans="2:16" x14ac:dyDescent="0.25">
      <c r="B691" s="32"/>
      <c r="C691" s="229"/>
      <c r="D691" s="229"/>
      <c r="E691" s="229"/>
      <c r="F691" s="229"/>
      <c r="G691" s="229"/>
      <c r="H691" s="229"/>
      <c r="I691" s="229"/>
      <c r="J691" s="59"/>
      <c r="K691" s="1"/>
      <c r="L691" s="32"/>
      <c r="M691" s="32"/>
      <c r="N691" s="32"/>
      <c r="O691" s="51"/>
      <c r="P691" s="51"/>
    </row>
    <row r="692" spans="2:16" x14ac:dyDescent="0.25">
      <c r="B692" s="32"/>
      <c r="C692" s="229"/>
      <c r="D692" s="229"/>
      <c r="E692" s="229"/>
      <c r="F692" s="229"/>
      <c r="G692" s="229"/>
      <c r="H692" s="229"/>
      <c r="I692" s="229"/>
      <c r="J692" s="59"/>
      <c r="K692" s="1"/>
      <c r="L692" s="32"/>
      <c r="M692" s="32"/>
      <c r="N692" s="32"/>
      <c r="O692" s="51"/>
      <c r="P692" s="51"/>
    </row>
    <row r="693" spans="2:16" x14ac:dyDescent="0.25">
      <c r="B693" s="32"/>
      <c r="C693" s="229"/>
      <c r="D693" s="229"/>
      <c r="E693" s="229"/>
      <c r="F693" s="229"/>
      <c r="G693" s="229"/>
      <c r="H693" s="229"/>
      <c r="I693" s="229"/>
      <c r="J693" s="59"/>
      <c r="K693" s="1"/>
      <c r="L693" s="32"/>
      <c r="M693" s="32"/>
      <c r="N693" s="32"/>
      <c r="O693" s="51"/>
      <c r="P693" s="51"/>
    </row>
    <row r="694" spans="2:16" x14ac:dyDescent="0.25">
      <c r="B694" s="32"/>
      <c r="C694" s="229"/>
      <c r="D694" s="229"/>
      <c r="E694" s="229"/>
      <c r="F694" s="229"/>
      <c r="G694" s="229"/>
      <c r="H694" s="229"/>
      <c r="I694" s="229"/>
      <c r="J694" s="59"/>
      <c r="K694" s="1"/>
      <c r="L694" s="32"/>
      <c r="M694" s="32"/>
      <c r="N694" s="32"/>
      <c r="O694" s="51"/>
      <c r="P694" s="51"/>
    </row>
    <row r="695" spans="2:16" x14ac:dyDescent="0.25">
      <c r="B695" s="32"/>
      <c r="C695" s="229"/>
      <c r="D695" s="229"/>
      <c r="E695" s="229"/>
      <c r="F695" s="229"/>
      <c r="G695" s="229"/>
      <c r="H695" s="229"/>
      <c r="I695" s="229"/>
      <c r="J695" s="59"/>
      <c r="K695" s="1"/>
      <c r="L695" s="32"/>
      <c r="M695" s="32"/>
      <c r="N695" s="32"/>
      <c r="O695" s="51"/>
      <c r="P695" s="51"/>
    </row>
    <row r="696" spans="2:16" x14ac:dyDescent="0.25">
      <c r="B696" s="32"/>
      <c r="C696" s="229"/>
      <c r="D696" s="229"/>
      <c r="E696" s="229"/>
      <c r="F696" s="229"/>
      <c r="G696" s="229"/>
      <c r="H696" s="229"/>
      <c r="I696" s="229"/>
      <c r="J696" s="59"/>
      <c r="K696" s="1"/>
      <c r="L696" s="32"/>
      <c r="M696" s="32"/>
      <c r="N696" s="32"/>
      <c r="O696" s="51"/>
      <c r="P696" s="51"/>
    </row>
    <row r="697" spans="2:16" x14ac:dyDescent="0.25">
      <c r="B697" s="32"/>
      <c r="C697" s="229"/>
      <c r="D697" s="229"/>
      <c r="E697" s="229"/>
      <c r="F697" s="229"/>
      <c r="G697" s="229"/>
      <c r="H697" s="229"/>
      <c r="I697" s="229"/>
      <c r="J697" s="59"/>
      <c r="K697" s="1"/>
      <c r="L697" s="32"/>
      <c r="M697" s="32"/>
      <c r="N697" s="32"/>
      <c r="O697" s="51"/>
      <c r="P697" s="51"/>
    </row>
    <row r="698" spans="2:16" x14ac:dyDescent="0.25">
      <c r="B698" s="32"/>
      <c r="C698" s="229"/>
      <c r="D698" s="229"/>
      <c r="E698" s="229"/>
      <c r="F698" s="229"/>
      <c r="G698" s="229"/>
      <c r="H698" s="229"/>
      <c r="I698" s="229"/>
      <c r="J698" s="59"/>
      <c r="K698" s="1"/>
      <c r="L698" s="32"/>
      <c r="M698" s="32"/>
      <c r="N698" s="32"/>
      <c r="O698" s="51"/>
      <c r="P698" s="51"/>
    </row>
    <row r="699" spans="2:16" x14ac:dyDescent="0.25">
      <c r="B699" s="32"/>
      <c r="C699" s="229"/>
      <c r="D699" s="229"/>
      <c r="E699" s="229"/>
      <c r="F699" s="229"/>
      <c r="G699" s="229"/>
      <c r="H699" s="229"/>
      <c r="I699" s="229"/>
      <c r="J699" s="59"/>
      <c r="K699" s="1"/>
      <c r="L699" s="32"/>
      <c r="M699" s="32"/>
      <c r="N699" s="32"/>
      <c r="O699" s="51"/>
      <c r="P699" s="51"/>
    </row>
    <row r="700" spans="2:16" x14ac:dyDescent="0.25">
      <c r="B700" s="32"/>
      <c r="C700" s="229"/>
      <c r="D700" s="229"/>
      <c r="E700" s="229"/>
      <c r="F700" s="229"/>
      <c r="G700" s="229"/>
      <c r="H700" s="229"/>
      <c r="I700" s="229"/>
      <c r="J700" s="59"/>
      <c r="K700" s="1"/>
      <c r="L700" s="32"/>
      <c r="M700" s="32"/>
      <c r="N700" s="32"/>
      <c r="O700" s="51"/>
      <c r="P700" s="51"/>
    </row>
    <row r="701" spans="2:16" x14ac:dyDescent="0.25">
      <c r="B701" s="32"/>
      <c r="C701" s="229"/>
      <c r="D701" s="229"/>
      <c r="E701" s="229"/>
      <c r="F701" s="229"/>
      <c r="G701" s="229"/>
      <c r="H701" s="229"/>
      <c r="I701" s="229"/>
      <c r="J701" s="59"/>
      <c r="K701" s="1"/>
      <c r="L701" s="32"/>
      <c r="M701" s="32"/>
      <c r="N701" s="32"/>
      <c r="O701" s="51"/>
      <c r="P701" s="51"/>
    </row>
    <row r="702" spans="2:16" x14ac:dyDescent="0.25">
      <c r="B702" s="32"/>
      <c r="C702" s="229"/>
      <c r="D702" s="229"/>
      <c r="E702" s="229"/>
      <c r="F702" s="229"/>
      <c r="G702" s="229"/>
      <c r="H702" s="229"/>
      <c r="I702" s="229"/>
      <c r="J702" s="59"/>
      <c r="K702" s="1"/>
      <c r="L702" s="32"/>
      <c r="M702" s="32"/>
      <c r="N702" s="32"/>
      <c r="O702" s="51"/>
      <c r="P702" s="51"/>
    </row>
    <row r="703" spans="2:16" x14ac:dyDescent="0.25">
      <c r="B703" s="32"/>
      <c r="C703" s="229"/>
      <c r="D703" s="229"/>
      <c r="E703" s="229"/>
      <c r="F703" s="229"/>
      <c r="G703" s="229"/>
      <c r="H703" s="229"/>
      <c r="I703" s="229"/>
      <c r="J703" s="59"/>
      <c r="K703" s="1"/>
      <c r="L703" s="32"/>
      <c r="M703" s="32"/>
      <c r="N703" s="32"/>
      <c r="O703" s="51"/>
      <c r="P703" s="51"/>
    </row>
    <row r="704" spans="2:16" x14ac:dyDescent="0.25">
      <c r="B704" s="32"/>
      <c r="C704" s="229"/>
      <c r="D704" s="229"/>
      <c r="E704" s="229"/>
      <c r="F704" s="229"/>
      <c r="G704" s="229"/>
      <c r="H704" s="229"/>
      <c r="I704" s="229"/>
      <c r="J704" s="59"/>
      <c r="K704" s="1"/>
      <c r="L704" s="32"/>
      <c r="M704" s="32"/>
      <c r="N704" s="32"/>
      <c r="O704" s="51"/>
      <c r="P704" s="51"/>
    </row>
    <row r="705" spans="2:16" x14ac:dyDescent="0.25">
      <c r="B705" s="32"/>
      <c r="C705" s="229"/>
      <c r="D705" s="229"/>
      <c r="E705" s="229"/>
      <c r="F705" s="229"/>
      <c r="G705" s="229"/>
      <c r="H705" s="229"/>
      <c r="I705" s="229"/>
      <c r="J705" s="59"/>
      <c r="K705" s="1"/>
      <c r="L705" s="32"/>
      <c r="M705" s="32"/>
      <c r="N705" s="32"/>
      <c r="O705" s="51"/>
      <c r="P705" s="51"/>
    </row>
    <row r="706" spans="2:16" x14ac:dyDescent="0.25">
      <c r="B706" s="32"/>
      <c r="C706" s="229"/>
      <c r="D706" s="229"/>
      <c r="E706" s="229"/>
      <c r="F706" s="229"/>
      <c r="G706" s="229"/>
      <c r="H706" s="229"/>
      <c r="I706" s="229"/>
      <c r="J706" s="59"/>
      <c r="K706" s="1"/>
      <c r="L706" s="32"/>
      <c r="M706" s="32"/>
      <c r="N706" s="32"/>
      <c r="O706" s="51"/>
      <c r="P706" s="51"/>
    </row>
    <row r="707" spans="2:16" x14ac:dyDescent="0.25">
      <c r="B707" s="32"/>
      <c r="C707" s="229"/>
      <c r="D707" s="229"/>
      <c r="E707" s="229"/>
      <c r="F707" s="229"/>
      <c r="G707" s="229"/>
      <c r="H707" s="229"/>
      <c r="I707" s="229"/>
      <c r="J707" s="59"/>
      <c r="K707" s="1"/>
      <c r="L707" s="32"/>
      <c r="M707" s="32"/>
      <c r="N707" s="32"/>
      <c r="O707" s="51"/>
      <c r="P707" s="51"/>
    </row>
    <row r="708" spans="2:16" x14ac:dyDescent="0.25">
      <c r="B708" s="32"/>
      <c r="C708" s="229"/>
      <c r="D708" s="229"/>
      <c r="E708" s="229"/>
      <c r="F708" s="229"/>
      <c r="G708" s="229"/>
      <c r="H708" s="229"/>
      <c r="I708" s="229"/>
      <c r="J708" s="59"/>
      <c r="K708" s="1"/>
      <c r="L708" s="32"/>
      <c r="M708" s="32"/>
      <c r="N708" s="32"/>
      <c r="O708" s="51"/>
      <c r="P708" s="51"/>
    </row>
    <row r="709" spans="2:16" x14ac:dyDescent="0.25">
      <c r="B709" s="32"/>
      <c r="C709" s="229"/>
      <c r="D709" s="229"/>
      <c r="E709" s="229"/>
      <c r="F709" s="229"/>
      <c r="G709" s="229"/>
      <c r="H709" s="229"/>
      <c r="I709" s="229"/>
      <c r="J709" s="59"/>
      <c r="K709" s="1"/>
      <c r="L709" s="32"/>
      <c r="M709" s="32"/>
      <c r="N709" s="32"/>
      <c r="O709" s="51"/>
      <c r="P709" s="51"/>
    </row>
    <row r="710" spans="2:16" x14ac:dyDescent="0.25">
      <c r="B710" s="32"/>
      <c r="C710" s="229"/>
      <c r="D710" s="229"/>
      <c r="E710" s="229"/>
      <c r="F710" s="229"/>
      <c r="G710" s="229"/>
      <c r="H710" s="229"/>
      <c r="I710" s="229"/>
      <c r="J710" s="59"/>
      <c r="K710" s="1"/>
      <c r="L710" s="32"/>
      <c r="M710" s="32"/>
      <c r="N710" s="32"/>
      <c r="O710" s="51"/>
      <c r="P710" s="51"/>
    </row>
    <row r="711" spans="2:16" x14ac:dyDescent="0.25">
      <c r="B711" s="32"/>
      <c r="C711" s="229"/>
      <c r="D711" s="229"/>
      <c r="E711" s="229"/>
      <c r="F711" s="229"/>
      <c r="G711" s="229"/>
      <c r="H711" s="229"/>
      <c r="I711" s="229"/>
      <c r="J711" s="59"/>
      <c r="K711" s="1"/>
      <c r="L711" s="32"/>
      <c r="M711" s="32"/>
      <c r="N711" s="32"/>
      <c r="O711" s="51"/>
      <c r="P711" s="51"/>
    </row>
    <row r="712" spans="2:16" x14ac:dyDescent="0.25">
      <c r="B712" s="32"/>
      <c r="C712" s="229"/>
      <c r="D712" s="229"/>
      <c r="E712" s="229"/>
      <c r="F712" s="229"/>
      <c r="G712" s="229"/>
      <c r="H712" s="229"/>
      <c r="I712" s="229"/>
      <c r="J712" s="59"/>
      <c r="K712" s="1"/>
      <c r="L712" s="32"/>
      <c r="M712" s="32"/>
      <c r="N712" s="32"/>
      <c r="O712" s="51"/>
      <c r="P712" s="51"/>
    </row>
    <row r="713" spans="2:16" x14ac:dyDescent="0.25">
      <c r="B713" s="32"/>
      <c r="C713" s="229"/>
      <c r="D713" s="229"/>
      <c r="E713" s="229"/>
      <c r="F713" s="229"/>
      <c r="G713" s="229"/>
      <c r="H713" s="229"/>
      <c r="I713" s="229"/>
      <c r="J713" s="59"/>
      <c r="K713" s="1"/>
      <c r="L713" s="32"/>
      <c r="M713" s="32"/>
      <c r="N713" s="32"/>
      <c r="O713" s="51"/>
      <c r="P713" s="51"/>
    </row>
    <row r="714" spans="2:16" x14ac:dyDescent="0.25">
      <c r="B714" s="32"/>
      <c r="C714" s="229"/>
      <c r="D714" s="229"/>
      <c r="E714" s="229"/>
      <c r="F714" s="229"/>
      <c r="G714" s="229"/>
      <c r="H714" s="229"/>
      <c r="I714" s="229"/>
      <c r="J714" s="59"/>
      <c r="K714" s="1"/>
      <c r="L714" s="32"/>
      <c r="M714" s="32"/>
      <c r="N714" s="32"/>
      <c r="O714" s="51"/>
      <c r="P714" s="51"/>
    </row>
    <row r="715" spans="2:16" x14ac:dyDescent="0.25">
      <c r="B715" s="32"/>
      <c r="C715" s="229"/>
      <c r="D715" s="229"/>
      <c r="E715" s="229"/>
      <c r="F715" s="229"/>
      <c r="G715" s="229"/>
      <c r="H715" s="229"/>
      <c r="I715" s="229"/>
      <c r="J715" s="59"/>
      <c r="K715" s="1"/>
      <c r="L715" s="32"/>
      <c r="M715" s="32"/>
      <c r="N715" s="32"/>
      <c r="O715" s="51"/>
      <c r="P715" s="51"/>
    </row>
    <row r="716" spans="2:16" x14ac:dyDescent="0.25">
      <c r="B716" s="32"/>
      <c r="C716" s="229"/>
      <c r="D716" s="229"/>
      <c r="E716" s="229"/>
      <c r="F716" s="229"/>
      <c r="G716" s="229"/>
      <c r="H716" s="229"/>
      <c r="I716" s="229"/>
      <c r="J716" s="59"/>
      <c r="K716" s="1"/>
      <c r="L716" s="32"/>
      <c r="M716" s="32"/>
      <c r="N716" s="32"/>
      <c r="O716" s="51"/>
      <c r="P716" s="51"/>
    </row>
    <row r="717" spans="2:16" x14ac:dyDescent="0.25">
      <c r="B717" s="32"/>
      <c r="C717" s="229"/>
      <c r="D717" s="229"/>
      <c r="E717" s="229"/>
      <c r="F717" s="229"/>
      <c r="G717" s="229"/>
      <c r="H717" s="229"/>
      <c r="I717" s="229"/>
      <c r="J717" s="59"/>
      <c r="K717" s="1"/>
      <c r="L717" s="32"/>
      <c r="M717" s="32"/>
      <c r="N717" s="32"/>
      <c r="O717" s="51"/>
      <c r="P717" s="51"/>
    </row>
    <row r="718" spans="2:16" x14ac:dyDescent="0.25">
      <c r="B718" s="32"/>
      <c r="C718" s="229"/>
      <c r="D718" s="229"/>
      <c r="E718" s="229"/>
      <c r="F718" s="229"/>
      <c r="G718" s="229"/>
      <c r="H718" s="229"/>
      <c r="I718" s="229"/>
      <c r="J718" s="59"/>
      <c r="K718" s="1"/>
      <c r="L718" s="32"/>
      <c r="M718" s="32"/>
      <c r="N718" s="32"/>
      <c r="O718" s="51"/>
      <c r="P718" s="51"/>
    </row>
    <row r="719" spans="2:16" x14ac:dyDescent="0.25">
      <c r="B719" s="32"/>
      <c r="C719" s="229"/>
      <c r="D719" s="229"/>
      <c r="E719" s="229"/>
      <c r="F719" s="229"/>
      <c r="G719" s="229"/>
      <c r="H719" s="229"/>
      <c r="I719" s="229"/>
      <c r="J719" s="59"/>
      <c r="K719" s="1"/>
      <c r="L719" s="32"/>
      <c r="M719" s="32"/>
      <c r="N719" s="32"/>
      <c r="O719" s="51"/>
      <c r="P719" s="51"/>
    </row>
    <row r="720" spans="2:16" x14ac:dyDescent="0.25">
      <c r="B720" s="32"/>
      <c r="C720" s="229"/>
      <c r="D720" s="229"/>
      <c r="E720" s="229"/>
      <c r="F720" s="229"/>
      <c r="G720" s="229"/>
      <c r="H720" s="229"/>
      <c r="I720" s="229"/>
      <c r="J720" s="59"/>
      <c r="K720" s="1"/>
      <c r="L720" s="32"/>
      <c r="M720" s="32"/>
      <c r="N720" s="32"/>
      <c r="O720" s="51"/>
      <c r="P720" s="51"/>
    </row>
    <row r="721" spans="2:16" x14ac:dyDescent="0.25">
      <c r="B721" s="32"/>
      <c r="C721" s="229"/>
      <c r="D721" s="229"/>
      <c r="E721" s="229"/>
      <c r="F721" s="229"/>
      <c r="G721" s="229"/>
      <c r="H721" s="229"/>
      <c r="I721" s="229"/>
      <c r="J721" s="59"/>
      <c r="K721" s="1"/>
      <c r="L721" s="32"/>
      <c r="M721" s="32"/>
      <c r="N721" s="32"/>
      <c r="O721" s="51"/>
      <c r="P721" s="51"/>
    </row>
    <row r="722" spans="2:16" x14ac:dyDescent="0.25">
      <c r="B722" s="32"/>
      <c r="C722" s="229"/>
      <c r="D722" s="229"/>
      <c r="E722" s="229"/>
      <c r="F722" s="229"/>
      <c r="G722" s="229"/>
      <c r="H722" s="229"/>
      <c r="I722" s="229"/>
      <c r="J722" s="59"/>
      <c r="K722" s="1"/>
      <c r="L722" s="32"/>
      <c r="M722" s="32"/>
      <c r="N722" s="32"/>
      <c r="O722" s="51"/>
      <c r="P722" s="51"/>
    </row>
    <row r="723" spans="2:16" x14ac:dyDescent="0.25">
      <c r="B723" s="32"/>
      <c r="C723" s="229"/>
      <c r="D723" s="229"/>
      <c r="E723" s="229"/>
      <c r="F723" s="229"/>
      <c r="G723" s="229"/>
      <c r="H723" s="229"/>
      <c r="I723" s="229"/>
      <c r="J723" s="59"/>
      <c r="K723" s="1"/>
      <c r="L723" s="32"/>
      <c r="M723" s="32"/>
      <c r="N723" s="32"/>
      <c r="O723" s="51"/>
      <c r="P723" s="51"/>
    </row>
    <row r="724" spans="2:16" x14ac:dyDescent="0.25">
      <c r="B724" s="32"/>
      <c r="C724" s="229"/>
      <c r="D724" s="229"/>
      <c r="E724" s="229"/>
      <c r="F724" s="229"/>
      <c r="G724" s="229"/>
      <c r="H724" s="229"/>
      <c r="I724" s="229"/>
      <c r="J724" s="59"/>
      <c r="K724" s="1"/>
      <c r="L724" s="32"/>
      <c r="M724" s="32"/>
      <c r="N724" s="32"/>
      <c r="O724" s="51"/>
      <c r="P724" s="51"/>
    </row>
    <row r="725" spans="2:16" x14ac:dyDescent="0.25">
      <c r="B725" s="32"/>
      <c r="C725" s="229"/>
      <c r="D725" s="229"/>
      <c r="E725" s="229"/>
      <c r="F725" s="229"/>
      <c r="G725" s="229"/>
      <c r="H725" s="229"/>
      <c r="I725" s="229"/>
      <c r="J725" s="59"/>
      <c r="K725" s="1"/>
      <c r="L725" s="32"/>
      <c r="M725" s="32"/>
      <c r="N725" s="32"/>
      <c r="O725" s="51"/>
      <c r="P725" s="51"/>
    </row>
    <row r="726" spans="2:16" x14ac:dyDescent="0.25">
      <c r="B726" s="32"/>
      <c r="C726" s="229"/>
      <c r="D726" s="229"/>
      <c r="E726" s="229"/>
      <c r="F726" s="229"/>
      <c r="G726" s="229"/>
      <c r="H726" s="229"/>
      <c r="I726" s="229"/>
      <c r="J726" s="59"/>
      <c r="K726" s="1"/>
      <c r="L726" s="32"/>
      <c r="M726" s="32"/>
      <c r="N726" s="32"/>
      <c r="O726" s="51"/>
      <c r="P726" s="51"/>
    </row>
    <row r="727" spans="2:16" x14ac:dyDescent="0.25">
      <c r="B727" s="32"/>
      <c r="C727" s="229"/>
      <c r="D727" s="229"/>
      <c r="E727" s="229"/>
      <c r="F727" s="229"/>
      <c r="G727" s="229"/>
      <c r="H727" s="229"/>
      <c r="I727" s="229"/>
      <c r="J727" s="59"/>
      <c r="K727" s="1"/>
      <c r="L727" s="32"/>
      <c r="M727" s="32"/>
      <c r="N727" s="32"/>
      <c r="O727" s="51"/>
      <c r="P727" s="51"/>
    </row>
    <row r="728" spans="2:16" x14ac:dyDescent="0.25">
      <c r="B728" s="32"/>
      <c r="C728" s="229"/>
      <c r="D728" s="229"/>
      <c r="E728" s="229"/>
      <c r="F728" s="229"/>
      <c r="G728" s="229"/>
      <c r="H728" s="229"/>
      <c r="I728" s="229"/>
      <c r="J728" s="59"/>
      <c r="K728" s="1"/>
      <c r="L728" s="32"/>
      <c r="M728" s="32"/>
      <c r="N728" s="32"/>
      <c r="O728" s="51"/>
      <c r="P728" s="51"/>
    </row>
    <row r="729" spans="2:16" x14ac:dyDescent="0.25">
      <c r="B729" s="32"/>
      <c r="C729" s="229"/>
      <c r="D729" s="229"/>
      <c r="E729" s="229"/>
      <c r="F729" s="229"/>
      <c r="G729" s="229"/>
      <c r="H729" s="229"/>
      <c r="I729" s="229"/>
      <c r="J729" s="59"/>
      <c r="K729" s="1"/>
      <c r="L729" s="32"/>
      <c r="M729" s="32"/>
      <c r="N729" s="32"/>
      <c r="O729" s="51"/>
      <c r="P729" s="51"/>
    </row>
    <row r="730" spans="2:16" x14ac:dyDescent="0.25">
      <c r="B730" s="32"/>
      <c r="C730" s="229"/>
      <c r="D730" s="229"/>
      <c r="E730" s="229"/>
      <c r="F730" s="229"/>
      <c r="G730" s="229"/>
      <c r="H730" s="229"/>
      <c r="I730" s="229"/>
      <c r="J730" s="59"/>
      <c r="K730" s="1"/>
      <c r="L730" s="32"/>
      <c r="M730" s="32"/>
      <c r="N730" s="32"/>
      <c r="O730" s="51"/>
      <c r="P730" s="51"/>
    </row>
    <row r="731" spans="2:16" x14ac:dyDescent="0.25">
      <c r="B731" s="32"/>
      <c r="C731" s="229"/>
      <c r="D731" s="229"/>
      <c r="E731" s="229"/>
      <c r="F731" s="229"/>
      <c r="G731" s="229"/>
      <c r="H731" s="229"/>
      <c r="I731" s="229"/>
      <c r="J731" s="59"/>
      <c r="K731" s="1"/>
      <c r="L731" s="32"/>
      <c r="M731" s="32"/>
      <c r="N731" s="32"/>
      <c r="O731" s="51"/>
      <c r="P731" s="51"/>
    </row>
    <row r="732" spans="2:16" x14ac:dyDescent="0.25">
      <c r="B732" s="32"/>
      <c r="C732" s="229"/>
      <c r="D732" s="229"/>
      <c r="E732" s="229"/>
      <c r="F732" s="229"/>
      <c r="G732" s="229"/>
      <c r="H732" s="229"/>
      <c r="I732" s="229"/>
      <c r="J732" s="59"/>
      <c r="K732" s="1"/>
      <c r="L732" s="32"/>
      <c r="M732" s="32"/>
      <c r="N732" s="32"/>
      <c r="O732" s="51"/>
      <c r="P732" s="51"/>
    </row>
    <row r="733" spans="2:16" x14ac:dyDescent="0.25">
      <c r="B733" s="32"/>
      <c r="C733" s="229"/>
      <c r="D733" s="229"/>
      <c r="E733" s="229"/>
      <c r="F733" s="229"/>
      <c r="G733" s="229"/>
      <c r="H733" s="229"/>
      <c r="I733" s="229"/>
      <c r="J733" s="59"/>
      <c r="K733" s="1"/>
      <c r="L733" s="32"/>
      <c r="M733" s="32"/>
      <c r="N733" s="32"/>
      <c r="O733" s="51"/>
      <c r="P733" s="51"/>
    </row>
    <row r="734" spans="2:16" x14ac:dyDescent="0.25">
      <c r="B734" s="32"/>
      <c r="C734" s="229"/>
      <c r="D734" s="229"/>
      <c r="E734" s="229"/>
      <c r="F734" s="229"/>
      <c r="G734" s="229"/>
      <c r="H734" s="229"/>
      <c r="I734" s="229"/>
      <c r="J734" s="59"/>
      <c r="K734" s="1"/>
      <c r="L734" s="32"/>
      <c r="M734" s="32"/>
      <c r="N734" s="32"/>
      <c r="O734" s="51"/>
      <c r="P734" s="51"/>
    </row>
    <row r="735" spans="2:16" x14ac:dyDescent="0.25">
      <c r="B735" s="32"/>
      <c r="C735" s="229"/>
      <c r="D735" s="229"/>
      <c r="E735" s="229"/>
      <c r="F735" s="229"/>
      <c r="G735" s="229"/>
      <c r="H735" s="229"/>
      <c r="I735" s="229"/>
      <c r="J735" s="59"/>
      <c r="K735" s="1"/>
      <c r="L735" s="32"/>
      <c r="M735" s="32"/>
      <c r="N735" s="32"/>
      <c r="O735" s="51"/>
      <c r="P735" s="51"/>
    </row>
    <row r="736" spans="2:16" x14ac:dyDescent="0.25">
      <c r="B736" s="32"/>
      <c r="C736" s="229"/>
      <c r="D736" s="229"/>
      <c r="E736" s="229"/>
      <c r="F736" s="229"/>
      <c r="G736" s="229"/>
      <c r="H736" s="229"/>
      <c r="I736" s="229"/>
      <c r="J736" s="59"/>
      <c r="K736" s="1"/>
      <c r="L736" s="32"/>
      <c r="M736" s="32"/>
      <c r="N736" s="32"/>
      <c r="O736" s="51"/>
      <c r="P736" s="51"/>
    </row>
    <row r="737" spans="2:16" x14ac:dyDescent="0.25">
      <c r="B737" s="32"/>
      <c r="C737" s="229"/>
      <c r="D737" s="229"/>
      <c r="E737" s="229"/>
      <c r="F737" s="229"/>
      <c r="G737" s="229"/>
      <c r="H737" s="229"/>
      <c r="I737" s="229"/>
      <c r="J737" s="59"/>
      <c r="K737" s="1"/>
      <c r="L737" s="32"/>
      <c r="M737" s="32"/>
      <c r="N737" s="32"/>
      <c r="O737" s="51"/>
      <c r="P737" s="51"/>
    </row>
    <row r="738" spans="2:16" x14ac:dyDescent="0.25">
      <c r="B738" s="32"/>
      <c r="C738" s="229"/>
      <c r="D738" s="229"/>
      <c r="E738" s="229"/>
      <c r="F738" s="229"/>
      <c r="G738" s="229"/>
      <c r="H738" s="229"/>
      <c r="I738" s="229"/>
      <c r="J738" s="59"/>
      <c r="K738" s="1"/>
      <c r="L738" s="32"/>
      <c r="M738" s="32"/>
      <c r="N738" s="32"/>
      <c r="O738" s="51"/>
      <c r="P738" s="51"/>
    </row>
    <row r="739" spans="2:16" x14ac:dyDescent="0.25">
      <c r="B739" s="32"/>
      <c r="C739" s="229"/>
      <c r="D739" s="229"/>
      <c r="E739" s="229"/>
      <c r="F739" s="229"/>
      <c r="G739" s="229"/>
      <c r="H739" s="229"/>
      <c r="I739" s="229"/>
      <c r="J739" s="59"/>
      <c r="K739" s="1"/>
      <c r="L739" s="32"/>
      <c r="M739" s="32"/>
      <c r="N739" s="32"/>
      <c r="O739" s="51"/>
      <c r="P739" s="51"/>
    </row>
    <row r="740" spans="2:16" x14ac:dyDescent="0.25">
      <c r="B740" s="32"/>
      <c r="C740" s="229"/>
      <c r="D740" s="229"/>
      <c r="E740" s="229"/>
      <c r="F740" s="229"/>
      <c r="G740" s="229"/>
      <c r="H740" s="229"/>
      <c r="I740" s="229"/>
      <c r="J740" s="59"/>
      <c r="K740" s="1"/>
      <c r="L740" s="32"/>
      <c r="M740" s="32"/>
      <c r="N740" s="32"/>
      <c r="O740" s="51"/>
      <c r="P740" s="51"/>
    </row>
    <row r="741" spans="2:16" x14ac:dyDescent="0.25">
      <c r="B741" s="32"/>
      <c r="C741" s="229"/>
      <c r="D741" s="229"/>
      <c r="E741" s="229"/>
      <c r="F741" s="229"/>
      <c r="G741" s="229"/>
      <c r="H741" s="229"/>
      <c r="I741" s="229"/>
      <c r="J741" s="59"/>
      <c r="K741" s="1"/>
      <c r="L741" s="32"/>
      <c r="M741" s="32"/>
      <c r="N741" s="32"/>
      <c r="O741" s="51"/>
      <c r="P741" s="51"/>
    </row>
    <row r="742" spans="2:16" x14ac:dyDescent="0.25">
      <c r="B742" s="32"/>
      <c r="C742" s="229"/>
      <c r="D742" s="229"/>
      <c r="E742" s="229"/>
      <c r="F742" s="229"/>
      <c r="G742" s="229"/>
      <c r="H742" s="229"/>
      <c r="I742" s="229"/>
      <c r="J742" s="59"/>
      <c r="K742" s="1"/>
      <c r="L742" s="32"/>
      <c r="M742" s="32"/>
      <c r="N742" s="32"/>
      <c r="O742" s="51"/>
      <c r="P742" s="51"/>
    </row>
    <row r="743" spans="2:16" x14ac:dyDescent="0.25">
      <c r="B743" s="32"/>
      <c r="C743" s="229"/>
      <c r="D743" s="229"/>
      <c r="E743" s="229"/>
      <c r="F743" s="229"/>
      <c r="G743" s="229"/>
      <c r="H743" s="229"/>
      <c r="I743" s="229"/>
      <c r="J743" s="59"/>
      <c r="K743" s="1"/>
      <c r="L743" s="32"/>
      <c r="M743" s="32"/>
      <c r="N743" s="32"/>
      <c r="O743" s="51"/>
      <c r="P743" s="51"/>
    </row>
    <row r="744" spans="2:16" x14ac:dyDescent="0.25">
      <c r="B744" s="32"/>
      <c r="C744" s="229"/>
      <c r="D744" s="229"/>
      <c r="E744" s="229"/>
      <c r="F744" s="229"/>
      <c r="G744" s="229"/>
      <c r="H744" s="229"/>
      <c r="I744" s="229"/>
      <c r="J744" s="59"/>
      <c r="K744" s="1"/>
      <c r="L744" s="32"/>
      <c r="M744" s="32"/>
      <c r="N744" s="32"/>
      <c r="O744" s="51"/>
      <c r="P744" s="51"/>
    </row>
    <row r="745" spans="2:16" x14ac:dyDescent="0.25">
      <c r="B745" s="32"/>
      <c r="C745" s="229"/>
      <c r="D745" s="229"/>
      <c r="E745" s="229"/>
      <c r="F745" s="229"/>
      <c r="G745" s="229"/>
      <c r="H745" s="229"/>
      <c r="I745" s="229"/>
      <c r="J745" s="59"/>
      <c r="K745" s="1"/>
      <c r="L745" s="32"/>
      <c r="M745" s="32"/>
      <c r="N745" s="32"/>
      <c r="O745" s="51"/>
      <c r="P745" s="51"/>
    </row>
    <row r="746" spans="2:16" x14ac:dyDescent="0.25">
      <c r="B746" s="32"/>
      <c r="C746" s="229"/>
      <c r="D746" s="229"/>
      <c r="E746" s="229"/>
      <c r="F746" s="229"/>
      <c r="G746" s="229"/>
      <c r="H746" s="229"/>
      <c r="I746" s="229"/>
      <c r="J746" s="59"/>
      <c r="K746" s="1"/>
      <c r="L746" s="32"/>
      <c r="M746" s="32"/>
      <c r="N746" s="32"/>
      <c r="O746" s="51"/>
      <c r="P746" s="51"/>
    </row>
    <row r="747" spans="2:16" x14ac:dyDescent="0.25">
      <c r="B747" s="32"/>
      <c r="C747" s="229"/>
      <c r="D747" s="229"/>
      <c r="E747" s="229"/>
      <c r="F747" s="229"/>
      <c r="G747" s="229"/>
      <c r="H747" s="229"/>
      <c r="I747" s="229"/>
      <c r="J747" s="59"/>
      <c r="K747" s="1"/>
      <c r="L747" s="32"/>
      <c r="M747" s="32"/>
      <c r="N747" s="32"/>
      <c r="O747" s="51"/>
      <c r="P747" s="51"/>
    </row>
    <row r="748" spans="2:16" x14ac:dyDescent="0.25">
      <c r="B748" s="32"/>
      <c r="C748" s="229"/>
      <c r="D748" s="229"/>
      <c r="E748" s="229"/>
      <c r="F748" s="229"/>
      <c r="G748" s="229"/>
      <c r="H748" s="229"/>
      <c r="I748" s="229"/>
      <c r="J748" s="59"/>
      <c r="K748" s="1"/>
      <c r="L748" s="32"/>
      <c r="M748" s="32"/>
      <c r="N748" s="32"/>
      <c r="O748" s="51"/>
      <c r="P748" s="51"/>
    </row>
    <row r="749" spans="2:16" x14ac:dyDescent="0.25">
      <c r="B749" s="32"/>
      <c r="C749" s="229"/>
      <c r="D749" s="229"/>
      <c r="E749" s="229"/>
      <c r="F749" s="229"/>
      <c r="G749" s="229"/>
      <c r="H749" s="229"/>
      <c r="I749" s="229"/>
      <c r="J749" s="59"/>
      <c r="K749" s="1"/>
      <c r="L749" s="32"/>
      <c r="M749" s="32"/>
      <c r="N749" s="32"/>
      <c r="O749" s="51"/>
      <c r="P749" s="51"/>
    </row>
    <row r="750" spans="2:16" x14ac:dyDescent="0.25">
      <c r="B750" s="32"/>
      <c r="C750" s="229"/>
      <c r="D750" s="229"/>
      <c r="E750" s="229"/>
      <c r="F750" s="229"/>
      <c r="G750" s="229"/>
      <c r="H750" s="229"/>
      <c r="I750" s="229"/>
      <c r="J750" s="59"/>
      <c r="K750" s="1"/>
      <c r="L750" s="32"/>
      <c r="M750" s="32"/>
      <c r="N750" s="32"/>
      <c r="O750" s="51"/>
      <c r="P750" s="51"/>
    </row>
    <row r="751" spans="2:16" x14ac:dyDescent="0.25">
      <c r="B751" s="32"/>
      <c r="C751" s="229"/>
      <c r="D751" s="229"/>
      <c r="E751" s="229"/>
      <c r="F751" s="229"/>
      <c r="G751" s="229"/>
      <c r="H751" s="229"/>
      <c r="I751" s="229"/>
      <c r="J751" s="59"/>
      <c r="K751" s="1"/>
      <c r="L751" s="32"/>
      <c r="M751" s="32"/>
      <c r="N751" s="32"/>
      <c r="O751" s="51"/>
      <c r="P751" s="51"/>
    </row>
    <row r="752" spans="2:16" x14ac:dyDescent="0.25">
      <c r="B752" s="32"/>
      <c r="C752" s="229"/>
      <c r="D752" s="229"/>
      <c r="E752" s="229"/>
      <c r="F752" s="229"/>
      <c r="G752" s="229"/>
      <c r="H752" s="229"/>
      <c r="I752" s="229"/>
      <c r="J752" s="59"/>
      <c r="K752" s="1"/>
      <c r="L752" s="32"/>
      <c r="M752" s="32"/>
      <c r="N752" s="32"/>
      <c r="O752" s="51"/>
      <c r="P752" s="51"/>
    </row>
    <row r="753" spans="2:16" x14ac:dyDescent="0.25">
      <c r="B753" s="32"/>
      <c r="C753" s="229"/>
      <c r="D753" s="229"/>
      <c r="E753" s="229"/>
      <c r="F753" s="229"/>
      <c r="G753" s="229"/>
      <c r="H753" s="229"/>
      <c r="I753" s="229"/>
      <c r="J753" s="59"/>
      <c r="K753" s="1"/>
      <c r="L753" s="32"/>
      <c r="M753" s="32"/>
      <c r="N753" s="32"/>
      <c r="O753" s="51"/>
      <c r="P753" s="51"/>
    </row>
    <row r="754" spans="2:16" x14ac:dyDescent="0.25">
      <c r="B754" s="32"/>
      <c r="C754" s="229"/>
      <c r="D754" s="229"/>
      <c r="E754" s="229"/>
      <c r="F754" s="229"/>
      <c r="G754" s="229"/>
      <c r="H754" s="229"/>
      <c r="I754" s="229"/>
      <c r="J754" s="59"/>
      <c r="K754" s="1"/>
      <c r="L754" s="32"/>
      <c r="M754" s="32"/>
      <c r="N754" s="32"/>
      <c r="O754" s="51"/>
      <c r="P754" s="51"/>
    </row>
    <row r="755" spans="2:16" x14ac:dyDescent="0.25">
      <c r="B755" s="32"/>
      <c r="C755" s="229"/>
      <c r="D755" s="229"/>
      <c r="E755" s="229"/>
      <c r="F755" s="229"/>
      <c r="G755" s="229"/>
      <c r="H755" s="229"/>
      <c r="I755" s="229"/>
      <c r="J755" s="59"/>
      <c r="K755" s="1"/>
      <c r="L755" s="32"/>
      <c r="M755" s="32"/>
      <c r="N755" s="32"/>
      <c r="O755" s="51"/>
      <c r="P755" s="51"/>
    </row>
    <row r="756" spans="2:16" x14ac:dyDescent="0.25">
      <c r="B756" s="32"/>
      <c r="C756" s="229"/>
      <c r="D756" s="229"/>
      <c r="E756" s="229"/>
      <c r="F756" s="229"/>
      <c r="G756" s="229"/>
      <c r="H756" s="229"/>
      <c r="I756" s="229"/>
      <c r="J756" s="59"/>
      <c r="K756" s="1"/>
      <c r="L756" s="32"/>
      <c r="M756" s="32"/>
      <c r="N756" s="32"/>
      <c r="O756" s="51"/>
      <c r="P756" s="51"/>
    </row>
    <row r="757" spans="2:16" x14ac:dyDescent="0.25">
      <c r="B757" s="32"/>
      <c r="C757" s="229"/>
      <c r="D757" s="229"/>
      <c r="E757" s="229"/>
      <c r="F757" s="229"/>
      <c r="G757" s="229"/>
      <c r="H757" s="229"/>
      <c r="I757" s="229"/>
      <c r="J757" s="59"/>
      <c r="K757" s="1"/>
      <c r="L757" s="32"/>
      <c r="M757" s="32"/>
      <c r="N757" s="32"/>
      <c r="O757" s="51"/>
      <c r="P757" s="51"/>
    </row>
    <row r="758" spans="2:16" x14ac:dyDescent="0.25">
      <c r="B758" s="32"/>
      <c r="C758" s="229"/>
      <c r="D758" s="229"/>
      <c r="E758" s="229"/>
      <c r="F758" s="229"/>
      <c r="G758" s="229"/>
      <c r="H758" s="229"/>
      <c r="I758" s="229"/>
      <c r="J758" s="59"/>
      <c r="K758" s="1"/>
      <c r="L758" s="32"/>
      <c r="M758" s="32"/>
      <c r="N758" s="32"/>
      <c r="O758" s="51"/>
      <c r="P758" s="51"/>
    </row>
    <row r="759" spans="2:16" x14ac:dyDescent="0.25">
      <c r="B759" s="32"/>
      <c r="C759" s="229"/>
      <c r="D759" s="229"/>
      <c r="E759" s="229"/>
      <c r="F759" s="229"/>
      <c r="G759" s="229"/>
      <c r="H759" s="229"/>
      <c r="I759" s="229"/>
      <c r="J759" s="59"/>
      <c r="K759" s="1"/>
      <c r="L759" s="32"/>
      <c r="M759" s="32"/>
      <c r="N759" s="32"/>
      <c r="O759" s="51"/>
      <c r="P759" s="51"/>
    </row>
    <row r="760" spans="2:16" x14ac:dyDescent="0.25">
      <c r="B760" s="32"/>
      <c r="C760" s="229"/>
      <c r="D760" s="229"/>
      <c r="E760" s="229"/>
      <c r="F760" s="229"/>
      <c r="G760" s="229"/>
      <c r="H760" s="229"/>
      <c r="I760" s="229"/>
      <c r="J760" s="59"/>
      <c r="K760" s="1"/>
      <c r="L760" s="32"/>
      <c r="M760" s="32"/>
      <c r="N760" s="32"/>
      <c r="O760" s="51"/>
      <c r="P760" s="51"/>
    </row>
    <row r="761" spans="2:16" x14ac:dyDescent="0.25">
      <c r="B761" s="32"/>
      <c r="C761" s="229"/>
      <c r="D761" s="229"/>
      <c r="E761" s="229"/>
      <c r="F761" s="229"/>
      <c r="G761" s="229"/>
      <c r="H761" s="229"/>
      <c r="I761" s="229"/>
      <c r="J761" s="59"/>
      <c r="K761" s="1"/>
      <c r="L761" s="32"/>
      <c r="M761" s="32"/>
      <c r="N761" s="32"/>
      <c r="O761" s="51"/>
      <c r="P761" s="51"/>
    </row>
    <row r="762" spans="2:16" x14ac:dyDescent="0.25">
      <c r="B762" s="32"/>
      <c r="C762" s="229"/>
      <c r="D762" s="229"/>
      <c r="E762" s="229"/>
      <c r="F762" s="229"/>
      <c r="G762" s="229"/>
      <c r="H762" s="229"/>
      <c r="I762" s="229"/>
      <c r="J762" s="59"/>
      <c r="K762" s="1"/>
      <c r="L762" s="32"/>
      <c r="M762" s="32"/>
      <c r="N762" s="32"/>
      <c r="O762" s="51"/>
      <c r="P762" s="51"/>
    </row>
    <row r="763" spans="2:16" x14ac:dyDescent="0.25">
      <c r="B763" s="32"/>
      <c r="C763" s="229"/>
      <c r="D763" s="229"/>
      <c r="E763" s="229"/>
      <c r="F763" s="229"/>
      <c r="G763" s="229"/>
      <c r="H763" s="229"/>
      <c r="I763" s="229"/>
      <c r="J763" s="59"/>
      <c r="K763" s="1"/>
      <c r="L763" s="32"/>
      <c r="M763" s="32"/>
      <c r="N763" s="32"/>
      <c r="O763" s="51"/>
      <c r="P763" s="51"/>
    </row>
    <row r="764" spans="2:16" x14ac:dyDescent="0.25">
      <c r="B764" s="32"/>
      <c r="C764" s="229"/>
      <c r="D764" s="229"/>
      <c r="E764" s="229"/>
      <c r="F764" s="229"/>
      <c r="G764" s="229"/>
      <c r="H764" s="229"/>
      <c r="I764" s="229"/>
      <c r="J764" s="59"/>
      <c r="K764" s="1"/>
      <c r="L764" s="32"/>
      <c r="M764" s="32"/>
      <c r="N764" s="32"/>
      <c r="O764" s="51"/>
      <c r="P764" s="51"/>
    </row>
    <row r="765" spans="2:16" x14ac:dyDescent="0.25">
      <c r="B765" s="32"/>
      <c r="C765" s="229"/>
      <c r="D765" s="229"/>
      <c r="E765" s="229"/>
      <c r="F765" s="229"/>
      <c r="G765" s="229"/>
      <c r="H765" s="229"/>
      <c r="I765" s="229"/>
      <c r="J765" s="59"/>
      <c r="K765" s="1"/>
      <c r="L765" s="32"/>
      <c r="M765" s="32"/>
      <c r="N765" s="32"/>
      <c r="O765" s="51"/>
      <c r="P765" s="51"/>
    </row>
    <row r="766" spans="2:16" x14ac:dyDescent="0.25">
      <c r="B766" s="32"/>
      <c r="C766" s="229"/>
      <c r="D766" s="229"/>
      <c r="E766" s="229"/>
      <c r="F766" s="229"/>
      <c r="G766" s="229"/>
      <c r="H766" s="229"/>
      <c r="I766" s="229"/>
      <c r="J766" s="59"/>
      <c r="K766" s="1"/>
      <c r="L766" s="32"/>
      <c r="M766" s="32"/>
      <c r="N766" s="32"/>
      <c r="O766" s="51"/>
      <c r="P766" s="51"/>
    </row>
    <row r="767" spans="2:16" x14ac:dyDescent="0.25">
      <c r="B767" s="32"/>
      <c r="C767" s="229"/>
      <c r="D767" s="229"/>
      <c r="E767" s="229"/>
      <c r="F767" s="229"/>
      <c r="G767" s="229"/>
      <c r="H767" s="229"/>
      <c r="I767" s="229"/>
      <c r="J767" s="59"/>
      <c r="K767" s="1"/>
      <c r="L767" s="32"/>
      <c r="M767" s="32"/>
      <c r="N767" s="32"/>
      <c r="O767" s="51"/>
      <c r="P767" s="51"/>
    </row>
    <row r="768" spans="2:16" x14ac:dyDescent="0.25">
      <c r="B768" s="32"/>
      <c r="C768" s="229"/>
      <c r="D768" s="229"/>
      <c r="E768" s="229"/>
      <c r="F768" s="229"/>
      <c r="G768" s="229"/>
      <c r="H768" s="229"/>
      <c r="I768" s="229"/>
      <c r="J768" s="59"/>
      <c r="K768" s="1"/>
      <c r="L768" s="32"/>
      <c r="M768" s="32"/>
      <c r="N768" s="32"/>
      <c r="O768" s="51"/>
      <c r="P768" s="51"/>
    </row>
    <row r="769" spans="2:16" x14ac:dyDescent="0.25">
      <c r="B769" s="32"/>
      <c r="C769" s="229"/>
      <c r="D769" s="229"/>
      <c r="E769" s="229"/>
      <c r="F769" s="229"/>
      <c r="G769" s="229"/>
      <c r="H769" s="229"/>
      <c r="I769" s="229"/>
      <c r="J769" s="59"/>
      <c r="K769" s="1"/>
      <c r="L769" s="32"/>
      <c r="M769" s="32"/>
      <c r="N769" s="32"/>
      <c r="O769" s="51"/>
      <c r="P769" s="51"/>
    </row>
    <row r="770" spans="2:16" x14ac:dyDescent="0.25">
      <c r="B770" s="32"/>
      <c r="C770" s="229"/>
      <c r="D770" s="229"/>
      <c r="E770" s="229"/>
      <c r="F770" s="229"/>
      <c r="G770" s="229"/>
      <c r="H770" s="229"/>
      <c r="I770" s="229"/>
      <c r="J770" s="59"/>
      <c r="K770" s="1"/>
      <c r="L770" s="32"/>
      <c r="M770" s="32"/>
      <c r="N770" s="32"/>
      <c r="O770" s="51"/>
      <c r="P770" s="51"/>
    </row>
    <row r="771" spans="2:16" x14ac:dyDescent="0.25">
      <c r="B771" s="32"/>
      <c r="C771" s="229"/>
      <c r="D771" s="229"/>
      <c r="E771" s="229"/>
      <c r="F771" s="229"/>
      <c r="G771" s="229"/>
      <c r="H771" s="229"/>
      <c r="I771" s="229"/>
      <c r="J771" s="59"/>
      <c r="K771" s="1"/>
      <c r="L771" s="32"/>
      <c r="M771" s="32"/>
      <c r="N771" s="32"/>
      <c r="O771" s="51"/>
      <c r="P771" s="51"/>
    </row>
    <row r="772" spans="2:16" x14ac:dyDescent="0.25">
      <c r="B772" s="32"/>
      <c r="C772" s="229"/>
      <c r="D772" s="229"/>
      <c r="E772" s="229"/>
      <c r="F772" s="229"/>
      <c r="G772" s="229"/>
      <c r="H772" s="229"/>
      <c r="I772" s="229"/>
      <c r="J772" s="59"/>
      <c r="K772" s="1"/>
      <c r="L772" s="32"/>
      <c r="M772" s="32"/>
      <c r="N772" s="32"/>
      <c r="O772" s="51"/>
      <c r="P772" s="51"/>
    </row>
    <row r="773" spans="2:16" x14ac:dyDescent="0.25">
      <c r="B773" s="32"/>
      <c r="C773" s="229"/>
      <c r="D773" s="229"/>
      <c r="E773" s="229"/>
      <c r="F773" s="229"/>
      <c r="G773" s="229"/>
      <c r="H773" s="229"/>
      <c r="I773" s="229"/>
      <c r="J773" s="59"/>
      <c r="K773" s="1"/>
      <c r="L773" s="32"/>
      <c r="M773" s="32"/>
      <c r="N773" s="32"/>
      <c r="O773" s="51"/>
      <c r="P773" s="51"/>
    </row>
    <row r="774" spans="2:16" x14ac:dyDescent="0.25">
      <c r="B774" s="32"/>
      <c r="C774" s="229"/>
      <c r="D774" s="229"/>
      <c r="E774" s="229"/>
      <c r="F774" s="229"/>
      <c r="G774" s="229"/>
      <c r="H774" s="229"/>
      <c r="I774" s="229"/>
      <c r="J774" s="59"/>
      <c r="K774" s="1"/>
      <c r="L774" s="32"/>
      <c r="M774" s="32"/>
      <c r="N774" s="32"/>
      <c r="O774" s="51"/>
      <c r="P774" s="51"/>
    </row>
    <row r="775" spans="2:16" x14ac:dyDescent="0.25">
      <c r="B775" s="32"/>
      <c r="C775" s="229"/>
      <c r="D775" s="229"/>
      <c r="E775" s="229"/>
      <c r="F775" s="229"/>
      <c r="G775" s="229"/>
      <c r="H775" s="229"/>
      <c r="I775" s="229"/>
      <c r="J775" s="59"/>
      <c r="K775" s="1"/>
      <c r="L775" s="32"/>
      <c r="M775" s="32"/>
      <c r="N775" s="32"/>
      <c r="O775" s="51"/>
      <c r="P775" s="51"/>
    </row>
    <row r="776" spans="2:16" x14ac:dyDescent="0.25">
      <c r="B776" s="32"/>
      <c r="C776" s="229"/>
      <c r="D776" s="229"/>
      <c r="E776" s="229"/>
      <c r="F776" s="229"/>
      <c r="G776" s="229"/>
      <c r="H776" s="229"/>
      <c r="I776" s="229"/>
      <c r="J776" s="59"/>
      <c r="K776" s="1"/>
      <c r="L776" s="32"/>
      <c r="M776" s="32"/>
      <c r="N776" s="32"/>
      <c r="O776" s="51"/>
      <c r="P776" s="51"/>
    </row>
    <row r="777" spans="2:16" x14ac:dyDescent="0.25">
      <c r="B777" s="32"/>
      <c r="C777" s="229"/>
      <c r="D777" s="229"/>
      <c r="E777" s="229"/>
      <c r="F777" s="229"/>
      <c r="G777" s="229"/>
      <c r="H777" s="229"/>
      <c r="I777" s="229"/>
      <c r="J777" s="59"/>
      <c r="K777" s="1"/>
      <c r="L777" s="32"/>
      <c r="M777" s="32"/>
      <c r="N777" s="32"/>
      <c r="O777" s="51"/>
      <c r="P777" s="51"/>
    </row>
    <row r="778" spans="2:16" x14ac:dyDescent="0.25">
      <c r="B778" s="32"/>
      <c r="C778" s="229"/>
      <c r="D778" s="229"/>
      <c r="E778" s="229"/>
      <c r="F778" s="229"/>
      <c r="G778" s="229"/>
      <c r="H778" s="229"/>
      <c r="I778" s="229"/>
      <c r="J778" s="59"/>
      <c r="K778" s="1"/>
      <c r="L778" s="32"/>
      <c r="M778" s="32"/>
      <c r="N778" s="32"/>
      <c r="O778" s="51"/>
      <c r="P778" s="51"/>
    </row>
    <row r="779" spans="2:16" x14ac:dyDescent="0.25">
      <c r="B779" s="32"/>
      <c r="C779" s="229"/>
      <c r="D779" s="229"/>
      <c r="E779" s="229"/>
      <c r="F779" s="229"/>
      <c r="G779" s="229"/>
      <c r="H779" s="229"/>
      <c r="I779" s="229"/>
      <c r="J779" s="59"/>
      <c r="K779" s="1"/>
      <c r="L779" s="32"/>
      <c r="M779" s="32"/>
      <c r="N779" s="32"/>
      <c r="O779" s="51"/>
      <c r="P779" s="51"/>
    </row>
    <row r="780" spans="2:16" x14ac:dyDescent="0.25">
      <c r="B780" s="32"/>
      <c r="C780" s="229"/>
      <c r="D780" s="229"/>
      <c r="E780" s="229"/>
      <c r="F780" s="229"/>
      <c r="G780" s="229"/>
      <c r="H780" s="229"/>
      <c r="I780" s="229"/>
      <c r="J780" s="59"/>
      <c r="K780" s="1"/>
      <c r="L780" s="32"/>
      <c r="M780" s="32"/>
      <c r="N780" s="32"/>
      <c r="O780" s="51"/>
      <c r="P780" s="51"/>
    </row>
    <row r="781" spans="2:16" x14ac:dyDescent="0.25">
      <c r="B781" s="32"/>
      <c r="C781" s="229"/>
      <c r="D781" s="229"/>
      <c r="E781" s="229"/>
      <c r="F781" s="229"/>
      <c r="G781" s="229"/>
      <c r="H781" s="229"/>
      <c r="I781" s="229"/>
      <c r="J781" s="59"/>
      <c r="K781" s="1"/>
      <c r="L781" s="32"/>
      <c r="M781" s="32"/>
      <c r="N781" s="32"/>
      <c r="O781" s="51"/>
      <c r="P781" s="51"/>
    </row>
    <row r="782" spans="2:16" x14ac:dyDescent="0.25">
      <c r="B782" s="32"/>
      <c r="C782" s="229"/>
      <c r="D782" s="229"/>
      <c r="E782" s="229"/>
      <c r="F782" s="229"/>
      <c r="G782" s="229"/>
      <c r="H782" s="229"/>
      <c r="I782" s="229"/>
      <c r="J782" s="59"/>
      <c r="K782" s="1"/>
      <c r="L782" s="32"/>
      <c r="M782" s="32"/>
      <c r="N782" s="32"/>
      <c r="O782" s="51"/>
      <c r="P782" s="51"/>
    </row>
    <row r="783" spans="2:16" x14ac:dyDescent="0.25">
      <c r="B783" s="32"/>
      <c r="C783" s="229"/>
      <c r="D783" s="229"/>
      <c r="E783" s="229"/>
      <c r="F783" s="229"/>
      <c r="G783" s="229"/>
      <c r="H783" s="229"/>
      <c r="I783" s="229"/>
      <c r="J783" s="59"/>
      <c r="K783" s="1"/>
      <c r="L783" s="32"/>
      <c r="M783" s="32"/>
      <c r="N783" s="32"/>
      <c r="O783" s="51"/>
      <c r="P783" s="51"/>
    </row>
    <row r="784" spans="2:16" x14ac:dyDescent="0.25">
      <c r="B784" s="32"/>
      <c r="C784" s="229"/>
      <c r="D784" s="229"/>
      <c r="E784" s="229"/>
      <c r="F784" s="229"/>
      <c r="G784" s="229"/>
      <c r="H784" s="229"/>
      <c r="I784" s="229"/>
      <c r="J784" s="59"/>
      <c r="K784" s="1"/>
      <c r="L784" s="32"/>
      <c r="M784" s="32"/>
      <c r="N784" s="32"/>
      <c r="O784" s="51"/>
      <c r="P784" s="51"/>
    </row>
    <row r="785" spans="2:16" x14ac:dyDescent="0.25">
      <c r="B785" s="32"/>
      <c r="C785" s="229"/>
      <c r="D785" s="229"/>
      <c r="E785" s="229"/>
      <c r="F785" s="229"/>
      <c r="G785" s="229"/>
      <c r="H785" s="229"/>
      <c r="I785" s="229"/>
      <c r="J785" s="59"/>
      <c r="K785" s="1"/>
      <c r="L785" s="32"/>
      <c r="M785" s="32"/>
      <c r="N785" s="32"/>
      <c r="O785" s="51"/>
      <c r="P785" s="51"/>
    </row>
    <row r="786" spans="2:16" x14ac:dyDescent="0.25">
      <c r="B786" s="32"/>
      <c r="C786" s="229"/>
      <c r="D786" s="229"/>
      <c r="E786" s="229"/>
      <c r="F786" s="229"/>
      <c r="G786" s="229"/>
      <c r="H786" s="229"/>
      <c r="I786" s="229"/>
      <c r="J786" s="59"/>
      <c r="K786" s="1"/>
      <c r="L786" s="32"/>
      <c r="M786" s="32"/>
      <c r="N786" s="32"/>
      <c r="O786" s="51"/>
      <c r="P786" s="51"/>
    </row>
    <row r="787" spans="2:16" x14ac:dyDescent="0.25">
      <c r="B787" s="32"/>
      <c r="C787" s="229"/>
      <c r="D787" s="229"/>
      <c r="E787" s="229"/>
      <c r="F787" s="229"/>
      <c r="G787" s="229"/>
      <c r="H787" s="229"/>
      <c r="I787" s="229"/>
      <c r="J787" s="59"/>
      <c r="K787" s="1"/>
      <c r="L787" s="32"/>
      <c r="M787" s="32"/>
      <c r="N787" s="32"/>
      <c r="O787" s="51"/>
      <c r="P787" s="51"/>
    </row>
    <row r="788" spans="2:16" x14ac:dyDescent="0.25">
      <c r="B788" s="32"/>
      <c r="C788" s="229"/>
      <c r="D788" s="229"/>
      <c r="E788" s="229"/>
      <c r="F788" s="229"/>
      <c r="G788" s="229"/>
      <c r="H788" s="229"/>
      <c r="I788" s="229"/>
      <c r="J788" s="59"/>
      <c r="K788" s="1"/>
      <c r="L788" s="32"/>
      <c r="M788" s="32"/>
      <c r="N788" s="32"/>
      <c r="O788" s="51"/>
      <c r="P788" s="51"/>
    </row>
    <row r="789" spans="2:16" x14ac:dyDescent="0.25">
      <c r="B789" s="32"/>
      <c r="C789" s="229"/>
      <c r="D789" s="229"/>
      <c r="E789" s="229"/>
      <c r="F789" s="229"/>
      <c r="G789" s="229"/>
      <c r="H789" s="229"/>
      <c r="I789" s="229"/>
      <c r="J789" s="59"/>
      <c r="K789" s="1"/>
      <c r="L789" s="32"/>
      <c r="M789" s="32"/>
      <c r="N789" s="32"/>
      <c r="O789" s="51"/>
      <c r="P789" s="51"/>
    </row>
    <row r="790" spans="2:16" x14ac:dyDescent="0.25">
      <c r="B790" s="32"/>
      <c r="C790" s="229"/>
      <c r="D790" s="229"/>
      <c r="E790" s="229"/>
      <c r="F790" s="229"/>
      <c r="G790" s="229"/>
      <c r="H790" s="229"/>
      <c r="I790" s="229"/>
      <c r="J790" s="59"/>
      <c r="K790" s="1"/>
      <c r="L790" s="32"/>
      <c r="M790" s="32"/>
      <c r="N790" s="32"/>
      <c r="O790" s="51"/>
      <c r="P790" s="51"/>
    </row>
    <row r="791" spans="2:16" x14ac:dyDescent="0.25">
      <c r="B791" s="32"/>
      <c r="C791" s="229"/>
      <c r="D791" s="229"/>
      <c r="E791" s="229"/>
      <c r="F791" s="229"/>
      <c r="G791" s="229"/>
      <c r="H791" s="229"/>
      <c r="I791" s="229"/>
      <c r="J791" s="59"/>
      <c r="K791" s="1"/>
      <c r="L791" s="32"/>
      <c r="M791" s="32"/>
      <c r="N791" s="32"/>
      <c r="O791" s="51"/>
      <c r="P791" s="51"/>
    </row>
    <row r="792" spans="2:16" x14ac:dyDescent="0.25">
      <c r="B792" s="32"/>
      <c r="C792" s="229"/>
      <c r="D792" s="229"/>
      <c r="E792" s="229"/>
      <c r="F792" s="229"/>
      <c r="G792" s="229"/>
      <c r="H792" s="229"/>
      <c r="I792" s="229"/>
      <c r="J792" s="59"/>
      <c r="K792" s="1"/>
      <c r="L792" s="32"/>
      <c r="M792" s="32"/>
      <c r="N792" s="32"/>
      <c r="O792" s="51"/>
      <c r="P792" s="51"/>
    </row>
    <row r="793" spans="2:16" x14ac:dyDescent="0.25">
      <c r="B793" s="32"/>
      <c r="C793" s="229"/>
      <c r="D793" s="229"/>
      <c r="E793" s="229"/>
      <c r="F793" s="229"/>
      <c r="G793" s="229"/>
      <c r="H793" s="229"/>
      <c r="I793" s="229"/>
      <c r="J793" s="59"/>
      <c r="K793" s="1"/>
      <c r="L793" s="32"/>
      <c r="M793" s="32"/>
      <c r="N793" s="32"/>
      <c r="O793" s="51"/>
      <c r="P793" s="51"/>
    </row>
    <row r="794" spans="2:16" x14ac:dyDescent="0.25">
      <c r="B794" s="32"/>
      <c r="C794" s="229"/>
      <c r="D794" s="229"/>
      <c r="E794" s="229"/>
      <c r="F794" s="229"/>
      <c r="G794" s="229"/>
      <c r="H794" s="229"/>
      <c r="I794" s="229"/>
      <c r="J794" s="59"/>
      <c r="K794" s="1"/>
      <c r="L794" s="32"/>
      <c r="M794" s="32"/>
      <c r="N794" s="32"/>
      <c r="O794" s="51"/>
      <c r="P794" s="51"/>
    </row>
    <row r="795" spans="2:16" x14ac:dyDescent="0.25">
      <c r="B795" s="32"/>
      <c r="C795" s="229"/>
      <c r="D795" s="229"/>
      <c r="E795" s="229"/>
      <c r="F795" s="229"/>
      <c r="G795" s="229"/>
      <c r="H795" s="229"/>
      <c r="I795" s="229"/>
      <c r="J795" s="59"/>
      <c r="K795" s="1"/>
      <c r="L795" s="32"/>
      <c r="M795" s="32"/>
      <c r="N795" s="32"/>
      <c r="O795" s="51"/>
      <c r="P795" s="51"/>
    </row>
    <row r="796" spans="2:16" x14ac:dyDescent="0.25">
      <c r="B796" s="32"/>
      <c r="C796" s="229"/>
      <c r="D796" s="229"/>
      <c r="E796" s="229"/>
      <c r="F796" s="229"/>
      <c r="G796" s="229"/>
      <c r="H796" s="229"/>
      <c r="I796" s="229"/>
      <c r="J796" s="59"/>
      <c r="K796" s="1"/>
      <c r="L796" s="32"/>
      <c r="M796" s="32"/>
      <c r="N796" s="32"/>
      <c r="O796" s="51"/>
      <c r="P796" s="51"/>
    </row>
    <row r="797" spans="2:16" x14ac:dyDescent="0.25">
      <c r="B797" s="32"/>
      <c r="C797" s="229"/>
      <c r="D797" s="229"/>
      <c r="E797" s="229"/>
      <c r="F797" s="229"/>
      <c r="G797" s="229"/>
      <c r="H797" s="229"/>
      <c r="I797" s="229"/>
      <c r="J797" s="59"/>
      <c r="K797" s="1"/>
      <c r="L797" s="32"/>
      <c r="M797" s="32"/>
      <c r="N797" s="32"/>
      <c r="O797" s="51"/>
      <c r="P797" s="51"/>
    </row>
    <row r="798" spans="2:16" x14ac:dyDescent="0.25">
      <c r="B798" s="32"/>
      <c r="C798" s="229"/>
      <c r="D798" s="229"/>
      <c r="E798" s="229"/>
      <c r="F798" s="229"/>
      <c r="G798" s="229"/>
      <c r="H798" s="229"/>
      <c r="I798" s="229"/>
      <c r="J798" s="59"/>
      <c r="K798" s="1"/>
      <c r="L798" s="32"/>
      <c r="M798" s="32"/>
      <c r="N798" s="32"/>
      <c r="O798" s="51"/>
      <c r="P798" s="51"/>
    </row>
    <row r="799" spans="2:16" x14ac:dyDescent="0.25">
      <c r="B799" s="32"/>
      <c r="C799" s="229"/>
      <c r="D799" s="229"/>
      <c r="E799" s="229"/>
      <c r="F799" s="229"/>
      <c r="G799" s="229"/>
      <c r="H799" s="229"/>
      <c r="I799" s="229"/>
      <c r="J799" s="59"/>
      <c r="K799" s="1"/>
      <c r="L799" s="32"/>
      <c r="M799" s="32"/>
      <c r="N799" s="32"/>
      <c r="O799" s="51"/>
      <c r="P799" s="51"/>
    </row>
    <row r="800" spans="2:16" x14ac:dyDescent="0.25">
      <c r="B800" s="32"/>
      <c r="C800" s="229"/>
      <c r="D800" s="229"/>
      <c r="E800" s="229"/>
      <c r="F800" s="229"/>
      <c r="G800" s="229"/>
      <c r="H800" s="229"/>
      <c r="I800" s="229"/>
      <c r="J800" s="59"/>
      <c r="K800" s="1"/>
      <c r="L800" s="32"/>
      <c r="M800" s="32"/>
      <c r="N800" s="32"/>
      <c r="O800" s="51"/>
      <c r="P800" s="51"/>
    </row>
    <row r="801" spans="2:16" x14ac:dyDescent="0.25">
      <c r="B801" s="32"/>
      <c r="C801" s="229"/>
      <c r="D801" s="229"/>
      <c r="E801" s="229"/>
      <c r="F801" s="229"/>
      <c r="G801" s="229"/>
      <c r="H801" s="229"/>
      <c r="I801" s="229"/>
      <c r="J801" s="59"/>
      <c r="K801" s="1"/>
      <c r="L801" s="32"/>
      <c r="M801" s="32"/>
      <c r="N801" s="32"/>
      <c r="O801" s="51"/>
      <c r="P801" s="51"/>
    </row>
    <row r="802" spans="2:16" x14ac:dyDescent="0.25">
      <c r="B802" s="32"/>
      <c r="C802" s="229"/>
      <c r="D802" s="229"/>
      <c r="E802" s="229"/>
      <c r="F802" s="229"/>
      <c r="G802" s="229"/>
      <c r="H802" s="229"/>
      <c r="I802" s="229"/>
      <c r="J802" s="59"/>
      <c r="K802" s="1"/>
      <c r="L802" s="32"/>
      <c r="M802" s="32"/>
      <c r="N802" s="32"/>
      <c r="O802" s="51"/>
      <c r="P802" s="51"/>
    </row>
    <row r="803" spans="2:16" x14ac:dyDescent="0.25">
      <c r="B803" s="32"/>
      <c r="C803" s="229"/>
      <c r="D803" s="229"/>
      <c r="E803" s="229"/>
      <c r="F803" s="229"/>
      <c r="G803" s="229"/>
      <c r="H803" s="229"/>
      <c r="I803" s="229"/>
      <c r="J803" s="59"/>
      <c r="K803" s="1"/>
      <c r="L803" s="32"/>
      <c r="M803" s="32"/>
      <c r="N803" s="32"/>
      <c r="O803" s="51"/>
      <c r="P803" s="51"/>
    </row>
    <row r="804" spans="2:16" x14ac:dyDescent="0.25">
      <c r="B804" s="32"/>
      <c r="C804" s="229"/>
      <c r="D804" s="229"/>
      <c r="E804" s="229"/>
      <c r="F804" s="229"/>
      <c r="G804" s="229"/>
      <c r="H804" s="229"/>
      <c r="I804" s="229"/>
      <c r="J804" s="59"/>
      <c r="K804" s="1"/>
      <c r="L804" s="32"/>
      <c r="M804" s="32"/>
      <c r="N804" s="32"/>
      <c r="O804" s="51"/>
      <c r="P804" s="51"/>
    </row>
    <row r="805" spans="2:16" x14ac:dyDescent="0.25">
      <c r="B805" s="32"/>
      <c r="C805" s="229"/>
      <c r="D805" s="229"/>
      <c r="E805" s="229"/>
      <c r="F805" s="229"/>
      <c r="G805" s="229"/>
      <c r="H805" s="229"/>
      <c r="I805" s="229"/>
      <c r="J805" s="59"/>
      <c r="K805" s="1"/>
      <c r="L805" s="32"/>
      <c r="M805" s="32"/>
      <c r="N805" s="32"/>
      <c r="O805" s="51"/>
      <c r="P805" s="51"/>
    </row>
    <row r="806" spans="2:16" x14ac:dyDescent="0.25">
      <c r="B806" s="32"/>
      <c r="C806" s="229"/>
      <c r="D806" s="229"/>
      <c r="E806" s="229"/>
      <c r="F806" s="229"/>
      <c r="G806" s="229"/>
      <c r="H806" s="229"/>
      <c r="I806" s="229"/>
      <c r="J806" s="59"/>
      <c r="K806" s="1"/>
      <c r="L806" s="32"/>
      <c r="M806" s="32"/>
      <c r="N806" s="32"/>
      <c r="O806" s="51"/>
      <c r="P806" s="51"/>
    </row>
    <row r="807" spans="2:16" x14ac:dyDescent="0.25">
      <c r="B807" s="32"/>
      <c r="C807" s="229"/>
      <c r="D807" s="229"/>
      <c r="E807" s="229"/>
      <c r="F807" s="229"/>
      <c r="G807" s="229"/>
      <c r="H807" s="229"/>
      <c r="I807" s="229"/>
      <c r="J807" s="59"/>
      <c r="K807" s="1"/>
      <c r="L807" s="32"/>
      <c r="M807" s="32"/>
      <c r="N807" s="32"/>
      <c r="O807" s="51"/>
      <c r="P807" s="51"/>
    </row>
    <row r="808" spans="2:16" x14ac:dyDescent="0.25">
      <c r="B808" s="32"/>
      <c r="C808" s="229"/>
      <c r="D808" s="229"/>
      <c r="E808" s="229"/>
      <c r="F808" s="229"/>
      <c r="G808" s="229"/>
      <c r="H808" s="229"/>
      <c r="I808" s="229"/>
      <c r="J808" s="59"/>
      <c r="K808" s="1"/>
      <c r="L808" s="32"/>
      <c r="M808" s="32"/>
      <c r="N808" s="32"/>
      <c r="O808" s="51"/>
      <c r="P808" s="51"/>
    </row>
    <row r="809" spans="2:16" x14ac:dyDescent="0.25">
      <c r="B809" s="32"/>
      <c r="C809" s="229"/>
      <c r="D809" s="229"/>
      <c r="E809" s="229"/>
      <c r="F809" s="229"/>
      <c r="G809" s="229"/>
      <c r="H809" s="229"/>
      <c r="I809" s="229"/>
      <c r="J809" s="59"/>
      <c r="K809" s="1"/>
      <c r="L809" s="32"/>
      <c r="M809" s="32"/>
      <c r="N809" s="32"/>
      <c r="O809" s="51"/>
      <c r="P809" s="51"/>
    </row>
    <row r="810" spans="2:16" x14ac:dyDescent="0.25">
      <c r="B810" s="32"/>
      <c r="C810" s="229"/>
      <c r="D810" s="229"/>
      <c r="E810" s="229"/>
      <c r="F810" s="229"/>
      <c r="G810" s="229"/>
      <c r="H810" s="229"/>
      <c r="I810" s="229"/>
      <c r="J810" s="59"/>
      <c r="K810" s="1"/>
      <c r="L810" s="32"/>
      <c r="M810" s="32"/>
      <c r="N810" s="32"/>
      <c r="O810" s="51"/>
      <c r="P810" s="51"/>
    </row>
    <row r="811" spans="2:16" x14ac:dyDescent="0.25">
      <c r="B811" s="32"/>
      <c r="C811" s="229"/>
      <c r="D811" s="229"/>
      <c r="E811" s="229"/>
      <c r="F811" s="229"/>
      <c r="G811" s="229"/>
      <c r="H811" s="229"/>
      <c r="I811" s="229"/>
      <c r="J811" s="59"/>
      <c r="K811" s="1"/>
      <c r="L811" s="32"/>
      <c r="M811" s="32"/>
      <c r="N811" s="32"/>
      <c r="O811" s="51"/>
      <c r="P811" s="51"/>
    </row>
    <row r="812" spans="2:16" x14ac:dyDescent="0.25">
      <c r="B812" s="32"/>
      <c r="C812" s="229"/>
      <c r="D812" s="229"/>
      <c r="E812" s="229"/>
      <c r="F812" s="229"/>
      <c r="G812" s="229"/>
      <c r="H812" s="229"/>
      <c r="I812" s="229"/>
      <c r="J812" s="59"/>
      <c r="K812" s="1"/>
      <c r="L812" s="32"/>
      <c r="M812" s="32"/>
      <c r="N812" s="32"/>
      <c r="O812" s="51"/>
      <c r="P812" s="51"/>
    </row>
    <row r="813" spans="2:16" x14ac:dyDescent="0.25">
      <c r="B813" s="32"/>
      <c r="C813" s="229"/>
      <c r="D813" s="229"/>
      <c r="E813" s="229"/>
      <c r="F813" s="229"/>
      <c r="G813" s="229"/>
      <c r="H813" s="229"/>
      <c r="I813" s="229"/>
      <c r="J813" s="59"/>
      <c r="K813" s="1"/>
      <c r="L813" s="32"/>
      <c r="M813" s="32"/>
      <c r="N813" s="32"/>
      <c r="O813" s="51"/>
      <c r="P813" s="51"/>
    </row>
    <row r="814" spans="2:16" x14ac:dyDescent="0.25">
      <c r="B814" s="32"/>
      <c r="C814" s="229"/>
      <c r="D814" s="229"/>
      <c r="E814" s="229"/>
      <c r="F814" s="229"/>
      <c r="G814" s="229"/>
      <c r="H814" s="229"/>
      <c r="I814" s="229"/>
      <c r="J814" s="59"/>
      <c r="K814" s="1"/>
      <c r="L814" s="32"/>
      <c r="M814" s="32"/>
      <c r="N814" s="32"/>
      <c r="O814" s="51"/>
      <c r="P814" s="51"/>
    </row>
    <row r="815" spans="2:16" x14ac:dyDescent="0.25">
      <c r="B815" s="32"/>
      <c r="C815" s="229"/>
      <c r="D815" s="229"/>
      <c r="E815" s="229"/>
      <c r="F815" s="229"/>
      <c r="G815" s="229"/>
      <c r="H815" s="229"/>
      <c r="I815" s="229"/>
      <c r="J815" s="59"/>
      <c r="K815" s="1"/>
      <c r="L815" s="32"/>
      <c r="M815" s="32"/>
      <c r="N815" s="32"/>
      <c r="O815" s="51"/>
      <c r="P815" s="51"/>
    </row>
    <row r="816" spans="2:16" x14ac:dyDescent="0.25">
      <c r="B816" s="32"/>
      <c r="C816" s="229"/>
      <c r="D816" s="229"/>
      <c r="E816" s="229"/>
      <c r="F816" s="229"/>
      <c r="G816" s="229"/>
      <c r="H816" s="229"/>
      <c r="I816" s="229"/>
      <c r="J816" s="59"/>
      <c r="K816" s="1"/>
      <c r="L816" s="32"/>
      <c r="M816" s="32"/>
      <c r="N816" s="32"/>
      <c r="O816" s="51"/>
      <c r="P816" s="51"/>
    </row>
    <row r="817" spans="2:16" x14ac:dyDescent="0.25">
      <c r="B817" s="32"/>
      <c r="C817" s="229"/>
      <c r="D817" s="229"/>
      <c r="E817" s="229"/>
      <c r="F817" s="229"/>
      <c r="G817" s="229"/>
      <c r="H817" s="229"/>
      <c r="I817" s="229"/>
      <c r="J817" s="59"/>
      <c r="K817" s="1"/>
      <c r="L817" s="32"/>
      <c r="M817" s="32"/>
      <c r="N817" s="32"/>
      <c r="O817" s="51"/>
      <c r="P817" s="51"/>
    </row>
    <row r="818" spans="2:16" x14ac:dyDescent="0.25">
      <c r="B818" s="32"/>
      <c r="C818" s="229"/>
      <c r="D818" s="229"/>
      <c r="E818" s="229"/>
      <c r="F818" s="229"/>
      <c r="G818" s="229"/>
      <c r="H818" s="229"/>
      <c r="I818" s="229"/>
      <c r="J818" s="59"/>
      <c r="K818" s="1"/>
      <c r="L818" s="32"/>
      <c r="M818" s="32"/>
      <c r="N818" s="32"/>
      <c r="O818" s="51"/>
      <c r="P818" s="51"/>
    </row>
    <row r="819" spans="2:16" x14ac:dyDescent="0.25">
      <c r="B819" s="32"/>
      <c r="C819" s="229"/>
      <c r="D819" s="229"/>
      <c r="E819" s="229"/>
      <c r="F819" s="229"/>
      <c r="G819" s="229"/>
      <c r="H819" s="229"/>
      <c r="I819" s="229"/>
      <c r="J819" s="59"/>
      <c r="K819" s="1"/>
      <c r="L819" s="32"/>
      <c r="M819" s="32"/>
      <c r="N819" s="32"/>
      <c r="O819" s="51"/>
      <c r="P819" s="51"/>
    </row>
    <row r="820" spans="2:16" x14ac:dyDescent="0.25">
      <c r="B820" s="32"/>
      <c r="C820" s="229"/>
      <c r="D820" s="229"/>
      <c r="E820" s="229"/>
      <c r="F820" s="229"/>
      <c r="G820" s="229"/>
      <c r="H820" s="229"/>
      <c r="I820" s="229"/>
      <c r="J820" s="59"/>
      <c r="K820" s="1"/>
      <c r="L820" s="32"/>
      <c r="M820" s="32"/>
      <c r="N820" s="32"/>
      <c r="O820" s="51"/>
      <c r="P820" s="51"/>
    </row>
    <row r="821" spans="2:16" x14ac:dyDescent="0.25">
      <c r="B821" s="32"/>
      <c r="C821" s="229"/>
      <c r="D821" s="229"/>
      <c r="E821" s="229"/>
      <c r="F821" s="229"/>
      <c r="G821" s="229"/>
      <c r="H821" s="229"/>
      <c r="I821" s="229"/>
      <c r="J821" s="59"/>
      <c r="K821" s="1"/>
      <c r="L821" s="32"/>
      <c r="M821" s="32"/>
      <c r="N821" s="32"/>
      <c r="O821" s="51"/>
      <c r="P821" s="51"/>
    </row>
    <row r="822" spans="2:16" x14ac:dyDescent="0.25">
      <c r="B822" s="32"/>
      <c r="C822" s="229"/>
      <c r="D822" s="229"/>
      <c r="E822" s="229"/>
      <c r="F822" s="229"/>
      <c r="G822" s="229"/>
      <c r="H822" s="229"/>
      <c r="I822" s="229"/>
      <c r="J822" s="59"/>
      <c r="K822" s="1"/>
      <c r="L822" s="32"/>
      <c r="M822" s="32"/>
      <c r="N822" s="32"/>
      <c r="O822" s="51"/>
      <c r="P822" s="51"/>
    </row>
    <row r="823" spans="2:16" x14ac:dyDescent="0.25">
      <c r="B823" s="32"/>
      <c r="C823" s="229"/>
      <c r="D823" s="229"/>
      <c r="E823" s="229"/>
      <c r="F823" s="229"/>
      <c r="G823" s="229"/>
      <c r="H823" s="229"/>
      <c r="I823" s="229"/>
      <c r="J823" s="59"/>
      <c r="K823" s="1"/>
      <c r="L823" s="32"/>
      <c r="M823" s="32"/>
      <c r="N823" s="32"/>
      <c r="O823" s="51"/>
      <c r="P823" s="51"/>
    </row>
    <row r="824" spans="2:16" x14ac:dyDescent="0.25">
      <c r="B824" s="32"/>
      <c r="C824" s="229"/>
      <c r="D824" s="229"/>
      <c r="E824" s="229"/>
      <c r="F824" s="229"/>
      <c r="G824" s="229"/>
      <c r="H824" s="229"/>
      <c r="I824" s="229"/>
      <c r="J824" s="59"/>
      <c r="K824" s="1"/>
      <c r="L824" s="32"/>
      <c r="M824" s="32"/>
      <c r="N824" s="32"/>
      <c r="O824" s="51"/>
      <c r="P824" s="51"/>
    </row>
    <row r="825" spans="2:16" x14ac:dyDescent="0.25">
      <c r="B825" s="32"/>
      <c r="C825" s="229"/>
      <c r="D825" s="229"/>
      <c r="E825" s="229"/>
      <c r="F825" s="229"/>
      <c r="G825" s="229"/>
      <c r="H825" s="229"/>
      <c r="I825" s="229"/>
      <c r="J825" s="59"/>
      <c r="K825" s="1"/>
      <c r="L825" s="32"/>
      <c r="M825" s="32"/>
      <c r="N825" s="32"/>
      <c r="O825" s="51"/>
      <c r="P825" s="51"/>
    </row>
    <row r="826" spans="2:16" x14ac:dyDescent="0.25">
      <c r="B826" s="32"/>
      <c r="C826" s="229"/>
      <c r="D826" s="229"/>
      <c r="E826" s="229"/>
      <c r="F826" s="229"/>
      <c r="G826" s="229"/>
      <c r="H826" s="229"/>
      <c r="I826" s="229"/>
      <c r="J826" s="59"/>
      <c r="K826" s="1"/>
      <c r="L826" s="32"/>
      <c r="M826" s="32"/>
      <c r="N826" s="32"/>
      <c r="O826" s="51"/>
      <c r="P826" s="51"/>
    </row>
    <row r="827" spans="2:16" x14ac:dyDescent="0.25">
      <c r="B827" s="32"/>
      <c r="C827" s="229"/>
      <c r="D827" s="229"/>
      <c r="E827" s="229"/>
      <c r="F827" s="229"/>
      <c r="G827" s="229"/>
      <c r="H827" s="229"/>
      <c r="I827" s="229"/>
      <c r="J827" s="59"/>
      <c r="K827" s="1"/>
      <c r="L827" s="32"/>
      <c r="M827" s="32"/>
      <c r="N827" s="32"/>
      <c r="O827" s="51"/>
      <c r="P827" s="51"/>
    </row>
    <row r="828" spans="2:16" x14ac:dyDescent="0.25">
      <c r="B828" s="32"/>
      <c r="C828" s="229"/>
      <c r="D828" s="229"/>
      <c r="E828" s="229"/>
      <c r="F828" s="229"/>
      <c r="G828" s="229"/>
      <c r="H828" s="229"/>
      <c r="I828" s="229"/>
      <c r="J828" s="59"/>
      <c r="K828" s="1"/>
      <c r="L828" s="32"/>
      <c r="M828" s="32"/>
      <c r="N828" s="32"/>
      <c r="O828" s="51"/>
      <c r="P828" s="51"/>
    </row>
    <row r="829" spans="2:16" x14ac:dyDescent="0.25">
      <c r="B829" s="32"/>
      <c r="C829" s="229"/>
      <c r="D829" s="229"/>
      <c r="E829" s="229"/>
      <c r="F829" s="229"/>
      <c r="G829" s="229"/>
      <c r="H829" s="229"/>
      <c r="I829" s="229"/>
      <c r="J829" s="59"/>
      <c r="K829" s="1"/>
      <c r="L829" s="32"/>
      <c r="M829" s="32"/>
      <c r="N829" s="32"/>
      <c r="O829" s="51"/>
      <c r="P829" s="51"/>
    </row>
    <row r="830" spans="2:16" x14ac:dyDescent="0.25">
      <c r="B830" s="32"/>
      <c r="C830" s="229"/>
      <c r="D830" s="229"/>
      <c r="E830" s="229"/>
      <c r="F830" s="229"/>
      <c r="G830" s="229"/>
      <c r="H830" s="229"/>
      <c r="I830" s="229"/>
      <c r="J830" s="59"/>
      <c r="K830" s="1"/>
      <c r="L830" s="32"/>
      <c r="M830" s="32"/>
      <c r="N830" s="32"/>
      <c r="O830" s="51"/>
      <c r="P830" s="51"/>
    </row>
    <row r="831" spans="2:16" x14ac:dyDescent="0.25">
      <c r="B831" s="32"/>
      <c r="C831" s="229"/>
      <c r="D831" s="229"/>
      <c r="E831" s="229"/>
      <c r="F831" s="229"/>
      <c r="G831" s="229"/>
      <c r="H831" s="229"/>
      <c r="I831" s="229"/>
      <c r="J831" s="59"/>
      <c r="K831" s="1"/>
      <c r="L831" s="32"/>
      <c r="M831" s="32"/>
      <c r="N831" s="32"/>
      <c r="O831" s="51"/>
      <c r="P831" s="51"/>
    </row>
    <row r="832" spans="2:16" x14ac:dyDescent="0.25">
      <c r="B832" s="32"/>
      <c r="C832" s="229"/>
      <c r="D832" s="229"/>
      <c r="E832" s="229"/>
      <c r="F832" s="229"/>
      <c r="G832" s="229"/>
      <c r="H832" s="229"/>
      <c r="I832" s="229"/>
      <c r="J832" s="59"/>
      <c r="K832" s="1"/>
      <c r="L832" s="32"/>
      <c r="M832" s="32"/>
      <c r="N832" s="32"/>
      <c r="O832" s="51"/>
      <c r="P832" s="51"/>
    </row>
    <row r="833" spans="2:16" x14ac:dyDescent="0.25">
      <c r="B833" s="32"/>
      <c r="C833" s="229"/>
      <c r="D833" s="229"/>
      <c r="E833" s="229"/>
      <c r="F833" s="229"/>
      <c r="G833" s="229"/>
      <c r="H833" s="229"/>
      <c r="I833" s="229"/>
      <c r="J833" s="59"/>
      <c r="K833" s="1"/>
      <c r="L833" s="32"/>
      <c r="M833" s="32"/>
      <c r="N833" s="32"/>
      <c r="O833" s="51"/>
      <c r="P833" s="51"/>
    </row>
    <row r="834" spans="2:16" x14ac:dyDescent="0.25">
      <c r="B834" s="32"/>
      <c r="C834" s="229"/>
      <c r="D834" s="229"/>
      <c r="E834" s="229"/>
      <c r="F834" s="229"/>
      <c r="G834" s="229"/>
      <c r="H834" s="229"/>
      <c r="I834" s="229"/>
      <c r="J834" s="59"/>
      <c r="K834" s="1"/>
      <c r="L834" s="32"/>
      <c r="M834" s="32"/>
      <c r="N834" s="32"/>
      <c r="O834" s="51"/>
      <c r="P834" s="51"/>
    </row>
    <row r="835" spans="2:16" x14ac:dyDescent="0.25">
      <c r="B835" s="32"/>
      <c r="C835" s="229"/>
      <c r="D835" s="229"/>
      <c r="E835" s="229"/>
      <c r="F835" s="229"/>
      <c r="G835" s="229"/>
      <c r="H835" s="229"/>
      <c r="I835" s="229"/>
      <c r="J835" s="59"/>
      <c r="K835" s="1"/>
      <c r="L835" s="32"/>
      <c r="M835" s="32"/>
      <c r="N835" s="32"/>
      <c r="O835" s="51"/>
      <c r="P835" s="51"/>
    </row>
    <row r="836" spans="2:16" x14ac:dyDescent="0.25">
      <c r="B836" s="32"/>
      <c r="C836" s="229"/>
      <c r="D836" s="229"/>
      <c r="E836" s="229"/>
      <c r="F836" s="229"/>
      <c r="G836" s="229"/>
      <c r="H836" s="229"/>
      <c r="I836" s="229"/>
      <c r="J836" s="59"/>
      <c r="K836" s="1"/>
      <c r="L836" s="32"/>
      <c r="M836" s="32"/>
      <c r="N836" s="32"/>
      <c r="O836" s="51"/>
      <c r="P836" s="51"/>
    </row>
    <row r="837" spans="2:16" x14ac:dyDescent="0.25">
      <c r="B837" s="32"/>
      <c r="C837" s="229"/>
      <c r="D837" s="229"/>
      <c r="E837" s="229"/>
      <c r="F837" s="229"/>
      <c r="G837" s="229"/>
      <c r="H837" s="229"/>
      <c r="I837" s="229"/>
      <c r="J837" s="59"/>
      <c r="K837" s="1"/>
      <c r="L837" s="32"/>
      <c r="M837" s="32"/>
      <c r="N837" s="32"/>
      <c r="O837" s="51"/>
      <c r="P837" s="51"/>
    </row>
    <row r="838" spans="2:16" x14ac:dyDescent="0.25">
      <c r="B838" s="32"/>
      <c r="C838" s="229"/>
      <c r="D838" s="229"/>
      <c r="E838" s="229"/>
      <c r="F838" s="229"/>
      <c r="G838" s="229"/>
      <c r="H838" s="229"/>
      <c r="I838" s="229"/>
      <c r="J838" s="59"/>
      <c r="K838" s="1"/>
      <c r="L838" s="32"/>
      <c r="M838" s="32"/>
      <c r="N838" s="32"/>
      <c r="O838" s="51"/>
      <c r="P838" s="51"/>
    </row>
    <row r="839" spans="2:16" x14ac:dyDescent="0.25">
      <c r="B839" s="32"/>
      <c r="C839" s="229"/>
      <c r="D839" s="229"/>
      <c r="E839" s="229"/>
      <c r="F839" s="229"/>
      <c r="G839" s="229"/>
      <c r="H839" s="229"/>
      <c r="I839" s="229"/>
      <c r="J839" s="59"/>
      <c r="K839" s="1"/>
      <c r="L839" s="32"/>
      <c r="M839" s="32"/>
      <c r="N839" s="32"/>
      <c r="O839" s="51"/>
      <c r="P839" s="51"/>
    </row>
    <row r="840" spans="2:16" x14ac:dyDescent="0.25">
      <c r="B840" s="32"/>
      <c r="C840" s="229"/>
      <c r="D840" s="229"/>
      <c r="E840" s="229"/>
      <c r="F840" s="229"/>
      <c r="G840" s="229"/>
      <c r="H840" s="229"/>
      <c r="I840" s="229"/>
      <c r="J840" s="59"/>
      <c r="K840" s="1"/>
      <c r="L840" s="32"/>
      <c r="M840" s="32"/>
      <c r="N840" s="32"/>
      <c r="O840" s="51"/>
      <c r="P840" s="51"/>
    </row>
    <row r="841" spans="2:16" x14ac:dyDescent="0.25">
      <c r="B841" s="32"/>
      <c r="C841" s="229"/>
      <c r="D841" s="229"/>
      <c r="E841" s="229"/>
      <c r="F841" s="229"/>
      <c r="G841" s="229"/>
      <c r="H841" s="229"/>
      <c r="I841" s="229"/>
      <c r="J841" s="59"/>
      <c r="K841" s="1"/>
      <c r="L841" s="32"/>
      <c r="M841" s="32"/>
      <c r="N841" s="32"/>
      <c r="O841" s="51"/>
      <c r="P841" s="51"/>
    </row>
    <row r="842" spans="2:16" x14ac:dyDescent="0.25">
      <c r="B842" s="32"/>
      <c r="C842" s="229"/>
      <c r="D842" s="229"/>
      <c r="E842" s="229"/>
      <c r="F842" s="229"/>
      <c r="G842" s="229"/>
      <c r="H842" s="229"/>
      <c r="I842" s="229"/>
      <c r="J842" s="59"/>
      <c r="K842" s="1"/>
      <c r="L842" s="32"/>
      <c r="M842" s="32"/>
      <c r="N842" s="32"/>
      <c r="O842" s="51"/>
      <c r="P842" s="51"/>
    </row>
    <row r="843" spans="2:16" x14ac:dyDescent="0.25">
      <c r="B843" s="32"/>
      <c r="C843" s="229"/>
      <c r="D843" s="229"/>
      <c r="E843" s="229"/>
      <c r="F843" s="229"/>
      <c r="G843" s="229"/>
      <c r="H843" s="229"/>
      <c r="I843" s="229"/>
      <c r="J843" s="59"/>
      <c r="K843" s="1"/>
      <c r="L843" s="32"/>
      <c r="M843" s="32"/>
      <c r="N843" s="32"/>
      <c r="O843" s="51"/>
      <c r="P843" s="51"/>
    </row>
    <row r="844" spans="2:16" x14ac:dyDescent="0.25">
      <c r="B844" s="32"/>
      <c r="C844" s="229"/>
      <c r="D844" s="229"/>
      <c r="E844" s="229"/>
      <c r="F844" s="229"/>
      <c r="G844" s="229"/>
      <c r="H844" s="229"/>
      <c r="I844" s="229"/>
      <c r="J844" s="59"/>
      <c r="K844" s="1"/>
      <c r="L844" s="32"/>
      <c r="M844" s="32"/>
      <c r="N844" s="32"/>
      <c r="O844" s="51"/>
      <c r="P844" s="51"/>
    </row>
    <row r="845" spans="2:16" x14ac:dyDescent="0.25">
      <c r="B845" s="32"/>
      <c r="C845" s="229"/>
      <c r="D845" s="229"/>
      <c r="E845" s="229"/>
      <c r="F845" s="229"/>
      <c r="G845" s="229"/>
      <c r="H845" s="229"/>
      <c r="I845" s="229"/>
      <c r="J845" s="59"/>
      <c r="K845" s="1"/>
      <c r="L845" s="32"/>
      <c r="M845" s="32"/>
      <c r="N845" s="32"/>
      <c r="O845" s="51"/>
      <c r="P845" s="51"/>
    </row>
    <row r="846" spans="2:16" x14ac:dyDescent="0.25">
      <c r="B846" s="32"/>
      <c r="C846" s="229"/>
      <c r="D846" s="229"/>
      <c r="E846" s="229"/>
      <c r="F846" s="229"/>
      <c r="G846" s="229"/>
      <c r="H846" s="229"/>
      <c r="I846" s="229"/>
      <c r="J846" s="59"/>
      <c r="K846" s="1"/>
      <c r="L846" s="32"/>
      <c r="M846" s="32"/>
      <c r="N846" s="32"/>
      <c r="O846" s="51"/>
      <c r="P846" s="51"/>
    </row>
    <row r="847" spans="2:16" x14ac:dyDescent="0.25">
      <c r="B847" s="32"/>
      <c r="C847" s="229"/>
      <c r="D847" s="229"/>
      <c r="E847" s="229"/>
      <c r="F847" s="229"/>
      <c r="G847" s="229"/>
      <c r="H847" s="229"/>
      <c r="I847" s="229"/>
      <c r="J847" s="59"/>
      <c r="K847" s="1"/>
      <c r="L847" s="32"/>
      <c r="M847" s="32"/>
      <c r="N847" s="32"/>
      <c r="O847" s="51"/>
      <c r="P847" s="51"/>
    </row>
    <row r="848" spans="2:16" x14ac:dyDescent="0.25">
      <c r="B848" s="32"/>
      <c r="C848" s="229"/>
      <c r="D848" s="229"/>
      <c r="E848" s="229"/>
      <c r="F848" s="229"/>
      <c r="G848" s="229"/>
      <c r="H848" s="229"/>
      <c r="I848" s="229"/>
      <c r="J848" s="59"/>
      <c r="K848" s="1"/>
      <c r="L848" s="32"/>
      <c r="M848" s="32"/>
      <c r="N848" s="32"/>
      <c r="O848" s="51"/>
      <c r="P848" s="51"/>
    </row>
    <row r="849" spans="2:16" x14ac:dyDescent="0.25">
      <c r="B849" s="32"/>
      <c r="C849" s="229"/>
      <c r="D849" s="229"/>
      <c r="E849" s="229"/>
      <c r="F849" s="229"/>
      <c r="G849" s="229"/>
      <c r="H849" s="229"/>
      <c r="I849" s="229"/>
      <c r="J849" s="59"/>
      <c r="K849" s="1"/>
      <c r="L849" s="32"/>
      <c r="M849" s="32"/>
      <c r="N849" s="32"/>
      <c r="O849" s="51"/>
      <c r="P849" s="51"/>
    </row>
    <row r="850" spans="2:16" x14ac:dyDescent="0.25">
      <c r="B850" s="32"/>
      <c r="C850" s="229"/>
      <c r="D850" s="229"/>
      <c r="E850" s="229"/>
      <c r="F850" s="229"/>
      <c r="G850" s="229"/>
      <c r="H850" s="229"/>
      <c r="I850" s="229"/>
      <c r="J850" s="59"/>
      <c r="K850" s="1"/>
      <c r="L850" s="32"/>
      <c r="M850" s="32"/>
      <c r="N850" s="32"/>
      <c r="O850" s="51"/>
      <c r="P850" s="51"/>
    </row>
    <row r="851" spans="2:16" x14ac:dyDescent="0.25">
      <c r="B851" s="32"/>
      <c r="C851" s="229"/>
      <c r="D851" s="229"/>
      <c r="E851" s="229"/>
      <c r="F851" s="229"/>
      <c r="G851" s="229"/>
      <c r="H851" s="229"/>
      <c r="I851" s="229"/>
      <c r="J851" s="59"/>
      <c r="K851" s="1"/>
      <c r="L851" s="32"/>
      <c r="M851" s="32"/>
      <c r="N851" s="32"/>
      <c r="O851" s="51"/>
      <c r="P851" s="51"/>
    </row>
    <row r="852" spans="2:16" x14ac:dyDescent="0.25">
      <c r="B852" s="32"/>
      <c r="C852" s="229"/>
      <c r="D852" s="229"/>
      <c r="E852" s="229"/>
      <c r="F852" s="229"/>
      <c r="G852" s="229"/>
      <c r="H852" s="229"/>
      <c r="I852" s="229"/>
      <c r="J852" s="59"/>
      <c r="K852" s="1"/>
      <c r="L852" s="32"/>
      <c r="M852" s="32"/>
      <c r="N852" s="32"/>
      <c r="O852" s="51"/>
      <c r="P852" s="51"/>
    </row>
    <row r="853" spans="2:16" x14ac:dyDescent="0.25">
      <c r="B853" s="32"/>
      <c r="C853" s="229"/>
      <c r="D853" s="229"/>
      <c r="E853" s="229"/>
      <c r="F853" s="229"/>
      <c r="G853" s="229"/>
      <c r="H853" s="229"/>
      <c r="I853" s="229"/>
      <c r="J853" s="59"/>
      <c r="K853" s="1"/>
      <c r="L853" s="32"/>
      <c r="M853" s="32"/>
      <c r="N853" s="32"/>
      <c r="O853" s="51"/>
      <c r="P853" s="51"/>
    </row>
    <row r="854" spans="2:16" x14ac:dyDescent="0.25">
      <c r="B854" s="32"/>
      <c r="C854" s="229"/>
      <c r="D854" s="229"/>
      <c r="E854" s="229"/>
      <c r="F854" s="229"/>
      <c r="G854" s="229"/>
      <c r="H854" s="229"/>
      <c r="I854" s="229"/>
      <c r="J854" s="59"/>
      <c r="K854" s="1"/>
      <c r="L854" s="32"/>
      <c r="M854" s="32"/>
      <c r="N854" s="32"/>
      <c r="O854" s="51"/>
      <c r="P854" s="51"/>
    </row>
    <row r="855" spans="2:16" x14ac:dyDescent="0.25">
      <c r="B855" s="32"/>
      <c r="C855" s="229"/>
      <c r="D855" s="229"/>
      <c r="E855" s="229"/>
      <c r="F855" s="229"/>
      <c r="G855" s="229"/>
      <c r="H855" s="229"/>
      <c r="I855" s="229"/>
      <c r="J855" s="59"/>
      <c r="K855" s="1"/>
      <c r="L855" s="32"/>
      <c r="M855" s="32"/>
      <c r="N855" s="32"/>
      <c r="O855" s="51"/>
      <c r="P855" s="51"/>
    </row>
    <row r="856" spans="2:16" x14ac:dyDescent="0.25">
      <c r="B856" s="32"/>
      <c r="C856" s="229"/>
      <c r="D856" s="229"/>
      <c r="E856" s="229"/>
      <c r="F856" s="229"/>
      <c r="G856" s="229"/>
      <c r="H856" s="229"/>
      <c r="I856" s="229"/>
      <c r="J856" s="59"/>
      <c r="K856" s="1"/>
      <c r="L856" s="32"/>
      <c r="M856" s="32"/>
      <c r="N856" s="32"/>
      <c r="O856" s="51"/>
      <c r="P856" s="51"/>
    </row>
    <row r="857" spans="2:16" x14ac:dyDescent="0.25">
      <c r="B857" s="32"/>
      <c r="C857" s="229"/>
      <c r="D857" s="229"/>
      <c r="E857" s="229"/>
      <c r="F857" s="229"/>
      <c r="G857" s="229"/>
      <c r="H857" s="229"/>
      <c r="I857" s="229"/>
      <c r="J857" s="59"/>
      <c r="K857" s="1"/>
      <c r="L857" s="32"/>
      <c r="M857" s="32"/>
      <c r="N857" s="32"/>
      <c r="O857" s="51"/>
      <c r="P857" s="51"/>
    </row>
    <row r="858" spans="2:16" x14ac:dyDescent="0.25">
      <c r="B858" s="32"/>
      <c r="C858" s="229"/>
      <c r="D858" s="229"/>
      <c r="E858" s="229"/>
      <c r="F858" s="229"/>
      <c r="G858" s="229"/>
      <c r="H858" s="229"/>
      <c r="I858" s="229"/>
      <c r="J858" s="59"/>
      <c r="K858" s="1"/>
      <c r="L858" s="32"/>
      <c r="M858" s="32"/>
      <c r="N858" s="32"/>
      <c r="O858" s="51"/>
      <c r="P858" s="51"/>
    </row>
    <row r="859" spans="2:16" x14ac:dyDescent="0.25">
      <c r="B859" s="32"/>
      <c r="C859" s="229"/>
      <c r="D859" s="229"/>
      <c r="E859" s="229"/>
      <c r="F859" s="229"/>
      <c r="G859" s="229"/>
      <c r="H859" s="229"/>
      <c r="I859" s="229"/>
      <c r="J859" s="59"/>
      <c r="K859" s="1"/>
      <c r="L859" s="32"/>
      <c r="M859" s="32"/>
      <c r="N859" s="32"/>
      <c r="O859" s="51"/>
      <c r="P859" s="51"/>
    </row>
    <row r="860" spans="2:16" x14ac:dyDescent="0.25">
      <c r="B860" s="32"/>
      <c r="C860" s="229"/>
      <c r="D860" s="229"/>
      <c r="E860" s="229"/>
      <c r="F860" s="229"/>
      <c r="G860" s="229"/>
      <c r="H860" s="229"/>
      <c r="I860" s="229"/>
      <c r="J860" s="59"/>
      <c r="K860" s="1"/>
      <c r="L860" s="32"/>
      <c r="M860" s="32"/>
      <c r="N860" s="32"/>
      <c r="O860" s="51"/>
      <c r="P860" s="51"/>
    </row>
    <row r="861" spans="2:16" x14ac:dyDescent="0.25">
      <c r="B861" s="32"/>
      <c r="C861" s="229"/>
      <c r="D861" s="229"/>
      <c r="E861" s="229"/>
      <c r="F861" s="229"/>
      <c r="G861" s="229"/>
      <c r="H861" s="229"/>
      <c r="I861" s="229"/>
      <c r="J861" s="59"/>
      <c r="K861" s="1"/>
      <c r="L861" s="32"/>
      <c r="M861" s="32"/>
      <c r="N861" s="32"/>
      <c r="O861" s="51"/>
      <c r="P861" s="51"/>
    </row>
    <row r="862" spans="2:16" x14ac:dyDescent="0.25">
      <c r="B862" s="32"/>
      <c r="C862" s="229"/>
      <c r="D862" s="229"/>
      <c r="E862" s="229"/>
      <c r="F862" s="229"/>
      <c r="G862" s="229"/>
      <c r="H862" s="229"/>
      <c r="I862" s="229"/>
      <c r="J862" s="59"/>
      <c r="K862" s="1"/>
      <c r="L862" s="32"/>
      <c r="M862" s="32"/>
      <c r="N862" s="32"/>
      <c r="O862" s="51"/>
      <c r="P862" s="51"/>
    </row>
    <row r="863" spans="2:16" x14ac:dyDescent="0.25">
      <c r="B863" s="32"/>
      <c r="C863" s="229"/>
      <c r="D863" s="229"/>
      <c r="E863" s="229"/>
      <c r="F863" s="229"/>
      <c r="G863" s="229"/>
      <c r="H863" s="229"/>
      <c r="I863" s="229"/>
      <c r="J863" s="59"/>
      <c r="K863" s="1"/>
      <c r="L863" s="32"/>
      <c r="M863" s="32"/>
      <c r="N863" s="32"/>
      <c r="O863" s="51"/>
      <c r="P863" s="51"/>
    </row>
    <row r="864" spans="2:16" x14ac:dyDescent="0.25">
      <c r="B864" s="32"/>
      <c r="C864" s="229"/>
      <c r="D864" s="229"/>
      <c r="E864" s="229"/>
      <c r="F864" s="229"/>
      <c r="G864" s="229"/>
      <c r="H864" s="229"/>
      <c r="I864" s="229"/>
      <c r="J864" s="59"/>
      <c r="K864" s="1"/>
      <c r="L864" s="32"/>
      <c r="M864" s="32"/>
      <c r="N864" s="32"/>
      <c r="O864" s="51"/>
      <c r="P864" s="51"/>
    </row>
    <row r="865" spans="2:16" x14ac:dyDescent="0.25">
      <c r="B865" s="32"/>
      <c r="C865" s="229"/>
      <c r="D865" s="229"/>
      <c r="E865" s="229"/>
      <c r="F865" s="229"/>
      <c r="G865" s="229"/>
      <c r="H865" s="229"/>
      <c r="I865" s="229"/>
      <c r="J865" s="59"/>
      <c r="K865" s="1"/>
      <c r="L865" s="32"/>
      <c r="M865" s="32"/>
      <c r="N865" s="32"/>
      <c r="O865" s="51"/>
      <c r="P865" s="51"/>
    </row>
    <row r="866" spans="2:16" x14ac:dyDescent="0.25">
      <c r="B866" s="32"/>
      <c r="C866" s="229"/>
      <c r="D866" s="229"/>
      <c r="E866" s="229"/>
      <c r="F866" s="229"/>
      <c r="G866" s="229"/>
      <c r="H866" s="229"/>
      <c r="I866" s="229"/>
      <c r="J866" s="59"/>
      <c r="K866" s="1"/>
      <c r="L866" s="32"/>
      <c r="M866" s="32"/>
      <c r="N866" s="32"/>
      <c r="O866" s="51"/>
      <c r="P866" s="51"/>
    </row>
    <row r="867" spans="2:16" x14ac:dyDescent="0.25">
      <c r="B867" s="32"/>
      <c r="C867" s="229"/>
      <c r="D867" s="229"/>
      <c r="E867" s="229"/>
      <c r="F867" s="229"/>
      <c r="G867" s="229"/>
      <c r="H867" s="229"/>
      <c r="I867" s="229"/>
      <c r="J867" s="59"/>
      <c r="K867" s="1"/>
      <c r="L867" s="32"/>
      <c r="M867" s="32"/>
      <c r="N867" s="32"/>
      <c r="O867" s="51"/>
      <c r="P867" s="51"/>
    </row>
    <row r="868" spans="2:16" x14ac:dyDescent="0.25">
      <c r="B868" s="32"/>
      <c r="C868" s="229"/>
      <c r="D868" s="229"/>
      <c r="E868" s="229"/>
      <c r="F868" s="229"/>
      <c r="G868" s="229"/>
      <c r="H868" s="229"/>
      <c r="I868" s="229"/>
      <c r="J868" s="59"/>
      <c r="K868" s="1"/>
      <c r="L868" s="32"/>
      <c r="M868" s="32"/>
      <c r="N868" s="32"/>
      <c r="O868" s="51"/>
      <c r="P868" s="51"/>
    </row>
    <row r="869" spans="2:16" x14ac:dyDescent="0.25">
      <c r="B869" s="32"/>
      <c r="C869" s="229"/>
      <c r="D869" s="229"/>
      <c r="E869" s="229"/>
      <c r="F869" s="229"/>
      <c r="G869" s="229"/>
      <c r="H869" s="229"/>
      <c r="I869" s="229"/>
      <c r="J869" s="59"/>
      <c r="K869" s="1"/>
      <c r="L869" s="32"/>
      <c r="M869" s="32"/>
      <c r="N869" s="32"/>
      <c r="O869" s="51"/>
      <c r="P869" s="51"/>
    </row>
    <row r="870" spans="2:16" x14ac:dyDescent="0.25">
      <c r="B870" s="32"/>
      <c r="C870" s="229"/>
      <c r="D870" s="229"/>
      <c r="E870" s="229"/>
      <c r="F870" s="229"/>
      <c r="G870" s="229"/>
      <c r="H870" s="229"/>
      <c r="I870" s="229"/>
      <c r="J870" s="59"/>
      <c r="K870" s="1"/>
      <c r="L870" s="32"/>
      <c r="M870" s="32"/>
      <c r="N870" s="32"/>
      <c r="O870" s="51"/>
      <c r="P870" s="51"/>
    </row>
    <row r="871" spans="2:16" x14ac:dyDescent="0.25">
      <c r="B871" s="32"/>
      <c r="C871" s="229"/>
      <c r="D871" s="229"/>
      <c r="E871" s="229"/>
      <c r="F871" s="229"/>
      <c r="G871" s="229"/>
      <c r="H871" s="229"/>
      <c r="I871" s="229"/>
      <c r="J871" s="59"/>
      <c r="K871" s="1"/>
      <c r="L871" s="32"/>
      <c r="M871" s="32"/>
      <c r="N871" s="32"/>
      <c r="O871" s="51"/>
      <c r="P871" s="51"/>
    </row>
    <row r="872" spans="2:16" x14ac:dyDescent="0.25">
      <c r="B872" s="32"/>
      <c r="C872" s="229"/>
      <c r="D872" s="229"/>
      <c r="E872" s="229"/>
      <c r="F872" s="229"/>
      <c r="G872" s="229"/>
      <c r="H872" s="229"/>
      <c r="I872" s="229"/>
      <c r="J872" s="59"/>
      <c r="K872" s="1"/>
      <c r="L872" s="32"/>
      <c r="M872" s="32"/>
      <c r="N872" s="32"/>
      <c r="O872" s="51"/>
      <c r="P872" s="51"/>
    </row>
    <row r="873" spans="2:16" x14ac:dyDescent="0.25">
      <c r="B873" s="32"/>
      <c r="C873" s="229"/>
      <c r="D873" s="229"/>
      <c r="E873" s="229"/>
      <c r="F873" s="229"/>
      <c r="G873" s="229"/>
      <c r="H873" s="229"/>
      <c r="I873" s="229"/>
      <c r="J873" s="59"/>
      <c r="K873" s="1"/>
      <c r="L873" s="32"/>
      <c r="M873" s="32"/>
      <c r="N873" s="32"/>
      <c r="O873" s="51"/>
      <c r="P873" s="51"/>
    </row>
    <row r="874" spans="2:16" x14ac:dyDescent="0.25">
      <c r="B874" s="32"/>
      <c r="C874" s="229"/>
      <c r="D874" s="229"/>
      <c r="E874" s="229"/>
      <c r="F874" s="229"/>
      <c r="G874" s="229"/>
      <c r="H874" s="229"/>
      <c r="I874" s="229"/>
      <c r="J874" s="59"/>
      <c r="K874" s="1"/>
      <c r="L874" s="32"/>
      <c r="M874" s="32"/>
      <c r="N874" s="32"/>
      <c r="O874" s="51"/>
      <c r="P874" s="51"/>
    </row>
    <row r="875" spans="2:16" x14ac:dyDescent="0.25">
      <c r="B875" s="32"/>
      <c r="C875" s="229"/>
      <c r="D875" s="229"/>
      <c r="E875" s="229"/>
      <c r="F875" s="229"/>
      <c r="G875" s="229"/>
      <c r="H875" s="229"/>
      <c r="I875" s="229"/>
      <c r="J875" s="59"/>
      <c r="K875" s="1"/>
      <c r="L875" s="32"/>
      <c r="M875" s="32"/>
      <c r="N875" s="32"/>
      <c r="O875" s="51"/>
      <c r="P875" s="51"/>
    </row>
    <row r="876" spans="2:16" x14ac:dyDescent="0.25">
      <c r="B876" s="32"/>
      <c r="C876" s="229"/>
      <c r="D876" s="229"/>
      <c r="E876" s="229"/>
      <c r="F876" s="229"/>
      <c r="G876" s="229"/>
      <c r="H876" s="229"/>
      <c r="I876" s="229"/>
      <c r="J876" s="59"/>
      <c r="K876" s="1"/>
      <c r="L876" s="32"/>
      <c r="M876" s="32"/>
      <c r="N876" s="32"/>
      <c r="O876" s="51"/>
      <c r="P876" s="51"/>
    </row>
    <row r="877" spans="2:16" x14ac:dyDescent="0.25">
      <c r="B877" s="32"/>
      <c r="C877" s="229"/>
      <c r="D877" s="229"/>
      <c r="E877" s="229"/>
      <c r="F877" s="229"/>
      <c r="G877" s="229"/>
      <c r="H877" s="229"/>
      <c r="I877" s="229"/>
      <c r="J877" s="59"/>
      <c r="K877" s="1"/>
      <c r="L877" s="32"/>
      <c r="M877" s="32"/>
      <c r="N877" s="32"/>
      <c r="O877" s="51"/>
      <c r="P877" s="51"/>
    </row>
    <row r="878" spans="2:16" x14ac:dyDescent="0.25">
      <c r="B878" s="32"/>
      <c r="C878" s="229"/>
      <c r="D878" s="229"/>
      <c r="E878" s="229"/>
      <c r="F878" s="229"/>
      <c r="G878" s="229"/>
      <c r="H878" s="229"/>
      <c r="I878" s="229"/>
      <c r="J878" s="59"/>
      <c r="K878" s="1"/>
      <c r="L878" s="32"/>
      <c r="M878" s="32"/>
      <c r="N878" s="32"/>
      <c r="O878" s="51"/>
      <c r="P878" s="51"/>
    </row>
    <row r="879" spans="2:16" x14ac:dyDescent="0.25">
      <c r="B879" s="32"/>
      <c r="C879" s="229"/>
      <c r="D879" s="229"/>
      <c r="E879" s="229"/>
      <c r="F879" s="229"/>
      <c r="G879" s="229"/>
      <c r="H879" s="229"/>
      <c r="I879" s="229"/>
      <c r="J879" s="59"/>
      <c r="K879" s="1"/>
      <c r="L879" s="32"/>
      <c r="M879" s="32"/>
      <c r="N879" s="32"/>
      <c r="O879" s="51"/>
      <c r="P879" s="51"/>
    </row>
    <row r="880" spans="2:16" x14ac:dyDescent="0.25">
      <c r="B880" s="32"/>
      <c r="C880" s="229"/>
      <c r="D880" s="229"/>
      <c r="E880" s="229"/>
      <c r="F880" s="229"/>
      <c r="G880" s="229"/>
      <c r="H880" s="229"/>
      <c r="I880" s="229"/>
      <c r="J880" s="59"/>
      <c r="K880" s="1"/>
      <c r="L880" s="32"/>
      <c r="M880" s="32"/>
      <c r="N880" s="32"/>
      <c r="O880" s="51"/>
      <c r="P880" s="51"/>
    </row>
    <row r="881" spans="2:16" x14ac:dyDescent="0.25">
      <c r="B881" s="32"/>
      <c r="C881" s="229"/>
      <c r="D881" s="229"/>
      <c r="E881" s="229"/>
      <c r="F881" s="229"/>
      <c r="G881" s="229"/>
      <c r="H881" s="229"/>
      <c r="I881" s="229"/>
      <c r="J881" s="59"/>
      <c r="K881" s="1"/>
      <c r="L881" s="32"/>
      <c r="M881" s="32"/>
      <c r="N881" s="32"/>
      <c r="O881" s="51"/>
      <c r="P881" s="51"/>
    </row>
    <row r="882" spans="2:16" x14ac:dyDescent="0.25">
      <c r="B882" s="32"/>
      <c r="C882" s="229"/>
      <c r="D882" s="229"/>
      <c r="E882" s="229"/>
      <c r="F882" s="229"/>
      <c r="G882" s="229"/>
      <c r="H882" s="229"/>
      <c r="I882" s="229"/>
      <c r="J882" s="59"/>
      <c r="K882" s="1"/>
      <c r="L882" s="32"/>
      <c r="M882" s="32"/>
      <c r="N882" s="32"/>
      <c r="O882" s="51"/>
      <c r="P882" s="51"/>
    </row>
    <row r="883" spans="2:16" x14ac:dyDescent="0.25">
      <c r="B883" s="32"/>
      <c r="C883" s="229"/>
      <c r="D883" s="229"/>
      <c r="E883" s="229"/>
      <c r="F883" s="229"/>
      <c r="G883" s="229"/>
      <c r="H883" s="229"/>
      <c r="I883" s="229"/>
      <c r="J883" s="59"/>
      <c r="K883" s="1"/>
      <c r="L883" s="32"/>
      <c r="M883" s="32"/>
      <c r="N883" s="32"/>
      <c r="O883" s="51"/>
      <c r="P883" s="51"/>
    </row>
    <row r="884" spans="2:16" x14ac:dyDescent="0.25">
      <c r="B884" s="32"/>
      <c r="C884" s="229"/>
      <c r="D884" s="229"/>
      <c r="E884" s="229"/>
      <c r="F884" s="229"/>
      <c r="G884" s="229"/>
      <c r="H884" s="229"/>
      <c r="I884" s="229"/>
      <c r="J884" s="59"/>
      <c r="K884" s="1"/>
      <c r="L884" s="32"/>
      <c r="M884" s="32"/>
      <c r="N884" s="32"/>
      <c r="O884" s="51"/>
      <c r="P884" s="51"/>
    </row>
    <row r="885" spans="2:16" x14ac:dyDescent="0.25">
      <c r="B885" s="32"/>
      <c r="C885" s="229"/>
      <c r="D885" s="229"/>
      <c r="E885" s="229"/>
      <c r="F885" s="229"/>
      <c r="G885" s="229"/>
      <c r="H885" s="229"/>
      <c r="I885" s="229"/>
      <c r="J885" s="59"/>
      <c r="K885" s="1"/>
      <c r="L885" s="32"/>
      <c r="M885" s="32"/>
      <c r="N885" s="32"/>
      <c r="O885" s="51"/>
      <c r="P885" s="51"/>
    </row>
    <row r="886" spans="2:16" x14ac:dyDescent="0.25">
      <c r="B886" s="32"/>
      <c r="C886" s="229"/>
      <c r="D886" s="229"/>
      <c r="E886" s="229"/>
      <c r="F886" s="229"/>
      <c r="G886" s="229"/>
      <c r="H886" s="229"/>
      <c r="I886" s="229"/>
      <c r="J886" s="59"/>
      <c r="K886" s="1"/>
      <c r="L886" s="32"/>
      <c r="M886" s="32"/>
      <c r="N886" s="32"/>
      <c r="O886" s="51"/>
      <c r="P886" s="51"/>
    </row>
    <row r="887" spans="2:16" x14ac:dyDescent="0.25">
      <c r="B887" s="32"/>
      <c r="C887" s="229"/>
      <c r="D887" s="229"/>
      <c r="E887" s="229"/>
      <c r="F887" s="229"/>
      <c r="G887" s="229"/>
      <c r="H887" s="229"/>
      <c r="I887" s="229"/>
      <c r="J887" s="59"/>
      <c r="K887" s="1"/>
      <c r="L887" s="32"/>
      <c r="M887" s="32"/>
      <c r="N887" s="32"/>
      <c r="O887" s="51"/>
      <c r="P887" s="51"/>
    </row>
    <row r="888" spans="2:16" x14ac:dyDescent="0.25">
      <c r="B888" s="32"/>
      <c r="C888" s="229"/>
      <c r="D888" s="229"/>
      <c r="E888" s="229"/>
      <c r="F888" s="229"/>
      <c r="G888" s="229"/>
      <c r="H888" s="229"/>
      <c r="I888" s="229"/>
      <c r="J888" s="59"/>
      <c r="K888" s="1"/>
      <c r="L888" s="32"/>
      <c r="M888" s="32"/>
      <c r="N888" s="32"/>
      <c r="O888" s="51"/>
      <c r="P888" s="51"/>
    </row>
    <row r="889" spans="2:16" x14ac:dyDescent="0.25">
      <c r="B889" s="32"/>
      <c r="C889" s="229"/>
      <c r="D889" s="229"/>
      <c r="E889" s="229"/>
      <c r="F889" s="229"/>
      <c r="G889" s="229"/>
      <c r="H889" s="229"/>
      <c r="I889" s="229"/>
      <c r="J889" s="59"/>
      <c r="K889" s="1"/>
      <c r="L889" s="32"/>
      <c r="M889" s="32"/>
      <c r="N889" s="32"/>
      <c r="O889" s="51"/>
      <c r="P889" s="51"/>
    </row>
    <row r="890" spans="2:16" x14ac:dyDescent="0.25">
      <c r="B890" s="32"/>
      <c r="C890" s="229"/>
      <c r="D890" s="229"/>
      <c r="E890" s="229"/>
      <c r="F890" s="229"/>
      <c r="G890" s="229"/>
      <c r="H890" s="229"/>
      <c r="I890" s="229"/>
      <c r="J890" s="59"/>
      <c r="K890" s="1"/>
      <c r="L890" s="32"/>
      <c r="M890" s="32"/>
      <c r="N890" s="32"/>
      <c r="O890" s="51"/>
      <c r="P890" s="51"/>
    </row>
    <row r="891" spans="2:16" x14ac:dyDescent="0.25">
      <c r="B891" s="32"/>
      <c r="C891" s="229"/>
      <c r="D891" s="229"/>
      <c r="E891" s="229"/>
      <c r="F891" s="229"/>
      <c r="G891" s="229"/>
      <c r="H891" s="229"/>
      <c r="I891" s="229"/>
      <c r="J891" s="59"/>
      <c r="K891" s="1"/>
      <c r="L891" s="32"/>
      <c r="M891" s="32"/>
      <c r="N891" s="32"/>
      <c r="O891" s="51"/>
      <c r="P891" s="51"/>
    </row>
    <row r="892" spans="2:16" x14ac:dyDescent="0.25">
      <c r="B892" s="32"/>
      <c r="C892" s="229"/>
      <c r="D892" s="229"/>
      <c r="E892" s="229"/>
      <c r="F892" s="229"/>
      <c r="G892" s="229"/>
      <c r="H892" s="229"/>
      <c r="I892" s="229"/>
      <c r="J892" s="59"/>
      <c r="K892" s="1"/>
      <c r="L892" s="32"/>
      <c r="M892" s="32"/>
      <c r="N892" s="32"/>
      <c r="O892" s="51"/>
      <c r="P892" s="51"/>
    </row>
    <row r="893" spans="2:16" x14ac:dyDescent="0.25">
      <c r="B893" s="32"/>
      <c r="C893" s="229"/>
      <c r="D893" s="229"/>
      <c r="E893" s="229"/>
      <c r="F893" s="229"/>
      <c r="G893" s="229"/>
      <c r="H893" s="229"/>
      <c r="I893" s="229"/>
      <c r="J893" s="59"/>
      <c r="K893" s="1"/>
      <c r="L893" s="32"/>
      <c r="M893" s="32"/>
      <c r="N893" s="32"/>
      <c r="O893" s="51"/>
      <c r="P893" s="51"/>
    </row>
    <row r="894" spans="2:16" x14ac:dyDescent="0.25">
      <c r="B894" s="32"/>
      <c r="C894" s="229"/>
      <c r="D894" s="229"/>
      <c r="E894" s="229"/>
      <c r="F894" s="229"/>
      <c r="G894" s="229"/>
      <c r="H894" s="229"/>
      <c r="I894" s="229"/>
      <c r="J894" s="59"/>
      <c r="K894" s="1"/>
      <c r="L894" s="32"/>
      <c r="M894" s="32"/>
      <c r="N894" s="32"/>
      <c r="O894" s="51"/>
      <c r="P894" s="51"/>
    </row>
    <row r="895" spans="2:16" x14ac:dyDescent="0.25">
      <c r="B895" s="32"/>
      <c r="C895" s="229"/>
      <c r="D895" s="229"/>
      <c r="E895" s="229"/>
      <c r="F895" s="229"/>
      <c r="G895" s="229"/>
      <c r="H895" s="229"/>
      <c r="I895" s="229"/>
      <c r="J895" s="59"/>
      <c r="K895" s="1"/>
      <c r="L895" s="32"/>
      <c r="M895" s="32"/>
      <c r="N895" s="32"/>
      <c r="O895" s="51"/>
      <c r="P895" s="51"/>
    </row>
    <row r="896" spans="2:16" x14ac:dyDescent="0.25">
      <c r="B896" s="32"/>
      <c r="C896" s="229"/>
      <c r="D896" s="229"/>
      <c r="E896" s="229"/>
      <c r="F896" s="229"/>
      <c r="G896" s="229"/>
      <c r="H896" s="229"/>
      <c r="I896" s="229"/>
      <c r="J896" s="59"/>
      <c r="K896" s="1"/>
      <c r="L896" s="32"/>
      <c r="M896" s="32"/>
      <c r="N896" s="32"/>
      <c r="O896" s="51"/>
      <c r="P896" s="51"/>
    </row>
    <row r="897" spans="2:16" x14ac:dyDescent="0.25">
      <c r="B897" s="32"/>
      <c r="C897" s="229"/>
      <c r="D897" s="229"/>
      <c r="E897" s="229"/>
      <c r="F897" s="229"/>
      <c r="G897" s="229"/>
      <c r="H897" s="229"/>
      <c r="I897" s="229"/>
      <c r="J897" s="59"/>
      <c r="K897" s="1"/>
      <c r="L897" s="32"/>
      <c r="M897" s="32"/>
      <c r="N897" s="32"/>
      <c r="O897" s="51"/>
      <c r="P897" s="51"/>
    </row>
    <row r="898" spans="2:16" x14ac:dyDescent="0.25">
      <c r="B898" s="32"/>
      <c r="C898" s="229"/>
      <c r="D898" s="229"/>
      <c r="E898" s="229"/>
      <c r="F898" s="229"/>
      <c r="G898" s="229"/>
      <c r="H898" s="229"/>
      <c r="I898" s="229"/>
      <c r="J898" s="59"/>
      <c r="K898" s="1"/>
      <c r="L898" s="32"/>
      <c r="M898" s="32"/>
      <c r="N898" s="32"/>
      <c r="O898" s="51"/>
      <c r="P898" s="51"/>
    </row>
    <row r="899" spans="2:16" x14ac:dyDescent="0.25">
      <c r="B899" s="32"/>
      <c r="C899" s="229"/>
      <c r="D899" s="229"/>
      <c r="E899" s="229"/>
      <c r="F899" s="229"/>
      <c r="G899" s="229"/>
      <c r="H899" s="229"/>
      <c r="I899" s="229"/>
      <c r="J899" s="59"/>
      <c r="K899" s="1"/>
      <c r="L899" s="32"/>
      <c r="M899" s="32"/>
      <c r="N899" s="32"/>
      <c r="O899" s="51"/>
      <c r="P899" s="51"/>
    </row>
    <row r="900" spans="2:16" x14ac:dyDescent="0.25">
      <c r="B900" s="32"/>
      <c r="C900" s="229"/>
      <c r="D900" s="229"/>
      <c r="E900" s="229"/>
      <c r="F900" s="229"/>
      <c r="G900" s="229"/>
      <c r="H900" s="229"/>
      <c r="I900" s="229"/>
      <c r="J900" s="59"/>
      <c r="K900" s="1"/>
      <c r="L900" s="32"/>
      <c r="M900" s="32"/>
      <c r="N900" s="32"/>
      <c r="O900" s="51"/>
      <c r="P900" s="51"/>
    </row>
    <row r="901" spans="2:16" x14ac:dyDescent="0.25">
      <c r="B901" s="32"/>
      <c r="C901" s="229"/>
      <c r="D901" s="229"/>
      <c r="E901" s="229"/>
      <c r="F901" s="229"/>
      <c r="G901" s="229"/>
      <c r="H901" s="229"/>
      <c r="I901" s="229"/>
      <c r="J901" s="59"/>
      <c r="K901" s="1"/>
      <c r="L901" s="32"/>
      <c r="M901" s="32"/>
      <c r="N901" s="32"/>
      <c r="O901" s="51"/>
      <c r="P901" s="51"/>
    </row>
    <row r="902" spans="2:16" x14ac:dyDescent="0.25">
      <c r="B902" s="32"/>
      <c r="C902" s="229"/>
      <c r="D902" s="229"/>
      <c r="E902" s="229"/>
      <c r="F902" s="229"/>
      <c r="G902" s="229"/>
      <c r="H902" s="229"/>
      <c r="I902" s="229"/>
      <c r="J902" s="59"/>
      <c r="K902" s="1"/>
      <c r="L902" s="32"/>
      <c r="M902" s="32"/>
      <c r="N902" s="32"/>
      <c r="O902" s="51"/>
      <c r="P902" s="51"/>
    </row>
    <row r="903" spans="2:16" x14ac:dyDescent="0.25">
      <c r="B903" s="32"/>
      <c r="C903" s="229"/>
      <c r="D903" s="229"/>
      <c r="E903" s="229"/>
      <c r="F903" s="229"/>
      <c r="G903" s="229"/>
      <c r="H903" s="229"/>
      <c r="I903" s="229"/>
      <c r="J903" s="59"/>
      <c r="K903" s="1"/>
      <c r="L903" s="32"/>
      <c r="M903" s="32"/>
      <c r="N903" s="32"/>
      <c r="O903" s="51"/>
      <c r="P903" s="51"/>
    </row>
    <row r="904" spans="2:16" x14ac:dyDescent="0.25">
      <c r="B904" s="32"/>
      <c r="C904" s="229"/>
      <c r="D904" s="229"/>
      <c r="E904" s="229"/>
      <c r="F904" s="229"/>
      <c r="G904" s="229"/>
      <c r="H904" s="229"/>
      <c r="I904" s="229"/>
      <c r="J904" s="59"/>
      <c r="K904" s="1"/>
      <c r="L904" s="32"/>
      <c r="M904" s="32"/>
      <c r="N904" s="32"/>
      <c r="O904" s="51"/>
      <c r="P904" s="51"/>
    </row>
    <row r="905" spans="2:16" x14ac:dyDescent="0.25">
      <c r="B905" s="32"/>
      <c r="C905" s="229"/>
      <c r="D905" s="229"/>
      <c r="E905" s="229"/>
      <c r="F905" s="229"/>
      <c r="G905" s="229"/>
      <c r="H905" s="229"/>
      <c r="I905" s="229"/>
      <c r="J905" s="59"/>
      <c r="K905" s="1"/>
      <c r="L905" s="32"/>
      <c r="M905" s="32"/>
      <c r="N905" s="32"/>
      <c r="O905" s="51"/>
      <c r="P905" s="51"/>
    </row>
    <row r="906" spans="2:16" x14ac:dyDescent="0.25">
      <c r="B906" s="32"/>
      <c r="C906" s="229"/>
      <c r="D906" s="229"/>
      <c r="E906" s="229"/>
      <c r="F906" s="229"/>
      <c r="G906" s="229"/>
      <c r="H906" s="229"/>
      <c r="I906" s="229"/>
      <c r="J906" s="59"/>
      <c r="K906" s="1"/>
      <c r="L906" s="32"/>
      <c r="M906" s="32"/>
      <c r="N906" s="32"/>
      <c r="O906" s="51"/>
      <c r="P906" s="51"/>
    </row>
    <row r="907" spans="2:16" x14ac:dyDescent="0.25">
      <c r="B907" s="32"/>
      <c r="C907" s="229"/>
      <c r="D907" s="229"/>
      <c r="E907" s="229"/>
      <c r="F907" s="229"/>
      <c r="G907" s="229"/>
      <c r="H907" s="229"/>
      <c r="I907" s="229"/>
      <c r="J907" s="59"/>
      <c r="K907" s="1"/>
      <c r="L907" s="32"/>
      <c r="M907" s="32"/>
      <c r="N907" s="32"/>
      <c r="O907" s="51"/>
      <c r="P907" s="51"/>
    </row>
    <row r="908" spans="2:16" x14ac:dyDescent="0.25">
      <c r="B908" s="32"/>
      <c r="C908" s="229"/>
      <c r="D908" s="229"/>
      <c r="E908" s="229"/>
      <c r="F908" s="229"/>
      <c r="G908" s="229"/>
      <c r="H908" s="229"/>
      <c r="I908" s="229"/>
      <c r="J908" s="59"/>
      <c r="K908" s="1"/>
      <c r="L908" s="32"/>
      <c r="M908" s="32"/>
      <c r="N908" s="32"/>
      <c r="O908" s="51"/>
      <c r="P908" s="51"/>
    </row>
    <row r="909" spans="2:16" x14ac:dyDescent="0.25">
      <c r="B909" s="32"/>
      <c r="C909" s="229"/>
      <c r="D909" s="229"/>
      <c r="E909" s="229"/>
      <c r="F909" s="229"/>
      <c r="G909" s="229"/>
      <c r="H909" s="229"/>
      <c r="I909" s="229"/>
      <c r="J909" s="59"/>
      <c r="K909" s="1"/>
      <c r="L909" s="32"/>
      <c r="M909" s="32"/>
      <c r="N909" s="32"/>
      <c r="O909" s="51"/>
      <c r="P909" s="51"/>
    </row>
    <row r="910" spans="2:16" x14ac:dyDescent="0.25">
      <c r="B910" s="32"/>
      <c r="C910" s="229"/>
      <c r="D910" s="229"/>
      <c r="E910" s="229"/>
      <c r="F910" s="229"/>
      <c r="G910" s="229"/>
      <c r="H910" s="229"/>
      <c r="I910" s="229"/>
      <c r="J910" s="59"/>
      <c r="K910" s="1"/>
      <c r="L910" s="32"/>
      <c r="M910" s="32"/>
      <c r="N910" s="32"/>
      <c r="O910" s="51"/>
      <c r="P910" s="51"/>
    </row>
    <row r="911" spans="2:16" x14ac:dyDescent="0.25">
      <c r="B911" s="32"/>
      <c r="C911" s="229"/>
      <c r="D911" s="229"/>
      <c r="E911" s="229"/>
      <c r="F911" s="229"/>
      <c r="G911" s="229"/>
      <c r="H911" s="229"/>
      <c r="I911" s="229"/>
      <c r="J911" s="59"/>
      <c r="K911" s="1"/>
      <c r="L911" s="32"/>
      <c r="M911" s="32"/>
      <c r="N911" s="32"/>
      <c r="O911" s="51"/>
      <c r="P911" s="51"/>
    </row>
    <row r="912" spans="2:16" x14ac:dyDescent="0.25">
      <c r="B912" s="32"/>
      <c r="C912" s="229"/>
      <c r="D912" s="229"/>
      <c r="E912" s="229"/>
      <c r="F912" s="229"/>
      <c r="G912" s="229"/>
      <c r="H912" s="229"/>
      <c r="I912" s="229"/>
      <c r="J912" s="59"/>
      <c r="K912" s="1"/>
      <c r="L912" s="32"/>
      <c r="M912" s="32"/>
      <c r="N912" s="32"/>
      <c r="O912" s="51"/>
      <c r="P912" s="51"/>
    </row>
    <row r="913" spans="2:16" x14ac:dyDescent="0.25">
      <c r="B913" s="32"/>
      <c r="C913" s="229"/>
      <c r="D913" s="229"/>
      <c r="E913" s="229"/>
      <c r="F913" s="229"/>
      <c r="G913" s="229"/>
      <c r="H913" s="229"/>
      <c r="I913" s="229"/>
      <c r="J913" s="59"/>
      <c r="K913" s="1"/>
      <c r="L913" s="32"/>
      <c r="M913" s="32"/>
      <c r="N913" s="32"/>
      <c r="O913" s="51"/>
      <c r="P913" s="51"/>
    </row>
    <row r="914" spans="2:16" x14ac:dyDescent="0.25">
      <c r="B914" s="32"/>
      <c r="C914" s="229"/>
      <c r="D914" s="229"/>
      <c r="E914" s="229"/>
      <c r="F914" s="229"/>
      <c r="G914" s="229"/>
      <c r="H914" s="229"/>
      <c r="I914" s="229"/>
      <c r="J914" s="59"/>
      <c r="K914" s="1"/>
      <c r="L914" s="32"/>
      <c r="M914" s="32"/>
      <c r="N914" s="32"/>
      <c r="O914" s="51"/>
      <c r="P914" s="51"/>
    </row>
    <row r="915" spans="2:16" x14ac:dyDescent="0.25">
      <c r="B915" s="32"/>
      <c r="C915" s="229"/>
      <c r="D915" s="229"/>
      <c r="E915" s="229"/>
      <c r="F915" s="229"/>
      <c r="G915" s="229"/>
      <c r="H915" s="229"/>
      <c r="I915" s="229"/>
      <c r="J915" s="59"/>
      <c r="K915" s="1"/>
      <c r="L915" s="32"/>
      <c r="M915" s="32"/>
      <c r="N915" s="32"/>
      <c r="O915" s="51"/>
      <c r="P915" s="51"/>
    </row>
    <row r="916" spans="2:16" x14ac:dyDescent="0.25">
      <c r="B916" s="32"/>
      <c r="C916" s="229"/>
      <c r="D916" s="229"/>
      <c r="E916" s="229"/>
      <c r="F916" s="229"/>
      <c r="G916" s="229"/>
      <c r="H916" s="229"/>
      <c r="I916" s="229"/>
      <c r="J916" s="59"/>
      <c r="K916" s="1"/>
      <c r="L916" s="32"/>
      <c r="M916" s="32"/>
      <c r="N916" s="32"/>
      <c r="O916" s="51"/>
      <c r="P916" s="51"/>
    </row>
    <row r="917" spans="2:16" x14ac:dyDescent="0.25">
      <c r="B917" s="32"/>
      <c r="C917" s="229"/>
      <c r="D917" s="229"/>
      <c r="E917" s="229"/>
      <c r="F917" s="229"/>
      <c r="G917" s="229"/>
      <c r="H917" s="229"/>
      <c r="I917" s="229"/>
      <c r="J917" s="59"/>
      <c r="K917" s="1"/>
      <c r="L917" s="32"/>
      <c r="M917" s="32"/>
      <c r="N917" s="32"/>
      <c r="O917" s="51"/>
      <c r="P917" s="51"/>
    </row>
    <row r="918" spans="2:16" x14ac:dyDescent="0.25">
      <c r="B918" s="32"/>
      <c r="C918" s="229"/>
      <c r="D918" s="229"/>
      <c r="E918" s="229"/>
      <c r="F918" s="229"/>
      <c r="G918" s="229"/>
      <c r="H918" s="229"/>
      <c r="I918" s="229"/>
      <c r="J918" s="59"/>
      <c r="K918" s="1"/>
      <c r="L918" s="32"/>
      <c r="M918" s="32"/>
      <c r="N918" s="32"/>
      <c r="O918" s="51"/>
      <c r="P918" s="51"/>
    </row>
    <row r="919" spans="2:16" x14ac:dyDescent="0.25">
      <c r="B919" s="32"/>
      <c r="C919" s="229"/>
      <c r="D919" s="229"/>
      <c r="E919" s="229"/>
      <c r="F919" s="229"/>
      <c r="G919" s="229"/>
      <c r="H919" s="229"/>
      <c r="I919" s="229"/>
      <c r="J919" s="59"/>
      <c r="K919" s="1"/>
      <c r="L919" s="32"/>
      <c r="M919" s="32"/>
      <c r="N919" s="32"/>
      <c r="O919" s="51"/>
      <c r="P919" s="51"/>
    </row>
    <row r="920" spans="2:16" x14ac:dyDescent="0.25">
      <c r="B920" s="32"/>
      <c r="C920" s="229"/>
      <c r="D920" s="229"/>
      <c r="E920" s="229"/>
      <c r="F920" s="229"/>
      <c r="G920" s="229"/>
      <c r="H920" s="229"/>
      <c r="I920" s="229"/>
      <c r="J920" s="59"/>
      <c r="K920" s="1"/>
      <c r="L920" s="32"/>
      <c r="M920" s="32"/>
      <c r="N920" s="32"/>
      <c r="O920" s="51"/>
      <c r="P920" s="51"/>
    </row>
    <row r="921" spans="2:16" x14ac:dyDescent="0.25">
      <c r="B921" s="32"/>
      <c r="C921" s="229"/>
      <c r="D921" s="229"/>
      <c r="E921" s="229"/>
      <c r="F921" s="229"/>
      <c r="G921" s="229"/>
      <c r="H921" s="229"/>
      <c r="I921" s="229"/>
      <c r="J921" s="59"/>
      <c r="K921" s="1"/>
      <c r="L921" s="32"/>
      <c r="M921" s="32"/>
      <c r="N921" s="32"/>
      <c r="O921" s="51"/>
      <c r="P921" s="51"/>
    </row>
    <row r="922" spans="2:16" x14ac:dyDescent="0.25">
      <c r="B922" s="32"/>
      <c r="C922" s="229"/>
      <c r="D922" s="229"/>
      <c r="E922" s="229"/>
      <c r="F922" s="229"/>
      <c r="G922" s="229"/>
      <c r="H922" s="229"/>
      <c r="I922" s="229"/>
      <c r="J922" s="59"/>
      <c r="K922" s="1"/>
      <c r="L922" s="32"/>
      <c r="M922" s="32"/>
      <c r="N922" s="32"/>
      <c r="O922" s="51"/>
      <c r="P922" s="51"/>
    </row>
    <row r="923" spans="2:16" x14ac:dyDescent="0.25">
      <c r="B923" s="32"/>
      <c r="C923" s="229"/>
      <c r="D923" s="229"/>
      <c r="E923" s="229"/>
      <c r="F923" s="229"/>
      <c r="G923" s="229"/>
      <c r="H923" s="229"/>
      <c r="I923" s="229"/>
      <c r="J923" s="59"/>
      <c r="K923" s="1"/>
      <c r="L923" s="32"/>
      <c r="M923" s="32"/>
      <c r="N923" s="32"/>
      <c r="O923" s="51"/>
      <c r="P923" s="51"/>
    </row>
    <row r="924" spans="2:16" x14ac:dyDescent="0.25">
      <c r="B924" s="32"/>
      <c r="C924" s="229"/>
      <c r="D924" s="229"/>
      <c r="E924" s="229"/>
      <c r="F924" s="229"/>
      <c r="G924" s="229"/>
      <c r="H924" s="229"/>
      <c r="I924" s="229"/>
      <c r="J924" s="59"/>
      <c r="K924" s="1"/>
      <c r="L924" s="32"/>
      <c r="M924" s="32"/>
      <c r="N924" s="32"/>
      <c r="O924" s="51"/>
      <c r="P924" s="51"/>
    </row>
    <row r="925" spans="2:16" x14ac:dyDescent="0.25">
      <c r="B925" s="32"/>
      <c r="C925" s="229"/>
      <c r="D925" s="229"/>
      <c r="E925" s="229"/>
      <c r="F925" s="229"/>
      <c r="G925" s="229"/>
      <c r="H925" s="229"/>
      <c r="I925" s="229"/>
      <c r="J925" s="59"/>
      <c r="K925" s="1"/>
      <c r="L925" s="32"/>
      <c r="M925" s="32"/>
      <c r="N925" s="32"/>
      <c r="O925" s="51"/>
      <c r="P925" s="51"/>
    </row>
    <row r="926" spans="2:16" x14ac:dyDescent="0.25">
      <c r="B926" s="32"/>
      <c r="C926" s="229"/>
      <c r="D926" s="229"/>
      <c r="E926" s="229"/>
      <c r="F926" s="229"/>
      <c r="G926" s="229"/>
      <c r="H926" s="229"/>
      <c r="I926" s="229"/>
      <c r="J926" s="59"/>
      <c r="K926" s="1"/>
      <c r="L926" s="32"/>
      <c r="M926" s="32"/>
      <c r="N926" s="32"/>
      <c r="O926" s="51"/>
      <c r="P926" s="51"/>
    </row>
    <row r="927" spans="2:16" x14ac:dyDescent="0.25">
      <c r="B927" s="32"/>
      <c r="C927" s="229"/>
      <c r="D927" s="229"/>
      <c r="E927" s="229"/>
      <c r="F927" s="229"/>
      <c r="G927" s="229"/>
      <c r="H927" s="229"/>
      <c r="I927" s="229"/>
      <c r="J927" s="59"/>
      <c r="K927" s="1"/>
      <c r="L927" s="32"/>
      <c r="M927" s="32"/>
      <c r="N927" s="32"/>
      <c r="O927" s="51"/>
      <c r="P927" s="51"/>
    </row>
    <row r="928" spans="2:16" x14ac:dyDescent="0.25">
      <c r="B928" s="32"/>
      <c r="C928" s="229"/>
      <c r="D928" s="229"/>
      <c r="E928" s="229"/>
      <c r="F928" s="229"/>
      <c r="G928" s="229"/>
      <c r="H928" s="229"/>
      <c r="I928" s="229"/>
      <c r="J928" s="59"/>
      <c r="K928" s="1"/>
      <c r="L928" s="32"/>
      <c r="M928" s="32"/>
      <c r="N928" s="32"/>
      <c r="O928" s="51"/>
      <c r="P928" s="51"/>
    </row>
    <row r="929" spans="2:16" x14ac:dyDescent="0.25">
      <c r="B929" s="32"/>
      <c r="C929" s="229"/>
      <c r="D929" s="229"/>
      <c r="E929" s="229"/>
      <c r="F929" s="229"/>
      <c r="G929" s="229"/>
      <c r="H929" s="229"/>
      <c r="I929" s="229"/>
      <c r="J929" s="59"/>
      <c r="K929" s="1"/>
      <c r="L929" s="32"/>
      <c r="M929" s="32"/>
      <c r="N929" s="32"/>
      <c r="O929" s="51"/>
      <c r="P929" s="51"/>
    </row>
    <row r="930" spans="2:16" x14ac:dyDescent="0.25">
      <c r="B930" s="32"/>
      <c r="C930" s="229"/>
      <c r="D930" s="229"/>
      <c r="E930" s="229"/>
      <c r="F930" s="229"/>
      <c r="G930" s="229"/>
      <c r="H930" s="229"/>
      <c r="I930" s="229"/>
      <c r="J930" s="59"/>
      <c r="K930" s="1"/>
      <c r="L930" s="32"/>
      <c r="M930" s="32"/>
      <c r="N930" s="32"/>
      <c r="O930" s="51"/>
      <c r="P930" s="51"/>
    </row>
    <row r="931" spans="2:16" x14ac:dyDescent="0.25">
      <c r="B931" s="32"/>
      <c r="C931" s="229"/>
      <c r="D931" s="229"/>
      <c r="E931" s="229"/>
      <c r="F931" s="229"/>
      <c r="G931" s="229"/>
      <c r="H931" s="229"/>
      <c r="I931" s="229"/>
      <c r="J931" s="59"/>
      <c r="K931" s="1"/>
      <c r="L931" s="32"/>
      <c r="M931" s="32"/>
      <c r="N931" s="32"/>
      <c r="O931" s="51"/>
      <c r="P931" s="51"/>
    </row>
    <row r="932" spans="2:16" x14ac:dyDescent="0.25">
      <c r="B932" s="32"/>
      <c r="C932" s="229"/>
      <c r="D932" s="229"/>
      <c r="E932" s="229"/>
      <c r="F932" s="229"/>
      <c r="G932" s="229"/>
      <c r="H932" s="229"/>
      <c r="I932" s="229"/>
      <c r="J932" s="59"/>
      <c r="K932" s="1"/>
      <c r="L932" s="32"/>
      <c r="M932" s="32"/>
      <c r="N932" s="32"/>
      <c r="O932" s="51"/>
      <c r="P932" s="51"/>
    </row>
    <row r="933" spans="2:16" x14ac:dyDescent="0.25">
      <c r="B933" s="32"/>
      <c r="C933" s="229"/>
      <c r="D933" s="229"/>
      <c r="E933" s="229"/>
      <c r="F933" s="229"/>
      <c r="G933" s="229"/>
      <c r="H933" s="229"/>
      <c r="I933" s="229"/>
      <c r="J933" s="59"/>
      <c r="K933" s="1"/>
      <c r="L933" s="32"/>
      <c r="M933" s="32"/>
      <c r="N933" s="32"/>
      <c r="O933" s="51"/>
      <c r="P933" s="51"/>
    </row>
    <row r="934" spans="2:16" x14ac:dyDescent="0.25">
      <c r="B934" s="32"/>
      <c r="C934" s="229"/>
      <c r="D934" s="229"/>
      <c r="E934" s="229"/>
      <c r="F934" s="229"/>
      <c r="G934" s="229"/>
      <c r="H934" s="229"/>
      <c r="I934" s="229"/>
      <c r="J934" s="59"/>
      <c r="K934" s="1"/>
      <c r="L934" s="32"/>
      <c r="M934" s="32"/>
      <c r="N934" s="32"/>
      <c r="O934" s="51"/>
      <c r="P934" s="51"/>
    </row>
    <row r="935" spans="2:16" x14ac:dyDescent="0.25">
      <c r="B935" s="32"/>
      <c r="C935" s="229"/>
      <c r="D935" s="229"/>
      <c r="E935" s="229"/>
      <c r="F935" s="229"/>
      <c r="G935" s="229"/>
      <c r="H935" s="229"/>
      <c r="I935" s="229"/>
      <c r="J935" s="59"/>
      <c r="K935" s="1"/>
      <c r="L935" s="32"/>
      <c r="M935" s="32"/>
      <c r="N935" s="32"/>
      <c r="O935" s="51"/>
      <c r="P935" s="51"/>
    </row>
    <row r="936" spans="2:16" x14ac:dyDescent="0.25">
      <c r="B936" s="32"/>
      <c r="C936" s="229"/>
      <c r="D936" s="229"/>
      <c r="E936" s="229"/>
      <c r="F936" s="229"/>
      <c r="G936" s="229"/>
      <c r="H936" s="229"/>
      <c r="I936" s="229"/>
      <c r="J936" s="59"/>
      <c r="K936" s="1"/>
      <c r="L936" s="32"/>
      <c r="M936" s="32"/>
      <c r="N936" s="32"/>
      <c r="O936" s="51"/>
      <c r="P936" s="51"/>
    </row>
    <row r="937" spans="2:16" x14ac:dyDescent="0.25">
      <c r="B937" s="32"/>
      <c r="C937" s="229"/>
      <c r="D937" s="229"/>
      <c r="E937" s="229"/>
      <c r="F937" s="229"/>
      <c r="G937" s="229"/>
      <c r="H937" s="229"/>
      <c r="I937" s="229"/>
      <c r="J937" s="59"/>
      <c r="K937" s="1"/>
      <c r="L937" s="32"/>
      <c r="M937" s="32"/>
      <c r="N937" s="32"/>
      <c r="O937" s="51"/>
      <c r="P937" s="51"/>
    </row>
    <row r="938" spans="2:16" x14ac:dyDescent="0.25">
      <c r="B938" s="32"/>
      <c r="C938" s="229"/>
      <c r="D938" s="229"/>
      <c r="E938" s="229"/>
      <c r="F938" s="229"/>
      <c r="G938" s="229"/>
      <c r="H938" s="229"/>
      <c r="I938" s="229"/>
      <c r="J938" s="59"/>
      <c r="K938" s="1"/>
      <c r="L938" s="32"/>
      <c r="M938" s="32"/>
      <c r="N938" s="32"/>
      <c r="O938" s="51"/>
      <c r="P938" s="51"/>
    </row>
    <row r="939" spans="2:16" x14ac:dyDescent="0.25">
      <c r="B939" s="32"/>
      <c r="C939" s="229"/>
      <c r="D939" s="229"/>
      <c r="E939" s="229"/>
      <c r="F939" s="229"/>
      <c r="G939" s="229"/>
      <c r="H939" s="229"/>
      <c r="I939" s="229"/>
      <c r="J939" s="59"/>
      <c r="K939" s="1"/>
      <c r="L939" s="32"/>
      <c r="M939" s="32"/>
      <c r="N939" s="32"/>
      <c r="O939" s="51"/>
      <c r="P939" s="51"/>
    </row>
    <row r="940" spans="2:16" x14ac:dyDescent="0.25">
      <c r="B940" s="32"/>
      <c r="C940" s="229"/>
      <c r="D940" s="229"/>
      <c r="E940" s="229"/>
      <c r="F940" s="229"/>
      <c r="G940" s="229"/>
      <c r="H940" s="229"/>
      <c r="I940" s="229"/>
      <c r="J940" s="59"/>
      <c r="K940" s="1"/>
      <c r="L940" s="32"/>
      <c r="M940" s="32"/>
      <c r="N940" s="32"/>
      <c r="O940" s="51"/>
      <c r="P940" s="51"/>
    </row>
    <row r="941" spans="2:16" x14ac:dyDescent="0.25">
      <c r="B941" s="32"/>
      <c r="C941" s="229"/>
      <c r="D941" s="229"/>
      <c r="E941" s="229"/>
      <c r="F941" s="229"/>
      <c r="G941" s="229"/>
      <c r="H941" s="229"/>
      <c r="I941" s="229"/>
      <c r="J941" s="59"/>
      <c r="K941" s="1"/>
      <c r="L941" s="32"/>
      <c r="M941" s="32"/>
      <c r="N941" s="32"/>
      <c r="O941" s="51"/>
      <c r="P941" s="51"/>
    </row>
    <row r="942" spans="2:16" x14ac:dyDescent="0.25">
      <c r="B942" s="32"/>
      <c r="C942" s="229"/>
      <c r="D942" s="229"/>
      <c r="E942" s="229"/>
      <c r="F942" s="229"/>
      <c r="G942" s="229"/>
      <c r="H942" s="229"/>
      <c r="I942" s="229"/>
      <c r="J942" s="59"/>
      <c r="K942" s="1"/>
      <c r="L942" s="32"/>
      <c r="M942" s="32"/>
      <c r="N942" s="32"/>
      <c r="O942" s="51"/>
      <c r="P942" s="51"/>
    </row>
    <row r="943" spans="2:16" x14ac:dyDescent="0.25">
      <c r="B943" s="32"/>
      <c r="C943" s="229"/>
      <c r="D943" s="229"/>
      <c r="E943" s="229"/>
      <c r="F943" s="229"/>
      <c r="G943" s="229"/>
      <c r="H943" s="229"/>
      <c r="I943" s="229"/>
      <c r="J943" s="59"/>
      <c r="K943" s="1"/>
      <c r="L943" s="32"/>
      <c r="M943" s="32"/>
      <c r="N943" s="32"/>
      <c r="O943" s="51"/>
      <c r="P943" s="51"/>
    </row>
    <row r="944" spans="2:16" x14ac:dyDescent="0.25">
      <c r="B944" s="32"/>
      <c r="C944" s="229"/>
      <c r="D944" s="229"/>
      <c r="E944" s="229"/>
      <c r="F944" s="229"/>
      <c r="G944" s="229"/>
      <c r="H944" s="229"/>
      <c r="I944" s="229"/>
      <c r="J944" s="59"/>
      <c r="K944" s="1"/>
      <c r="L944" s="32"/>
      <c r="M944" s="32"/>
      <c r="N944" s="32"/>
      <c r="O944" s="51"/>
      <c r="P944" s="51"/>
    </row>
    <row r="945" spans="2:16" x14ac:dyDescent="0.25">
      <c r="B945" s="32"/>
      <c r="C945" s="229"/>
      <c r="D945" s="229"/>
      <c r="E945" s="229"/>
      <c r="F945" s="229"/>
      <c r="G945" s="229"/>
      <c r="H945" s="229"/>
      <c r="I945" s="229"/>
      <c r="J945" s="59"/>
      <c r="K945" s="1"/>
      <c r="L945" s="32"/>
      <c r="M945" s="32"/>
      <c r="N945" s="32"/>
      <c r="O945" s="51"/>
      <c r="P945" s="51"/>
    </row>
    <row r="946" spans="2:16" x14ac:dyDescent="0.25">
      <c r="B946" s="32"/>
      <c r="C946" s="229"/>
      <c r="D946" s="229"/>
      <c r="E946" s="229"/>
      <c r="F946" s="229"/>
      <c r="G946" s="229"/>
      <c r="H946" s="229"/>
      <c r="I946" s="229"/>
      <c r="J946" s="59"/>
      <c r="K946" s="1"/>
      <c r="L946" s="32"/>
      <c r="M946" s="32"/>
      <c r="N946" s="32"/>
      <c r="O946" s="51"/>
      <c r="P946" s="51"/>
    </row>
    <row r="947" spans="2:16" x14ac:dyDescent="0.25">
      <c r="B947" s="32"/>
      <c r="C947" s="229"/>
      <c r="D947" s="229"/>
      <c r="E947" s="229"/>
      <c r="F947" s="229"/>
      <c r="G947" s="229"/>
      <c r="H947" s="229"/>
      <c r="I947" s="229"/>
      <c r="J947" s="59"/>
      <c r="K947" s="1"/>
      <c r="L947" s="32"/>
      <c r="M947" s="32"/>
      <c r="N947" s="32"/>
      <c r="O947" s="51"/>
      <c r="P947" s="51"/>
    </row>
    <row r="948" spans="2:16" x14ac:dyDescent="0.25">
      <c r="B948" s="32"/>
      <c r="C948" s="229"/>
      <c r="D948" s="229"/>
      <c r="E948" s="229"/>
      <c r="F948" s="229"/>
      <c r="G948" s="229"/>
      <c r="H948" s="229"/>
      <c r="I948" s="229"/>
      <c r="J948" s="59"/>
      <c r="K948" s="1"/>
      <c r="L948" s="32"/>
      <c r="M948" s="32"/>
      <c r="N948" s="32"/>
      <c r="O948" s="51"/>
      <c r="P948" s="51"/>
    </row>
    <row r="949" spans="2:16" x14ac:dyDescent="0.25">
      <c r="B949" s="32"/>
      <c r="C949" s="229"/>
      <c r="D949" s="229"/>
      <c r="E949" s="229"/>
      <c r="F949" s="229"/>
      <c r="G949" s="229"/>
      <c r="H949" s="229"/>
      <c r="I949" s="229"/>
      <c r="J949" s="59"/>
      <c r="K949" s="1"/>
      <c r="L949" s="32"/>
      <c r="M949" s="32"/>
      <c r="N949" s="32"/>
      <c r="O949" s="51"/>
      <c r="P949" s="51"/>
    </row>
    <row r="950" spans="2:16" x14ac:dyDescent="0.25">
      <c r="B950" s="32"/>
      <c r="C950" s="229"/>
      <c r="D950" s="229"/>
      <c r="E950" s="229"/>
      <c r="F950" s="229"/>
      <c r="G950" s="229"/>
      <c r="H950" s="229"/>
      <c r="I950" s="229"/>
      <c r="J950" s="59"/>
      <c r="K950" s="1"/>
      <c r="L950" s="32"/>
      <c r="M950" s="32"/>
      <c r="N950" s="32"/>
      <c r="O950" s="51"/>
      <c r="P950" s="51"/>
    </row>
    <row r="951" spans="2:16" x14ac:dyDescent="0.25">
      <c r="B951" s="32"/>
      <c r="C951" s="229"/>
      <c r="D951" s="229"/>
      <c r="E951" s="229"/>
      <c r="F951" s="229"/>
      <c r="G951" s="229"/>
      <c r="H951" s="229"/>
      <c r="I951" s="229"/>
      <c r="J951" s="59"/>
      <c r="K951" s="1"/>
      <c r="L951" s="32"/>
      <c r="M951" s="32"/>
      <c r="N951" s="32"/>
      <c r="O951" s="51"/>
      <c r="P951" s="51"/>
    </row>
    <row r="952" spans="2:16" x14ac:dyDescent="0.25">
      <c r="B952" s="32"/>
      <c r="C952" s="229"/>
      <c r="D952" s="229"/>
      <c r="E952" s="229"/>
      <c r="F952" s="229"/>
      <c r="G952" s="229"/>
      <c r="H952" s="229"/>
      <c r="I952" s="229"/>
      <c r="J952" s="59"/>
      <c r="K952" s="1"/>
      <c r="L952" s="32"/>
      <c r="M952" s="32"/>
      <c r="N952" s="32"/>
      <c r="O952" s="51"/>
      <c r="P952" s="51"/>
    </row>
    <row r="953" spans="2:16" x14ac:dyDescent="0.25">
      <c r="B953" s="32"/>
      <c r="C953" s="229"/>
      <c r="D953" s="229"/>
      <c r="E953" s="229"/>
      <c r="F953" s="229"/>
      <c r="G953" s="229"/>
      <c r="H953" s="229"/>
      <c r="I953" s="229"/>
      <c r="J953" s="59"/>
      <c r="K953" s="1"/>
      <c r="L953" s="32"/>
      <c r="M953" s="32"/>
      <c r="N953" s="32"/>
      <c r="O953" s="51"/>
      <c r="P953" s="51"/>
    </row>
    <row r="954" spans="2:16" x14ac:dyDescent="0.25">
      <c r="B954" s="32"/>
      <c r="C954" s="229"/>
      <c r="D954" s="229"/>
      <c r="E954" s="229"/>
      <c r="F954" s="229"/>
      <c r="G954" s="229"/>
      <c r="H954" s="229"/>
      <c r="I954" s="229"/>
      <c r="J954" s="59"/>
      <c r="K954" s="1"/>
      <c r="L954" s="32"/>
      <c r="M954" s="32"/>
      <c r="N954" s="32"/>
      <c r="O954" s="51"/>
      <c r="P954" s="51"/>
    </row>
    <row r="955" spans="2:16" x14ac:dyDescent="0.25">
      <c r="B955" s="32"/>
      <c r="C955" s="229"/>
      <c r="D955" s="229"/>
      <c r="E955" s="229"/>
      <c r="F955" s="229"/>
      <c r="G955" s="229"/>
      <c r="H955" s="229"/>
      <c r="I955" s="229"/>
      <c r="J955" s="59"/>
      <c r="K955" s="1"/>
      <c r="L955" s="32"/>
      <c r="M955" s="32"/>
      <c r="N955" s="32"/>
      <c r="O955" s="51"/>
      <c r="P955" s="51"/>
    </row>
    <row r="956" spans="2:16" x14ac:dyDescent="0.25">
      <c r="B956" s="32"/>
      <c r="C956" s="229"/>
      <c r="D956" s="229"/>
      <c r="E956" s="229"/>
      <c r="F956" s="229"/>
      <c r="G956" s="229"/>
      <c r="H956" s="229"/>
      <c r="I956" s="229"/>
      <c r="J956" s="59"/>
      <c r="K956" s="1"/>
      <c r="L956" s="32"/>
      <c r="M956" s="32"/>
      <c r="N956" s="32"/>
      <c r="O956" s="51"/>
      <c r="P956" s="51"/>
    </row>
    <row r="957" spans="2:16" x14ac:dyDescent="0.25">
      <c r="B957" s="32"/>
      <c r="C957" s="229"/>
      <c r="D957" s="229"/>
      <c r="E957" s="229"/>
      <c r="F957" s="229"/>
      <c r="G957" s="229"/>
      <c r="H957" s="229"/>
      <c r="I957" s="229"/>
      <c r="J957" s="59"/>
      <c r="K957" s="1"/>
      <c r="L957" s="32"/>
      <c r="M957" s="32"/>
      <c r="N957" s="32"/>
      <c r="O957" s="51"/>
      <c r="P957" s="51"/>
    </row>
    <row r="958" spans="2:16" x14ac:dyDescent="0.25">
      <c r="B958" s="32"/>
      <c r="C958" s="229"/>
      <c r="D958" s="229"/>
      <c r="E958" s="229"/>
      <c r="F958" s="229"/>
      <c r="G958" s="229"/>
      <c r="H958" s="229"/>
      <c r="I958" s="229"/>
      <c r="J958" s="59"/>
      <c r="K958" s="1"/>
      <c r="L958" s="32"/>
      <c r="M958" s="32"/>
      <c r="N958" s="32"/>
      <c r="O958" s="51"/>
      <c r="P958" s="51"/>
    </row>
    <row r="959" spans="2:16" x14ac:dyDescent="0.25">
      <c r="B959" s="32"/>
      <c r="C959" s="229"/>
      <c r="D959" s="229"/>
      <c r="E959" s="229"/>
      <c r="F959" s="229"/>
      <c r="G959" s="229"/>
      <c r="H959" s="229"/>
      <c r="I959" s="229"/>
      <c r="J959" s="59"/>
      <c r="K959" s="1"/>
      <c r="L959" s="32"/>
      <c r="M959" s="32"/>
      <c r="N959" s="32"/>
      <c r="O959" s="51"/>
      <c r="P959" s="51"/>
    </row>
    <row r="960" spans="2:16" x14ac:dyDescent="0.25">
      <c r="B960" s="32"/>
      <c r="C960" s="229"/>
      <c r="D960" s="229"/>
      <c r="E960" s="229"/>
      <c r="F960" s="229"/>
      <c r="G960" s="229"/>
      <c r="H960" s="229"/>
      <c r="I960" s="229"/>
      <c r="J960" s="59"/>
      <c r="K960" s="1"/>
      <c r="L960" s="32"/>
      <c r="M960" s="32"/>
      <c r="N960" s="32"/>
      <c r="O960" s="51"/>
      <c r="P960" s="51"/>
    </row>
    <row r="961" spans="2:16" x14ac:dyDescent="0.25">
      <c r="B961" s="32"/>
      <c r="C961" s="229"/>
      <c r="D961" s="229"/>
      <c r="E961" s="229"/>
      <c r="F961" s="229"/>
      <c r="G961" s="229"/>
      <c r="H961" s="229"/>
      <c r="I961" s="229"/>
      <c r="J961" s="59"/>
      <c r="K961" s="1"/>
      <c r="L961" s="32"/>
      <c r="M961" s="32"/>
      <c r="N961" s="32"/>
      <c r="O961" s="51"/>
      <c r="P961" s="51"/>
    </row>
    <row r="962" spans="2:16" x14ac:dyDescent="0.25">
      <c r="B962" s="32"/>
      <c r="C962" s="229"/>
      <c r="D962" s="229"/>
      <c r="E962" s="229"/>
      <c r="F962" s="229"/>
      <c r="G962" s="229"/>
      <c r="H962" s="229"/>
      <c r="I962" s="229"/>
      <c r="J962" s="59"/>
      <c r="K962" s="1"/>
      <c r="L962" s="32"/>
      <c r="M962" s="32"/>
      <c r="N962" s="32"/>
      <c r="O962" s="51"/>
      <c r="P962" s="51"/>
    </row>
    <row r="963" spans="2:16" x14ac:dyDescent="0.25">
      <c r="B963" s="32"/>
      <c r="C963" s="229"/>
      <c r="D963" s="229"/>
      <c r="E963" s="229"/>
      <c r="F963" s="229"/>
      <c r="G963" s="229"/>
      <c r="H963" s="229"/>
      <c r="I963" s="229"/>
      <c r="J963" s="59"/>
      <c r="K963" s="1"/>
      <c r="L963" s="32"/>
      <c r="M963" s="32"/>
      <c r="N963" s="32"/>
      <c r="O963" s="51"/>
      <c r="P963" s="51"/>
    </row>
    <row r="964" spans="2:16" x14ac:dyDescent="0.25">
      <c r="B964" s="32"/>
      <c r="C964" s="229"/>
      <c r="D964" s="229"/>
      <c r="E964" s="229"/>
      <c r="F964" s="229"/>
      <c r="G964" s="229"/>
      <c r="H964" s="229"/>
      <c r="I964" s="229"/>
      <c r="J964" s="59"/>
      <c r="K964" s="1"/>
      <c r="L964" s="32"/>
      <c r="M964" s="32"/>
      <c r="N964" s="32"/>
      <c r="O964" s="51"/>
      <c r="P964" s="51"/>
    </row>
    <row r="965" spans="2:16" x14ac:dyDescent="0.25">
      <c r="B965" s="32"/>
      <c r="C965" s="229"/>
      <c r="D965" s="229"/>
      <c r="E965" s="229"/>
      <c r="F965" s="229"/>
      <c r="G965" s="229"/>
      <c r="H965" s="229"/>
      <c r="I965" s="229"/>
      <c r="J965" s="59"/>
      <c r="K965" s="1"/>
      <c r="L965" s="32"/>
      <c r="M965" s="32"/>
      <c r="N965" s="32"/>
      <c r="O965" s="51"/>
      <c r="P965" s="51"/>
    </row>
    <row r="966" spans="2:16" x14ac:dyDescent="0.25">
      <c r="B966" s="32"/>
      <c r="C966" s="229"/>
      <c r="D966" s="229"/>
      <c r="E966" s="229"/>
      <c r="F966" s="229"/>
      <c r="G966" s="229"/>
      <c r="H966" s="229"/>
      <c r="I966" s="229"/>
      <c r="J966" s="59"/>
      <c r="K966" s="1"/>
      <c r="L966" s="32"/>
      <c r="M966" s="32"/>
      <c r="N966" s="32"/>
      <c r="O966" s="51"/>
      <c r="P966" s="51"/>
    </row>
    <row r="967" spans="2:16" x14ac:dyDescent="0.25">
      <c r="B967" s="32"/>
      <c r="C967" s="229"/>
      <c r="D967" s="229"/>
      <c r="E967" s="229"/>
      <c r="F967" s="229"/>
      <c r="G967" s="229"/>
      <c r="H967" s="229"/>
      <c r="I967" s="229"/>
      <c r="J967" s="59"/>
      <c r="K967" s="1"/>
      <c r="L967" s="32"/>
      <c r="M967" s="32"/>
      <c r="N967" s="32"/>
      <c r="O967" s="51"/>
      <c r="P967" s="51"/>
    </row>
    <row r="968" spans="2:16" x14ac:dyDescent="0.25">
      <c r="B968" s="32"/>
      <c r="C968" s="229"/>
      <c r="D968" s="229"/>
      <c r="E968" s="229"/>
      <c r="F968" s="229"/>
      <c r="G968" s="229"/>
      <c r="H968" s="229"/>
      <c r="I968" s="229"/>
      <c r="J968" s="59"/>
      <c r="K968" s="1"/>
      <c r="L968" s="32"/>
      <c r="M968" s="32"/>
      <c r="N968" s="32"/>
      <c r="O968" s="51"/>
      <c r="P968" s="51"/>
    </row>
    <row r="969" spans="2:16" x14ac:dyDescent="0.25">
      <c r="B969" s="32"/>
      <c r="C969" s="229"/>
      <c r="D969" s="229"/>
      <c r="E969" s="229"/>
      <c r="F969" s="229"/>
      <c r="G969" s="229"/>
      <c r="H969" s="229"/>
      <c r="I969" s="229"/>
      <c r="J969" s="59"/>
      <c r="K969" s="1"/>
      <c r="L969" s="32"/>
      <c r="M969" s="32"/>
      <c r="N969" s="32"/>
      <c r="O969" s="51"/>
      <c r="P969" s="51"/>
    </row>
    <row r="970" spans="2:16" x14ac:dyDescent="0.25">
      <c r="B970" s="32"/>
      <c r="C970" s="229"/>
      <c r="D970" s="229"/>
      <c r="E970" s="229"/>
      <c r="F970" s="229"/>
      <c r="G970" s="229"/>
      <c r="H970" s="229"/>
      <c r="I970" s="229"/>
      <c r="J970" s="59"/>
      <c r="K970" s="1"/>
      <c r="L970" s="32"/>
      <c r="M970" s="32"/>
      <c r="N970" s="32"/>
      <c r="O970" s="51"/>
      <c r="P970" s="51"/>
    </row>
    <row r="971" spans="2:16" x14ac:dyDescent="0.25">
      <c r="B971" s="32"/>
      <c r="C971" s="229"/>
      <c r="D971" s="229"/>
      <c r="E971" s="229"/>
      <c r="F971" s="229"/>
      <c r="G971" s="229"/>
      <c r="H971" s="229"/>
      <c r="I971" s="229"/>
      <c r="J971" s="59"/>
      <c r="K971" s="1"/>
      <c r="L971" s="32"/>
      <c r="M971" s="32"/>
      <c r="N971" s="32"/>
      <c r="O971" s="51"/>
      <c r="P971" s="51"/>
    </row>
    <row r="972" spans="2:16" x14ac:dyDescent="0.25">
      <c r="B972" s="32"/>
      <c r="C972" s="229"/>
      <c r="D972" s="229"/>
      <c r="E972" s="229"/>
      <c r="F972" s="229"/>
      <c r="G972" s="229"/>
      <c r="H972" s="229"/>
      <c r="I972" s="229"/>
      <c r="J972" s="59"/>
      <c r="K972" s="1"/>
      <c r="L972" s="32"/>
      <c r="M972" s="32"/>
      <c r="N972" s="32"/>
      <c r="O972" s="51"/>
      <c r="P972" s="51"/>
    </row>
    <row r="973" spans="2:16" x14ac:dyDescent="0.25">
      <c r="B973" s="32"/>
      <c r="C973" s="229"/>
      <c r="D973" s="229"/>
      <c r="E973" s="229"/>
      <c r="F973" s="229"/>
      <c r="G973" s="229"/>
      <c r="H973" s="229"/>
      <c r="I973" s="229"/>
      <c r="J973" s="59"/>
      <c r="K973" s="1"/>
      <c r="L973" s="32"/>
      <c r="M973" s="32"/>
      <c r="N973" s="32"/>
      <c r="O973" s="51"/>
      <c r="P973" s="51"/>
    </row>
    <row r="974" spans="2:16" x14ac:dyDescent="0.25">
      <c r="B974" s="32"/>
      <c r="C974" s="229"/>
      <c r="D974" s="229"/>
      <c r="E974" s="229"/>
      <c r="F974" s="229"/>
      <c r="G974" s="229"/>
      <c r="H974" s="229"/>
      <c r="I974" s="229"/>
      <c r="J974" s="59"/>
      <c r="K974" s="1"/>
      <c r="L974" s="32"/>
      <c r="M974" s="32"/>
      <c r="N974" s="32"/>
      <c r="O974" s="51"/>
      <c r="P974" s="51"/>
    </row>
    <row r="975" spans="2:16" x14ac:dyDescent="0.25">
      <c r="B975" s="32"/>
      <c r="C975" s="229"/>
      <c r="D975" s="229"/>
      <c r="E975" s="229"/>
      <c r="F975" s="229"/>
      <c r="G975" s="229"/>
      <c r="H975" s="229"/>
      <c r="I975" s="229"/>
      <c r="J975" s="59"/>
      <c r="K975" s="1"/>
      <c r="L975" s="32"/>
      <c r="M975" s="32"/>
      <c r="N975" s="32"/>
      <c r="O975" s="51"/>
      <c r="P975" s="51"/>
    </row>
    <row r="976" spans="2:16" x14ac:dyDescent="0.25">
      <c r="B976" s="32"/>
      <c r="C976" s="229"/>
      <c r="D976" s="229"/>
      <c r="E976" s="229"/>
      <c r="F976" s="229"/>
      <c r="G976" s="229"/>
      <c r="H976" s="229"/>
      <c r="I976" s="229"/>
      <c r="J976" s="59"/>
      <c r="K976" s="1"/>
      <c r="L976" s="32"/>
      <c r="M976" s="32"/>
      <c r="N976" s="32"/>
      <c r="O976" s="51"/>
      <c r="P976" s="51"/>
    </row>
    <row r="977" spans="2:16" x14ac:dyDescent="0.25">
      <c r="B977" s="32"/>
      <c r="C977" s="229"/>
      <c r="D977" s="229"/>
      <c r="E977" s="229"/>
      <c r="F977" s="229"/>
      <c r="G977" s="229"/>
      <c r="H977" s="229"/>
      <c r="I977" s="229"/>
      <c r="J977" s="59"/>
      <c r="K977" s="1"/>
      <c r="L977" s="32"/>
      <c r="M977" s="32"/>
      <c r="N977" s="32"/>
      <c r="O977" s="51"/>
      <c r="P977" s="51"/>
    </row>
    <row r="978" spans="2:16" x14ac:dyDescent="0.25">
      <c r="B978" s="32"/>
      <c r="C978" s="229"/>
      <c r="D978" s="229"/>
      <c r="E978" s="229"/>
      <c r="F978" s="229"/>
      <c r="G978" s="229"/>
      <c r="H978" s="229"/>
      <c r="I978" s="229"/>
      <c r="J978" s="59"/>
      <c r="K978" s="1"/>
      <c r="L978" s="32"/>
      <c r="M978" s="32"/>
      <c r="N978" s="32"/>
      <c r="O978" s="51"/>
      <c r="P978" s="51"/>
    </row>
    <row r="979" spans="2:16" x14ac:dyDescent="0.25">
      <c r="B979" s="32"/>
      <c r="C979" s="229"/>
      <c r="D979" s="229"/>
      <c r="E979" s="229"/>
      <c r="F979" s="229"/>
      <c r="G979" s="229"/>
      <c r="H979" s="229"/>
      <c r="I979" s="229"/>
      <c r="J979" s="59"/>
      <c r="K979" s="1"/>
      <c r="L979" s="32"/>
      <c r="M979" s="32"/>
      <c r="N979" s="32"/>
      <c r="O979" s="51"/>
      <c r="P979" s="51"/>
    </row>
    <row r="980" spans="2:16" x14ac:dyDescent="0.25">
      <c r="B980" s="32"/>
      <c r="C980" s="229"/>
      <c r="D980" s="229"/>
      <c r="E980" s="229"/>
      <c r="F980" s="229"/>
      <c r="G980" s="229"/>
      <c r="H980" s="229"/>
      <c r="I980" s="229"/>
      <c r="J980" s="59"/>
      <c r="K980" s="1"/>
      <c r="L980" s="32"/>
      <c r="M980" s="32"/>
      <c r="N980" s="32"/>
      <c r="O980" s="51"/>
      <c r="P980" s="51"/>
    </row>
    <row r="981" spans="2:16" x14ac:dyDescent="0.25">
      <c r="B981" s="32"/>
      <c r="C981" s="229"/>
      <c r="D981" s="229"/>
      <c r="E981" s="229"/>
      <c r="F981" s="229"/>
      <c r="G981" s="229"/>
      <c r="H981" s="229"/>
      <c r="I981" s="229"/>
      <c r="J981" s="59"/>
      <c r="K981" s="1"/>
      <c r="L981" s="32"/>
      <c r="M981" s="32"/>
      <c r="N981" s="32"/>
      <c r="O981" s="51"/>
      <c r="P981" s="51"/>
    </row>
    <row r="982" spans="2:16" x14ac:dyDescent="0.25">
      <c r="B982" s="32"/>
      <c r="C982" s="229"/>
      <c r="D982" s="229"/>
      <c r="E982" s="229"/>
      <c r="F982" s="229"/>
      <c r="G982" s="229"/>
      <c r="H982" s="229"/>
      <c r="I982" s="229"/>
      <c r="J982" s="59"/>
      <c r="K982" s="1"/>
      <c r="L982" s="32"/>
      <c r="M982" s="32"/>
      <c r="N982" s="32"/>
      <c r="O982" s="51"/>
      <c r="P982" s="51"/>
    </row>
    <row r="983" spans="2:16" x14ac:dyDescent="0.25">
      <c r="B983" s="32"/>
      <c r="C983" s="229"/>
      <c r="D983" s="229"/>
      <c r="E983" s="229"/>
      <c r="F983" s="229"/>
      <c r="G983" s="229"/>
      <c r="H983" s="229"/>
      <c r="I983" s="229"/>
      <c r="J983" s="59"/>
      <c r="K983" s="1"/>
      <c r="L983" s="32"/>
      <c r="M983" s="32"/>
      <c r="N983" s="32"/>
      <c r="O983" s="51"/>
      <c r="P983" s="51"/>
    </row>
    <row r="984" spans="2:16" x14ac:dyDescent="0.25">
      <c r="B984" s="32"/>
      <c r="C984" s="229"/>
      <c r="D984" s="229"/>
      <c r="E984" s="229"/>
      <c r="F984" s="229"/>
      <c r="G984" s="229"/>
      <c r="H984" s="229"/>
      <c r="I984" s="229"/>
      <c r="J984" s="59"/>
      <c r="K984" s="1"/>
      <c r="L984" s="32"/>
      <c r="M984" s="32"/>
      <c r="N984" s="32"/>
      <c r="O984" s="51"/>
      <c r="P984" s="51"/>
    </row>
    <row r="985" spans="2:16" x14ac:dyDescent="0.25">
      <c r="B985" s="32"/>
      <c r="C985" s="229"/>
      <c r="D985" s="229"/>
      <c r="E985" s="229"/>
      <c r="F985" s="229"/>
      <c r="G985" s="229"/>
      <c r="H985" s="229"/>
      <c r="I985" s="229"/>
      <c r="J985" s="59"/>
      <c r="K985" s="1"/>
      <c r="L985" s="32"/>
      <c r="M985" s="32"/>
      <c r="N985" s="32"/>
      <c r="O985" s="51"/>
      <c r="P985" s="51"/>
    </row>
    <row r="986" spans="2:16" x14ac:dyDescent="0.25">
      <c r="B986" s="32"/>
      <c r="C986" s="229"/>
      <c r="D986" s="229"/>
      <c r="E986" s="229"/>
      <c r="F986" s="229"/>
      <c r="G986" s="229"/>
      <c r="H986" s="229"/>
      <c r="I986" s="229"/>
      <c r="J986" s="59"/>
      <c r="K986" s="1"/>
      <c r="L986" s="32"/>
      <c r="M986" s="32"/>
      <c r="N986" s="32"/>
      <c r="O986" s="51"/>
      <c r="P986" s="51"/>
    </row>
    <row r="987" spans="2:16" x14ac:dyDescent="0.25">
      <c r="B987" s="32"/>
      <c r="C987" s="229"/>
      <c r="D987" s="229"/>
      <c r="E987" s="229"/>
      <c r="F987" s="229"/>
      <c r="G987" s="229"/>
      <c r="H987" s="229"/>
      <c r="I987" s="229"/>
      <c r="J987" s="59"/>
      <c r="K987" s="1"/>
      <c r="L987" s="32"/>
      <c r="M987" s="32"/>
      <c r="N987" s="32"/>
      <c r="O987" s="51"/>
      <c r="P987" s="51"/>
    </row>
    <row r="988" spans="2:16" x14ac:dyDescent="0.25">
      <c r="B988" s="32"/>
      <c r="C988" s="229"/>
      <c r="D988" s="229"/>
      <c r="E988" s="229"/>
      <c r="F988" s="229"/>
      <c r="G988" s="229"/>
      <c r="H988" s="229"/>
      <c r="I988" s="229"/>
      <c r="J988" s="59"/>
      <c r="K988" s="1"/>
      <c r="L988" s="32"/>
      <c r="M988" s="32"/>
      <c r="N988" s="32"/>
      <c r="O988" s="51"/>
      <c r="P988" s="51"/>
    </row>
    <row r="989" spans="2:16" x14ac:dyDescent="0.25">
      <c r="B989" s="32"/>
      <c r="C989" s="229"/>
      <c r="D989" s="229"/>
      <c r="E989" s="229"/>
      <c r="F989" s="229"/>
      <c r="G989" s="229"/>
      <c r="H989" s="229"/>
      <c r="I989" s="229"/>
      <c r="J989" s="59"/>
      <c r="K989" s="1"/>
      <c r="L989" s="32"/>
      <c r="M989" s="32"/>
      <c r="N989" s="32"/>
      <c r="O989" s="51"/>
      <c r="P989" s="51"/>
    </row>
    <row r="990" spans="2:16" x14ac:dyDescent="0.25">
      <c r="B990" s="32"/>
      <c r="C990" s="229"/>
      <c r="D990" s="229"/>
      <c r="E990" s="229"/>
      <c r="F990" s="229"/>
      <c r="G990" s="229"/>
      <c r="H990" s="229"/>
      <c r="I990" s="229"/>
      <c r="J990" s="59"/>
      <c r="K990" s="1"/>
      <c r="L990" s="32"/>
      <c r="M990" s="32"/>
      <c r="N990" s="32"/>
      <c r="O990" s="51"/>
      <c r="P990" s="51"/>
    </row>
    <row r="991" spans="2:16" x14ac:dyDescent="0.25">
      <c r="B991" s="32"/>
      <c r="C991" s="229"/>
      <c r="D991" s="229"/>
      <c r="E991" s="229"/>
      <c r="F991" s="229"/>
      <c r="G991" s="229"/>
      <c r="H991" s="229"/>
      <c r="I991" s="229"/>
      <c r="J991" s="59"/>
      <c r="K991" s="1"/>
      <c r="L991" s="32"/>
      <c r="M991" s="32"/>
      <c r="N991" s="32"/>
      <c r="O991" s="51"/>
      <c r="P991" s="51"/>
    </row>
    <row r="992" spans="2:16" x14ac:dyDescent="0.25">
      <c r="B992" s="32"/>
      <c r="C992" s="229"/>
      <c r="D992" s="229"/>
      <c r="E992" s="229"/>
      <c r="F992" s="229"/>
      <c r="G992" s="229"/>
      <c r="H992" s="229"/>
      <c r="I992" s="229"/>
      <c r="J992" s="59"/>
      <c r="K992" s="1"/>
      <c r="L992" s="32"/>
      <c r="M992" s="32"/>
      <c r="N992" s="32"/>
      <c r="O992" s="51"/>
      <c r="P992" s="51"/>
    </row>
    <row r="993" spans="2:16" x14ac:dyDescent="0.25">
      <c r="B993" s="32"/>
      <c r="C993" s="229"/>
      <c r="D993" s="229"/>
      <c r="E993" s="229"/>
      <c r="F993" s="229"/>
      <c r="G993" s="229"/>
      <c r="H993" s="229"/>
      <c r="I993" s="229"/>
      <c r="J993" s="59"/>
      <c r="K993" s="1"/>
      <c r="L993" s="32"/>
      <c r="M993" s="32"/>
      <c r="N993" s="32"/>
      <c r="O993" s="51"/>
      <c r="P993" s="51"/>
    </row>
    <row r="994" spans="2:16" x14ac:dyDescent="0.25">
      <c r="B994" s="32"/>
      <c r="C994" s="229"/>
      <c r="D994" s="229"/>
      <c r="E994" s="229"/>
      <c r="F994" s="229"/>
      <c r="G994" s="229"/>
      <c r="H994" s="229"/>
      <c r="I994" s="229"/>
      <c r="J994" s="59"/>
      <c r="K994" s="1"/>
      <c r="L994" s="32"/>
      <c r="M994" s="32"/>
      <c r="N994" s="32"/>
      <c r="O994" s="51"/>
      <c r="P994" s="51"/>
    </row>
    <row r="995" spans="2:16" x14ac:dyDescent="0.25">
      <c r="B995" s="32"/>
      <c r="C995" s="229"/>
      <c r="D995" s="229"/>
      <c r="E995" s="229"/>
      <c r="F995" s="229"/>
      <c r="G995" s="229"/>
      <c r="H995" s="229"/>
      <c r="I995" s="229"/>
      <c r="J995" s="59"/>
      <c r="K995" s="1"/>
      <c r="L995" s="32"/>
      <c r="M995" s="32"/>
      <c r="N995" s="32"/>
      <c r="O995" s="51"/>
      <c r="P995" s="51"/>
    </row>
    <row r="996" spans="2:16" x14ac:dyDescent="0.25">
      <c r="B996" s="32"/>
      <c r="C996" s="229"/>
      <c r="D996" s="229"/>
      <c r="E996" s="229"/>
      <c r="F996" s="229"/>
      <c r="G996" s="229"/>
      <c r="H996" s="229"/>
      <c r="I996" s="229"/>
      <c r="J996" s="59"/>
      <c r="K996" s="1"/>
      <c r="L996" s="32"/>
      <c r="M996" s="32"/>
      <c r="N996" s="32"/>
      <c r="O996" s="51"/>
      <c r="P996" s="51"/>
    </row>
    <row r="997" spans="2:16" x14ac:dyDescent="0.25">
      <c r="B997" s="32"/>
      <c r="C997" s="229"/>
      <c r="D997" s="229"/>
      <c r="E997" s="229"/>
      <c r="F997" s="229"/>
      <c r="G997" s="229"/>
      <c r="H997" s="229"/>
      <c r="I997" s="229"/>
      <c r="J997" s="59"/>
      <c r="K997" s="1"/>
      <c r="L997" s="32"/>
      <c r="M997" s="32"/>
      <c r="N997" s="32"/>
      <c r="O997" s="51"/>
      <c r="P997" s="51"/>
    </row>
    <row r="998" spans="2:16" x14ac:dyDescent="0.25">
      <c r="B998" s="32"/>
      <c r="C998" s="229"/>
      <c r="D998" s="229"/>
      <c r="E998" s="229"/>
      <c r="F998" s="229"/>
      <c r="G998" s="229"/>
      <c r="H998" s="229"/>
      <c r="I998" s="229"/>
      <c r="J998" s="59"/>
      <c r="K998" s="1"/>
      <c r="L998" s="32"/>
      <c r="M998" s="32"/>
      <c r="N998" s="32"/>
      <c r="O998" s="51"/>
      <c r="P998" s="51"/>
    </row>
    <row r="999" spans="2:16" x14ac:dyDescent="0.25">
      <c r="B999" s="32"/>
      <c r="C999" s="229"/>
      <c r="D999" s="229"/>
      <c r="E999" s="229"/>
      <c r="F999" s="229"/>
      <c r="G999" s="229"/>
      <c r="H999" s="229"/>
      <c r="I999" s="229"/>
      <c r="J999" s="59"/>
      <c r="K999" s="1"/>
      <c r="L999" s="32"/>
      <c r="M999" s="32"/>
      <c r="N999" s="32"/>
      <c r="O999" s="51"/>
      <c r="P999" s="51"/>
    </row>
    <row r="1000" spans="2:16" x14ac:dyDescent="0.25">
      <c r="B1000" s="32"/>
      <c r="C1000" s="229"/>
      <c r="D1000" s="229"/>
      <c r="E1000" s="229"/>
      <c r="F1000" s="229"/>
      <c r="G1000" s="229"/>
      <c r="H1000" s="229"/>
      <c r="I1000" s="229"/>
      <c r="J1000" s="59"/>
      <c r="K1000" s="1"/>
      <c r="L1000" s="32"/>
      <c r="M1000" s="32"/>
      <c r="N1000" s="32"/>
      <c r="O1000" s="51"/>
      <c r="P1000" s="51"/>
    </row>
    <row r="1001" spans="2:16" x14ac:dyDescent="0.25">
      <c r="B1001" s="32"/>
      <c r="C1001" s="229"/>
      <c r="D1001" s="229"/>
      <c r="E1001" s="229"/>
      <c r="F1001" s="229"/>
      <c r="G1001" s="229"/>
      <c r="H1001" s="229"/>
      <c r="I1001" s="229"/>
      <c r="J1001" s="59"/>
      <c r="K1001" s="1"/>
      <c r="L1001" s="32"/>
      <c r="M1001" s="32"/>
      <c r="N1001" s="32"/>
      <c r="O1001" s="51"/>
      <c r="P1001" s="51"/>
    </row>
    <row r="1002" spans="2:16" x14ac:dyDescent="0.25">
      <c r="B1002" s="32"/>
      <c r="C1002" s="229"/>
      <c r="D1002" s="229"/>
      <c r="E1002" s="229"/>
      <c r="F1002" s="229"/>
      <c r="G1002" s="229"/>
      <c r="H1002" s="229"/>
      <c r="I1002" s="229"/>
      <c r="J1002" s="59"/>
      <c r="K1002" s="1"/>
      <c r="L1002" s="32"/>
      <c r="M1002" s="32"/>
      <c r="N1002" s="32"/>
      <c r="O1002" s="51"/>
      <c r="P1002" s="51"/>
    </row>
    <row r="1003" spans="2:16" x14ac:dyDescent="0.25">
      <c r="B1003" s="32"/>
      <c r="C1003" s="229"/>
      <c r="D1003" s="229"/>
      <c r="E1003" s="229"/>
      <c r="F1003" s="229"/>
      <c r="G1003" s="229"/>
      <c r="H1003" s="229"/>
      <c r="I1003" s="229"/>
      <c r="J1003" s="59"/>
      <c r="K1003" s="1"/>
      <c r="L1003" s="32"/>
      <c r="M1003" s="32"/>
      <c r="N1003" s="32"/>
      <c r="O1003" s="51"/>
      <c r="P1003" s="51"/>
    </row>
    <row r="1004" spans="2:16" x14ac:dyDescent="0.25">
      <c r="B1004" s="32"/>
      <c r="C1004" s="229"/>
      <c r="D1004" s="229"/>
      <c r="E1004" s="229"/>
      <c r="F1004" s="229"/>
      <c r="G1004" s="229"/>
      <c r="H1004" s="229"/>
      <c r="I1004" s="229"/>
      <c r="J1004" s="59"/>
      <c r="K1004" s="1"/>
      <c r="L1004" s="32"/>
      <c r="M1004" s="32"/>
      <c r="N1004" s="32"/>
      <c r="O1004" s="51"/>
      <c r="P1004" s="51"/>
    </row>
    <row r="1005" spans="2:16" x14ac:dyDescent="0.25">
      <c r="B1005" s="32"/>
      <c r="C1005" s="229"/>
      <c r="D1005" s="229"/>
      <c r="E1005" s="229"/>
      <c r="F1005" s="229"/>
      <c r="G1005" s="229"/>
      <c r="H1005" s="229"/>
      <c r="I1005" s="229"/>
      <c r="J1005" s="59"/>
      <c r="K1005" s="1"/>
      <c r="L1005" s="32"/>
      <c r="M1005" s="32"/>
      <c r="N1005" s="32"/>
      <c r="O1005" s="51"/>
      <c r="P1005" s="51"/>
    </row>
    <row r="1006" spans="2:16" x14ac:dyDescent="0.25">
      <c r="B1006" s="32"/>
      <c r="C1006" s="229"/>
      <c r="D1006" s="229"/>
      <c r="E1006" s="229"/>
      <c r="F1006" s="229"/>
      <c r="G1006" s="229"/>
      <c r="H1006" s="229"/>
      <c r="I1006" s="229"/>
      <c r="J1006" s="59"/>
      <c r="K1006" s="1"/>
      <c r="L1006" s="32"/>
      <c r="M1006" s="32"/>
      <c r="N1006" s="32"/>
      <c r="O1006" s="51"/>
      <c r="P1006" s="51"/>
    </row>
    <row r="1007" spans="2:16" x14ac:dyDescent="0.25">
      <c r="B1007" s="32"/>
      <c r="C1007" s="229"/>
      <c r="D1007" s="229"/>
      <c r="E1007" s="229"/>
      <c r="F1007" s="229"/>
      <c r="G1007" s="229"/>
      <c r="H1007" s="229"/>
      <c r="I1007" s="229"/>
      <c r="J1007" s="59"/>
      <c r="K1007" s="1"/>
      <c r="L1007" s="32"/>
      <c r="M1007" s="32"/>
      <c r="N1007" s="32"/>
      <c r="O1007" s="51"/>
      <c r="P1007" s="51"/>
    </row>
    <row r="1008" spans="2:16" x14ac:dyDescent="0.25">
      <c r="B1008" s="32"/>
      <c r="C1008" s="229"/>
      <c r="D1008" s="229"/>
      <c r="E1008" s="229"/>
      <c r="F1008" s="229"/>
      <c r="G1008" s="229"/>
      <c r="H1008" s="229"/>
      <c r="I1008" s="229"/>
      <c r="J1008" s="59"/>
      <c r="K1008" s="1"/>
      <c r="L1008" s="32"/>
      <c r="M1008" s="32"/>
      <c r="N1008" s="32"/>
      <c r="O1008" s="51"/>
      <c r="P1008" s="51"/>
    </row>
    <row r="1009" spans="2:16" x14ac:dyDescent="0.25">
      <c r="B1009" s="32"/>
      <c r="C1009" s="229"/>
      <c r="D1009" s="229"/>
      <c r="E1009" s="229"/>
      <c r="F1009" s="229"/>
      <c r="G1009" s="229"/>
      <c r="H1009" s="229"/>
      <c r="I1009" s="229"/>
      <c r="J1009" s="59"/>
      <c r="K1009" s="1"/>
      <c r="L1009" s="32"/>
      <c r="M1009" s="32"/>
      <c r="N1009" s="32"/>
      <c r="O1009" s="51"/>
      <c r="P1009" s="51"/>
    </row>
    <row r="1010" spans="2:16" x14ac:dyDescent="0.25">
      <c r="B1010" s="32"/>
      <c r="C1010" s="229"/>
      <c r="D1010" s="229"/>
      <c r="E1010" s="229"/>
      <c r="F1010" s="229"/>
      <c r="G1010" s="229"/>
      <c r="H1010" s="229"/>
      <c r="I1010" s="229"/>
      <c r="J1010" s="59"/>
      <c r="K1010" s="1"/>
      <c r="L1010" s="32"/>
      <c r="M1010" s="32"/>
      <c r="N1010" s="32"/>
      <c r="O1010" s="51"/>
      <c r="P1010" s="51"/>
    </row>
    <row r="1011" spans="2:16" x14ac:dyDescent="0.25">
      <c r="B1011" s="32"/>
      <c r="C1011" s="229"/>
      <c r="D1011" s="229"/>
      <c r="E1011" s="229"/>
      <c r="F1011" s="229"/>
      <c r="G1011" s="229"/>
      <c r="H1011" s="229"/>
      <c r="I1011" s="229"/>
      <c r="J1011" s="59"/>
      <c r="K1011" s="1"/>
      <c r="L1011" s="32"/>
      <c r="M1011" s="32"/>
      <c r="N1011" s="32"/>
      <c r="O1011" s="51"/>
      <c r="P1011" s="51"/>
    </row>
    <row r="1012" spans="2:16" x14ac:dyDescent="0.25">
      <c r="B1012" s="32"/>
      <c r="C1012" s="229"/>
      <c r="D1012" s="229"/>
      <c r="E1012" s="229"/>
      <c r="F1012" s="229"/>
      <c r="G1012" s="229"/>
      <c r="H1012" s="229"/>
      <c r="I1012" s="229"/>
      <c r="J1012" s="59"/>
      <c r="K1012" s="1"/>
      <c r="L1012" s="32"/>
      <c r="M1012" s="32"/>
      <c r="N1012" s="32"/>
      <c r="O1012" s="51"/>
      <c r="P1012" s="51"/>
    </row>
    <row r="1013" spans="2:16" x14ac:dyDescent="0.25">
      <c r="B1013" s="32"/>
      <c r="C1013" s="229"/>
      <c r="D1013" s="229"/>
      <c r="E1013" s="229"/>
      <c r="F1013" s="229"/>
      <c r="G1013" s="229"/>
      <c r="H1013" s="229"/>
      <c r="I1013" s="229"/>
      <c r="J1013" s="59"/>
      <c r="K1013" s="1"/>
      <c r="L1013" s="32"/>
      <c r="M1013" s="32"/>
      <c r="N1013" s="32"/>
      <c r="O1013" s="51"/>
      <c r="P1013" s="51"/>
    </row>
    <row r="1014" spans="2:16" x14ac:dyDescent="0.25">
      <c r="B1014" s="58"/>
      <c r="C1014" s="262"/>
      <c r="D1014" s="262"/>
      <c r="E1014" s="262"/>
      <c r="F1014" s="262"/>
      <c r="G1014" s="262"/>
      <c r="H1014" s="262"/>
      <c r="I1014" s="262"/>
      <c r="J1014" s="60"/>
      <c r="K1014" s="58"/>
      <c r="L1014" s="32"/>
      <c r="M1014" s="58"/>
      <c r="N1014" s="58"/>
    </row>
    <row r="1015" spans="2:16" x14ac:dyDescent="0.25">
      <c r="L1015" s="58"/>
    </row>
  </sheetData>
  <mergeCells count="1013">
    <mergeCell ref="C17:I17"/>
    <mergeCell ref="C18:I18"/>
    <mergeCell ref="C19:I19"/>
    <mergeCell ref="C20:I20"/>
    <mergeCell ref="C21:I21"/>
    <mergeCell ref="C22:I22"/>
    <mergeCell ref="P10:P11"/>
    <mergeCell ref="B12:M12"/>
    <mergeCell ref="C13:I13"/>
    <mergeCell ref="C14:I14"/>
    <mergeCell ref="C15:I15"/>
    <mergeCell ref="C16:I16"/>
    <mergeCell ref="B2:D9"/>
    <mergeCell ref="E2:P9"/>
    <mergeCell ref="B10:B11"/>
    <mergeCell ref="C10:I11"/>
    <mergeCell ref="J10:J11"/>
    <mergeCell ref="K10:K11"/>
    <mergeCell ref="L10:L11"/>
    <mergeCell ref="M10:M11"/>
    <mergeCell ref="N10:N11"/>
    <mergeCell ref="O10:O11"/>
    <mergeCell ref="C35:I35"/>
    <mergeCell ref="C36:I36"/>
    <mergeCell ref="C37:I37"/>
    <mergeCell ref="C38:I38"/>
    <mergeCell ref="C39:I39"/>
    <mergeCell ref="C40:I40"/>
    <mergeCell ref="C29:I29"/>
    <mergeCell ref="C30:I30"/>
    <mergeCell ref="C31:I31"/>
    <mergeCell ref="C32:I32"/>
    <mergeCell ref="C33:I33"/>
    <mergeCell ref="C34:I34"/>
    <mergeCell ref="C23:I23"/>
    <mergeCell ref="C24:I24"/>
    <mergeCell ref="C25:I25"/>
    <mergeCell ref="C26:I26"/>
    <mergeCell ref="C27:I27"/>
    <mergeCell ref="C28:I28"/>
    <mergeCell ref="C53:I53"/>
    <mergeCell ref="C54:I54"/>
    <mergeCell ref="C55:I55"/>
    <mergeCell ref="C56:I56"/>
    <mergeCell ref="C57:I57"/>
    <mergeCell ref="C58:I58"/>
    <mergeCell ref="C47:I47"/>
    <mergeCell ref="C48:I48"/>
    <mergeCell ref="C49:I49"/>
    <mergeCell ref="C50:I50"/>
    <mergeCell ref="C51:I51"/>
    <mergeCell ref="C52:I52"/>
    <mergeCell ref="C41:I41"/>
    <mergeCell ref="C42:I42"/>
    <mergeCell ref="C43:I43"/>
    <mergeCell ref="C44:I44"/>
    <mergeCell ref="C45:I45"/>
    <mergeCell ref="C46:I46"/>
    <mergeCell ref="C71:I71"/>
    <mergeCell ref="C72:I72"/>
    <mergeCell ref="C73:I73"/>
    <mergeCell ref="C74:I74"/>
    <mergeCell ref="C75:I75"/>
    <mergeCell ref="C76:I76"/>
    <mergeCell ref="C65:I65"/>
    <mergeCell ref="C66:I66"/>
    <mergeCell ref="C67:I67"/>
    <mergeCell ref="C68:I68"/>
    <mergeCell ref="C69:I69"/>
    <mergeCell ref="C70:I70"/>
    <mergeCell ref="C59:I59"/>
    <mergeCell ref="C60:I60"/>
    <mergeCell ref="C61:I61"/>
    <mergeCell ref="C62:I62"/>
    <mergeCell ref="C63:I63"/>
    <mergeCell ref="C64:I64"/>
    <mergeCell ref="C89:I89"/>
    <mergeCell ref="C90:I90"/>
    <mergeCell ref="C91:I91"/>
    <mergeCell ref="C92:I92"/>
    <mergeCell ref="C93:I93"/>
    <mergeCell ref="C94:I94"/>
    <mergeCell ref="C83:I83"/>
    <mergeCell ref="C84:I84"/>
    <mergeCell ref="C85:I85"/>
    <mergeCell ref="C86:I86"/>
    <mergeCell ref="C87:I87"/>
    <mergeCell ref="C88:I88"/>
    <mergeCell ref="C77:I77"/>
    <mergeCell ref="C78:I78"/>
    <mergeCell ref="C79:I79"/>
    <mergeCell ref="C80:I80"/>
    <mergeCell ref="C81:I81"/>
    <mergeCell ref="C82:I82"/>
    <mergeCell ref="C107:I107"/>
    <mergeCell ref="C108:I108"/>
    <mergeCell ref="C109:I109"/>
    <mergeCell ref="C110:I110"/>
    <mergeCell ref="C111:I111"/>
    <mergeCell ref="C112:I112"/>
    <mergeCell ref="C101:I101"/>
    <mergeCell ref="C102:I102"/>
    <mergeCell ref="C103:I103"/>
    <mergeCell ref="C104:I104"/>
    <mergeCell ref="C105:I105"/>
    <mergeCell ref="C106:I106"/>
    <mergeCell ref="C95:I95"/>
    <mergeCell ref="C96:I96"/>
    <mergeCell ref="C97:I97"/>
    <mergeCell ref="C98:I98"/>
    <mergeCell ref="C99:I99"/>
    <mergeCell ref="C100:I100"/>
    <mergeCell ref="C125:I125"/>
    <mergeCell ref="C126:I126"/>
    <mergeCell ref="C127:I127"/>
    <mergeCell ref="C128:I128"/>
    <mergeCell ref="C129:I129"/>
    <mergeCell ref="C130:I130"/>
    <mergeCell ref="C119:I119"/>
    <mergeCell ref="C120:I120"/>
    <mergeCell ref="C121:I121"/>
    <mergeCell ref="C122:I122"/>
    <mergeCell ref="C123:I123"/>
    <mergeCell ref="C124:I124"/>
    <mergeCell ref="C113:I113"/>
    <mergeCell ref="C114:I114"/>
    <mergeCell ref="C115:I115"/>
    <mergeCell ref="C116:I116"/>
    <mergeCell ref="C117:I117"/>
    <mergeCell ref="C118:I118"/>
    <mergeCell ref="C143:I143"/>
    <mergeCell ref="C144:I144"/>
    <mergeCell ref="C145:I145"/>
    <mergeCell ref="C146:I146"/>
    <mergeCell ref="C147:I147"/>
    <mergeCell ref="C148:I148"/>
    <mergeCell ref="C137:I137"/>
    <mergeCell ref="C138:I138"/>
    <mergeCell ref="C139:I139"/>
    <mergeCell ref="C140:I140"/>
    <mergeCell ref="C141:I141"/>
    <mergeCell ref="C142:I142"/>
    <mergeCell ref="C131:I131"/>
    <mergeCell ref="C132:I132"/>
    <mergeCell ref="C133:I133"/>
    <mergeCell ref="C134:I134"/>
    <mergeCell ref="C135:I135"/>
    <mergeCell ref="C136:I136"/>
    <mergeCell ref="C161:I161"/>
    <mergeCell ref="C162:I162"/>
    <mergeCell ref="C163:I163"/>
    <mergeCell ref="C164:I164"/>
    <mergeCell ref="C165:I165"/>
    <mergeCell ref="C166:I166"/>
    <mergeCell ref="C155:I155"/>
    <mergeCell ref="C156:I156"/>
    <mergeCell ref="C157:I157"/>
    <mergeCell ref="C158:I158"/>
    <mergeCell ref="C159:I159"/>
    <mergeCell ref="C160:I160"/>
    <mergeCell ref="C149:I149"/>
    <mergeCell ref="C150:I150"/>
    <mergeCell ref="C151:I151"/>
    <mergeCell ref="C152:I152"/>
    <mergeCell ref="C153:I153"/>
    <mergeCell ref="C154:I154"/>
    <mergeCell ref="C179:I179"/>
    <mergeCell ref="C180:I180"/>
    <mergeCell ref="C181:I181"/>
    <mergeCell ref="C182:I182"/>
    <mergeCell ref="C183:I183"/>
    <mergeCell ref="C184:I184"/>
    <mergeCell ref="C173:I173"/>
    <mergeCell ref="C174:I174"/>
    <mergeCell ref="C175:I175"/>
    <mergeCell ref="C176:I176"/>
    <mergeCell ref="C177:I177"/>
    <mergeCell ref="C178:I178"/>
    <mergeCell ref="C167:I167"/>
    <mergeCell ref="C168:I168"/>
    <mergeCell ref="C169:I169"/>
    <mergeCell ref="C170:I170"/>
    <mergeCell ref="C171:I171"/>
    <mergeCell ref="C172:I172"/>
    <mergeCell ref="C197:I197"/>
    <mergeCell ref="C198:I198"/>
    <mergeCell ref="C199:I199"/>
    <mergeCell ref="C200:I200"/>
    <mergeCell ref="C201:I201"/>
    <mergeCell ref="C202:I202"/>
    <mergeCell ref="C191:I191"/>
    <mergeCell ref="C192:I192"/>
    <mergeCell ref="C193:I193"/>
    <mergeCell ref="C194:I194"/>
    <mergeCell ref="C195:I195"/>
    <mergeCell ref="C196:I196"/>
    <mergeCell ref="C185:I185"/>
    <mergeCell ref="C186:I186"/>
    <mergeCell ref="C187:I187"/>
    <mergeCell ref="C188:I188"/>
    <mergeCell ref="C189:I189"/>
    <mergeCell ref="C190:I190"/>
    <mergeCell ref="C215:I215"/>
    <mergeCell ref="C216:I216"/>
    <mergeCell ref="C217:I217"/>
    <mergeCell ref="C218:I218"/>
    <mergeCell ref="C219:I219"/>
    <mergeCell ref="C220:I220"/>
    <mergeCell ref="C209:I209"/>
    <mergeCell ref="C210:I210"/>
    <mergeCell ref="C211:I211"/>
    <mergeCell ref="C212:I212"/>
    <mergeCell ref="C213:I213"/>
    <mergeCell ref="C214:I214"/>
    <mergeCell ref="C203:I203"/>
    <mergeCell ref="C204:I204"/>
    <mergeCell ref="C205:I205"/>
    <mergeCell ref="C206:I206"/>
    <mergeCell ref="C207:I207"/>
    <mergeCell ref="C208:I208"/>
    <mergeCell ref="C233:I233"/>
    <mergeCell ref="C234:I234"/>
    <mergeCell ref="C235:I235"/>
    <mergeCell ref="C236:I236"/>
    <mergeCell ref="C237:I237"/>
    <mergeCell ref="C238:I238"/>
    <mergeCell ref="C227:I227"/>
    <mergeCell ref="C228:I228"/>
    <mergeCell ref="C229:I229"/>
    <mergeCell ref="C230:I230"/>
    <mergeCell ref="C231:I231"/>
    <mergeCell ref="C232:I232"/>
    <mergeCell ref="C221:I221"/>
    <mergeCell ref="C222:I222"/>
    <mergeCell ref="C223:I223"/>
    <mergeCell ref="C224:I224"/>
    <mergeCell ref="C225:I225"/>
    <mergeCell ref="C226:I226"/>
    <mergeCell ref="C251:I251"/>
    <mergeCell ref="C252:I252"/>
    <mergeCell ref="C253:I253"/>
    <mergeCell ref="C254:I254"/>
    <mergeCell ref="C255:I255"/>
    <mergeCell ref="C257:I257"/>
    <mergeCell ref="C245:I245"/>
    <mergeCell ref="C246:I246"/>
    <mergeCell ref="C247:I247"/>
    <mergeCell ref="C248:I248"/>
    <mergeCell ref="C249:I249"/>
    <mergeCell ref="C250:I250"/>
    <mergeCell ref="C239:I239"/>
    <mergeCell ref="C240:I240"/>
    <mergeCell ref="C241:I241"/>
    <mergeCell ref="C242:I242"/>
    <mergeCell ref="C243:I243"/>
    <mergeCell ref="C244:I244"/>
    <mergeCell ref="C269:I269"/>
    <mergeCell ref="C270:I270"/>
    <mergeCell ref="C271:I271"/>
    <mergeCell ref="C272:I272"/>
    <mergeCell ref="C273:I273"/>
    <mergeCell ref="C274:I274"/>
    <mergeCell ref="C263:I263"/>
    <mergeCell ref="C264:I264"/>
    <mergeCell ref="C265:I265"/>
    <mergeCell ref="C266:I266"/>
    <mergeCell ref="C267:I267"/>
    <mergeCell ref="C268:I268"/>
    <mergeCell ref="C256:I256"/>
    <mergeCell ref="C258:I258"/>
    <mergeCell ref="C259:I259"/>
    <mergeCell ref="C260:I260"/>
    <mergeCell ref="C261:I261"/>
    <mergeCell ref="C262:I262"/>
    <mergeCell ref="C288:I288"/>
    <mergeCell ref="C289:I289"/>
    <mergeCell ref="C290:I290"/>
    <mergeCell ref="C291:I291"/>
    <mergeCell ref="C292:I292"/>
    <mergeCell ref="C281:I281"/>
    <mergeCell ref="C282:I282"/>
    <mergeCell ref="C283:I283"/>
    <mergeCell ref="C286:I286"/>
    <mergeCell ref="C287:I287"/>
    <mergeCell ref="C275:I275"/>
    <mergeCell ref="C276:I276"/>
    <mergeCell ref="C277:I277"/>
    <mergeCell ref="C278:I278"/>
    <mergeCell ref="C279:I279"/>
    <mergeCell ref="C280:I280"/>
    <mergeCell ref="C284:I284"/>
    <mergeCell ref="C285:I285"/>
    <mergeCell ref="C305:I305"/>
    <mergeCell ref="C306:I306"/>
    <mergeCell ref="C307:I307"/>
    <mergeCell ref="C308:I308"/>
    <mergeCell ref="C309:I309"/>
    <mergeCell ref="C310:I310"/>
    <mergeCell ref="C299:I299"/>
    <mergeCell ref="C300:I300"/>
    <mergeCell ref="C301:I301"/>
    <mergeCell ref="C302:I302"/>
    <mergeCell ref="C303:I303"/>
    <mergeCell ref="C304:I304"/>
    <mergeCell ref="C293:I293"/>
    <mergeCell ref="C294:I294"/>
    <mergeCell ref="C295:I295"/>
    <mergeCell ref="C296:I296"/>
    <mergeCell ref="C297:I297"/>
    <mergeCell ref="C298:I298"/>
    <mergeCell ref="C323:I323"/>
    <mergeCell ref="C324:I324"/>
    <mergeCell ref="C325:I325"/>
    <mergeCell ref="C326:I326"/>
    <mergeCell ref="C327:I327"/>
    <mergeCell ref="C328:I328"/>
    <mergeCell ref="C317:I317"/>
    <mergeCell ref="C318:I318"/>
    <mergeCell ref="C319:I319"/>
    <mergeCell ref="C320:I320"/>
    <mergeCell ref="C321:I321"/>
    <mergeCell ref="C322:I322"/>
    <mergeCell ref="C311:I311"/>
    <mergeCell ref="C312:I312"/>
    <mergeCell ref="C313:I313"/>
    <mergeCell ref="C314:I314"/>
    <mergeCell ref="C315:I315"/>
    <mergeCell ref="C316:I316"/>
    <mergeCell ref="C341:I341"/>
    <mergeCell ref="C342:I342"/>
    <mergeCell ref="C343:I343"/>
    <mergeCell ref="C344:I344"/>
    <mergeCell ref="C345:I345"/>
    <mergeCell ref="C346:I346"/>
    <mergeCell ref="C335:I335"/>
    <mergeCell ref="C336:I336"/>
    <mergeCell ref="C337:I337"/>
    <mergeCell ref="C338:I338"/>
    <mergeCell ref="C339:I339"/>
    <mergeCell ref="C340:I340"/>
    <mergeCell ref="C329:I329"/>
    <mergeCell ref="C330:I330"/>
    <mergeCell ref="C331:I331"/>
    <mergeCell ref="C332:I332"/>
    <mergeCell ref="C333:I333"/>
    <mergeCell ref="C334:I334"/>
    <mergeCell ref="C359:I359"/>
    <mergeCell ref="C360:I360"/>
    <mergeCell ref="C361:I361"/>
    <mergeCell ref="C362:I362"/>
    <mergeCell ref="C363:I363"/>
    <mergeCell ref="C364:I364"/>
    <mergeCell ref="C353:I353"/>
    <mergeCell ref="C354:I354"/>
    <mergeCell ref="C355:I355"/>
    <mergeCell ref="C356:I356"/>
    <mergeCell ref="C357:I357"/>
    <mergeCell ref="C358:I358"/>
    <mergeCell ref="C347:I347"/>
    <mergeCell ref="C348:I348"/>
    <mergeCell ref="C349:I349"/>
    <mergeCell ref="C350:I350"/>
    <mergeCell ref="C351:I351"/>
    <mergeCell ref="C352:I352"/>
    <mergeCell ref="C377:I377"/>
    <mergeCell ref="C378:I378"/>
    <mergeCell ref="C379:I379"/>
    <mergeCell ref="C380:I380"/>
    <mergeCell ref="C381:I381"/>
    <mergeCell ref="C382:I382"/>
    <mergeCell ref="C371:I371"/>
    <mergeCell ref="C372:I372"/>
    <mergeCell ref="C373:I373"/>
    <mergeCell ref="C374:I374"/>
    <mergeCell ref="C375:I375"/>
    <mergeCell ref="C376:I376"/>
    <mergeCell ref="C365:I365"/>
    <mergeCell ref="C366:I366"/>
    <mergeCell ref="C367:I367"/>
    <mergeCell ref="C368:I368"/>
    <mergeCell ref="C369:I369"/>
    <mergeCell ref="C370:I370"/>
    <mergeCell ref="C395:I395"/>
    <mergeCell ref="C396:I396"/>
    <mergeCell ref="C397:I397"/>
    <mergeCell ref="C398:I398"/>
    <mergeCell ref="C399:I399"/>
    <mergeCell ref="C400:I400"/>
    <mergeCell ref="C389:I389"/>
    <mergeCell ref="C390:I390"/>
    <mergeCell ref="C391:I391"/>
    <mergeCell ref="C392:I392"/>
    <mergeCell ref="C393:I393"/>
    <mergeCell ref="C394:I394"/>
    <mergeCell ref="C383:I383"/>
    <mergeCell ref="C384:I384"/>
    <mergeCell ref="C385:I385"/>
    <mergeCell ref="C386:I386"/>
    <mergeCell ref="C387:I387"/>
    <mergeCell ref="C388:I388"/>
    <mergeCell ref="C413:I413"/>
    <mergeCell ref="C414:I414"/>
    <mergeCell ref="C415:I415"/>
    <mergeCell ref="C416:I416"/>
    <mergeCell ref="C417:I417"/>
    <mergeCell ref="C418:I418"/>
    <mergeCell ref="C407:I407"/>
    <mergeCell ref="C408:I408"/>
    <mergeCell ref="C409:I409"/>
    <mergeCell ref="C410:I410"/>
    <mergeCell ref="C411:I411"/>
    <mergeCell ref="C412:I412"/>
    <mergeCell ref="C401:I401"/>
    <mergeCell ref="C402:I402"/>
    <mergeCell ref="C403:I403"/>
    <mergeCell ref="C404:I404"/>
    <mergeCell ref="C405:I405"/>
    <mergeCell ref="C406:I406"/>
    <mergeCell ref="C431:I431"/>
    <mergeCell ref="C432:I432"/>
    <mergeCell ref="C433:I433"/>
    <mergeCell ref="C434:I434"/>
    <mergeCell ref="C435:I435"/>
    <mergeCell ref="C436:I436"/>
    <mergeCell ref="C425:I425"/>
    <mergeCell ref="C426:I426"/>
    <mergeCell ref="C427:I427"/>
    <mergeCell ref="C428:I428"/>
    <mergeCell ref="C429:I429"/>
    <mergeCell ref="C430:I430"/>
    <mergeCell ref="C419:I419"/>
    <mergeCell ref="C420:I420"/>
    <mergeCell ref="C421:I421"/>
    <mergeCell ref="C422:I422"/>
    <mergeCell ref="C423:I423"/>
    <mergeCell ref="C424:I424"/>
    <mergeCell ref="C449:I449"/>
    <mergeCell ref="C450:I450"/>
    <mergeCell ref="C451:I451"/>
    <mergeCell ref="C452:I452"/>
    <mergeCell ref="C453:I453"/>
    <mergeCell ref="C454:I454"/>
    <mergeCell ref="C443:I443"/>
    <mergeCell ref="C444:I444"/>
    <mergeCell ref="C445:I445"/>
    <mergeCell ref="C446:I446"/>
    <mergeCell ref="C447:I447"/>
    <mergeCell ref="C448:I448"/>
    <mergeCell ref="C437:I437"/>
    <mergeCell ref="C438:I438"/>
    <mergeCell ref="C439:I439"/>
    <mergeCell ref="C440:I440"/>
    <mergeCell ref="C441:I441"/>
    <mergeCell ref="C442:I442"/>
    <mergeCell ref="C467:I467"/>
    <mergeCell ref="C468:I468"/>
    <mergeCell ref="C469:I469"/>
    <mergeCell ref="C470:I470"/>
    <mergeCell ref="C471:I471"/>
    <mergeCell ref="C472:I472"/>
    <mergeCell ref="C461:I461"/>
    <mergeCell ref="C462:I462"/>
    <mergeCell ref="C463:I463"/>
    <mergeCell ref="C464:I464"/>
    <mergeCell ref="C465:I465"/>
    <mergeCell ref="C466:I466"/>
    <mergeCell ref="C455:I455"/>
    <mergeCell ref="C456:I456"/>
    <mergeCell ref="C457:I457"/>
    <mergeCell ref="C458:I458"/>
    <mergeCell ref="C459:I459"/>
    <mergeCell ref="C460:I460"/>
    <mergeCell ref="C485:I485"/>
    <mergeCell ref="C486:I486"/>
    <mergeCell ref="C487:I487"/>
    <mergeCell ref="C488:I488"/>
    <mergeCell ref="C489:I489"/>
    <mergeCell ref="C490:I490"/>
    <mergeCell ref="C479:I479"/>
    <mergeCell ref="C480:I480"/>
    <mergeCell ref="C481:I481"/>
    <mergeCell ref="C482:I482"/>
    <mergeCell ref="C483:I483"/>
    <mergeCell ref="C484:I484"/>
    <mergeCell ref="C473:I473"/>
    <mergeCell ref="C474:I474"/>
    <mergeCell ref="C475:I475"/>
    <mergeCell ref="C476:I476"/>
    <mergeCell ref="C477:I477"/>
    <mergeCell ref="C478:I478"/>
    <mergeCell ref="C503:I503"/>
    <mergeCell ref="C504:I504"/>
    <mergeCell ref="C505:I505"/>
    <mergeCell ref="C506:I506"/>
    <mergeCell ref="C507:I507"/>
    <mergeCell ref="C508:I508"/>
    <mergeCell ref="C497:I497"/>
    <mergeCell ref="C498:I498"/>
    <mergeCell ref="C499:I499"/>
    <mergeCell ref="C500:I500"/>
    <mergeCell ref="C501:I501"/>
    <mergeCell ref="C502:I502"/>
    <mergeCell ref="C491:I491"/>
    <mergeCell ref="C492:I492"/>
    <mergeCell ref="C493:I493"/>
    <mergeCell ref="C494:I494"/>
    <mergeCell ref="C495:I495"/>
    <mergeCell ref="C496:I496"/>
    <mergeCell ref="C521:I521"/>
    <mergeCell ref="C522:I522"/>
    <mergeCell ref="C523:I523"/>
    <mergeCell ref="C524:I524"/>
    <mergeCell ref="C525:I525"/>
    <mergeCell ref="C526:I526"/>
    <mergeCell ref="C515:I515"/>
    <mergeCell ref="C516:I516"/>
    <mergeCell ref="C517:I517"/>
    <mergeCell ref="C518:I518"/>
    <mergeCell ref="C519:I519"/>
    <mergeCell ref="C520:I520"/>
    <mergeCell ref="C509:I509"/>
    <mergeCell ref="C510:I510"/>
    <mergeCell ref="C511:I511"/>
    <mergeCell ref="C512:I512"/>
    <mergeCell ref="C513:I513"/>
    <mergeCell ref="C514:I514"/>
    <mergeCell ref="C539:I539"/>
    <mergeCell ref="C540:I540"/>
    <mergeCell ref="C541:I541"/>
    <mergeCell ref="C542:I542"/>
    <mergeCell ref="C543:I543"/>
    <mergeCell ref="C544:I544"/>
    <mergeCell ref="C533:I533"/>
    <mergeCell ref="C534:I534"/>
    <mergeCell ref="C535:I535"/>
    <mergeCell ref="C536:I536"/>
    <mergeCell ref="C537:I537"/>
    <mergeCell ref="C538:I538"/>
    <mergeCell ref="C527:I527"/>
    <mergeCell ref="C528:I528"/>
    <mergeCell ref="C529:I529"/>
    <mergeCell ref="C530:I530"/>
    <mergeCell ref="C531:I531"/>
    <mergeCell ref="C532:I532"/>
    <mergeCell ref="C557:I557"/>
    <mergeCell ref="C558:I558"/>
    <mergeCell ref="C559:I559"/>
    <mergeCell ref="C560:I560"/>
    <mergeCell ref="C561:I561"/>
    <mergeCell ref="C562:I562"/>
    <mergeCell ref="C551:I551"/>
    <mergeCell ref="C552:I552"/>
    <mergeCell ref="C553:I553"/>
    <mergeCell ref="C554:I554"/>
    <mergeCell ref="C555:I555"/>
    <mergeCell ref="C556:I556"/>
    <mergeCell ref="C545:I545"/>
    <mergeCell ref="C546:I546"/>
    <mergeCell ref="C547:I547"/>
    <mergeCell ref="C548:I548"/>
    <mergeCell ref="C549:I549"/>
    <mergeCell ref="C550:I550"/>
    <mergeCell ref="C575:I575"/>
    <mergeCell ref="C576:I576"/>
    <mergeCell ref="C577:I577"/>
    <mergeCell ref="C578:I578"/>
    <mergeCell ref="C579:I579"/>
    <mergeCell ref="C580:I580"/>
    <mergeCell ref="C569:I569"/>
    <mergeCell ref="C570:I570"/>
    <mergeCell ref="C571:I571"/>
    <mergeCell ref="C572:I572"/>
    <mergeCell ref="C573:I573"/>
    <mergeCell ref="C574:I574"/>
    <mergeCell ref="C563:I563"/>
    <mergeCell ref="C565:I565"/>
    <mergeCell ref="C566:I566"/>
    <mergeCell ref="C567:I567"/>
    <mergeCell ref="C568:I568"/>
    <mergeCell ref="C593:I593"/>
    <mergeCell ref="C594:I594"/>
    <mergeCell ref="C595:I595"/>
    <mergeCell ref="C596:I596"/>
    <mergeCell ref="C597:I597"/>
    <mergeCell ref="C598:I598"/>
    <mergeCell ref="C587:I587"/>
    <mergeCell ref="C588:I588"/>
    <mergeCell ref="C589:I589"/>
    <mergeCell ref="C590:I590"/>
    <mergeCell ref="C591:I591"/>
    <mergeCell ref="C592:I592"/>
    <mergeCell ref="C581:I581"/>
    <mergeCell ref="C582:I582"/>
    <mergeCell ref="C583:I583"/>
    <mergeCell ref="C584:I584"/>
    <mergeCell ref="C585:I585"/>
    <mergeCell ref="C586:I586"/>
    <mergeCell ref="C611:I611"/>
    <mergeCell ref="C612:I612"/>
    <mergeCell ref="C613:I613"/>
    <mergeCell ref="C614:I614"/>
    <mergeCell ref="C615:I615"/>
    <mergeCell ref="C616:I616"/>
    <mergeCell ref="C605:I605"/>
    <mergeCell ref="C606:I606"/>
    <mergeCell ref="C607:I607"/>
    <mergeCell ref="C608:I608"/>
    <mergeCell ref="C609:I609"/>
    <mergeCell ref="C610:I610"/>
    <mergeCell ref="C599:I599"/>
    <mergeCell ref="C600:I600"/>
    <mergeCell ref="C601:I601"/>
    <mergeCell ref="C602:I602"/>
    <mergeCell ref="C603:I603"/>
    <mergeCell ref="C604:I604"/>
    <mergeCell ref="C629:I629"/>
    <mergeCell ref="C630:I630"/>
    <mergeCell ref="C631:I631"/>
    <mergeCell ref="C632:I632"/>
    <mergeCell ref="C633:I633"/>
    <mergeCell ref="C634:I634"/>
    <mergeCell ref="C623:I623"/>
    <mergeCell ref="C624:I624"/>
    <mergeCell ref="C625:I625"/>
    <mergeCell ref="C626:I626"/>
    <mergeCell ref="C627:I627"/>
    <mergeCell ref="C628:I628"/>
    <mergeCell ref="C617:I617"/>
    <mergeCell ref="C618:I618"/>
    <mergeCell ref="C619:I619"/>
    <mergeCell ref="C620:I620"/>
    <mergeCell ref="C621:I621"/>
    <mergeCell ref="C622:I622"/>
    <mergeCell ref="C647:I647"/>
    <mergeCell ref="C648:I648"/>
    <mergeCell ref="C649:I649"/>
    <mergeCell ref="C650:I650"/>
    <mergeCell ref="C651:I651"/>
    <mergeCell ref="C652:I652"/>
    <mergeCell ref="C641:I641"/>
    <mergeCell ref="C642:I642"/>
    <mergeCell ref="C643:I643"/>
    <mergeCell ref="C644:I644"/>
    <mergeCell ref="C645:I645"/>
    <mergeCell ref="C646:I646"/>
    <mergeCell ref="C635:I635"/>
    <mergeCell ref="C636:I636"/>
    <mergeCell ref="C637:I637"/>
    <mergeCell ref="C638:I638"/>
    <mergeCell ref="C639:I639"/>
    <mergeCell ref="C640:I640"/>
    <mergeCell ref="C665:I665"/>
    <mergeCell ref="C666:I666"/>
    <mergeCell ref="C667:I667"/>
    <mergeCell ref="C668:I668"/>
    <mergeCell ref="C669:I669"/>
    <mergeCell ref="C670:I670"/>
    <mergeCell ref="C659:I659"/>
    <mergeCell ref="C660:I660"/>
    <mergeCell ref="C661:I661"/>
    <mergeCell ref="C662:I662"/>
    <mergeCell ref="C663:I663"/>
    <mergeCell ref="C664:I664"/>
    <mergeCell ref="C653:I653"/>
    <mergeCell ref="C654:I654"/>
    <mergeCell ref="C655:I655"/>
    <mergeCell ref="C656:I656"/>
    <mergeCell ref="C657:I657"/>
    <mergeCell ref="C658:I658"/>
    <mergeCell ref="C683:I683"/>
    <mergeCell ref="C684:I684"/>
    <mergeCell ref="C685:I685"/>
    <mergeCell ref="C686:I686"/>
    <mergeCell ref="C687:I687"/>
    <mergeCell ref="C688:I688"/>
    <mergeCell ref="C677:I677"/>
    <mergeCell ref="C678:I678"/>
    <mergeCell ref="C679:I679"/>
    <mergeCell ref="C680:I680"/>
    <mergeCell ref="C681:I681"/>
    <mergeCell ref="C682:I682"/>
    <mergeCell ref="C671:I671"/>
    <mergeCell ref="C672:I672"/>
    <mergeCell ref="C673:I673"/>
    <mergeCell ref="C674:I674"/>
    <mergeCell ref="C675:I675"/>
    <mergeCell ref="C676:I676"/>
    <mergeCell ref="C701:I701"/>
    <mergeCell ref="C702:I702"/>
    <mergeCell ref="C703:I703"/>
    <mergeCell ref="C704:I704"/>
    <mergeCell ref="C705:I705"/>
    <mergeCell ref="C706:I706"/>
    <mergeCell ref="C695:I695"/>
    <mergeCell ref="C696:I696"/>
    <mergeCell ref="C697:I697"/>
    <mergeCell ref="C698:I698"/>
    <mergeCell ref="C699:I699"/>
    <mergeCell ref="C700:I700"/>
    <mergeCell ref="C689:I689"/>
    <mergeCell ref="C690:I690"/>
    <mergeCell ref="C691:I691"/>
    <mergeCell ref="C692:I692"/>
    <mergeCell ref="C693:I693"/>
    <mergeCell ref="C694:I694"/>
    <mergeCell ref="C719:I719"/>
    <mergeCell ref="C720:I720"/>
    <mergeCell ref="C721:I721"/>
    <mergeCell ref="C722:I722"/>
    <mergeCell ref="C723:I723"/>
    <mergeCell ref="C724:I724"/>
    <mergeCell ref="C713:I713"/>
    <mergeCell ref="C714:I714"/>
    <mergeCell ref="C715:I715"/>
    <mergeCell ref="C716:I716"/>
    <mergeCell ref="C717:I717"/>
    <mergeCell ref="C718:I718"/>
    <mergeCell ref="C707:I707"/>
    <mergeCell ref="C708:I708"/>
    <mergeCell ref="C709:I709"/>
    <mergeCell ref="C710:I710"/>
    <mergeCell ref="C711:I711"/>
    <mergeCell ref="C712:I712"/>
    <mergeCell ref="C737:I737"/>
    <mergeCell ref="C738:I738"/>
    <mergeCell ref="C739:I739"/>
    <mergeCell ref="C740:I740"/>
    <mergeCell ref="C741:I741"/>
    <mergeCell ref="C742:I742"/>
    <mergeCell ref="C731:I731"/>
    <mergeCell ref="C732:I732"/>
    <mergeCell ref="C733:I733"/>
    <mergeCell ref="C734:I734"/>
    <mergeCell ref="C735:I735"/>
    <mergeCell ref="C736:I736"/>
    <mergeCell ref="C725:I725"/>
    <mergeCell ref="C726:I726"/>
    <mergeCell ref="C727:I727"/>
    <mergeCell ref="C728:I728"/>
    <mergeCell ref="C729:I729"/>
    <mergeCell ref="C730:I730"/>
    <mergeCell ref="C755:I755"/>
    <mergeCell ref="C756:I756"/>
    <mergeCell ref="C757:I757"/>
    <mergeCell ref="C758:I758"/>
    <mergeCell ref="C759:I759"/>
    <mergeCell ref="C760:I760"/>
    <mergeCell ref="C749:I749"/>
    <mergeCell ref="C750:I750"/>
    <mergeCell ref="C751:I751"/>
    <mergeCell ref="C752:I752"/>
    <mergeCell ref="C753:I753"/>
    <mergeCell ref="C754:I754"/>
    <mergeCell ref="C743:I743"/>
    <mergeCell ref="C744:I744"/>
    <mergeCell ref="C745:I745"/>
    <mergeCell ref="C746:I746"/>
    <mergeCell ref="C747:I747"/>
    <mergeCell ref="C748:I748"/>
    <mergeCell ref="C773:I773"/>
    <mergeCell ref="C774:I774"/>
    <mergeCell ref="C775:I775"/>
    <mergeCell ref="C776:I776"/>
    <mergeCell ref="C777:I777"/>
    <mergeCell ref="C778:I778"/>
    <mergeCell ref="C767:I767"/>
    <mergeCell ref="C768:I768"/>
    <mergeCell ref="C769:I769"/>
    <mergeCell ref="C770:I770"/>
    <mergeCell ref="C771:I771"/>
    <mergeCell ref="C772:I772"/>
    <mergeCell ref="C761:I761"/>
    <mergeCell ref="C762:I762"/>
    <mergeCell ref="C763:I763"/>
    <mergeCell ref="C764:I764"/>
    <mergeCell ref="C765:I765"/>
    <mergeCell ref="C766:I766"/>
    <mergeCell ref="C791:I791"/>
    <mergeCell ref="C792:I792"/>
    <mergeCell ref="C793:I793"/>
    <mergeCell ref="C794:I794"/>
    <mergeCell ref="C795:I795"/>
    <mergeCell ref="C796:I796"/>
    <mergeCell ref="C785:I785"/>
    <mergeCell ref="C786:I786"/>
    <mergeCell ref="C787:I787"/>
    <mergeCell ref="C788:I788"/>
    <mergeCell ref="C789:I789"/>
    <mergeCell ref="C790:I790"/>
    <mergeCell ref="C779:I779"/>
    <mergeCell ref="C780:I780"/>
    <mergeCell ref="C781:I781"/>
    <mergeCell ref="C782:I782"/>
    <mergeCell ref="C783:I783"/>
    <mergeCell ref="C784:I784"/>
    <mergeCell ref="C809:I809"/>
    <mergeCell ref="C810:I810"/>
    <mergeCell ref="C811:I811"/>
    <mergeCell ref="C812:I812"/>
    <mergeCell ref="C813:I813"/>
    <mergeCell ref="C814:I814"/>
    <mergeCell ref="C803:I803"/>
    <mergeCell ref="C804:I804"/>
    <mergeCell ref="C805:I805"/>
    <mergeCell ref="C806:I806"/>
    <mergeCell ref="C807:I807"/>
    <mergeCell ref="C808:I808"/>
    <mergeCell ref="C797:I797"/>
    <mergeCell ref="C798:I798"/>
    <mergeCell ref="C799:I799"/>
    <mergeCell ref="C800:I800"/>
    <mergeCell ref="C801:I801"/>
    <mergeCell ref="C802:I802"/>
    <mergeCell ref="C827:I827"/>
    <mergeCell ref="C828:I828"/>
    <mergeCell ref="C829:I829"/>
    <mergeCell ref="C830:I830"/>
    <mergeCell ref="C831:I831"/>
    <mergeCell ref="C832:I832"/>
    <mergeCell ref="C821:I821"/>
    <mergeCell ref="C822:I822"/>
    <mergeCell ref="C823:I823"/>
    <mergeCell ref="C824:I824"/>
    <mergeCell ref="C825:I825"/>
    <mergeCell ref="C826:I826"/>
    <mergeCell ref="C815:I815"/>
    <mergeCell ref="C816:I816"/>
    <mergeCell ref="C817:I817"/>
    <mergeCell ref="C818:I818"/>
    <mergeCell ref="C819:I819"/>
    <mergeCell ref="C820:I820"/>
    <mergeCell ref="C845:I845"/>
    <mergeCell ref="C846:I846"/>
    <mergeCell ref="C847:I847"/>
    <mergeCell ref="C848:I848"/>
    <mergeCell ref="C849:I849"/>
    <mergeCell ref="C850:I850"/>
    <mergeCell ref="C839:I839"/>
    <mergeCell ref="C840:I840"/>
    <mergeCell ref="C841:I841"/>
    <mergeCell ref="C842:I842"/>
    <mergeCell ref="C843:I843"/>
    <mergeCell ref="C844:I844"/>
    <mergeCell ref="C833:I833"/>
    <mergeCell ref="C834:I834"/>
    <mergeCell ref="C835:I835"/>
    <mergeCell ref="C836:I836"/>
    <mergeCell ref="C837:I837"/>
    <mergeCell ref="C838:I838"/>
    <mergeCell ref="C863:I863"/>
    <mergeCell ref="C864:I864"/>
    <mergeCell ref="C865:I865"/>
    <mergeCell ref="C866:I866"/>
    <mergeCell ref="C867:I867"/>
    <mergeCell ref="C868:I868"/>
    <mergeCell ref="C857:I857"/>
    <mergeCell ref="C858:I858"/>
    <mergeCell ref="C859:I859"/>
    <mergeCell ref="C860:I860"/>
    <mergeCell ref="C861:I861"/>
    <mergeCell ref="C862:I862"/>
    <mergeCell ref="C851:I851"/>
    <mergeCell ref="C852:I852"/>
    <mergeCell ref="C853:I853"/>
    <mergeCell ref="C854:I854"/>
    <mergeCell ref="C855:I855"/>
    <mergeCell ref="C856:I856"/>
    <mergeCell ref="C881:I881"/>
    <mergeCell ref="C882:I882"/>
    <mergeCell ref="C883:I883"/>
    <mergeCell ref="C884:I884"/>
    <mergeCell ref="C885:I885"/>
    <mergeCell ref="C886:I886"/>
    <mergeCell ref="C875:I875"/>
    <mergeCell ref="C876:I876"/>
    <mergeCell ref="C877:I877"/>
    <mergeCell ref="C878:I878"/>
    <mergeCell ref="C879:I879"/>
    <mergeCell ref="C880:I880"/>
    <mergeCell ref="C869:I869"/>
    <mergeCell ref="C870:I870"/>
    <mergeCell ref="C871:I871"/>
    <mergeCell ref="C872:I872"/>
    <mergeCell ref="C873:I873"/>
    <mergeCell ref="C874:I874"/>
    <mergeCell ref="C899:I899"/>
    <mergeCell ref="C900:I900"/>
    <mergeCell ref="C901:I901"/>
    <mergeCell ref="C902:I902"/>
    <mergeCell ref="C903:I903"/>
    <mergeCell ref="C904:I904"/>
    <mergeCell ref="C893:I893"/>
    <mergeCell ref="C894:I894"/>
    <mergeCell ref="C895:I895"/>
    <mergeCell ref="C896:I896"/>
    <mergeCell ref="C897:I897"/>
    <mergeCell ref="C898:I898"/>
    <mergeCell ref="C887:I887"/>
    <mergeCell ref="C888:I888"/>
    <mergeCell ref="C889:I889"/>
    <mergeCell ref="C890:I890"/>
    <mergeCell ref="C891:I891"/>
    <mergeCell ref="C892:I892"/>
    <mergeCell ref="C917:I917"/>
    <mergeCell ref="C918:I918"/>
    <mergeCell ref="C919:I919"/>
    <mergeCell ref="C920:I920"/>
    <mergeCell ref="C921:I921"/>
    <mergeCell ref="C922:I922"/>
    <mergeCell ref="C911:I911"/>
    <mergeCell ref="C912:I912"/>
    <mergeCell ref="C913:I913"/>
    <mergeCell ref="C914:I914"/>
    <mergeCell ref="C915:I915"/>
    <mergeCell ref="C916:I916"/>
    <mergeCell ref="C905:I905"/>
    <mergeCell ref="C906:I906"/>
    <mergeCell ref="C907:I907"/>
    <mergeCell ref="C908:I908"/>
    <mergeCell ref="C909:I909"/>
    <mergeCell ref="C910:I910"/>
    <mergeCell ref="C935:I935"/>
    <mergeCell ref="C936:I936"/>
    <mergeCell ref="C937:I937"/>
    <mergeCell ref="C938:I938"/>
    <mergeCell ref="C939:I939"/>
    <mergeCell ref="C940:I940"/>
    <mergeCell ref="C929:I929"/>
    <mergeCell ref="C930:I930"/>
    <mergeCell ref="C931:I931"/>
    <mergeCell ref="C932:I932"/>
    <mergeCell ref="C933:I933"/>
    <mergeCell ref="C934:I934"/>
    <mergeCell ref="C923:I923"/>
    <mergeCell ref="C924:I924"/>
    <mergeCell ref="C925:I925"/>
    <mergeCell ref="C926:I926"/>
    <mergeCell ref="C927:I927"/>
    <mergeCell ref="C928:I928"/>
    <mergeCell ref="C953:I953"/>
    <mergeCell ref="C954:I954"/>
    <mergeCell ref="C955:I955"/>
    <mergeCell ref="C956:I956"/>
    <mergeCell ref="C957:I957"/>
    <mergeCell ref="C958:I958"/>
    <mergeCell ref="C947:I947"/>
    <mergeCell ref="C948:I948"/>
    <mergeCell ref="C949:I949"/>
    <mergeCell ref="C950:I950"/>
    <mergeCell ref="C951:I951"/>
    <mergeCell ref="C952:I952"/>
    <mergeCell ref="C941:I941"/>
    <mergeCell ref="C942:I942"/>
    <mergeCell ref="C943:I943"/>
    <mergeCell ref="C944:I944"/>
    <mergeCell ref="C945:I945"/>
    <mergeCell ref="C946:I946"/>
    <mergeCell ref="C971:I971"/>
    <mergeCell ref="C972:I972"/>
    <mergeCell ref="C973:I973"/>
    <mergeCell ref="C974:I974"/>
    <mergeCell ref="C975:I975"/>
    <mergeCell ref="C976:I976"/>
    <mergeCell ref="C965:I965"/>
    <mergeCell ref="C966:I966"/>
    <mergeCell ref="C967:I967"/>
    <mergeCell ref="C968:I968"/>
    <mergeCell ref="C969:I969"/>
    <mergeCell ref="C970:I970"/>
    <mergeCell ref="C959:I959"/>
    <mergeCell ref="C960:I960"/>
    <mergeCell ref="C961:I961"/>
    <mergeCell ref="C962:I962"/>
    <mergeCell ref="C963:I963"/>
    <mergeCell ref="C964:I964"/>
    <mergeCell ref="C989:I989"/>
    <mergeCell ref="C990:I990"/>
    <mergeCell ref="C991:I991"/>
    <mergeCell ref="C992:I992"/>
    <mergeCell ref="C993:I993"/>
    <mergeCell ref="C994:I994"/>
    <mergeCell ref="C983:I983"/>
    <mergeCell ref="C984:I984"/>
    <mergeCell ref="C985:I985"/>
    <mergeCell ref="C986:I986"/>
    <mergeCell ref="C987:I987"/>
    <mergeCell ref="C988:I988"/>
    <mergeCell ref="C977:I977"/>
    <mergeCell ref="C978:I978"/>
    <mergeCell ref="C979:I979"/>
    <mergeCell ref="C980:I980"/>
    <mergeCell ref="C981:I981"/>
    <mergeCell ref="C982:I982"/>
    <mergeCell ref="C1013:I1013"/>
    <mergeCell ref="C1014:I1014"/>
    <mergeCell ref="C1007:I1007"/>
    <mergeCell ref="C1008:I1008"/>
    <mergeCell ref="C1009:I1009"/>
    <mergeCell ref="C1010:I1010"/>
    <mergeCell ref="C1011:I1011"/>
    <mergeCell ref="C1012:I1012"/>
    <mergeCell ref="C1001:I1001"/>
    <mergeCell ref="C1002:I1002"/>
    <mergeCell ref="C1003:I1003"/>
    <mergeCell ref="C1004:I1004"/>
    <mergeCell ref="C1005:I1005"/>
    <mergeCell ref="C1006:I1006"/>
    <mergeCell ref="C995:I995"/>
    <mergeCell ref="C996:I996"/>
    <mergeCell ref="C997:I997"/>
    <mergeCell ref="C998:I998"/>
    <mergeCell ref="C999:I999"/>
    <mergeCell ref="C1000:I1000"/>
  </mergeCells>
  <hyperlinks>
    <hyperlink ref="P13" r:id="rId1" xr:uid="{00000000-0004-0000-0300-000000000000}"/>
    <hyperlink ref="P14" r:id="rId2" xr:uid="{00000000-0004-0000-0300-000001000000}"/>
    <hyperlink ref="P15" r:id="rId3" xr:uid="{00000000-0004-0000-0300-000002000000}"/>
    <hyperlink ref="P16" r:id="rId4" xr:uid="{00000000-0004-0000-0300-000003000000}"/>
    <hyperlink ref="P17" r:id="rId5" xr:uid="{00000000-0004-0000-0300-000004000000}"/>
    <hyperlink ref="P18" r:id="rId6" xr:uid="{00000000-0004-0000-0300-000005000000}"/>
    <hyperlink ref="P19" r:id="rId7" xr:uid="{00000000-0004-0000-0300-000006000000}"/>
    <hyperlink ref="P20" r:id="rId8" xr:uid="{00000000-0004-0000-0300-000007000000}"/>
    <hyperlink ref="P21" r:id="rId9" xr:uid="{00000000-0004-0000-0300-000008000000}"/>
    <hyperlink ref="P22" r:id="rId10" xr:uid="{00000000-0004-0000-0300-000009000000}"/>
    <hyperlink ref="P23" r:id="rId11" xr:uid="{00000000-0004-0000-0300-00000A000000}"/>
    <hyperlink ref="P24" r:id="rId12" xr:uid="{00000000-0004-0000-0300-00000B000000}"/>
    <hyperlink ref="P25" r:id="rId13" xr:uid="{00000000-0004-0000-0300-00000C000000}"/>
    <hyperlink ref="P26" r:id="rId14" xr:uid="{00000000-0004-0000-0300-00000D000000}"/>
    <hyperlink ref="P27" r:id="rId15" xr:uid="{00000000-0004-0000-0300-00000E000000}"/>
    <hyperlink ref="P28" r:id="rId16" xr:uid="{00000000-0004-0000-0300-00000F000000}"/>
    <hyperlink ref="P29" r:id="rId17" xr:uid="{00000000-0004-0000-0300-000010000000}"/>
    <hyperlink ref="P31" r:id="rId18" xr:uid="{00000000-0004-0000-0300-000011000000}"/>
    <hyperlink ref="P32" r:id="rId19" xr:uid="{00000000-0004-0000-0300-000012000000}"/>
    <hyperlink ref="P33" r:id="rId20" xr:uid="{00000000-0004-0000-0300-000013000000}"/>
    <hyperlink ref="P34" r:id="rId21" xr:uid="{00000000-0004-0000-0300-000014000000}"/>
    <hyperlink ref="P35" r:id="rId22" xr:uid="{00000000-0004-0000-0300-000015000000}"/>
    <hyperlink ref="P30" r:id="rId23" xr:uid="{00000000-0004-0000-0300-000016000000}"/>
    <hyperlink ref="P36" r:id="rId24" xr:uid="{00000000-0004-0000-0300-000017000000}"/>
    <hyperlink ref="P37" r:id="rId25" xr:uid="{00000000-0004-0000-0300-000018000000}"/>
    <hyperlink ref="P38" r:id="rId26" xr:uid="{00000000-0004-0000-0300-000019000000}"/>
    <hyperlink ref="P39" r:id="rId27" xr:uid="{00000000-0004-0000-0300-00001A000000}"/>
    <hyperlink ref="P40" r:id="rId28" xr:uid="{00000000-0004-0000-0300-00001B000000}"/>
    <hyperlink ref="P41" r:id="rId29" xr:uid="{00000000-0004-0000-0300-00001C000000}"/>
    <hyperlink ref="P42" r:id="rId30" xr:uid="{00000000-0004-0000-0300-00001D000000}"/>
    <hyperlink ref="P43" r:id="rId31" xr:uid="{00000000-0004-0000-0300-00001E000000}"/>
    <hyperlink ref="P44" r:id="rId32" xr:uid="{00000000-0004-0000-0300-00001F000000}"/>
    <hyperlink ref="P45" r:id="rId33" xr:uid="{00000000-0004-0000-0300-000020000000}"/>
    <hyperlink ref="P46" r:id="rId34" xr:uid="{00000000-0004-0000-0300-000021000000}"/>
    <hyperlink ref="P47" r:id="rId35" xr:uid="{00000000-0004-0000-0300-000022000000}"/>
    <hyperlink ref="P48" r:id="rId36" xr:uid="{00000000-0004-0000-0300-000023000000}"/>
    <hyperlink ref="P49" r:id="rId37" xr:uid="{00000000-0004-0000-0300-000024000000}"/>
    <hyperlink ref="P50" r:id="rId38" xr:uid="{00000000-0004-0000-0300-000025000000}"/>
    <hyperlink ref="P51" r:id="rId39" xr:uid="{00000000-0004-0000-0300-000026000000}"/>
    <hyperlink ref="P52" r:id="rId40" xr:uid="{00000000-0004-0000-0300-000027000000}"/>
    <hyperlink ref="P53" r:id="rId41" xr:uid="{00000000-0004-0000-0300-000028000000}"/>
    <hyperlink ref="P54" r:id="rId42" xr:uid="{00000000-0004-0000-0300-000029000000}"/>
    <hyperlink ref="O55" r:id="rId43" display="jzapata@contex.com.co" xr:uid="{00000000-0004-0000-0300-00002A000000}"/>
    <hyperlink ref="P55" r:id="rId44" xr:uid="{00000000-0004-0000-0300-00002B000000}"/>
    <hyperlink ref="P57" r:id="rId45" xr:uid="{00000000-0004-0000-0300-00002C000000}"/>
    <hyperlink ref="P56" r:id="rId46" xr:uid="{00000000-0004-0000-0300-00002D000000}"/>
    <hyperlink ref="P59" r:id="rId47" xr:uid="{00000000-0004-0000-0300-00002E000000}"/>
    <hyperlink ref="P62" r:id="rId48" xr:uid="{00000000-0004-0000-0300-00002F000000}"/>
    <hyperlink ref="P60" r:id="rId49" xr:uid="{00000000-0004-0000-0300-000030000000}"/>
    <hyperlink ref="P61" r:id="rId50" xr:uid="{00000000-0004-0000-0300-000031000000}"/>
    <hyperlink ref="P63" r:id="rId51" xr:uid="{00000000-0004-0000-0300-000032000000}"/>
    <hyperlink ref="P64" r:id="rId52" xr:uid="{00000000-0004-0000-0300-000033000000}"/>
    <hyperlink ref="P65" r:id="rId53" xr:uid="{00000000-0004-0000-0300-000034000000}"/>
    <hyperlink ref="P66" r:id="rId54" xr:uid="{00000000-0004-0000-0300-000035000000}"/>
    <hyperlink ref="P67" r:id="rId55" xr:uid="{00000000-0004-0000-0300-000036000000}"/>
    <hyperlink ref="P68" r:id="rId56" xr:uid="{00000000-0004-0000-0300-000037000000}"/>
    <hyperlink ref="P69" r:id="rId57" xr:uid="{00000000-0004-0000-0300-000038000000}"/>
    <hyperlink ref="P71" r:id="rId58" xr:uid="{00000000-0004-0000-0300-000039000000}"/>
    <hyperlink ref="P58" r:id="rId59" xr:uid="{00000000-0004-0000-0300-00003A000000}"/>
    <hyperlink ref="P70" r:id="rId60" xr:uid="{00000000-0004-0000-0300-00003B000000}"/>
    <hyperlink ref="P72" r:id="rId61" xr:uid="{00000000-0004-0000-0300-00003C000000}"/>
    <hyperlink ref="P74" r:id="rId62" xr:uid="{00000000-0004-0000-0300-00003D000000}"/>
    <hyperlink ref="P73" r:id="rId63" xr:uid="{00000000-0004-0000-0300-00003E000000}"/>
    <hyperlink ref="P75" r:id="rId64" xr:uid="{00000000-0004-0000-0300-00003F000000}"/>
    <hyperlink ref="P76" r:id="rId65" xr:uid="{00000000-0004-0000-0300-000040000000}"/>
    <hyperlink ref="P77" r:id="rId66" xr:uid="{00000000-0004-0000-0300-000041000000}"/>
    <hyperlink ref="P78" r:id="rId67" xr:uid="{00000000-0004-0000-0300-000042000000}"/>
    <hyperlink ref="P79" r:id="rId68" xr:uid="{00000000-0004-0000-0300-000043000000}"/>
    <hyperlink ref="P80" r:id="rId69" xr:uid="{00000000-0004-0000-0300-000044000000}"/>
    <hyperlink ref="P81" r:id="rId70" xr:uid="{00000000-0004-0000-0300-000045000000}"/>
    <hyperlink ref="P82" r:id="rId71" xr:uid="{00000000-0004-0000-0300-000046000000}"/>
    <hyperlink ref="P83" r:id="rId72" xr:uid="{00000000-0004-0000-0300-000047000000}"/>
    <hyperlink ref="P84" r:id="rId73" xr:uid="{00000000-0004-0000-0300-000048000000}"/>
    <hyperlink ref="P85" r:id="rId74" xr:uid="{00000000-0004-0000-0300-000049000000}"/>
    <hyperlink ref="P86" r:id="rId75" xr:uid="{00000000-0004-0000-0300-00004A000000}"/>
    <hyperlink ref="P87" r:id="rId76" xr:uid="{00000000-0004-0000-0300-00004B000000}"/>
    <hyperlink ref="P88" r:id="rId77" xr:uid="{00000000-0004-0000-0300-00004C000000}"/>
    <hyperlink ref="P89" r:id="rId78" xr:uid="{00000000-0004-0000-0300-00004D000000}"/>
    <hyperlink ref="P90" r:id="rId79" xr:uid="{00000000-0004-0000-0300-00004E000000}"/>
    <hyperlink ref="P91" r:id="rId80" xr:uid="{00000000-0004-0000-0300-00004F000000}"/>
    <hyperlink ref="P92" r:id="rId81" xr:uid="{00000000-0004-0000-0300-000050000000}"/>
    <hyperlink ref="P93" r:id="rId82" xr:uid="{00000000-0004-0000-0300-000051000000}"/>
    <hyperlink ref="P94" r:id="rId83" xr:uid="{00000000-0004-0000-0300-000052000000}"/>
    <hyperlink ref="P95" r:id="rId84" xr:uid="{00000000-0004-0000-0300-000053000000}"/>
    <hyperlink ref="P97" r:id="rId85" xr:uid="{00000000-0004-0000-0300-000054000000}"/>
    <hyperlink ref="P96" r:id="rId86" xr:uid="{00000000-0004-0000-0300-000055000000}"/>
    <hyperlink ref="P98" r:id="rId87" xr:uid="{00000000-0004-0000-0300-000056000000}"/>
    <hyperlink ref="P102" r:id="rId88" xr:uid="{00000000-0004-0000-0300-000057000000}"/>
    <hyperlink ref="P103" r:id="rId89" xr:uid="{00000000-0004-0000-0300-000058000000}"/>
    <hyperlink ref="P104" r:id="rId90" xr:uid="{00000000-0004-0000-0300-000059000000}"/>
    <hyperlink ref="P105" r:id="rId91" xr:uid="{00000000-0004-0000-0300-00005A000000}"/>
    <hyperlink ref="P106" r:id="rId92" xr:uid="{00000000-0004-0000-0300-00005B000000}"/>
    <hyperlink ref="P107" r:id="rId93" xr:uid="{00000000-0004-0000-0300-00005C000000}"/>
    <hyperlink ref="P108" r:id="rId94" xr:uid="{00000000-0004-0000-0300-00005D000000}"/>
    <hyperlink ref="P109" r:id="rId95" xr:uid="{00000000-0004-0000-0300-00005E000000}"/>
    <hyperlink ref="P110" r:id="rId96" xr:uid="{00000000-0004-0000-0300-00005F000000}"/>
    <hyperlink ref="P111" r:id="rId97" xr:uid="{00000000-0004-0000-0300-000060000000}"/>
    <hyperlink ref="P112" r:id="rId98" xr:uid="{00000000-0004-0000-0300-000061000000}"/>
    <hyperlink ref="P113" r:id="rId99" xr:uid="{00000000-0004-0000-0300-000062000000}"/>
    <hyperlink ref="P114" r:id="rId100" xr:uid="{00000000-0004-0000-0300-000063000000}"/>
    <hyperlink ref="P115" r:id="rId101" xr:uid="{00000000-0004-0000-0300-000064000000}"/>
    <hyperlink ref="P116" r:id="rId102" xr:uid="{00000000-0004-0000-0300-000065000000}"/>
    <hyperlink ref="P117" r:id="rId103" xr:uid="{00000000-0004-0000-0300-000066000000}"/>
    <hyperlink ref="P118" r:id="rId104" xr:uid="{00000000-0004-0000-0300-000067000000}"/>
    <hyperlink ref="P120" r:id="rId105" xr:uid="{00000000-0004-0000-0300-000068000000}"/>
    <hyperlink ref="P121" r:id="rId106" xr:uid="{00000000-0004-0000-0300-000069000000}"/>
    <hyperlink ref="P123" r:id="rId107" xr:uid="{00000000-0004-0000-0300-00006A000000}"/>
    <hyperlink ref="P122" r:id="rId108" xr:uid="{00000000-0004-0000-0300-00006B000000}"/>
    <hyperlink ref="P125" r:id="rId109" display="david.lopera@socomes.com" xr:uid="{00000000-0004-0000-0300-00006C000000}"/>
    <hyperlink ref="P126" r:id="rId110" xr:uid="{00000000-0004-0000-0300-00006D000000}"/>
    <hyperlink ref="P127" r:id="rId111" xr:uid="{00000000-0004-0000-0300-00006E000000}"/>
    <hyperlink ref="P128" r:id="rId112" xr:uid="{00000000-0004-0000-0300-00006F000000}"/>
    <hyperlink ref="P129" r:id="rId113" xr:uid="{00000000-0004-0000-0300-000070000000}"/>
    <hyperlink ref="P130" r:id="rId114" xr:uid="{00000000-0004-0000-0300-000071000000}"/>
    <hyperlink ref="P119" r:id="rId115" xr:uid="{00000000-0004-0000-0300-000072000000}"/>
    <hyperlink ref="P132" r:id="rId116" xr:uid="{00000000-0004-0000-0300-000073000000}"/>
    <hyperlink ref="P134" r:id="rId117" xr:uid="{00000000-0004-0000-0300-000074000000}"/>
    <hyperlink ref="P131" r:id="rId118" xr:uid="{00000000-0004-0000-0300-000075000000}"/>
    <hyperlink ref="P124" r:id="rId119" xr:uid="{00000000-0004-0000-0300-000076000000}"/>
    <hyperlink ref="P135" r:id="rId120" xr:uid="{00000000-0004-0000-0300-000077000000}"/>
    <hyperlink ref="P136" r:id="rId121" xr:uid="{00000000-0004-0000-0300-000078000000}"/>
    <hyperlink ref="P137" r:id="rId122" xr:uid="{00000000-0004-0000-0300-000079000000}"/>
    <hyperlink ref="P138" r:id="rId123" xr:uid="{00000000-0004-0000-0300-00007A000000}"/>
    <hyperlink ref="P139" r:id="rId124" xr:uid="{00000000-0004-0000-0300-00007B000000}"/>
    <hyperlink ref="P140" r:id="rId125" xr:uid="{00000000-0004-0000-0300-00007C000000}"/>
    <hyperlink ref="P142" r:id="rId126" xr:uid="{00000000-0004-0000-0300-00007D000000}"/>
    <hyperlink ref="P141" r:id="rId127" xr:uid="{00000000-0004-0000-0300-00007E000000}"/>
    <hyperlink ref="P144" r:id="rId128" xr:uid="{00000000-0004-0000-0300-00007F000000}"/>
    <hyperlink ref="P145" r:id="rId129" xr:uid="{00000000-0004-0000-0300-000080000000}"/>
    <hyperlink ref="P148" r:id="rId130" xr:uid="{00000000-0004-0000-0300-000081000000}"/>
    <hyperlink ref="P149" r:id="rId131" xr:uid="{00000000-0004-0000-0300-000082000000}"/>
    <hyperlink ref="P150" r:id="rId132" xr:uid="{00000000-0004-0000-0300-000083000000}"/>
    <hyperlink ref="P152" r:id="rId133" xr:uid="{00000000-0004-0000-0300-000084000000}"/>
    <hyperlink ref="P153" r:id="rId134" xr:uid="{00000000-0004-0000-0300-000085000000}"/>
    <hyperlink ref="P154" r:id="rId135" xr:uid="{00000000-0004-0000-0300-000086000000}"/>
    <hyperlink ref="P155" r:id="rId136" xr:uid="{00000000-0004-0000-0300-000087000000}"/>
    <hyperlink ref="P156" r:id="rId137" xr:uid="{00000000-0004-0000-0300-000088000000}"/>
    <hyperlink ref="P157" r:id="rId138" xr:uid="{00000000-0004-0000-0300-000089000000}"/>
    <hyperlink ref="P158" r:id="rId139" xr:uid="{00000000-0004-0000-0300-00008A000000}"/>
    <hyperlink ref="P159" r:id="rId140" xr:uid="{00000000-0004-0000-0300-00008B000000}"/>
    <hyperlink ref="P161" r:id="rId141" xr:uid="{00000000-0004-0000-0300-00008C000000}"/>
    <hyperlink ref="P160" r:id="rId142" xr:uid="{00000000-0004-0000-0300-00008D000000}"/>
    <hyperlink ref="P162" r:id="rId143" xr:uid="{00000000-0004-0000-0300-00008E000000}"/>
    <hyperlink ref="P163" r:id="rId144" xr:uid="{00000000-0004-0000-0300-00008F000000}"/>
    <hyperlink ref="P164" r:id="rId145" xr:uid="{00000000-0004-0000-0300-000090000000}"/>
    <hyperlink ref="P165" r:id="rId146" xr:uid="{00000000-0004-0000-0300-000091000000}"/>
    <hyperlink ref="P166" r:id="rId147" xr:uid="{00000000-0004-0000-0300-000092000000}"/>
    <hyperlink ref="P170" r:id="rId148" xr:uid="{00000000-0004-0000-0300-000093000000}"/>
    <hyperlink ref="P169" r:id="rId149" xr:uid="{00000000-0004-0000-0300-000094000000}"/>
    <hyperlink ref="P173" r:id="rId150" xr:uid="{00000000-0004-0000-0300-000095000000}"/>
    <hyperlink ref="P171" r:id="rId151" xr:uid="{00000000-0004-0000-0300-000096000000}"/>
    <hyperlink ref="P172" r:id="rId152" xr:uid="{00000000-0004-0000-0300-000097000000}"/>
    <hyperlink ref="P174" r:id="rId153" xr:uid="{00000000-0004-0000-0300-000098000000}"/>
    <hyperlink ref="P176" r:id="rId154" xr:uid="{00000000-0004-0000-0300-000099000000}"/>
    <hyperlink ref="P177" r:id="rId155" xr:uid="{00000000-0004-0000-0300-00009A000000}"/>
    <hyperlink ref="P178" r:id="rId156" xr:uid="{00000000-0004-0000-0300-00009B000000}"/>
    <hyperlink ref="P180" r:id="rId157" xr:uid="{00000000-0004-0000-0300-00009C000000}"/>
    <hyperlink ref="P181" r:id="rId158" xr:uid="{00000000-0004-0000-0300-00009D000000}"/>
    <hyperlink ref="P182" r:id="rId159" xr:uid="{00000000-0004-0000-0300-00009E000000}"/>
    <hyperlink ref="P183" r:id="rId160" xr:uid="{00000000-0004-0000-0300-00009F000000}"/>
    <hyperlink ref="P184" r:id="rId161" xr:uid="{00000000-0004-0000-0300-0000A0000000}"/>
    <hyperlink ref="P185" r:id="rId162" xr:uid="{00000000-0004-0000-0300-0000A1000000}"/>
    <hyperlink ref="P186" r:id="rId163" xr:uid="{00000000-0004-0000-0300-0000A2000000}"/>
    <hyperlink ref="P188" r:id="rId164" xr:uid="{00000000-0004-0000-0300-0000A3000000}"/>
    <hyperlink ref="P190" r:id="rId165" xr:uid="{00000000-0004-0000-0300-0000A4000000}"/>
    <hyperlink ref="P191" r:id="rId166" display="david.lopera@socomes.com" xr:uid="{00000000-0004-0000-0300-0000A5000000}"/>
    <hyperlink ref="P192" r:id="rId167" xr:uid="{00000000-0004-0000-0300-0000A6000000}"/>
    <hyperlink ref="P193" r:id="rId168" xr:uid="{00000000-0004-0000-0300-0000A7000000}"/>
    <hyperlink ref="P194" r:id="rId169" xr:uid="{00000000-0004-0000-0300-0000A8000000}"/>
    <hyperlink ref="P196" r:id="rId170" xr:uid="{00000000-0004-0000-0300-0000A9000000}"/>
    <hyperlink ref="P197" r:id="rId171" xr:uid="{00000000-0004-0000-0300-0000AA000000}"/>
    <hyperlink ref="P198" r:id="rId172" xr:uid="{00000000-0004-0000-0300-0000AB000000}"/>
    <hyperlink ref="P200" r:id="rId173" xr:uid="{00000000-0004-0000-0300-0000AC000000}"/>
    <hyperlink ref="P175" r:id="rId174" xr:uid="{00000000-0004-0000-0300-0000AD000000}"/>
    <hyperlink ref="P201" r:id="rId175" xr:uid="{00000000-0004-0000-0300-0000AE000000}"/>
    <hyperlink ref="P202" r:id="rId176" xr:uid="{00000000-0004-0000-0300-0000AF000000}"/>
    <hyperlink ref="P203" r:id="rId177" xr:uid="{00000000-0004-0000-0300-0000B0000000}"/>
    <hyperlink ref="P204" r:id="rId178" xr:uid="{00000000-0004-0000-0300-0000B1000000}"/>
    <hyperlink ref="P205" r:id="rId179" xr:uid="{00000000-0004-0000-0300-0000B2000000}"/>
    <hyperlink ref="P206" r:id="rId180" xr:uid="{00000000-0004-0000-0300-0000B3000000}"/>
    <hyperlink ref="P208" r:id="rId181" xr:uid="{00000000-0004-0000-0300-0000B4000000}"/>
    <hyperlink ref="P207" r:id="rId182" xr:uid="{00000000-0004-0000-0300-0000B5000000}"/>
    <hyperlink ref="P209" r:id="rId183" xr:uid="{00000000-0004-0000-0300-0000B6000000}"/>
    <hyperlink ref="P210" r:id="rId184" xr:uid="{00000000-0004-0000-0300-0000B7000000}"/>
    <hyperlink ref="P211" r:id="rId185" xr:uid="{00000000-0004-0000-0300-0000B8000000}"/>
    <hyperlink ref="P212" r:id="rId186" xr:uid="{00000000-0004-0000-0300-0000B9000000}"/>
    <hyperlink ref="P213" r:id="rId187" xr:uid="{00000000-0004-0000-0300-0000BA000000}"/>
    <hyperlink ref="P214" r:id="rId188" xr:uid="{00000000-0004-0000-0300-0000BB000000}"/>
    <hyperlink ref="P215" r:id="rId189" xr:uid="{00000000-0004-0000-0300-0000BC000000}"/>
    <hyperlink ref="P216" r:id="rId190" xr:uid="{00000000-0004-0000-0300-0000BD000000}"/>
    <hyperlink ref="P217" r:id="rId191" xr:uid="{00000000-0004-0000-0300-0000BE000000}"/>
    <hyperlink ref="P218" r:id="rId192" xr:uid="{00000000-0004-0000-0300-0000BF000000}"/>
    <hyperlink ref="P219" r:id="rId193" xr:uid="{00000000-0004-0000-0300-0000C0000000}"/>
    <hyperlink ref="P220" r:id="rId194" xr:uid="{00000000-0004-0000-0300-0000C1000000}"/>
    <hyperlink ref="P221" r:id="rId195" xr:uid="{00000000-0004-0000-0300-0000C2000000}"/>
    <hyperlink ref="P222" r:id="rId196" xr:uid="{00000000-0004-0000-0300-0000C3000000}"/>
    <hyperlink ref="P223" r:id="rId197" xr:uid="{00000000-0004-0000-0300-0000C4000000}"/>
    <hyperlink ref="P224" r:id="rId198" xr:uid="{00000000-0004-0000-0300-0000C5000000}"/>
    <hyperlink ref="P225" r:id="rId199" xr:uid="{00000000-0004-0000-0300-0000C6000000}"/>
    <hyperlink ref="P226" r:id="rId200" xr:uid="{00000000-0004-0000-0300-0000C7000000}"/>
    <hyperlink ref="P227" r:id="rId201" xr:uid="{00000000-0004-0000-0300-0000C8000000}"/>
    <hyperlink ref="P228" r:id="rId202" xr:uid="{00000000-0004-0000-0300-0000C9000000}"/>
    <hyperlink ref="P229" r:id="rId203" xr:uid="{00000000-0004-0000-0300-0000CA000000}"/>
    <hyperlink ref="P232" r:id="rId204" xr:uid="{00000000-0004-0000-0300-0000CB000000}"/>
    <hyperlink ref="P231" r:id="rId205" xr:uid="{00000000-0004-0000-0300-0000CC000000}"/>
    <hyperlink ref="P233" r:id="rId206" xr:uid="{00000000-0004-0000-0300-0000CD000000}"/>
    <hyperlink ref="P235" r:id="rId207" xr:uid="{00000000-0004-0000-0300-0000CE000000}"/>
    <hyperlink ref="P234" r:id="rId208" xr:uid="{00000000-0004-0000-0300-0000CF000000}"/>
    <hyperlink ref="P236" r:id="rId209" xr:uid="{00000000-0004-0000-0300-0000D0000000}"/>
    <hyperlink ref="P237" r:id="rId210" xr:uid="{00000000-0004-0000-0300-0000D1000000}"/>
    <hyperlink ref="P238" r:id="rId211" xr:uid="{00000000-0004-0000-0300-0000D2000000}"/>
    <hyperlink ref="P239" r:id="rId212" xr:uid="{00000000-0004-0000-0300-0000D3000000}"/>
    <hyperlink ref="P240" r:id="rId213" xr:uid="{00000000-0004-0000-0300-0000D4000000}"/>
    <hyperlink ref="P241" r:id="rId214" xr:uid="{00000000-0004-0000-0300-0000D5000000}"/>
    <hyperlink ref="P242" r:id="rId215" xr:uid="{00000000-0004-0000-0300-0000D6000000}"/>
    <hyperlink ref="P243" r:id="rId216" xr:uid="{00000000-0004-0000-0300-0000D7000000}"/>
    <hyperlink ref="P244" r:id="rId217" xr:uid="{00000000-0004-0000-0300-0000D8000000}"/>
    <hyperlink ref="P245" r:id="rId218" xr:uid="{00000000-0004-0000-0300-0000D9000000}"/>
    <hyperlink ref="P246" r:id="rId219" xr:uid="{00000000-0004-0000-0300-0000DA000000}"/>
    <hyperlink ref="P247" r:id="rId220" xr:uid="{00000000-0004-0000-0300-0000DB000000}"/>
    <hyperlink ref="P248" r:id="rId221" xr:uid="{00000000-0004-0000-0300-0000DC000000}"/>
    <hyperlink ref="P249" r:id="rId222" xr:uid="{00000000-0004-0000-0300-0000DD000000}"/>
    <hyperlink ref="P250" r:id="rId223" xr:uid="{00000000-0004-0000-0300-0000DE000000}"/>
    <hyperlink ref="P251" r:id="rId224" xr:uid="{00000000-0004-0000-0300-0000DF000000}"/>
    <hyperlink ref="P252" r:id="rId225" xr:uid="{00000000-0004-0000-0300-0000E0000000}"/>
    <hyperlink ref="P253" r:id="rId226" xr:uid="{00000000-0004-0000-0300-0000E1000000}"/>
    <hyperlink ref="P254" r:id="rId227" xr:uid="{00000000-0004-0000-0300-0000E2000000}"/>
    <hyperlink ref="P255" r:id="rId228" xr:uid="{00000000-0004-0000-0300-0000E3000000}"/>
    <hyperlink ref="P256" r:id="rId229" xr:uid="{00000000-0004-0000-0300-0000E4000000}"/>
    <hyperlink ref="P257" r:id="rId230" xr:uid="{00000000-0004-0000-0300-0000E5000000}"/>
    <hyperlink ref="P258" r:id="rId231" xr:uid="{00000000-0004-0000-0300-0000E6000000}"/>
    <hyperlink ref="P259" r:id="rId232" xr:uid="{00000000-0004-0000-0300-0000E7000000}"/>
    <hyperlink ref="P260" r:id="rId233" xr:uid="{00000000-0004-0000-0300-0000E8000000}"/>
    <hyperlink ref="P261" r:id="rId234" xr:uid="{00000000-0004-0000-0300-0000E9000000}"/>
    <hyperlink ref="P263" r:id="rId235" xr:uid="{00000000-0004-0000-0300-0000EA000000}"/>
    <hyperlink ref="P262" r:id="rId236" xr:uid="{00000000-0004-0000-0300-0000EB000000}"/>
    <hyperlink ref="P264" r:id="rId237" xr:uid="{00000000-0004-0000-0300-0000EC000000}"/>
    <hyperlink ref="P265" r:id="rId238" xr:uid="{00000000-0004-0000-0300-0000ED000000}"/>
    <hyperlink ref="P266" r:id="rId239" xr:uid="{00000000-0004-0000-0300-0000EE000000}"/>
    <hyperlink ref="P267" r:id="rId240" xr:uid="{00000000-0004-0000-0300-0000EF000000}"/>
    <hyperlink ref="P269" r:id="rId241" xr:uid="{00000000-0004-0000-0300-0000F0000000}"/>
    <hyperlink ref="P270" r:id="rId242" xr:uid="{00000000-0004-0000-0300-0000F1000000}"/>
    <hyperlink ref="P271" r:id="rId243" xr:uid="{00000000-0004-0000-0300-0000F2000000}"/>
    <hyperlink ref="P272" r:id="rId244" xr:uid="{00000000-0004-0000-0300-0000F3000000}"/>
    <hyperlink ref="P275" r:id="rId245" xr:uid="{00000000-0004-0000-0300-0000F4000000}"/>
    <hyperlink ref="P276" r:id="rId246" xr:uid="{00000000-0004-0000-0300-0000F5000000}"/>
    <hyperlink ref="P277" r:id="rId247" xr:uid="{00000000-0004-0000-0300-0000F6000000}"/>
    <hyperlink ref="P278" r:id="rId248" xr:uid="{00000000-0004-0000-0300-0000F7000000}"/>
    <hyperlink ref="P279" r:id="rId249" xr:uid="{00000000-0004-0000-0300-0000F8000000}"/>
    <hyperlink ref="P273" r:id="rId250" xr:uid="{00000000-0004-0000-0300-0000F9000000}"/>
    <hyperlink ref="P274" r:id="rId251" xr:uid="{00000000-0004-0000-0300-0000FA000000}"/>
    <hyperlink ref="P280" r:id="rId252" xr:uid="{00000000-0004-0000-0300-0000FB000000}"/>
    <hyperlink ref="P281" r:id="rId253" xr:uid="{00000000-0004-0000-0300-0000FC000000}"/>
    <hyperlink ref="P282" r:id="rId254" xr:uid="{00000000-0004-0000-0300-0000FD000000}"/>
    <hyperlink ref="P283" r:id="rId255" xr:uid="{00000000-0004-0000-0300-0000FE000000}"/>
    <hyperlink ref="P284" r:id="rId256" xr:uid="{00000000-0004-0000-0300-0000FF000000}"/>
    <hyperlink ref="P285" r:id="rId257" xr:uid="{00000000-0004-0000-0300-000000010000}"/>
    <hyperlink ref="P287" r:id="rId258" xr:uid="{00000000-0004-0000-0300-000001010000}"/>
    <hyperlink ref="P288" r:id="rId259" xr:uid="{00000000-0004-0000-0300-000002010000}"/>
    <hyperlink ref="P289" r:id="rId260" xr:uid="{00000000-0004-0000-0300-000003010000}"/>
    <hyperlink ref="P290" r:id="rId261" xr:uid="{00000000-0004-0000-0300-000004010000}"/>
    <hyperlink ref="P291" r:id="rId262" xr:uid="{00000000-0004-0000-0300-000005010000}"/>
    <hyperlink ref="P292" r:id="rId263" xr:uid="{00000000-0004-0000-0300-000006010000}"/>
    <hyperlink ref="P293" r:id="rId264" xr:uid="{00000000-0004-0000-0300-000007010000}"/>
    <hyperlink ref="P294" r:id="rId265" xr:uid="{00000000-0004-0000-0300-000008010000}"/>
    <hyperlink ref="P295" r:id="rId266" xr:uid="{00000000-0004-0000-0300-000009010000}"/>
    <hyperlink ref="P296" r:id="rId267" xr:uid="{00000000-0004-0000-0300-00000A010000}"/>
    <hyperlink ref="P297" r:id="rId268" xr:uid="{00000000-0004-0000-0300-00000B010000}"/>
    <hyperlink ref="P199" r:id="rId269" xr:uid="{00000000-0004-0000-0300-00000C010000}"/>
    <hyperlink ref="P299" r:id="rId270" xr:uid="{00000000-0004-0000-0300-00000D010000}"/>
    <hyperlink ref="P300" r:id="rId271" xr:uid="{00000000-0004-0000-0300-00000E010000}"/>
    <hyperlink ref="P301" r:id="rId272" xr:uid="{00000000-0004-0000-0300-00000F010000}"/>
    <hyperlink ref="P302" r:id="rId273" xr:uid="{00000000-0004-0000-0300-000010010000}"/>
    <hyperlink ref="P304" r:id="rId274" xr:uid="{00000000-0004-0000-0300-000011010000}"/>
    <hyperlink ref="P305" r:id="rId275" xr:uid="{00000000-0004-0000-0300-000012010000}"/>
    <hyperlink ref="P306" r:id="rId276" xr:uid="{00000000-0004-0000-0300-000013010000}"/>
    <hyperlink ref="P307" r:id="rId277" xr:uid="{00000000-0004-0000-0300-000014010000}"/>
    <hyperlink ref="P308" r:id="rId278" xr:uid="{00000000-0004-0000-0300-000015010000}"/>
    <hyperlink ref="P309" r:id="rId279" xr:uid="{00000000-0004-0000-0300-000016010000}"/>
    <hyperlink ref="P310" r:id="rId280" xr:uid="{00000000-0004-0000-0300-000017010000}"/>
    <hyperlink ref="P312" r:id="rId281" xr:uid="{00000000-0004-0000-0300-000018010000}"/>
    <hyperlink ref="P314" r:id="rId282" xr:uid="{00000000-0004-0000-0300-000019010000}"/>
    <hyperlink ref="P315" r:id="rId283" display="mailto:cristianlondono@mensulaingenieros.com" xr:uid="{00000000-0004-0000-0300-00001A010000}"/>
    <hyperlink ref="P316" r:id="rId284" display="mailto:juan.grajales@spci.com.co" xr:uid="{00000000-0004-0000-0300-00001B010000}"/>
    <hyperlink ref="P317" r:id="rId285" display="mailto:e.rodriguez@constelec.com" xr:uid="{00000000-0004-0000-0300-00001C010000}"/>
    <hyperlink ref="P318" r:id="rId286" xr:uid="{00000000-0004-0000-0300-00001D010000}"/>
    <hyperlink ref="P319" r:id="rId287" display="mailto:juan.grajales@spci.com.co" xr:uid="{00000000-0004-0000-0300-00001E010000}"/>
    <hyperlink ref="P320" r:id="rId288" display="mailto:costosypresupuestos1@spcisas.com.co" xr:uid="{00000000-0004-0000-0300-00001F010000}"/>
    <hyperlink ref="P321" r:id="rId289" display="mailto:juan.grajales@spci.com.co" xr:uid="{00000000-0004-0000-0300-000020010000}"/>
    <hyperlink ref="P322" r:id="rId290" display="mailto:clrobayo@sura.com.co" xr:uid="{00000000-0004-0000-0300-000021010000}"/>
    <hyperlink ref="P323" r:id="rId291" xr:uid="{00000000-0004-0000-0300-000022010000}"/>
    <hyperlink ref="P324" r:id="rId292" xr:uid="{00000000-0004-0000-0300-000023010000}"/>
    <hyperlink ref="P325" r:id="rId293" xr:uid="{00000000-0004-0000-0300-000024010000}"/>
    <hyperlink ref="P326" r:id="rId294" xr:uid="{00000000-0004-0000-0300-000025010000}"/>
    <hyperlink ref="P327" r:id="rId295" xr:uid="{00000000-0004-0000-0300-000026010000}"/>
    <hyperlink ref="P328" r:id="rId296" xr:uid="{00000000-0004-0000-0300-000027010000}"/>
    <hyperlink ref="P329" r:id="rId297" xr:uid="{00000000-0004-0000-0300-000028010000}"/>
    <hyperlink ref="P330" r:id="rId298" xr:uid="{00000000-0004-0000-0300-000029010000}"/>
    <hyperlink ref="P331" r:id="rId299" xr:uid="{00000000-0004-0000-0300-00002A010000}"/>
    <hyperlink ref="P332" r:id="rId300" xr:uid="{00000000-0004-0000-0300-00002B010000}"/>
    <hyperlink ref="P333" r:id="rId301" display="mailto:juan.grajales@spci.com.co" xr:uid="{00000000-0004-0000-0300-00002C010000}"/>
    <hyperlink ref="P334" r:id="rId302" xr:uid="{00000000-0004-0000-0300-00002D010000}"/>
    <hyperlink ref="P335" r:id="rId303" xr:uid="{00000000-0004-0000-0300-00002E010000}"/>
    <hyperlink ref="P336" r:id="rId304" xr:uid="{00000000-0004-0000-0300-00002F010000}"/>
    <hyperlink ref="P337" r:id="rId305" xr:uid="{00000000-0004-0000-0300-000030010000}"/>
    <hyperlink ref="P338" r:id="rId306" display="mailto:claudia.ramirez@edyfica.co" xr:uid="{00000000-0004-0000-0300-000031010000}"/>
    <hyperlink ref="P339" r:id="rId307" xr:uid="{00000000-0004-0000-0300-000032010000}"/>
    <hyperlink ref="P340" r:id="rId308" xr:uid="{00000000-0004-0000-0300-000033010000}"/>
    <hyperlink ref="P341" r:id="rId309" xr:uid="{00000000-0004-0000-0300-000034010000}"/>
    <hyperlink ref="P343" r:id="rId310" xr:uid="{00000000-0004-0000-0300-000035010000}"/>
    <hyperlink ref="P345" r:id="rId311" display="mailto:claudia.ramirez@edyfica.co" xr:uid="{00000000-0004-0000-0300-000036010000}"/>
    <hyperlink ref="P346" r:id="rId312" xr:uid="{00000000-0004-0000-0300-000037010000}"/>
    <hyperlink ref="P347" r:id="rId313" xr:uid="{00000000-0004-0000-0300-000038010000}"/>
    <hyperlink ref="P350" r:id="rId314" xr:uid="{00000000-0004-0000-0300-000039010000}"/>
    <hyperlink ref="P351" r:id="rId315" xr:uid="{00000000-0004-0000-0300-00003A010000}"/>
    <hyperlink ref="P352" r:id="rId316" xr:uid="{00000000-0004-0000-0300-00003B010000}"/>
    <hyperlink ref="P348" r:id="rId317" xr:uid="{00000000-0004-0000-0300-00003C010000}"/>
    <hyperlink ref="P349" r:id="rId318" xr:uid="{00000000-0004-0000-0300-00003D010000}"/>
    <hyperlink ref="P354" r:id="rId319" xr:uid="{00000000-0004-0000-0300-00003E010000}"/>
    <hyperlink ref="P353" r:id="rId320" xr:uid="{00000000-0004-0000-0300-00003F010000}"/>
    <hyperlink ref="P355" r:id="rId321" xr:uid="{00000000-0004-0000-0300-000040010000}"/>
    <hyperlink ref="P357" r:id="rId322" xr:uid="{00000000-0004-0000-0300-000042010000}"/>
    <hyperlink ref="P358" r:id="rId323" xr:uid="{00000000-0004-0000-0300-000043010000}"/>
    <hyperlink ref="P359" r:id="rId324" xr:uid="{00000000-0004-0000-0300-000044010000}"/>
    <hyperlink ref="P360" r:id="rId325" xr:uid="{00000000-0004-0000-0300-000045010000}"/>
    <hyperlink ref="P361" r:id="rId326" xr:uid="{00000000-0004-0000-0300-000046010000}"/>
    <hyperlink ref="P362" r:id="rId327" xr:uid="{00000000-0004-0000-0300-000047010000}"/>
    <hyperlink ref="P363" r:id="rId328" xr:uid="{00000000-0004-0000-0300-000048010000}"/>
    <hyperlink ref="P364" r:id="rId329" xr:uid="{00000000-0004-0000-0300-000049010000}"/>
    <hyperlink ref="P365" r:id="rId330" xr:uid="{00000000-0004-0000-0300-00004A010000}"/>
    <hyperlink ref="P366" r:id="rId331" xr:uid="{00000000-0004-0000-0300-00004B010000}"/>
    <hyperlink ref="P367" r:id="rId332" xr:uid="{00000000-0004-0000-0300-00004C010000}"/>
    <hyperlink ref="P368" r:id="rId333" xr:uid="{00000000-0004-0000-0300-00004D010000}"/>
    <hyperlink ref="P369" r:id="rId334" xr:uid="{00000000-0004-0000-0300-00004E010000}"/>
    <hyperlink ref="P371" r:id="rId335" xr:uid="{00000000-0004-0000-0300-00004F010000}"/>
    <hyperlink ref="P370" r:id="rId336" xr:uid="{00000000-0004-0000-0300-000050010000}"/>
    <hyperlink ref="P372" r:id="rId337" xr:uid="{00000000-0004-0000-0300-000051010000}"/>
    <hyperlink ref="P373" r:id="rId338" xr:uid="{00000000-0004-0000-0300-000052010000}"/>
    <hyperlink ref="P374" r:id="rId339" xr:uid="{00000000-0004-0000-0300-000053010000}"/>
    <hyperlink ref="P375" r:id="rId340" xr:uid="{00000000-0004-0000-0300-000054010000}"/>
    <hyperlink ref="P376" r:id="rId341" xr:uid="{00000000-0004-0000-0300-000055010000}"/>
    <hyperlink ref="P377" r:id="rId342" xr:uid="{00000000-0004-0000-0300-000056010000}"/>
    <hyperlink ref="P379" r:id="rId343" xr:uid="{00000000-0004-0000-0300-000057010000}"/>
    <hyperlink ref="P378" r:id="rId344" xr:uid="{00000000-0004-0000-0300-000058010000}"/>
    <hyperlink ref="P380" r:id="rId345" xr:uid="{00000000-0004-0000-0300-000059010000}"/>
    <hyperlink ref="P381" r:id="rId346" xr:uid="{00000000-0004-0000-0300-00005A010000}"/>
    <hyperlink ref="P382" r:id="rId347" xr:uid="{00000000-0004-0000-0300-00005B010000}"/>
    <hyperlink ref="P383" r:id="rId348" xr:uid="{00000000-0004-0000-0300-00005C010000}"/>
    <hyperlink ref="P384" r:id="rId349" xr:uid="{00000000-0004-0000-0300-00005D010000}"/>
    <hyperlink ref="P385" r:id="rId350" xr:uid="{00000000-0004-0000-0300-00005E010000}"/>
    <hyperlink ref="P386" r:id="rId351" xr:uid="{00000000-0004-0000-0300-00005F010000}"/>
    <hyperlink ref="P387" r:id="rId352" xr:uid="{00000000-0004-0000-0300-000060010000}"/>
    <hyperlink ref="P388" r:id="rId353" xr:uid="{00000000-0004-0000-0300-000061010000}"/>
    <hyperlink ref="P389" r:id="rId354" xr:uid="{00000000-0004-0000-0300-000062010000}"/>
    <hyperlink ref="P391" r:id="rId355" xr:uid="{00000000-0004-0000-0300-000063010000}"/>
    <hyperlink ref="P393" r:id="rId356" xr:uid="{00000000-0004-0000-0300-000064010000}"/>
    <hyperlink ref="P392" r:id="rId357" xr:uid="{00000000-0004-0000-0300-000065010000}"/>
    <hyperlink ref="P394" r:id="rId358" xr:uid="{00000000-0004-0000-0300-000066010000}"/>
    <hyperlink ref="P395" r:id="rId359" xr:uid="{00000000-0004-0000-0300-000067010000}"/>
    <hyperlink ref="P396" r:id="rId360" xr:uid="{00000000-0004-0000-0300-000068010000}"/>
    <hyperlink ref="P397" r:id="rId361" xr:uid="{00000000-0004-0000-0300-000069010000}"/>
    <hyperlink ref="P398" r:id="rId362" xr:uid="{00000000-0004-0000-0300-00006A010000}"/>
    <hyperlink ref="P399" r:id="rId363" xr:uid="{00000000-0004-0000-0300-00006B010000}"/>
    <hyperlink ref="N400" r:id="rId364" display="tel:321 636 8440" xr:uid="{00000000-0004-0000-0300-00006C010000}"/>
    <hyperlink ref="P400" r:id="rId365" xr:uid="{00000000-0004-0000-0300-00006D010000}"/>
    <hyperlink ref="P401" r:id="rId366" xr:uid="{00000000-0004-0000-0300-00006E010000}"/>
    <hyperlink ref="P402" r:id="rId367" xr:uid="{00000000-0004-0000-0300-00006F010000}"/>
    <hyperlink ref="P403" r:id="rId368" xr:uid="{00000000-0004-0000-0300-000070010000}"/>
    <hyperlink ref="P404" r:id="rId369" xr:uid="{00000000-0004-0000-0300-000071010000}"/>
    <hyperlink ref="J405" r:id="rId370" display="admobra@fundacioncompartir.org" xr:uid="{00000000-0004-0000-0300-000072010000}"/>
    <hyperlink ref="P405" r:id="rId371" xr:uid="{00000000-0004-0000-0300-000073010000}"/>
    <hyperlink ref="P406" r:id="rId372" xr:uid="{00000000-0004-0000-0300-000074010000}"/>
    <hyperlink ref="P407" r:id="rId373" xr:uid="{00000000-0004-0000-0300-000075010000}"/>
    <hyperlink ref="P408" r:id="rId374" xr:uid="{00000000-0004-0000-0300-000076010000}"/>
    <hyperlink ref="P409" r:id="rId375" xr:uid="{00000000-0004-0000-0300-000077010000}"/>
    <hyperlink ref="P410" r:id="rId376" xr:uid="{00000000-0004-0000-0300-000078010000}"/>
    <hyperlink ref="P411" r:id="rId377" xr:uid="{00000000-0004-0000-0300-000079010000}"/>
    <hyperlink ref="P412" r:id="rId378" xr:uid="{00000000-0004-0000-0300-00007A010000}"/>
    <hyperlink ref="P413" r:id="rId379" xr:uid="{00000000-0004-0000-0300-00007B010000}"/>
    <hyperlink ref="P414" r:id="rId380" xr:uid="{00000000-0004-0000-0300-00007C010000}"/>
    <hyperlink ref="P415" r:id="rId381" xr:uid="{00000000-0004-0000-0300-00007D010000}"/>
    <hyperlink ref="P417" r:id="rId382" xr:uid="{00000000-0004-0000-0300-00007E010000}"/>
    <hyperlink ref="P419" r:id="rId383" xr:uid="{00000000-0004-0000-0300-00007F010000}"/>
    <hyperlink ref="P418" r:id="rId384" xr:uid="{00000000-0004-0000-0300-000080010000}"/>
    <hyperlink ref="P416" r:id="rId385" xr:uid="{00000000-0004-0000-0300-000081010000}"/>
    <hyperlink ref="P420" r:id="rId386" xr:uid="{00000000-0004-0000-0300-000082010000}"/>
    <hyperlink ref="P421" r:id="rId387" xr:uid="{00000000-0004-0000-0300-000083010000}"/>
    <hyperlink ref="P422" r:id="rId388" xr:uid="{00000000-0004-0000-0300-000084010000}"/>
    <hyperlink ref="P423" r:id="rId389" xr:uid="{00000000-0004-0000-0300-000085010000}"/>
    <hyperlink ref="P424" r:id="rId390" xr:uid="{00000000-0004-0000-0300-000086010000}"/>
    <hyperlink ref="P425" r:id="rId391" xr:uid="{00000000-0004-0000-0300-000087010000}"/>
    <hyperlink ref="P426" r:id="rId392" xr:uid="{00000000-0004-0000-0300-000088010000}"/>
    <hyperlink ref="P427" r:id="rId393" xr:uid="{00000000-0004-0000-0300-000089010000}"/>
    <hyperlink ref="P428" r:id="rId394" xr:uid="{00000000-0004-0000-0300-00008A010000}"/>
    <hyperlink ref="P429" r:id="rId395" xr:uid="{00000000-0004-0000-0300-00008B010000}"/>
    <hyperlink ref="P430" r:id="rId396" xr:uid="{00000000-0004-0000-0300-00008C010000}"/>
    <hyperlink ref="P431" r:id="rId397" xr:uid="{00000000-0004-0000-0300-00008D010000}"/>
    <hyperlink ref="P432" r:id="rId398" xr:uid="{00000000-0004-0000-0300-00008E010000}"/>
    <hyperlink ref="P433" r:id="rId399" xr:uid="{00000000-0004-0000-0300-00008F010000}"/>
    <hyperlink ref="P434" r:id="rId400" xr:uid="{00000000-0004-0000-0300-000090010000}"/>
    <hyperlink ref="P435" r:id="rId401" xr:uid="{00000000-0004-0000-0300-000091010000}"/>
    <hyperlink ref="P436" r:id="rId402" xr:uid="{00000000-0004-0000-0300-000092010000}"/>
    <hyperlink ref="P437" r:id="rId403" xr:uid="{00000000-0004-0000-0300-000093010000}"/>
    <hyperlink ref="P438" r:id="rId404" xr:uid="{00000000-0004-0000-0300-000094010000}"/>
    <hyperlink ref="P439" r:id="rId405" xr:uid="{00000000-0004-0000-0300-000095010000}"/>
    <hyperlink ref="P440" r:id="rId406" xr:uid="{00000000-0004-0000-0300-000096010000}"/>
    <hyperlink ref="P441" r:id="rId407" xr:uid="{00000000-0004-0000-0300-000097010000}"/>
    <hyperlink ref="P442" r:id="rId408" xr:uid="{00000000-0004-0000-0300-000098010000}"/>
    <hyperlink ref="P443" r:id="rId409" xr:uid="{00000000-0004-0000-0300-000099010000}"/>
    <hyperlink ref="P444" r:id="rId410" xr:uid="{00000000-0004-0000-0300-00009A010000}"/>
    <hyperlink ref="P448" r:id="rId411" xr:uid="{00000000-0004-0000-0300-00009B010000}"/>
    <hyperlink ref="P449" r:id="rId412" xr:uid="{00000000-0004-0000-0300-00009C010000}"/>
    <hyperlink ref="P450" r:id="rId413" xr:uid="{00000000-0004-0000-0300-00009D010000}"/>
    <hyperlink ref="P451" r:id="rId414" xr:uid="{00000000-0004-0000-0300-00009E010000}"/>
    <hyperlink ref="P452" r:id="rId415" xr:uid="{00000000-0004-0000-0300-00009F010000}"/>
    <hyperlink ref="P453" r:id="rId416" xr:uid="{00000000-0004-0000-0300-0000A0010000}"/>
    <hyperlink ref="P454" r:id="rId417" xr:uid="{00000000-0004-0000-0300-0000A1010000}"/>
    <hyperlink ref="P455" r:id="rId418" xr:uid="{00000000-0004-0000-0300-0000A2010000}"/>
    <hyperlink ref="P456" r:id="rId419" xr:uid="{00000000-0004-0000-0300-0000A3010000}"/>
    <hyperlink ref="P457" r:id="rId420" xr:uid="{00000000-0004-0000-0300-0000A4010000}"/>
    <hyperlink ref="P458" r:id="rId421" xr:uid="{00000000-0004-0000-0300-0000A5010000}"/>
    <hyperlink ref="P459" r:id="rId422" xr:uid="{00000000-0004-0000-0300-0000A6010000}"/>
    <hyperlink ref="P460" r:id="rId423" xr:uid="{00000000-0004-0000-0300-0000A7010000}"/>
    <hyperlink ref="P461" r:id="rId424" xr:uid="{00000000-0004-0000-0300-0000A8010000}"/>
    <hyperlink ref="P463" r:id="rId425" xr:uid="{00000000-0004-0000-0300-0000A9010000}"/>
    <hyperlink ref="P464" r:id="rId426" xr:uid="{00000000-0004-0000-0300-0000AA010000}"/>
    <hyperlink ref="P462" r:id="rId427" xr:uid="{00000000-0004-0000-0300-0000AB010000}"/>
    <hyperlink ref="P465" r:id="rId428" xr:uid="{00000000-0004-0000-0300-0000AC010000}"/>
    <hyperlink ref="P466" r:id="rId429" xr:uid="{00000000-0004-0000-0300-0000AD010000}"/>
    <hyperlink ref="P467" r:id="rId430" xr:uid="{00000000-0004-0000-0300-0000AE010000}"/>
    <hyperlink ref="P468" r:id="rId431" xr:uid="{00000000-0004-0000-0300-0000AF010000}"/>
    <hyperlink ref="P469" r:id="rId432" xr:uid="{00000000-0004-0000-0300-0000B0010000}"/>
    <hyperlink ref="P470" r:id="rId433" xr:uid="{00000000-0004-0000-0300-0000B1010000}"/>
    <hyperlink ref="P471" r:id="rId434" xr:uid="{00000000-0004-0000-0300-0000B2010000}"/>
    <hyperlink ref="P472" r:id="rId435" xr:uid="{00000000-0004-0000-0300-0000B3010000}"/>
    <hyperlink ref="P473" r:id="rId436" xr:uid="{00000000-0004-0000-0300-0000B4010000}"/>
    <hyperlink ref="P474" r:id="rId437" xr:uid="{00000000-0004-0000-0300-0000B5010000}"/>
    <hyperlink ref="P475" r:id="rId438" xr:uid="{00000000-0004-0000-0300-0000B6010000}"/>
    <hyperlink ref="P476" r:id="rId439" xr:uid="{00000000-0004-0000-0300-0000B7010000}"/>
    <hyperlink ref="P477" r:id="rId440" xr:uid="{00000000-0004-0000-0300-0000B8010000}"/>
    <hyperlink ref="P478" r:id="rId441" xr:uid="{00000000-0004-0000-0300-0000B9010000}"/>
    <hyperlink ref="P479" r:id="rId442" xr:uid="{00000000-0004-0000-0300-0000BA010000}"/>
    <hyperlink ref="P480" r:id="rId443" xr:uid="{00000000-0004-0000-0300-0000BB010000}"/>
    <hyperlink ref="P481" r:id="rId444" xr:uid="{00000000-0004-0000-0300-0000BC010000}"/>
    <hyperlink ref="P482" r:id="rId445" xr:uid="{00000000-0004-0000-0300-0000BD010000}"/>
    <hyperlink ref="P483" r:id="rId446" xr:uid="{00000000-0004-0000-0300-0000BE010000}"/>
    <hyperlink ref="P484" r:id="rId447" xr:uid="{00000000-0004-0000-0300-0000BF010000}"/>
    <hyperlink ref="P485" r:id="rId448" xr:uid="{00000000-0004-0000-0300-0000C0010000}"/>
    <hyperlink ref="P491" r:id="rId449" xr:uid="{00000000-0004-0000-0300-0000C1010000}"/>
    <hyperlink ref="P492" r:id="rId450" xr:uid="{00000000-0004-0000-0300-0000C2010000}"/>
    <hyperlink ref="P493" r:id="rId451" xr:uid="{00000000-0004-0000-0300-0000C3010000}"/>
    <hyperlink ref="P494" r:id="rId452" xr:uid="{00000000-0004-0000-0300-0000C4010000}"/>
    <hyperlink ref="P495" r:id="rId453" xr:uid="{00000000-0004-0000-0300-0000C5010000}"/>
    <hyperlink ref="P496" r:id="rId454" xr:uid="{00000000-0004-0000-0300-0000C6010000}"/>
    <hyperlink ref="P497" r:id="rId455" xr:uid="{00000000-0004-0000-0300-0000C7010000}"/>
    <hyperlink ref="P498" r:id="rId456" xr:uid="{00000000-0004-0000-0300-0000C8010000}"/>
    <hyperlink ref="P499" r:id="rId457" xr:uid="{00000000-0004-0000-0300-0000C9010000}"/>
    <hyperlink ref="P500" r:id="rId458" display="mailto:info@ambitotaller.com" xr:uid="{00000000-0004-0000-0300-0000CA010000}"/>
    <hyperlink ref="P501" r:id="rId459" xr:uid="{00000000-0004-0000-0300-0000CB010000}"/>
    <hyperlink ref="P502" r:id="rId460" xr:uid="{00000000-0004-0000-0300-0000CC010000}"/>
    <hyperlink ref="P503" r:id="rId461" xr:uid="{00000000-0004-0000-0300-0000CD010000}"/>
    <hyperlink ref="P504" r:id="rId462" xr:uid="{00000000-0004-0000-0300-0000CE010000}"/>
    <hyperlink ref="P505" r:id="rId463" xr:uid="{00000000-0004-0000-0300-0000CF010000}"/>
    <hyperlink ref="P506" r:id="rId464" xr:uid="{00000000-0004-0000-0300-0000D0010000}"/>
    <hyperlink ref="P507" r:id="rId465" xr:uid="{00000000-0004-0000-0300-0000D1010000}"/>
    <hyperlink ref="P508" r:id="rId466" xr:uid="{00000000-0004-0000-0300-0000D2010000}"/>
    <hyperlink ref="P509" r:id="rId467" xr:uid="{00000000-0004-0000-0300-0000D3010000}"/>
    <hyperlink ref="P510" r:id="rId468" xr:uid="{00000000-0004-0000-0300-0000D4010000}"/>
    <hyperlink ref="P511" r:id="rId469" xr:uid="{00000000-0004-0000-0300-0000D5010000}"/>
    <hyperlink ref="P512" r:id="rId470" xr:uid="{00000000-0004-0000-0300-0000D6010000}"/>
    <hyperlink ref="P513" r:id="rId471" xr:uid="{00000000-0004-0000-0300-0000D7010000}"/>
    <hyperlink ref="P514" r:id="rId472" xr:uid="{00000000-0004-0000-0300-0000D8010000}"/>
    <hyperlink ref="P515" r:id="rId473" xr:uid="{00000000-0004-0000-0300-0000D9010000}"/>
    <hyperlink ref="P516" r:id="rId474" xr:uid="{00000000-0004-0000-0300-0000DA010000}"/>
    <hyperlink ref="P517" r:id="rId475" xr:uid="{00000000-0004-0000-0300-0000DB010000}"/>
    <hyperlink ref="P518" r:id="rId476" display="mailto:Jorge.rodriguez@ospinas.com.co" xr:uid="{00000000-0004-0000-0300-0000DC010000}"/>
    <hyperlink ref="P519" r:id="rId477" xr:uid="{00000000-0004-0000-0300-0000DD010000}"/>
    <hyperlink ref="P520" r:id="rId478" display="mailto:epantoja@contex.com.co" xr:uid="{00000000-0004-0000-0300-0000DE010000}"/>
    <hyperlink ref="P521" r:id="rId479" xr:uid="{00000000-0004-0000-0300-0000DF010000}"/>
    <hyperlink ref="P522" r:id="rId480" xr:uid="{00000000-0004-0000-0300-0000E0010000}"/>
    <hyperlink ref="P523" r:id="rId481" xr:uid="{00000000-0004-0000-0300-0000E1010000}"/>
    <hyperlink ref="P524" r:id="rId482" xr:uid="{00000000-0004-0000-0300-0000E2010000}"/>
    <hyperlink ref="P525" r:id="rId483" xr:uid="{00000000-0004-0000-0300-0000E3010000}"/>
    <hyperlink ref="P526" r:id="rId484" xr:uid="{00000000-0004-0000-0300-0000E4010000}"/>
    <hyperlink ref="P527" r:id="rId485" xr:uid="{00000000-0004-0000-0300-0000E5010000}"/>
    <hyperlink ref="P528" r:id="rId486" xr:uid="{00000000-0004-0000-0300-0000E6010000}"/>
    <hyperlink ref="P529" r:id="rId487" xr:uid="{00000000-0004-0000-0300-0000E7010000}"/>
    <hyperlink ref="P530" r:id="rId488" xr:uid="{00000000-0004-0000-0300-0000E8010000}"/>
    <hyperlink ref="P531" r:id="rId489" xr:uid="{00000000-0004-0000-0300-0000E9010000}"/>
    <hyperlink ref="P532" r:id="rId490" xr:uid="{00000000-0004-0000-0300-0000EA010000}"/>
    <hyperlink ref="P533" r:id="rId491" xr:uid="{00000000-0004-0000-0300-0000EB010000}"/>
    <hyperlink ref="P534" r:id="rId492" xr:uid="{00000000-0004-0000-0300-0000EC010000}"/>
    <hyperlink ref="P535" r:id="rId493" xr:uid="{00000000-0004-0000-0300-0000ED010000}"/>
    <hyperlink ref="P536" r:id="rId494" xr:uid="{00000000-0004-0000-0300-0000EE010000}"/>
    <hyperlink ref="P537" r:id="rId495" xr:uid="{00000000-0004-0000-0300-0000EF010000}"/>
    <hyperlink ref="P539" r:id="rId496" xr:uid="{00000000-0004-0000-0300-0000F0010000}"/>
    <hyperlink ref="P540" r:id="rId497" xr:uid="{00000000-0004-0000-0300-0000F1010000}"/>
    <hyperlink ref="P541" r:id="rId498" xr:uid="{00000000-0004-0000-0300-0000F2010000}"/>
    <hyperlink ref="P542" r:id="rId499" xr:uid="{00000000-0004-0000-0300-0000F3010000}"/>
    <hyperlink ref="P544" r:id="rId500" xr:uid="{00000000-0004-0000-0300-0000F4010000}"/>
    <hyperlink ref="P545" r:id="rId501" xr:uid="{00000000-0004-0000-0300-0000F5010000}"/>
    <hyperlink ref="P546" r:id="rId502" xr:uid="{00000000-0004-0000-0300-0000F6010000}"/>
    <hyperlink ref="P547" r:id="rId503" xr:uid="{00000000-0004-0000-0300-0000F7010000}"/>
    <hyperlink ref="P548" r:id="rId504" xr:uid="{00000000-0004-0000-0300-0000F8010000}"/>
    <hyperlink ref="P549" r:id="rId505" xr:uid="{00000000-0004-0000-0300-0000F9010000}"/>
    <hyperlink ref="P550" r:id="rId506" xr:uid="{00000000-0004-0000-0300-0000FA010000}"/>
    <hyperlink ref="P551" r:id="rId507" xr:uid="{00000000-0004-0000-0300-0000FB010000}"/>
    <hyperlink ref="P552" r:id="rId508" xr:uid="{00000000-0004-0000-0300-0000FC010000}"/>
    <hyperlink ref="P553" r:id="rId509" xr:uid="{00000000-0004-0000-0300-0000FD010000}"/>
    <hyperlink ref="P554" r:id="rId510" xr:uid="{00000000-0004-0000-0300-0000FE010000}"/>
    <hyperlink ref="P555" r:id="rId511" xr:uid="{00000000-0004-0000-0300-0000FF010000}"/>
    <hyperlink ref="P556" r:id="rId512" xr:uid="{00000000-0004-0000-0300-000000020000}"/>
    <hyperlink ref="P557" r:id="rId513" xr:uid="{00000000-0004-0000-0300-000001020000}"/>
    <hyperlink ref="P558" r:id="rId514" xr:uid="{00000000-0004-0000-0300-000002020000}"/>
    <hyperlink ref="P559" r:id="rId515" xr:uid="{00000000-0004-0000-0300-000003020000}"/>
    <hyperlink ref="P560" r:id="rId516" xr:uid="{00000000-0004-0000-0300-000004020000}"/>
    <hyperlink ref="P561" r:id="rId517" xr:uid="{00000000-0004-0000-0300-000005020000}"/>
    <hyperlink ref="P562" r:id="rId518" xr:uid="{00000000-0004-0000-0300-000006020000}"/>
    <hyperlink ref="P563" r:id="rId519" xr:uid="{00000000-0004-0000-0300-000007020000}"/>
    <hyperlink ref="P356" r:id="rId520" xr:uid="{5132957C-3F57-4585-860C-F4BDA57365C5}"/>
  </hyperlinks>
  <pageMargins left="0.7" right="0.7" top="0.75" bottom="0.75" header="0.3" footer="0.3"/>
  <pageSetup orientation="portrait" r:id="rId521"/>
  <drawing r:id="rId522"/>
  <legacyDrawing r:id="rId52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P762"/>
  <sheetViews>
    <sheetView topLeftCell="A260" zoomScale="85" zoomScaleNormal="85" workbookViewId="0">
      <selection activeCell="C287" sqref="C287:I287"/>
    </sheetView>
  </sheetViews>
  <sheetFormatPr baseColWidth="10" defaultColWidth="11.42578125" defaultRowHeight="15" x14ac:dyDescent="0.25"/>
  <cols>
    <col min="1" max="1" width="3.140625" customWidth="1"/>
    <col min="2" max="2" width="12.42578125" customWidth="1"/>
    <col min="9" max="9" width="73.140625" customWidth="1"/>
    <col min="10" max="10" width="47.85546875" bestFit="1" customWidth="1"/>
    <col min="11" max="11" width="17.140625" bestFit="1" customWidth="1"/>
    <col min="12" max="12" width="20.5703125" bestFit="1" customWidth="1"/>
    <col min="13" max="13" width="12.42578125" bestFit="1" customWidth="1"/>
    <col min="14" max="14" width="12.85546875" bestFit="1" customWidth="1"/>
    <col min="15" max="15" width="33.140625" bestFit="1" customWidth="1"/>
    <col min="16" max="16" width="37.140625" customWidth="1"/>
  </cols>
  <sheetData>
    <row r="2" spans="2:16" ht="15.75" thickBot="1" x14ac:dyDescent="0.3">
      <c r="B2" s="30"/>
      <c r="C2" s="7"/>
      <c r="D2" s="7"/>
      <c r="E2" s="7"/>
      <c r="F2" s="7"/>
      <c r="G2" s="7"/>
      <c r="H2" s="7"/>
      <c r="I2" s="7"/>
      <c r="J2" s="7"/>
      <c r="K2" s="30"/>
      <c r="L2" s="30"/>
      <c r="M2" s="30"/>
      <c r="N2" s="30"/>
      <c r="O2" s="30"/>
      <c r="P2" s="30"/>
    </row>
    <row r="3" spans="2:16" x14ac:dyDescent="0.25">
      <c r="B3" s="234"/>
      <c r="C3" s="235"/>
      <c r="D3" s="235"/>
      <c r="E3" s="169" t="s">
        <v>0</v>
      </c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1"/>
    </row>
    <row r="4" spans="2:16" x14ac:dyDescent="0.25">
      <c r="B4" s="236"/>
      <c r="C4" s="237"/>
      <c r="D4" s="237"/>
      <c r="E4" s="172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4"/>
    </row>
    <row r="5" spans="2:16" x14ac:dyDescent="0.25">
      <c r="B5" s="236"/>
      <c r="C5" s="237"/>
      <c r="D5" s="237"/>
      <c r="E5" s="172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4"/>
    </row>
    <row r="6" spans="2:16" x14ac:dyDescent="0.25">
      <c r="B6" s="236"/>
      <c r="C6" s="237"/>
      <c r="D6" s="237"/>
      <c r="E6" s="172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4"/>
    </row>
    <row r="7" spans="2:16" x14ac:dyDescent="0.25">
      <c r="B7" s="236"/>
      <c r="C7" s="237"/>
      <c r="D7" s="237"/>
      <c r="E7" s="172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4"/>
    </row>
    <row r="8" spans="2:16" x14ac:dyDescent="0.25">
      <c r="B8" s="236"/>
      <c r="C8" s="237"/>
      <c r="D8" s="237"/>
      <c r="E8" s="172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4"/>
    </row>
    <row r="9" spans="2:16" x14ac:dyDescent="0.25">
      <c r="B9" s="236"/>
      <c r="C9" s="237"/>
      <c r="D9" s="237"/>
      <c r="E9" s="172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4"/>
    </row>
    <row r="10" spans="2:16" ht="15.75" thickBot="1" x14ac:dyDescent="0.3">
      <c r="B10" s="238"/>
      <c r="C10" s="239"/>
      <c r="D10" s="239"/>
      <c r="E10" s="175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7"/>
    </row>
    <row r="11" spans="2:16" ht="28.5" x14ac:dyDescent="0.25">
      <c r="B11" s="123" t="s">
        <v>1</v>
      </c>
      <c r="C11" s="178" t="s">
        <v>2</v>
      </c>
      <c r="D11" s="179"/>
      <c r="E11" s="179"/>
      <c r="F11" s="179"/>
      <c r="G11" s="180"/>
      <c r="H11" s="181"/>
      <c r="I11" s="182"/>
      <c r="J11" s="119" t="s">
        <v>696</v>
      </c>
      <c r="K11" s="124" t="s">
        <v>3</v>
      </c>
      <c r="L11" s="123" t="s">
        <v>4</v>
      </c>
      <c r="M11" s="123" t="s">
        <v>3924</v>
      </c>
      <c r="N11" s="123" t="s">
        <v>6</v>
      </c>
      <c r="O11" s="123" t="s">
        <v>7</v>
      </c>
      <c r="P11" s="123" t="s">
        <v>8</v>
      </c>
    </row>
    <row r="12" spans="2:16" x14ac:dyDescent="0.25">
      <c r="B12" s="32">
        <v>1</v>
      </c>
      <c r="C12" s="229" t="s">
        <v>2582</v>
      </c>
      <c r="D12" s="229"/>
      <c r="E12" s="229"/>
      <c r="F12" s="229"/>
      <c r="G12" s="229"/>
      <c r="H12" s="229"/>
      <c r="I12" s="229"/>
      <c r="J12" s="59" t="s">
        <v>2583</v>
      </c>
      <c r="K12" s="46">
        <v>2800000</v>
      </c>
      <c r="L12" s="2">
        <v>44568</v>
      </c>
      <c r="M12" s="32" t="s">
        <v>3923</v>
      </c>
      <c r="N12" s="32">
        <v>3167344808</v>
      </c>
      <c r="O12" s="51" t="s">
        <v>2584</v>
      </c>
      <c r="P12" s="52" t="s">
        <v>2585</v>
      </c>
    </row>
    <row r="13" spans="2:16" x14ac:dyDescent="0.25">
      <c r="B13" s="32">
        <v>2</v>
      </c>
      <c r="C13" s="229" t="s">
        <v>2586</v>
      </c>
      <c r="D13" s="229"/>
      <c r="E13" s="229"/>
      <c r="F13" s="229"/>
      <c r="G13" s="229"/>
      <c r="H13" s="229"/>
      <c r="I13" s="229"/>
      <c r="J13" s="59" t="s">
        <v>805</v>
      </c>
      <c r="K13" s="46">
        <v>18550000</v>
      </c>
      <c r="L13" s="2">
        <v>44573</v>
      </c>
      <c r="M13" s="32"/>
      <c r="N13" s="32" t="s">
        <v>1405</v>
      </c>
      <c r="O13" s="51" t="s">
        <v>639</v>
      </c>
      <c r="P13" s="52" t="s">
        <v>1326</v>
      </c>
    </row>
    <row r="14" spans="2:16" x14ac:dyDescent="0.25">
      <c r="B14" s="32">
        <v>3</v>
      </c>
      <c r="C14" s="229" t="s">
        <v>2587</v>
      </c>
      <c r="D14" s="229"/>
      <c r="E14" s="229"/>
      <c r="F14" s="229"/>
      <c r="G14" s="229"/>
      <c r="H14" s="229"/>
      <c r="I14" s="229"/>
      <c r="J14" s="59" t="s">
        <v>702</v>
      </c>
      <c r="K14" s="46">
        <v>9950000</v>
      </c>
      <c r="L14" s="2">
        <v>44573</v>
      </c>
      <c r="M14" s="32"/>
      <c r="N14" s="32">
        <v>3104680508</v>
      </c>
      <c r="O14" s="51" t="s">
        <v>212</v>
      </c>
      <c r="P14" s="38" t="s">
        <v>703</v>
      </c>
    </row>
    <row r="15" spans="2:16" x14ac:dyDescent="0.25">
      <c r="B15" s="32">
        <v>4</v>
      </c>
      <c r="C15" s="229" t="s">
        <v>2588</v>
      </c>
      <c r="D15" s="229"/>
      <c r="E15" s="229"/>
      <c r="F15" s="229"/>
      <c r="G15" s="229"/>
      <c r="H15" s="229"/>
      <c r="I15" s="229"/>
      <c r="J15" s="59" t="s">
        <v>1875</v>
      </c>
      <c r="K15" s="46">
        <v>4500000</v>
      </c>
      <c r="L15" s="2">
        <v>44573</v>
      </c>
      <c r="M15" s="32" t="s">
        <v>3923</v>
      </c>
      <c r="N15" s="32">
        <v>4442074</v>
      </c>
      <c r="O15" s="51" t="s">
        <v>390</v>
      </c>
      <c r="P15" s="52" t="s">
        <v>1876</v>
      </c>
    </row>
    <row r="16" spans="2:16" x14ac:dyDescent="0.25">
      <c r="B16" s="32">
        <v>5</v>
      </c>
      <c r="C16" s="263" t="s">
        <v>3456</v>
      </c>
      <c r="D16" s="229"/>
      <c r="E16" s="229"/>
      <c r="F16" s="229"/>
      <c r="G16" s="229"/>
      <c r="H16" s="229"/>
      <c r="I16" s="229"/>
      <c r="J16" s="59" t="s">
        <v>702</v>
      </c>
      <c r="K16" s="46">
        <v>950000</v>
      </c>
      <c r="L16" s="2">
        <v>44574</v>
      </c>
      <c r="M16" s="32"/>
      <c r="N16" s="32">
        <v>3137546144</v>
      </c>
      <c r="O16" s="51" t="s">
        <v>229</v>
      </c>
      <c r="P16" s="52" t="s">
        <v>2504</v>
      </c>
    </row>
    <row r="17" spans="2:16" x14ac:dyDescent="0.25">
      <c r="B17" s="32">
        <v>6</v>
      </c>
      <c r="C17" s="229" t="s">
        <v>2589</v>
      </c>
      <c r="D17" s="229"/>
      <c r="E17" s="229"/>
      <c r="F17" s="229"/>
      <c r="G17" s="229"/>
      <c r="H17" s="229"/>
      <c r="I17" s="229"/>
      <c r="J17" s="59" t="s">
        <v>2590</v>
      </c>
      <c r="K17" s="46">
        <v>22750000</v>
      </c>
      <c r="L17" s="2">
        <v>44574</v>
      </c>
      <c r="M17" s="32"/>
      <c r="N17" s="32" t="s">
        <v>2591</v>
      </c>
      <c r="O17" s="51" t="s">
        <v>400</v>
      </c>
      <c r="P17" s="38" t="s">
        <v>1012</v>
      </c>
    </row>
    <row r="18" spans="2:16" x14ac:dyDescent="0.25">
      <c r="B18" s="32">
        <v>7</v>
      </c>
      <c r="C18" s="229" t="s">
        <v>2592</v>
      </c>
      <c r="D18" s="229"/>
      <c r="E18" s="229"/>
      <c r="F18" s="229"/>
      <c r="G18" s="229"/>
      <c r="H18" s="229"/>
      <c r="I18" s="229"/>
      <c r="J18" s="59" t="s">
        <v>2593</v>
      </c>
      <c r="K18" s="46">
        <v>11800000</v>
      </c>
      <c r="L18" s="2">
        <v>44575</v>
      </c>
      <c r="M18" s="2" t="s">
        <v>3923</v>
      </c>
      <c r="N18" s="32" t="s">
        <v>2594</v>
      </c>
      <c r="O18" s="51" t="s">
        <v>2595</v>
      </c>
      <c r="P18" s="38" t="s">
        <v>2596</v>
      </c>
    </row>
    <row r="19" spans="2:16" x14ac:dyDescent="0.25">
      <c r="B19" s="32">
        <v>8</v>
      </c>
      <c r="C19" s="229" t="s">
        <v>2597</v>
      </c>
      <c r="D19" s="229"/>
      <c r="E19" s="229"/>
      <c r="F19" s="229"/>
      <c r="G19" s="229"/>
      <c r="H19" s="229"/>
      <c r="I19" s="229"/>
      <c r="J19" s="59" t="s">
        <v>702</v>
      </c>
      <c r="K19" s="46">
        <v>690000</v>
      </c>
      <c r="L19" s="2">
        <v>44578</v>
      </c>
      <c r="M19" s="32" t="s">
        <v>3923</v>
      </c>
      <c r="N19" s="32">
        <v>3104278593</v>
      </c>
      <c r="O19" s="51" t="s">
        <v>578</v>
      </c>
      <c r="P19" s="38" t="s">
        <v>1968</v>
      </c>
    </row>
    <row r="20" spans="2:16" x14ac:dyDescent="0.25">
      <c r="B20" s="32">
        <v>9</v>
      </c>
      <c r="C20" s="229" t="s">
        <v>2340</v>
      </c>
      <c r="D20" s="229"/>
      <c r="E20" s="229"/>
      <c r="F20" s="229"/>
      <c r="G20" s="229"/>
      <c r="H20" s="229"/>
      <c r="I20" s="229"/>
      <c r="J20" s="59" t="s">
        <v>1535</v>
      </c>
      <c r="K20" s="46">
        <v>9400000</v>
      </c>
      <c r="L20" s="2">
        <v>44579</v>
      </c>
      <c r="M20" s="35"/>
      <c r="N20" s="32"/>
      <c r="O20" s="51" t="s">
        <v>2598</v>
      </c>
      <c r="P20" s="38" t="s">
        <v>1653</v>
      </c>
    </row>
    <row r="21" spans="2:16" x14ac:dyDescent="0.25">
      <c r="B21" s="32">
        <v>10</v>
      </c>
      <c r="C21" s="271" t="s">
        <v>3457</v>
      </c>
      <c r="D21" s="272"/>
      <c r="E21" s="272"/>
      <c r="F21" s="272"/>
      <c r="G21" s="272"/>
      <c r="H21" s="272"/>
      <c r="I21" s="272"/>
      <c r="J21" s="59" t="s">
        <v>702</v>
      </c>
      <c r="K21" s="46">
        <v>1000000</v>
      </c>
      <c r="L21" s="2">
        <v>44579</v>
      </c>
      <c r="M21" s="32" t="s">
        <v>3923</v>
      </c>
      <c r="N21" s="32"/>
      <c r="O21" s="51" t="s">
        <v>2599</v>
      </c>
      <c r="P21" s="52" t="s">
        <v>2600</v>
      </c>
    </row>
    <row r="22" spans="2:16" x14ac:dyDescent="0.25">
      <c r="B22" s="32">
        <v>11</v>
      </c>
      <c r="C22" s="229" t="s">
        <v>2601</v>
      </c>
      <c r="D22" s="229"/>
      <c r="E22" s="229"/>
      <c r="F22" s="229"/>
      <c r="G22" s="229"/>
      <c r="H22" s="229"/>
      <c r="I22" s="229"/>
      <c r="J22" s="59" t="s">
        <v>2602</v>
      </c>
      <c r="K22" s="46">
        <v>7450000</v>
      </c>
      <c r="L22" s="2">
        <v>44581</v>
      </c>
      <c r="M22" s="32"/>
      <c r="N22" s="32">
        <v>3012311524</v>
      </c>
      <c r="O22" s="51" t="s">
        <v>2603</v>
      </c>
      <c r="P22" s="38" t="s">
        <v>2604</v>
      </c>
    </row>
    <row r="23" spans="2:16" x14ac:dyDescent="0.25">
      <c r="B23" s="32">
        <v>12</v>
      </c>
      <c r="C23" s="229" t="s">
        <v>2605</v>
      </c>
      <c r="D23" s="229"/>
      <c r="E23" s="229"/>
      <c r="F23" s="229"/>
      <c r="G23" s="229"/>
      <c r="H23" s="229"/>
      <c r="I23" s="229"/>
      <c r="J23" s="59" t="s">
        <v>823</v>
      </c>
      <c r="K23" s="46">
        <v>11750000</v>
      </c>
      <c r="L23" s="2">
        <v>44580</v>
      </c>
      <c r="M23" s="2"/>
      <c r="N23" s="32" t="s">
        <v>2606</v>
      </c>
      <c r="O23" s="51" t="s">
        <v>2607</v>
      </c>
      <c r="P23" s="52" t="s">
        <v>2608</v>
      </c>
    </row>
    <row r="24" spans="2:16" x14ac:dyDescent="0.25">
      <c r="B24" s="32">
        <v>13</v>
      </c>
      <c r="C24" s="229" t="s">
        <v>2609</v>
      </c>
      <c r="D24" s="229"/>
      <c r="E24" s="229"/>
      <c r="F24" s="229"/>
      <c r="G24" s="229"/>
      <c r="H24" s="229"/>
      <c r="I24" s="229"/>
      <c r="J24" s="59" t="s">
        <v>1343</v>
      </c>
      <c r="K24" s="46">
        <v>5850000</v>
      </c>
      <c r="L24" s="2">
        <v>44580</v>
      </c>
      <c r="M24" s="2" t="s">
        <v>3923</v>
      </c>
      <c r="N24" s="32" t="s">
        <v>2253</v>
      </c>
      <c r="O24" s="51" t="s">
        <v>2254</v>
      </c>
      <c r="P24" s="38" t="s">
        <v>1075</v>
      </c>
    </row>
    <row r="25" spans="2:16" x14ac:dyDescent="0.25">
      <c r="B25" s="32">
        <v>14</v>
      </c>
      <c r="C25" s="229" t="s">
        <v>2610</v>
      </c>
      <c r="D25" s="229"/>
      <c r="E25" s="229"/>
      <c r="F25" s="229"/>
      <c r="G25" s="229"/>
      <c r="H25" s="229"/>
      <c r="I25" s="229"/>
      <c r="J25" s="59" t="s">
        <v>2611</v>
      </c>
      <c r="K25" s="46">
        <v>3150000</v>
      </c>
      <c r="L25" s="2">
        <v>44581</v>
      </c>
      <c r="M25" s="2"/>
      <c r="N25" s="2" t="s">
        <v>2612</v>
      </c>
      <c r="O25" s="51" t="s">
        <v>1064</v>
      </c>
      <c r="P25" s="52" t="s">
        <v>2310</v>
      </c>
    </row>
    <row r="26" spans="2:16" x14ac:dyDescent="0.25">
      <c r="B26" s="32">
        <v>15</v>
      </c>
      <c r="C26" s="279" t="s">
        <v>2613</v>
      </c>
      <c r="D26" s="279"/>
      <c r="E26" s="279"/>
      <c r="F26" s="279"/>
      <c r="G26" s="279"/>
      <c r="H26" s="279"/>
      <c r="I26" s="279"/>
      <c r="J26" s="74" t="s">
        <v>890</v>
      </c>
      <c r="K26" s="73" t="s">
        <v>2492</v>
      </c>
      <c r="L26" s="2">
        <v>44581</v>
      </c>
      <c r="M26" s="2"/>
      <c r="N26" s="32"/>
      <c r="O26" s="51" t="s">
        <v>989</v>
      </c>
      <c r="P26" s="38" t="s">
        <v>990</v>
      </c>
    </row>
    <row r="27" spans="2:16" x14ac:dyDescent="0.25">
      <c r="B27" s="32">
        <v>16</v>
      </c>
      <c r="C27" s="229" t="s">
        <v>2614</v>
      </c>
      <c r="D27" s="229"/>
      <c r="E27" s="229"/>
      <c r="F27" s="229"/>
      <c r="G27" s="229"/>
      <c r="H27" s="229"/>
      <c r="I27" s="229"/>
      <c r="J27" s="59" t="s">
        <v>890</v>
      </c>
      <c r="K27" s="46">
        <v>25930000</v>
      </c>
      <c r="L27" s="2">
        <v>44582</v>
      </c>
      <c r="M27" s="32"/>
      <c r="N27" s="32"/>
      <c r="O27" s="51" t="s">
        <v>989</v>
      </c>
      <c r="P27" s="52" t="s">
        <v>990</v>
      </c>
    </row>
    <row r="28" spans="2:16" x14ac:dyDescent="0.25">
      <c r="B28" s="32">
        <v>17</v>
      </c>
      <c r="C28" s="229" t="s">
        <v>2615</v>
      </c>
      <c r="D28" s="229"/>
      <c r="E28" s="229"/>
      <c r="F28" s="229"/>
      <c r="G28" s="229"/>
      <c r="H28" s="229"/>
      <c r="I28" s="229"/>
      <c r="J28" s="59" t="s">
        <v>2583</v>
      </c>
      <c r="K28" s="46">
        <v>1350000</v>
      </c>
      <c r="L28" s="2">
        <v>44582</v>
      </c>
      <c r="M28" s="2"/>
      <c r="N28" s="32">
        <v>3147943785</v>
      </c>
      <c r="O28" s="51" t="s">
        <v>2269</v>
      </c>
      <c r="P28" s="38" t="s">
        <v>2270</v>
      </c>
    </row>
    <row r="29" spans="2:16" x14ac:dyDescent="0.25">
      <c r="B29" s="32">
        <v>18</v>
      </c>
      <c r="C29" s="229" t="s">
        <v>2616</v>
      </c>
      <c r="D29" s="229"/>
      <c r="E29" s="229"/>
      <c r="F29" s="229"/>
      <c r="G29" s="229"/>
      <c r="H29" s="229"/>
      <c r="I29" s="229"/>
      <c r="J29" s="59" t="s">
        <v>1875</v>
      </c>
      <c r="K29" s="46">
        <v>11290000</v>
      </c>
      <c r="L29" s="2">
        <v>44586</v>
      </c>
      <c r="M29" s="2"/>
      <c r="N29" s="32">
        <v>3113391008</v>
      </c>
      <c r="O29" s="64" t="s">
        <v>2560</v>
      </c>
      <c r="P29" s="52" t="s">
        <v>2561</v>
      </c>
    </row>
    <row r="30" spans="2:16" x14ac:dyDescent="0.25">
      <c r="B30" s="32">
        <v>19</v>
      </c>
      <c r="C30" s="229" t="s">
        <v>2617</v>
      </c>
      <c r="D30" s="229"/>
      <c r="E30" s="229"/>
      <c r="F30" s="229"/>
      <c r="G30" s="229"/>
      <c r="H30" s="229"/>
      <c r="I30" s="229"/>
      <c r="J30" s="59" t="s">
        <v>2583</v>
      </c>
      <c r="K30" s="46">
        <v>2025000</v>
      </c>
      <c r="L30" s="2">
        <v>44582</v>
      </c>
      <c r="M30" s="2"/>
      <c r="N30" s="32">
        <v>3147943785</v>
      </c>
      <c r="O30" s="51" t="s">
        <v>2269</v>
      </c>
      <c r="P30" s="38" t="s">
        <v>2270</v>
      </c>
    </row>
    <row r="31" spans="2:16" x14ac:dyDescent="0.25">
      <c r="B31" s="32">
        <v>20</v>
      </c>
      <c r="C31" s="229" t="s">
        <v>2618</v>
      </c>
      <c r="D31" s="229"/>
      <c r="E31" s="229"/>
      <c r="F31" s="229"/>
      <c r="G31" s="229"/>
      <c r="H31" s="229"/>
      <c r="I31" s="229"/>
      <c r="J31" s="59" t="s">
        <v>702</v>
      </c>
      <c r="K31" s="46">
        <v>3135000</v>
      </c>
      <c r="L31" s="2">
        <v>44586</v>
      </c>
      <c r="M31" s="32" t="s">
        <v>3923</v>
      </c>
      <c r="N31" s="32" t="s">
        <v>2619</v>
      </c>
      <c r="O31" s="32" t="s">
        <v>2620</v>
      </c>
      <c r="P31" s="52" t="s">
        <v>2621</v>
      </c>
    </row>
    <row r="32" spans="2:16" x14ac:dyDescent="0.25">
      <c r="B32" s="32">
        <v>21</v>
      </c>
      <c r="C32" s="229" t="s">
        <v>2622</v>
      </c>
      <c r="D32" s="229"/>
      <c r="E32" s="229"/>
      <c r="F32" s="229"/>
      <c r="G32" s="229"/>
      <c r="H32" s="229"/>
      <c r="I32" s="229"/>
      <c r="J32" s="59" t="s">
        <v>702</v>
      </c>
      <c r="K32" s="46">
        <v>1000000</v>
      </c>
      <c r="L32" s="2">
        <v>44586</v>
      </c>
      <c r="M32" s="32"/>
      <c r="N32" s="32">
        <v>3104680508</v>
      </c>
      <c r="O32" s="32" t="s">
        <v>212</v>
      </c>
      <c r="P32" s="38" t="s">
        <v>703</v>
      </c>
    </row>
    <row r="33" spans="2:16" x14ac:dyDescent="0.25">
      <c r="B33" s="32">
        <v>22</v>
      </c>
      <c r="C33" s="229" t="s">
        <v>2623</v>
      </c>
      <c r="D33" s="229"/>
      <c r="E33" s="229"/>
      <c r="F33" s="229"/>
      <c r="G33" s="229"/>
      <c r="H33" s="229"/>
      <c r="I33" s="229"/>
      <c r="J33" s="59" t="s">
        <v>702</v>
      </c>
      <c r="K33" s="46">
        <v>1000000</v>
      </c>
      <c r="L33" s="2">
        <v>44586</v>
      </c>
      <c r="M33" s="32"/>
      <c r="N33" s="32">
        <v>3104680508</v>
      </c>
      <c r="O33" s="32" t="s">
        <v>212</v>
      </c>
      <c r="P33" s="38" t="s">
        <v>703</v>
      </c>
    </row>
    <row r="34" spans="2:16" x14ac:dyDescent="0.25">
      <c r="B34" s="32">
        <v>23</v>
      </c>
      <c r="C34" s="229" t="s">
        <v>2624</v>
      </c>
      <c r="D34" s="229"/>
      <c r="E34" s="229"/>
      <c r="F34" s="229"/>
      <c r="G34" s="229"/>
      <c r="H34" s="229"/>
      <c r="I34" s="229"/>
      <c r="J34" s="59" t="s">
        <v>2625</v>
      </c>
      <c r="K34" s="46">
        <v>9970000</v>
      </c>
      <c r="L34" s="2">
        <v>44586</v>
      </c>
      <c r="M34" s="32"/>
      <c r="N34" s="32"/>
      <c r="O34" s="51" t="s">
        <v>2626</v>
      </c>
      <c r="P34" s="52" t="s">
        <v>1899</v>
      </c>
    </row>
    <row r="35" spans="2:16" x14ac:dyDescent="0.25">
      <c r="B35" s="32">
        <v>24</v>
      </c>
      <c r="C35" s="263" t="s">
        <v>2627</v>
      </c>
      <c r="D35" s="229"/>
      <c r="E35" s="229"/>
      <c r="F35" s="229"/>
      <c r="G35" s="229"/>
      <c r="H35" s="229"/>
      <c r="I35" s="229"/>
      <c r="J35" s="59" t="s">
        <v>2583</v>
      </c>
      <c r="K35" s="46">
        <v>8150000</v>
      </c>
      <c r="L35" s="2">
        <v>44586</v>
      </c>
      <c r="M35" s="32" t="s">
        <v>3923</v>
      </c>
      <c r="N35" s="32">
        <v>3147943785</v>
      </c>
      <c r="O35" s="32" t="s">
        <v>2269</v>
      </c>
      <c r="P35" s="38" t="s">
        <v>2270</v>
      </c>
    </row>
    <row r="36" spans="2:16" x14ac:dyDescent="0.25">
      <c r="B36" s="32">
        <v>25</v>
      </c>
      <c r="C36" s="263" t="s">
        <v>2628</v>
      </c>
      <c r="D36" s="229"/>
      <c r="E36" s="229"/>
      <c r="F36" s="229"/>
      <c r="G36" s="229"/>
      <c r="H36" s="229"/>
      <c r="I36" s="229"/>
      <c r="J36" s="59" t="s">
        <v>747</v>
      </c>
      <c r="K36" s="46">
        <v>5500000</v>
      </c>
      <c r="L36" s="2">
        <v>44586</v>
      </c>
      <c r="M36" s="32"/>
      <c r="N36" s="32">
        <v>3175594091</v>
      </c>
      <c r="O36" s="32" t="s">
        <v>496</v>
      </c>
      <c r="P36" s="38" t="s">
        <v>748</v>
      </c>
    </row>
    <row r="37" spans="2:16" x14ac:dyDescent="0.25">
      <c r="B37" s="32">
        <v>26</v>
      </c>
      <c r="C37" s="229" t="s">
        <v>2629</v>
      </c>
      <c r="D37" s="229"/>
      <c r="E37" s="229"/>
      <c r="F37" s="229"/>
      <c r="G37" s="229"/>
      <c r="H37" s="229"/>
      <c r="I37" s="229"/>
      <c r="J37" s="59" t="s">
        <v>1780</v>
      </c>
      <c r="K37" s="1">
        <v>6590000</v>
      </c>
      <c r="L37" s="2">
        <v>44593</v>
      </c>
      <c r="M37" s="32" t="s">
        <v>3923</v>
      </c>
      <c r="N37" s="32">
        <v>3206284446</v>
      </c>
      <c r="O37" s="32" t="s">
        <v>2630</v>
      </c>
      <c r="P37" s="38" t="s">
        <v>2631</v>
      </c>
    </row>
    <row r="38" spans="2:16" x14ac:dyDescent="0.25">
      <c r="B38" s="32">
        <v>27</v>
      </c>
      <c r="C38" s="229" t="s">
        <v>2632</v>
      </c>
      <c r="D38" s="229"/>
      <c r="E38" s="229"/>
      <c r="F38" s="229"/>
      <c r="G38" s="229"/>
      <c r="H38" s="229"/>
      <c r="I38" s="229"/>
      <c r="J38" s="59" t="s">
        <v>1177</v>
      </c>
      <c r="K38" s="46">
        <v>6590000</v>
      </c>
      <c r="L38" s="2">
        <v>44587</v>
      </c>
      <c r="M38" s="32"/>
      <c r="N38" s="32" t="s">
        <v>1178</v>
      </c>
      <c r="O38" s="32" t="s">
        <v>2633</v>
      </c>
      <c r="P38" s="38" t="s">
        <v>2634</v>
      </c>
    </row>
    <row r="39" spans="2:16" x14ac:dyDescent="0.25">
      <c r="B39" s="32">
        <v>28</v>
      </c>
      <c r="C39" s="229" t="s">
        <v>2635</v>
      </c>
      <c r="D39" s="229"/>
      <c r="E39" s="229"/>
      <c r="F39" s="229"/>
      <c r="G39" s="229"/>
      <c r="H39" s="229"/>
      <c r="I39" s="229"/>
      <c r="J39" s="59" t="s">
        <v>805</v>
      </c>
      <c r="K39" s="46">
        <v>5400000</v>
      </c>
      <c r="L39" s="2">
        <v>44465</v>
      </c>
      <c r="M39" s="32" t="s">
        <v>3923</v>
      </c>
      <c r="N39" s="32" t="s">
        <v>2636</v>
      </c>
      <c r="O39" s="32" t="s">
        <v>2637</v>
      </c>
      <c r="P39" s="52" t="s">
        <v>2638</v>
      </c>
    </row>
    <row r="40" spans="2:16" x14ac:dyDescent="0.25">
      <c r="B40" s="32">
        <v>29</v>
      </c>
      <c r="C40" s="263" t="s">
        <v>2639</v>
      </c>
      <c r="D40" s="229"/>
      <c r="E40" s="229"/>
      <c r="F40" s="229"/>
      <c r="G40" s="229"/>
      <c r="H40" s="229"/>
      <c r="I40" s="229"/>
      <c r="J40" s="59" t="s">
        <v>2200</v>
      </c>
      <c r="K40" s="46">
        <v>2500000</v>
      </c>
      <c r="L40" s="2">
        <v>44588</v>
      </c>
      <c r="M40" s="32" t="s">
        <v>3923</v>
      </c>
      <c r="N40" s="32" t="s">
        <v>2640</v>
      </c>
      <c r="O40" s="32" t="s">
        <v>2641</v>
      </c>
      <c r="P40" s="38" t="s">
        <v>2642</v>
      </c>
    </row>
    <row r="41" spans="2:16" x14ac:dyDescent="0.25">
      <c r="B41" s="32">
        <v>30</v>
      </c>
      <c r="C41" s="229" t="s">
        <v>2643</v>
      </c>
      <c r="D41" s="229"/>
      <c r="E41" s="229"/>
      <c r="F41" s="229"/>
      <c r="G41" s="229"/>
      <c r="H41" s="229"/>
      <c r="I41" s="229"/>
      <c r="J41" s="59" t="s">
        <v>1139</v>
      </c>
      <c r="K41" s="46">
        <v>7950000</v>
      </c>
      <c r="L41" s="2">
        <v>44588</v>
      </c>
      <c r="M41" s="32"/>
      <c r="N41" s="32" t="s">
        <v>2644</v>
      </c>
      <c r="O41" s="32" t="s">
        <v>2645</v>
      </c>
      <c r="P41" s="38" t="s">
        <v>2646</v>
      </c>
    </row>
    <row r="42" spans="2:16" x14ac:dyDescent="0.25">
      <c r="B42" s="32">
        <v>31</v>
      </c>
      <c r="C42" s="229" t="s">
        <v>2647</v>
      </c>
      <c r="D42" s="229"/>
      <c r="E42" s="229"/>
      <c r="F42" s="229"/>
      <c r="G42" s="229"/>
      <c r="H42" s="229"/>
      <c r="I42" s="229"/>
      <c r="J42" s="59" t="s">
        <v>1139</v>
      </c>
      <c r="K42" s="46">
        <v>4750000</v>
      </c>
      <c r="L42" s="2">
        <v>44588</v>
      </c>
      <c r="M42" s="32"/>
      <c r="N42" s="32" t="s">
        <v>2644</v>
      </c>
      <c r="O42" s="32" t="s">
        <v>2645</v>
      </c>
      <c r="P42" s="52" t="s">
        <v>2646</v>
      </c>
    </row>
    <row r="43" spans="2:16" x14ac:dyDescent="0.25">
      <c r="B43" s="32">
        <v>32</v>
      </c>
      <c r="C43" s="263" t="s">
        <v>2648</v>
      </c>
      <c r="D43" s="229"/>
      <c r="E43" s="229"/>
      <c r="F43" s="229"/>
      <c r="G43" s="229"/>
      <c r="H43" s="229"/>
      <c r="I43" s="229"/>
      <c r="J43" s="59" t="s">
        <v>771</v>
      </c>
      <c r="K43" s="46">
        <v>8470000</v>
      </c>
      <c r="L43" s="2">
        <v>44589</v>
      </c>
      <c r="M43" s="32" t="s">
        <v>3923</v>
      </c>
      <c r="N43" s="32"/>
      <c r="O43" s="32" t="s">
        <v>2649</v>
      </c>
      <c r="P43" s="75" t="s">
        <v>2650</v>
      </c>
    </row>
    <row r="44" spans="2:16" x14ac:dyDescent="0.25">
      <c r="B44" s="32">
        <v>33</v>
      </c>
      <c r="C44" s="229" t="s">
        <v>2651</v>
      </c>
      <c r="D44" s="229"/>
      <c r="E44" s="229"/>
      <c r="F44" s="229"/>
      <c r="G44" s="229"/>
      <c r="H44" s="229"/>
      <c r="I44" s="229"/>
      <c r="J44" s="59" t="s">
        <v>771</v>
      </c>
      <c r="K44" s="46">
        <v>17890000</v>
      </c>
      <c r="L44" s="2">
        <v>44589</v>
      </c>
      <c r="M44" s="2"/>
      <c r="N44" s="32"/>
      <c r="O44" s="32" t="s">
        <v>2649</v>
      </c>
      <c r="P44" s="75" t="s">
        <v>2650</v>
      </c>
    </row>
    <row r="45" spans="2:16" x14ac:dyDescent="0.25">
      <c r="B45" s="49">
        <v>34</v>
      </c>
      <c r="C45" s="229" t="s">
        <v>2652</v>
      </c>
      <c r="D45" s="229"/>
      <c r="E45" s="229"/>
      <c r="F45" s="229"/>
      <c r="G45" s="229"/>
      <c r="H45" s="229"/>
      <c r="I45" s="229"/>
      <c r="J45" s="59" t="s">
        <v>890</v>
      </c>
      <c r="K45" s="46">
        <v>15000000</v>
      </c>
      <c r="L45" s="2">
        <v>44593</v>
      </c>
      <c r="M45" s="32"/>
      <c r="N45" s="32"/>
      <c r="O45" s="32" t="s">
        <v>989</v>
      </c>
      <c r="P45" s="52" t="s">
        <v>990</v>
      </c>
    </row>
    <row r="46" spans="2:16" x14ac:dyDescent="0.25">
      <c r="B46" s="32">
        <v>35</v>
      </c>
      <c r="C46" s="229" t="s">
        <v>2653</v>
      </c>
      <c r="D46" s="229"/>
      <c r="E46" s="229"/>
      <c r="F46" s="229"/>
      <c r="G46" s="229"/>
      <c r="H46" s="229"/>
      <c r="I46" s="229"/>
      <c r="J46" s="59" t="s">
        <v>1439</v>
      </c>
      <c r="K46" s="46">
        <v>5950000</v>
      </c>
      <c r="L46" s="2">
        <v>44592</v>
      </c>
      <c r="M46" s="2" t="s">
        <v>3923</v>
      </c>
      <c r="N46" s="32"/>
      <c r="O46" s="32" t="s">
        <v>2654</v>
      </c>
      <c r="P46" s="38" t="s">
        <v>2655</v>
      </c>
    </row>
    <row r="47" spans="2:16" x14ac:dyDescent="0.25">
      <c r="B47" s="32">
        <v>36</v>
      </c>
      <c r="C47" s="229" t="s">
        <v>2656</v>
      </c>
      <c r="D47" s="229"/>
      <c r="E47" s="229"/>
      <c r="F47" s="229"/>
      <c r="G47" s="229"/>
      <c r="H47" s="229"/>
      <c r="I47" s="229"/>
      <c r="J47" s="59" t="s">
        <v>771</v>
      </c>
      <c r="K47" s="46">
        <v>18990000</v>
      </c>
      <c r="L47" s="2">
        <v>44593</v>
      </c>
      <c r="M47" s="2" t="s">
        <v>3923</v>
      </c>
      <c r="N47" s="32"/>
      <c r="O47" s="32" t="s">
        <v>2657</v>
      </c>
      <c r="P47" s="38" t="s">
        <v>2658</v>
      </c>
    </row>
    <row r="48" spans="2:16" x14ac:dyDescent="0.25">
      <c r="B48" s="32">
        <v>37</v>
      </c>
      <c r="C48" s="229" t="s">
        <v>2659</v>
      </c>
      <c r="D48" s="229"/>
      <c r="E48" s="229"/>
      <c r="F48" s="229"/>
      <c r="G48" s="229"/>
      <c r="H48" s="229"/>
      <c r="I48" s="229"/>
      <c r="J48" s="59" t="s">
        <v>702</v>
      </c>
      <c r="K48" s="46">
        <v>3950000</v>
      </c>
      <c r="L48" s="2">
        <v>44593</v>
      </c>
      <c r="M48" s="2"/>
      <c r="N48" s="32"/>
      <c r="O48" s="32" t="s">
        <v>2660</v>
      </c>
      <c r="P48" s="38" t="s">
        <v>2661</v>
      </c>
    </row>
    <row r="49" spans="2:16" x14ac:dyDescent="0.25">
      <c r="B49" s="32">
        <v>38</v>
      </c>
      <c r="C49" s="229" t="s">
        <v>2662</v>
      </c>
      <c r="D49" s="229"/>
      <c r="E49" s="229"/>
      <c r="F49" s="229"/>
      <c r="G49" s="229"/>
      <c r="H49" s="229"/>
      <c r="I49" s="229"/>
      <c r="J49" s="59" t="s">
        <v>1439</v>
      </c>
      <c r="K49" s="46">
        <v>20500000</v>
      </c>
      <c r="L49" s="2">
        <v>44593</v>
      </c>
      <c r="M49" s="32" t="s">
        <v>3923</v>
      </c>
      <c r="N49" s="32"/>
      <c r="O49" s="32" t="s">
        <v>2494</v>
      </c>
      <c r="P49" s="52" t="s">
        <v>2495</v>
      </c>
    </row>
    <row r="50" spans="2:16" x14ac:dyDescent="0.25">
      <c r="B50" s="32">
        <v>39</v>
      </c>
      <c r="C50" s="229" t="s">
        <v>2663</v>
      </c>
      <c r="D50" s="229"/>
      <c r="E50" s="229"/>
      <c r="F50" s="229"/>
      <c r="G50" s="229"/>
      <c r="H50" s="229"/>
      <c r="I50" s="229"/>
      <c r="J50" s="59" t="s">
        <v>2664</v>
      </c>
      <c r="K50" s="46">
        <v>8800000</v>
      </c>
      <c r="L50" s="2">
        <v>44593</v>
      </c>
      <c r="M50" s="2"/>
      <c r="N50" s="32"/>
      <c r="O50" s="32" t="s">
        <v>2665</v>
      </c>
      <c r="P50" s="52" t="s">
        <v>2666</v>
      </c>
    </row>
    <row r="51" spans="2:16" x14ac:dyDescent="0.25">
      <c r="B51" s="32">
        <v>40</v>
      </c>
      <c r="C51" s="229" t="s">
        <v>2667</v>
      </c>
      <c r="D51" s="229"/>
      <c r="E51" s="229"/>
      <c r="F51" s="229"/>
      <c r="G51" s="229"/>
      <c r="H51" s="229"/>
      <c r="I51" s="229"/>
      <c r="J51" s="59" t="s">
        <v>1780</v>
      </c>
      <c r="K51" s="46">
        <v>6000000</v>
      </c>
      <c r="L51" s="2">
        <v>44594</v>
      </c>
      <c r="M51" s="2" t="s">
        <v>3923</v>
      </c>
      <c r="N51" s="32">
        <v>3206284446</v>
      </c>
      <c r="O51" s="32" t="s">
        <v>2630</v>
      </c>
      <c r="P51" s="38" t="s">
        <v>2631</v>
      </c>
    </row>
    <row r="52" spans="2:16" x14ac:dyDescent="0.25">
      <c r="B52" s="32">
        <v>41</v>
      </c>
      <c r="C52" s="229" t="s">
        <v>2668</v>
      </c>
      <c r="D52" s="229"/>
      <c r="E52" s="229"/>
      <c r="F52" s="229"/>
      <c r="G52" s="229"/>
      <c r="H52" s="229"/>
      <c r="I52" s="229"/>
      <c r="J52" s="59" t="s">
        <v>2669</v>
      </c>
      <c r="K52" s="46">
        <v>9660000</v>
      </c>
      <c r="L52" s="2">
        <v>44594</v>
      </c>
      <c r="M52" s="32"/>
      <c r="N52" s="32">
        <v>3105104288</v>
      </c>
      <c r="O52" s="32" t="s">
        <v>2670</v>
      </c>
      <c r="P52" s="38"/>
    </row>
    <row r="53" spans="2:16" x14ac:dyDescent="0.25">
      <c r="B53" s="32">
        <v>42</v>
      </c>
      <c r="C53" s="229" t="s">
        <v>2663</v>
      </c>
      <c r="D53" s="229"/>
      <c r="E53" s="229"/>
      <c r="F53" s="229"/>
      <c r="G53" s="229"/>
      <c r="H53" s="229"/>
      <c r="I53" s="229"/>
      <c r="J53" s="59" t="s">
        <v>702</v>
      </c>
      <c r="K53" s="46">
        <v>8800000</v>
      </c>
      <c r="L53" s="2">
        <v>44594</v>
      </c>
      <c r="M53" s="32"/>
      <c r="N53" s="32">
        <v>3214826168</v>
      </c>
      <c r="O53" s="32" t="s">
        <v>2599</v>
      </c>
      <c r="P53" s="52" t="s">
        <v>2600</v>
      </c>
    </row>
    <row r="54" spans="2:16" x14ac:dyDescent="0.25">
      <c r="B54" s="32">
        <v>43</v>
      </c>
      <c r="C54" s="229" t="s">
        <v>2671</v>
      </c>
      <c r="D54" s="229"/>
      <c r="E54" s="229"/>
      <c r="F54" s="229"/>
      <c r="G54" s="229"/>
      <c r="H54" s="229"/>
      <c r="I54" s="229"/>
      <c r="J54" s="59" t="s">
        <v>2672</v>
      </c>
      <c r="K54" s="46">
        <v>5630000</v>
      </c>
      <c r="L54" s="2">
        <v>44595</v>
      </c>
      <c r="M54" s="32"/>
      <c r="N54" s="32">
        <v>3022295772</v>
      </c>
      <c r="O54" s="32" t="s">
        <v>2673</v>
      </c>
      <c r="P54" s="52" t="s">
        <v>1555</v>
      </c>
    </row>
    <row r="55" spans="2:16" x14ac:dyDescent="0.25">
      <c r="B55" s="32">
        <v>44</v>
      </c>
      <c r="C55" s="271" t="s">
        <v>2674</v>
      </c>
      <c r="D55" s="272"/>
      <c r="E55" s="272"/>
      <c r="F55" s="272"/>
      <c r="G55" s="272"/>
      <c r="H55" s="272"/>
      <c r="I55" s="272"/>
      <c r="J55" s="59" t="s">
        <v>702</v>
      </c>
      <c r="K55" s="46">
        <v>9990000</v>
      </c>
      <c r="L55" s="2">
        <v>44596</v>
      </c>
      <c r="M55" s="2"/>
      <c r="N55" s="32">
        <v>3214826168</v>
      </c>
      <c r="O55" s="32" t="s">
        <v>2599</v>
      </c>
      <c r="P55" s="52" t="s">
        <v>2600</v>
      </c>
    </row>
    <row r="56" spans="2:16" x14ac:dyDescent="0.25">
      <c r="B56" s="32">
        <v>45</v>
      </c>
      <c r="C56" s="263" t="s">
        <v>4908</v>
      </c>
      <c r="D56" s="229"/>
      <c r="E56" s="229"/>
      <c r="F56" s="229"/>
      <c r="G56" s="229"/>
      <c r="H56" s="229"/>
      <c r="I56" s="229"/>
      <c r="J56" s="59" t="s">
        <v>702</v>
      </c>
      <c r="K56" s="46">
        <v>5970000</v>
      </c>
      <c r="L56" s="2">
        <v>44597</v>
      </c>
      <c r="M56" s="2"/>
      <c r="N56" s="32">
        <v>3214826168</v>
      </c>
      <c r="O56" s="32" t="s">
        <v>2599</v>
      </c>
      <c r="P56" s="52" t="s">
        <v>2600</v>
      </c>
    </row>
    <row r="57" spans="2:16" x14ac:dyDescent="0.25">
      <c r="B57" s="32">
        <v>46</v>
      </c>
      <c r="C57" s="229" t="s">
        <v>2675</v>
      </c>
      <c r="D57" s="229"/>
      <c r="E57" s="229"/>
      <c r="F57" s="229"/>
      <c r="G57" s="229"/>
      <c r="H57" s="229"/>
      <c r="I57" s="229"/>
      <c r="J57" s="59" t="s">
        <v>2672</v>
      </c>
      <c r="K57" s="46">
        <v>750000</v>
      </c>
      <c r="L57" s="2">
        <v>44597</v>
      </c>
      <c r="M57" s="2"/>
      <c r="N57" s="32">
        <v>3122973291</v>
      </c>
      <c r="O57" s="32" t="s">
        <v>2676</v>
      </c>
      <c r="P57" s="55" t="s">
        <v>1555</v>
      </c>
    </row>
    <row r="58" spans="2:16" x14ac:dyDescent="0.25">
      <c r="B58" s="32">
        <v>47</v>
      </c>
      <c r="C58" s="229" t="s">
        <v>2668</v>
      </c>
      <c r="D58" s="229"/>
      <c r="E58" s="229"/>
      <c r="F58" s="229"/>
      <c r="G58" s="229"/>
      <c r="H58" s="229"/>
      <c r="I58" s="229"/>
      <c r="J58" s="59" t="s">
        <v>712</v>
      </c>
      <c r="K58" s="46">
        <v>9660000</v>
      </c>
      <c r="L58" s="2">
        <v>44596</v>
      </c>
      <c r="M58" s="32"/>
      <c r="N58" s="32">
        <v>3137851941</v>
      </c>
      <c r="O58" s="32" t="s">
        <v>2055</v>
      </c>
      <c r="P58" s="38" t="s">
        <v>713</v>
      </c>
    </row>
    <row r="59" spans="2:16" x14ac:dyDescent="0.25">
      <c r="B59" s="32">
        <v>48</v>
      </c>
      <c r="C59" s="229" t="s">
        <v>2677</v>
      </c>
      <c r="D59" s="229"/>
      <c r="E59" s="229"/>
      <c r="F59" s="229"/>
      <c r="G59" s="229"/>
      <c r="H59" s="229"/>
      <c r="I59" s="229"/>
      <c r="J59" s="59" t="s">
        <v>2625</v>
      </c>
      <c r="K59" s="46">
        <v>2260000</v>
      </c>
      <c r="L59" s="2">
        <v>44597</v>
      </c>
      <c r="M59" s="32"/>
      <c r="N59" s="32" t="s">
        <v>1897</v>
      </c>
      <c r="O59" s="32" t="s">
        <v>2076</v>
      </c>
      <c r="P59" s="38" t="s">
        <v>1899</v>
      </c>
    </row>
    <row r="60" spans="2:16" x14ac:dyDescent="0.25">
      <c r="B60" s="32">
        <v>49</v>
      </c>
      <c r="C60" s="229" t="s">
        <v>2678</v>
      </c>
      <c r="D60" s="229"/>
      <c r="E60" s="229"/>
      <c r="F60" s="229"/>
      <c r="G60" s="229"/>
      <c r="H60" s="229"/>
      <c r="I60" s="229"/>
      <c r="J60" s="59" t="s">
        <v>2625</v>
      </c>
      <c r="K60" s="46">
        <v>5640000</v>
      </c>
      <c r="L60" s="2">
        <v>44597</v>
      </c>
      <c r="M60" s="32"/>
      <c r="N60" s="32" t="s">
        <v>1897</v>
      </c>
      <c r="O60" s="32" t="s">
        <v>2076</v>
      </c>
      <c r="P60" s="38" t="s">
        <v>1899</v>
      </c>
    </row>
    <row r="61" spans="2:16" x14ac:dyDescent="0.25">
      <c r="B61" s="32">
        <v>50</v>
      </c>
      <c r="C61" s="229" t="s">
        <v>2679</v>
      </c>
      <c r="D61" s="229"/>
      <c r="E61" s="229"/>
      <c r="F61" s="229"/>
      <c r="G61" s="229"/>
      <c r="H61" s="229"/>
      <c r="I61" s="229"/>
      <c r="J61" s="59" t="s">
        <v>702</v>
      </c>
      <c r="K61" s="46">
        <v>1500000</v>
      </c>
      <c r="L61" s="2">
        <v>44597</v>
      </c>
      <c r="M61" s="2" t="s">
        <v>3923</v>
      </c>
      <c r="N61" s="32">
        <v>3214826168</v>
      </c>
      <c r="O61" s="32" t="s">
        <v>2599</v>
      </c>
      <c r="P61" s="52" t="s">
        <v>2600</v>
      </c>
    </row>
    <row r="62" spans="2:16" x14ac:dyDescent="0.25">
      <c r="B62" s="32">
        <v>51</v>
      </c>
      <c r="C62" s="229" t="s">
        <v>2680</v>
      </c>
      <c r="D62" s="229"/>
      <c r="E62" s="229"/>
      <c r="F62" s="229"/>
      <c r="G62" s="229"/>
      <c r="H62" s="229"/>
      <c r="I62" s="229"/>
      <c r="J62" s="59" t="s">
        <v>2681</v>
      </c>
      <c r="K62" s="46">
        <v>8000000</v>
      </c>
      <c r="L62" s="2">
        <v>44600</v>
      </c>
      <c r="M62" s="32"/>
      <c r="N62" s="32" t="s">
        <v>2682</v>
      </c>
      <c r="O62" s="32" t="s">
        <v>891</v>
      </c>
      <c r="P62" s="38" t="s">
        <v>2683</v>
      </c>
    </row>
    <row r="63" spans="2:16" x14ac:dyDescent="0.25">
      <c r="B63" s="32">
        <v>52</v>
      </c>
      <c r="C63" s="229" t="s">
        <v>2684</v>
      </c>
      <c r="D63" s="229"/>
      <c r="E63" s="229"/>
      <c r="F63" s="229"/>
      <c r="G63" s="229"/>
      <c r="H63" s="229"/>
      <c r="I63" s="229"/>
      <c r="J63" s="59" t="s">
        <v>747</v>
      </c>
      <c r="K63" s="46">
        <v>47300000</v>
      </c>
      <c r="L63" s="2">
        <v>44601</v>
      </c>
      <c r="M63" s="2" t="s">
        <v>3923</v>
      </c>
      <c r="N63" s="32">
        <v>3175594091</v>
      </c>
      <c r="O63" s="32" t="s">
        <v>496</v>
      </c>
      <c r="P63" s="38" t="s">
        <v>748</v>
      </c>
    </row>
    <row r="64" spans="2:16" x14ac:dyDescent="0.25">
      <c r="B64" s="32">
        <v>53</v>
      </c>
      <c r="C64" s="229" t="s">
        <v>2685</v>
      </c>
      <c r="D64" s="229"/>
      <c r="E64" s="229"/>
      <c r="F64" s="229"/>
      <c r="G64" s="229"/>
      <c r="H64" s="229"/>
      <c r="I64" s="229"/>
      <c r="J64" s="59" t="s">
        <v>702</v>
      </c>
      <c r="K64" s="46">
        <v>1880000</v>
      </c>
      <c r="L64" s="2">
        <v>44601</v>
      </c>
      <c r="M64" s="32" t="s">
        <v>3923</v>
      </c>
      <c r="N64" s="32">
        <v>3214826168</v>
      </c>
      <c r="O64" s="32" t="s">
        <v>2599</v>
      </c>
      <c r="P64" s="38" t="s">
        <v>2600</v>
      </c>
    </row>
    <row r="65" spans="2:16" x14ac:dyDescent="0.25">
      <c r="B65" s="32">
        <v>54</v>
      </c>
      <c r="C65" s="229" t="s">
        <v>2686</v>
      </c>
      <c r="D65" s="229"/>
      <c r="E65" s="229"/>
      <c r="F65" s="229"/>
      <c r="G65" s="229"/>
      <c r="H65" s="229"/>
      <c r="I65" s="229"/>
      <c r="J65" s="59" t="s">
        <v>702</v>
      </c>
      <c r="K65" s="46">
        <v>2500000</v>
      </c>
      <c r="L65" s="2">
        <v>44601</v>
      </c>
      <c r="M65" s="2"/>
      <c r="N65" s="32">
        <v>3137546144</v>
      </c>
      <c r="O65" s="32" t="s">
        <v>229</v>
      </c>
      <c r="P65" s="38" t="s">
        <v>2504</v>
      </c>
    </row>
    <row r="66" spans="2:16" x14ac:dyDescent="0.25">
      <c r="B66" s="32">
        <v>55</v>
      </c>
      <c r="C66" s="229" t="s">
        <v>2687</v>
      </c>
      <c r="D66" s="229"/>
      <c r="E66" s="229"/>
      <c r="F66" s="229"/>
      <c r="G66" s="229"/>
      <c r="H66" s="229"/>
      <c r="I66" s="229"/>
      <c r="J66" s="59" t="s">
        <v>2688</v>
      </c>
      <c r="K66" s="46">
        <v>22670000</v>
      </c>
      <c r="L66" s="2">
        <v>44601</v>
      </c>
      <c r="M66" s="2" t="s">
        <v>3923</v>
      </c>
      <c r="N66" s="32">
        <v>3136214678</v>
      </c>
      <c r="O66" s="32" t="s">
        <v>2689</v>
      </c>
      <c r="P66" s="38" t="s">
        <v>2683</v>
      </c>
    </row>
    <row r="67" spans="2:16" x14ac:dyDescent="0.25">
      <c r="B67" s="32">
        <v>56</v>
      </c>
      <c r="C67" s="229" t="s">
        <v>2690</v>
      </c>
      <c r="D67" s="229"/>
      <c r="E67" s="229"/>
      <c r="F67" s="229"/>
      <c r="G67" s="229"/>
      <c r="H67" s="229"/>
      <c r="I67" s="229"/>
      <c r="J67" s="59" t="s">
        <v>702</v>
      </c>
      <c r="K67" s="46">
        <v>2000000</v>
      </c>
      <c r="L67" s="2">
        <v>44601</v>
      </c>
      <c r="M67" s="32" t="s">
        <v>3923</v>
      </c>
      <c r="N67" s="32">
        <v>3137546144</v>
      </c>
      <c r="O67" s="32" t="s">
        <v>229</v>
      </c>
      <c r="P67" s="38" t="s">
        <v>2504</v>
      </c>
    </row>
    <row r="68" spans="2:16" ht="15" customHeight="1" x14ac:dyDescent="0.25">
      <c r="B68" s="32">
        <v>57</v>
      </c>
      <c r="C68" s="229" t="s">
        <v>2691</v>
      </c>
      <c r="D68" s="229"/>
      <c r="E68" s="229"/>
      <c r="F68" s="229"/>
      <c r="G68" s="229"/>
      <c r="H68" s="229"/>
      <c r="I68" s="229"/>
      <c r="J68" s="59" t="s">
        <v>1100</v>
      </c>
      <c r="K68" s="46">
        <v>500000</v>
      </c>
      <c r="L68" s="2">
        <v>44602</v>
      </c>
      <c r="M68" s="32"/>
      <c r="N68" s="32">
        <v>3014188503</v>
      </c>
      <c r="O68" s="32" t="s">
        <v>1101</v>
      </c>
      <c r="P68" s="38" t="s">
        <v>1102</v>
      </c>
    </row>
    <row r="69" spans="2:16" x14ac:dyDescent="0.25">
      <c r="B69" s="32">
        <v>58</v>
      </c>
      <c r="C69" s="229" t="s">
        <v>2692</v>
      </c>
      <c r="D69" s="229"/>
      <c r="E69" s="229"/>
      <c r="F69" s="229"/>
      <c r="G69" s="229"/>
      <c r="H69" s="229"/>
      <c r="I69" s="229"/>
      <c r="J69" s="59" t="s">
        <v>1574</v>
      </c>
      <c r="K69" s="46">
        <v>24960000</v>
      </c>
      <c r="L69" s="2">
        <v>44602</v>
      </c>
      <c r="M69" s="32"/>
      <c r="N69" s="32">
        <v>3003943395</v>
      </c>
      <c r="O69" s="32" t="s">
        <v>2693</v>
      </c>
      <c r="P69" s="52" t="s">
        <v>2694</v>
      </c>
    </row>
    <row r="70" spans="2:16" x14ac:dyDescent="0.25">
      <c r="B70" s="32">
        <v>59</v>
      </c>
      <c r="C70" s="263" t="s">
        <v>2695</v>
      </c>
      <c r="D70" s="229"/>
      <c r="E70" s="229"/>
      <c r="F70" s="229"/>
      <c r="G70" s="229"/>
      <c r="H70" s="229"/>
      <c r="I70" s="229"/>
      <c r="J70" s="59" t="s">
        <v>1574</v>
      </c>
      <c r="K70" s="46">
        <v>6520000</v>
      </c>
      <c r="L70" s="2">
        <v>44602</v>
      </c>
      <c r="M70" s="32"/>
      <c r="N70" s="32">
        <v>3003943395</v>
      </c>
      <c r="O70" s="32" t="s">
        <v>2693</v>
      </c>
      <c r="P70" s="52" t="s">
        <v>2694</v>
      </c>
    </row>
    <row r="71" spans="2:16" x14ac:dyDescent="0.25">
      <c r="B71" s="32">
        <v>60</v>
      </c>
      <c r="C71" s="229" t="s">
        <v>2696</v>
      </c>
      <c r="D71" s="229"/>
      <c r="E71" s="229"/>
      <c r="F71" s="229"/>
      <c r="G71" s="229"/>
      <c r="H71" s="229"/>
      <c r="I71" s="229"/>
      <c r="J71" s="59" t="s">
        <v>1139</v>
      </c>
      <c r="K71" s="46">
        <v>4950000</v>
      </c>
      <c r="L71" s="2">
        <v>44602</v>
      </c>
      <c r="M71" s="2"/>
      <c r="N71" s="32">
        <v>3003675022</v>
      </c>
      <c r="O71" s="32" t="s">
        <v>2697</v>
      </c>
      <c r="P71" s="52" t="s">
        <v>2698</v>
      </c>
    </row>
    <row r="72" spans="2:16" x14ac:dyDescent="0.25">
      <c r="B72" s="32">
        <v>61</v>
      </c>
      <c r="C72" s="229" t="s">
        <v>2699</v>
      </c>
      <c r="D72" s="229"/>
      <c r="E72" s="229"/>
      <c r="F72" s="229"/>
      <c r="G72" s="229"/>
      <c r="H72" s="229"/>
      <c r="I72" s="229"/>
      <c r="J72" s="59" t="s">
        <v>805</v>
      </c>
      <c r="K72" s="46">
        <v>11950000</v>
      </c>
      <c r="L72" s="2">
        <v>44602</v>
      </c>
      <c r="M72" s="32"/>
      <c r="N72" s="32" t="s">
        <v>2700</v>
      </c>
      <c r="O72" s="32" t="s">
        <v>2701</v>
      </c>
      <c r="P72" s="52" t="s">
        <v>2702</v>
      </c>
    </row>
    <row r="73" spans="2:16" x14ac:dyDescent="0.25">
      <c r="B73" s="32">
        <v>62</v>
      </c>
      <c r="C73" s="229" t="s">
        <v>2703</v>
      </c>
      <c r="D73" s="229"/>
      <c r="E73" s="229"/>
      <c r="F73" s="229"/>
      <c r="G73" s="229"/>
      <c r="H73" s="229"/>
      <c r="I73" s="229"/>
      <c r="J73" s="59" t="s">
        <v>823</v>
      </c>
      <c r="K73" s="46">
        <v>9850000</v>
      </c>
      <c r="L73" s="2">
        <v>44603</v>
      </c>
      <c r="M73" s="2" t="s">
        <v>3923</v>
      </c>
      <c r="N73" s="32" t="s">
        <v>2606</v>
      </c>
      <c r="O73" s="32" t="s">
        <v>2607</v>
      </c>
      <c r="P73" s="52" t="s">
        <v>2608</v>
      </c>
    </row>
    <row r="74" spans="2:16" x14ac:dyDescent="0.25">
      <c r="B74" s="32">
        <v>63</v>
      </c>
      <c r="C74" s="229" t="s">
        <v>2704</v>
      </c>
      <c r="D74" s="229"/>
      <c r="E74" s="229"/>
      <c r="F74" s="229"/>
      <c r="G74" s="229"/>
      <c r="H74" s="229"/>
      <c r="I74" s="229"/>
      <c r="J74" s="59" t="s">
        <v>2705</v>
      </c>
      <c r="K74" s="46">
        <v>1500000</v>
      </c>
      <c r="L74" s="2">
        <v>44603</v>
      </c>
      <c r="M74" s="32"/>
      <c r="N74" s="32"/>
      <c r="O74" s="32" t="s">
        <v>2706</v>
      </c>
      <c r="P74" s="52"/>
    </row>
    <row r="75" spans="2:16" x14ac:dyDescent="0.25">
      <c r="B75" s="32">
        <v>64</v>
      </c>
      <c r="C75" s="229" t="s">
        <v>2707</v>
      </c>
      <c r="D75" s="229"/>
      <c r="E75" s="229"/>
      <c r="F75" s="229"/>
      <c r="G75" s="229"/>
      <c r="H75" s="229"/>
      <c r="I75" s="229"/>
      <c r="J75" s="59" t="s">
        <v>702</v>
      </c>
      <c r="K75" s="46">
        <v>19950000</v>
      </c>
      <c r="L75" s="2">
        <v>44607</v>
      </c>
      <c r="M75" s="2"/>
      <c r="N75" s="32">
        <v>3003675022</v>
      </c>
      <c r="O75" s="32" t="s">
        <v>2599</v>
      </c>
      <c r="P75" s="38" t="s">
        <v>2600</v>
      </c>
    </row>
    <row r="76" spans="2:16" x14ac:dyDescent="0.25">
      <c r="B76" s="32">
        <v>65</v>
      </c>
      <c r="C76" s="229" t="s">
        <v>2708</v>
      </c>
      <c r="D76" s="229"/>
      <c r="E76" s="229"/>
      <c r="F76" s="229"/>
      <c r="G76" s="229"/>
      <c r="H76" s="229"/>
      <c r="I76" s="229"/>
      <c r="J76" s="59" t="s">
        <v>1535</v>
      </c>
      <c r="K76" s="46">
        <v>6960000</v>
      </c>
      <c r="L76" s="2">
        <v>44607</v>
      </c>
      <c r="M76" s="2"/>
      <c r="N76" s="32"/>
      <c r="O76" s="32" t="s">
        <v>2341</v>
      </c>
      <c r="P76" s="38" t="s">
        <v>2709</v>
      </c>
    </row>
    <row r="77" spans="2:16" x14ac:dyDescent="0.25">
      <c r="B77" s="32">
        <v>66</v>
      </c>
      <c r="C77" s="229" t="s">
        <v>2710</v>
      </c>
      <c r="D77" s="229"/>
      <c r="E77" s="229"/>
      <c r="F77" s="229"/>
      <c r="G77" s="229"/>
      <c r="H77" s="229"/>
      <c r="I77" s="229"/>
      <c r="J77" s="59" t="s">
        <v>2711</v>
      </c>
      <c r="K77" s="46">
        <v>17990000</v>
      </c>
      <c r="L77" s="2">
        <v>44607</v>
      </c>
      <c r="M77" s="2"/>
      <c r="N77" s="32">
        <v>3183832571</v>
      </c>
      <c r="O77" s="32" t="s">
        <v>2712</v>
      </c>
      <c r="P77" s="38" t="s">
        <v>2713</v>
      </c>
    </row>
    <row r="78" spans="2:16" x14ac:dyDescent="0.25">
      <c r="B78" s="32">
        <v>67</v>
      </c>
      <c r="C78" s="263" t="s">
        <v>2714</v>
      </c>
      <c r="D78" s="229"/>
      <c r="E78" s="229"/>
      <c r="F78" s="229"/>
      <c r="G78" s="229"/>
      <c r="H78" s="229"/>
      <c r="I78" s="229"/>
      <c r="J78" s="59" t="s">
        <v>2715</v>
      </c>
      <c r="K78" s="46">
        <v>1250000</v>
      </c>
      <c r="L78" s="2">
        <v>44609</v>
      </c>
      <c r="M78" s="32"/>
      <c r="N78" s="32"/>
      <c r="O78" s="32" t="s">
        <v>2626</v>
      </c>
      <c r="P78" s="38"/>
    </row>
    <row r="79" spans="2:16" x14ac:dyDescent="0.25">
      <c r="B79" s="32">
        <v>68</v>
      </c>
      <c r="C79" s="229" t="s">
        <v>2716</v>
      </c>
      <c r="D79" s="229"/>
      <c r="E79" s="229"/>
      <c r="F79" s="229"/>
      <c r="G79" s="229"/>
      <c r="H79" s="229"/>
      <c r="I79" s="229"/>
      <c r="J79" s="59" t="s">
        <v>2717</v>
      </c>
      <c r="K79" s="46">
        <v>16100000</v>
      </c>
      <c r="L79" s="2">
        <v>44609</v>
      </c>
      <c r="M79" s="2"/>
      <c r="N79" s="32">
        <v>3135178966</v>
      </c>
      <c r="O79" s="32" t="s">
        <v>2718</v>
      </c>
      <c r="P79" s="38" t="s">
        <v>2719</v>
      </c>
    </row>
    <row r="80" spans="2:16" x14ac:dyDescent="0.25">
      <c r="B80" s="32">
        <v>69</v>
      </c>
      <c r="C80" s="263" t="s">
        <v>2720</v>
      </c>
      <c r="D80" s="229"/>
      <c r="E80" s="229"/>
      <c r="F80" s="229"/>
      <c r="G80" s="229"/>
      <c r="H80" s="229"/>
      <c r="I80" s="229"/>
      <c r="J80" s="59" t="s">
        <v>1574</v>
      </c>
      <c r="K80" s="46">
        <v>17950000</v>
      </c>
      <c r="L80" s="2">
        <v>44609</v>
      </c>
      <c r="M80" s="2"/>
      <c r="N80" s="32">
        <v>3003943395</v>
      </c>
      <c r="O80" s="32" t="s">
        <v>2693</v>
      </c>
      <c r="P80" s="52" t="s">
        <v>2694</v>
      </c>
    </row>
    <row r="81" spans="2:16" x14ac:dyDescent="0.25">
      <c r="B81" s="32">
        <v>70</v>
      </c>
      <c r="C81" s="229" t="s">
        <v>2721</v>
      </c>
      <c r="D81" s="229"/>
      <c r="E81" s="229"/>
      <c r="F81" s="229"/>
      <c r="G81" s="229"/>
      <c r="H81" s="229"/>
      <c r="I81" s="229"/>
      <c r="J81" s="59" t="s">
        <v>2722</v>
      </c>
      <c r="K81" s="46">
        <v>29900000</v>
      </c>
      <c r="L81" s="2">
        <v>44609</v>
      </c>
      <c r="M81" s="32"/>
      <c r="N81" s="32">
        <v>3004659012</v>
      </c>
      <c r="O81" s="32" t="s">
        <v>2723</v>
      </c>
      <c r="P81" s="52" t="s">
        <v>1748</v>
      </c>
    </row>
    <row r="82" spans="2:16" x14ac:dyDescent="0.25">
      <c r="B82" s="32">
        <v>71</v>
      </c>
      <c r="C82" s="229" t="s">
        <v>2290</v>
      </c>
      <c r="D82" s="229"/>
      <c r="E82" s="229"/>
      <c r="F82" s="229"/>
      <c r="G82" s="229"/>
      <c r="H82" s="229"/>
      <c r="I82" s="229"/>
      <c r="J82" s="59" t="s">
        <v>2724</v>
      </c>
      <c r="K82" s="46">
        <v>3260000</v>
      </c>
      <c r="L82" s="2">
        <v>44582</v>
      </c>
      <c r="M82" s="2"/>
      <c r="N82" s="32">
        <v>3116725581</v>
      </c>
      <c r="O82" s="32" t="s">
        <v>2725</v>
      </c>
      <c r="P82" s="38" t="s">
        <v>2293</v>
      </c>
    </row>
    <row r="83" spans="2:16" x14ac:dyDescent="0.25">
      <c r="B83" s="32">
        <v>72</v>
      </c>
      <c r="C83" s="263" t="s">
        <v>2726</v>
      </c>
      <c r="D83" s="229"/>
      <c r="E83" s="229"/>
      <c r="F83" s="229"/>
      <c r="G83" s="229"/>
      <c r="H83" s="229"/>
      <c r="I83" s="229"/>
      <c r="J83" s="59" t="s">
        <v>1100</v>
      </c>
      <c r="K83" s="46">
        <v>2800000</v>
      </c>
      <c r="L83" s="2">
        <v>44614</v>
      </c>
      <c r="M83" s="32"/>
      <c r="N83" s="32">
        <v>3014188503</v>
      </c>
      <c r="O83" s="32" t="s">
        <v>1101</v>
      </c>
      <c r="P83" s="38" t="s">
        <v>1102</v>
      </c>
    </row>
    <row r="84" spans="2:16" x14ac:dyDescent="0.25">
      <c r="B84" s="32">
        <v>73</v>
      </c>
      <c r="C84" s="229" t="s">
        <v>2727</v>
      </c>
      <c r="D84" s="229"/>
      <c r="E84" s="229"/>
      <c r="F84" s="229"/>
      <c r="G84" s="229"/>
      <c r="H84" s="229"/>
      <c r="I84" s="229"/>
      <c r="J84" s="59" t="s">
        <v>2728</v>
      </c>
      <c r="K84" s="46">
        <v>2950000</v>
      </c>
      <c r="L84" s="2">
        <v>44614</v>
      </c>
      <c r="M84" s="32"/>
      <c r="N84" s="32"/>
      <c r="O84" s="32" t="s">
        <v>2729</v>
      </c>
      <c r="P84" s="52" t="s">
        <v>2730</v>
      </c>
    </row>
    <row r="85" spans="2:16" x14ac:dyDescent="0.25">
      <c r="B85" s="32">
        <v>74</v>
      </c>
      <c r="C85" s="229" t="s">
        <v>2731</v>
      </c>
      <c r="D85" s="229"/>
      <c r="E85" s="229"/>
      <c r="F85" s="229"/>
      <c r="G85" s="229"/>
      <c r="H85" s="229"/>
      <c r="I85" s="229"/>
      <c r="J85" s="59" t="s">
        <v>851</v>
      </c>
      <c r="K85" s="46">
        <v>3950000</v>
      </c>
      <c r="L85" s="2">
        <v>44615</v>
      </c>
      <c r="M85" s="32"/>
      <c r="N85" s="32">
        <v>3206678830</v>
      </c>
      <c r="O85" s="32" t="s">
        <v>284</v>
      </c>
      <c r="P85" s="52" t="s">
        <v>948</v>
      </c>
    </row>
    <row r="86" spans="2:16" x14ac:dyDescent="0.25">
      <c r="B86" s="32">
        <v>75</v>
      </c>
      <c r="C86" s="229" t="s">
        <v>2732</v>
      </c>
      <c r="D86" s="229"/>
      <c r="E86" s="229"/>
      <c r="F86" s="229"/>
      <c r="G86" s="229"/>
      <c r="H86" s="229"/>
      <c r="I86" s="229"/>
      <c r="J86" s="59" t="s">
        <v>851</v>
      </c>
      <c r="K86" s="46">
        <v>9500000</v>
      </c>
      <c r="L86" s="2">
        <v>44615</v>
      </c>
      <c r="M86" s="32"/>
      <c r="N86" s="32">
        <v>3206678830</v>
      </c>
      <c r="O86" s="32" t="s">
        <v>284</v>
      </c>
      <c r="P86" s="52" t="s">
        <v>948</v>
      </c>
    </row>
    <row r="87" spans="2:16" x14ac:dyDescent="0.25">
      <c r="B87" s="32">
        <v>76</v>
      </c>
      <c r="C87" s="229" t="s">
        <v>2733</v>
      </c>
      <c r="D87" s="229"/>
      <c r="E87" s="229"/>
      <c r="F87" s="229"/>
      <c r="G87" s="229"/>
      <c r="H87" s="229"/>
      <c r="I87" s="229"/>
      <c r="J87" s="59" t="s">
        <v>826</v>
      </c>
      <c r="K87" s="46">
        <v>11950000</v>
      </c>
      <c r="L87" s="2">
        <v>44615</v>
      </c>
      <c r="M87" s="32"/>
      <c r="N87" s="32"/>
      <c r="O87" s="32" t="s">
        <v>2734</v>
      </c>
      <c r="P87" s="52" t="s">
        <v>2735</v>
      </c>
    </row>
    <row r="88" spans="2:16" x14ac:dyDescent="0.25">
      <c r="B88" s="32">
        <v>77</v>
      </c>
      <c r="C88" s="263" t="s">
        <v>2736</v>
      </c>
      <c r="D88" s="229"/>
      <c r="E88" s="229"/>
      <c r="F88" s="229"/>
      <c r="G88" s="229"/>
      <c r="H88" s="229"/>
      <c r="I88" s="229"/>
      <c r="J88" s="59" t="s">
        <v>2737</v>
      </c>
      <c r="K88" s="46">
        <v>3750000</v>
      </c>
      <c r="L88" s="2">
        <v>44616</v>
      </c>
      <c r="M88" s="32"/>
      <c r="N88" s="32"/>
      <c r="O88" s="32"/>
      <c r="P88" s="75"/>
    </row>
    <row r="89" spans="2:16" x14ac:dyDescent="0.25">
      <c r="B89" s="32">
        <v>78</v>
      </c>
      <c r="C89" s="229" t="s">
        <v>2738</v>
      </c>
      <c r="D89" s="229"/>
      <c r="E89" s="229"/>
      <c r="F89" s="229"/>
      <c r="G89" s="229"/>
      <c r="H89" s="229"/>
      <c r="I89" s="229"/>
      <c r="J89" s="59" t="s">
        <v>2739</v>
      </c>
      <c r="K89" s="46">
        <v>2260000</v>
      </c>
      <c r="L89" s="2">
        <v>44616</v>
      </c>
      <c r="M89" s="32"/>
      <c r="N89" s="32"/>
      <c r="O89" s="32" t="s">
        <v>2740</v>
      </c>
      <c r="P89" s="38" t="s">
        <v>2741</v>
      </c>
    </row>
    <row r="90" spans="2:16" x14ac:dyDescent="0.25">
      <c r="B90" s="32">
        <v>79</v>
      </c>
      <c r="C90" s="229" t="s">
        <v>2742</v>
      </c>
      <c r="D90" s="229"/>
      <c r="E90" s="229"/>
      <c r="F90" s="229"/>
      <c r="G90" s="229"/>
      <c r="H90" s="229"/>
      <c r="I90" s="229"/>
      <c r="J90" s="59" t="s">
        <v>2743</v>
      </c>
      <c r="K90" s="46">
        <v>4950000</v>
      </c>
      <c r="L90" s="2">
        <v>44616</v>
      </c>
      <c r="M90" s="32" t="s">
        <v>3923</v>
      </c>
      <c r="N90" s="32"/>
      <c r="O90" s="32" t="s">
        <v>2045</v>
      </c>
      <c r="P90" s="38" t="s">
        <v>748</v>
      </c>
    </row>
    <row r="91" spans="2:16" x14ac:dyDescent="0.25">
      <c r="B91" s="32">
        <v>80</v>
      </c>
      <c r="C91" s="229" t="s">
        <v>2744</v>
      </c>
      <c r="D91" s="229"/>
      <c r="E91" s="229"/>
      <c r="F91" s="229"/>
      <c r="G91" s="229"/>
      <c r="H91" s="229"/>
      <c r="I91" s="229"/>
      <c r="J91" s="59" t="s">
        <v>702</v>
      </c>
      <c r="K91" s="46">
        <v>4890000</v>
      </c>
      <c r="L91" s="2">
        <v>44616</v>
      </c>
      <c r="M91" s="32" t="s">
        <v>3923</v>
      </c>
      <c r="N91" s="32" t="s">
        <v>2745</v>
      </c>
      <c r="O91" s="32" t="s">
        <v>2746</v>
      </c>
      <c r="P91" s="52" t="s">
        <v>703</v>
      </c>
    </row>
    <row r="92" spans="2:16" x14ac:dyDescent="0.25">
      <c r="B92" s="32">
        <v>81</v>
      </c>
      <c r="C92" s="229" t="s">
        <v>2747</v>
      </c>
      <c r="D92" s="229"/>
      <c r="E92" s="229"/>
      <c r="F92" s="229"/>
      <c r="G92" s="229"/>
      <c r="H92" s="229"/>
      <c r="I92" s="229"/>
      <c r="J92" s="59" t="s">
        <v>702</v>
      </c>
      <c r="K92" s="46">
        <v>49990000</v>
      </c>
      <c r="L92" s="2">
        <v>44617</v>
      </c>
      <c r="M92" s="32"/>
      <c r="N92" s="32" t="s">
        <v>2036</v>
      </c>
      <c r="O92" s="32" t="s">
        <v>2748</v>
      </c>
      <c r="P92" s="52" t="s">
        <v>2600</v>
      </c>
    </row>
    <row r="93" spans="2:16" x14ac:dyDescent="0.25">
      <c r="B93" s="32">
        <v>82</v>
      </c>
      <c r="C93" s="263" t="s">
        <v>2749</v>
      </c>
      <c r="D93" s="229"/>
      <c r="E93" s="229"/>
      <c r="F93" s="229"/>
      <c r="G93" s="229"/>
      <c r="H93" s="229"/>
      <c r="I93" s="229"/>
      <c r="J93" s="59" t="s">
        <v>2750</v>
      </c>
      <c r="K93" s="46">
        <v>7500000</v>
      </c>
      <c r="L93" s="2">
        <v>44620</v>
      </c>
      <c r="M93" s="32"/>
      <c r="N93" s="32" t="s">
        <v>2751</v>
      </c>
      <c r="O93" s="32" t="s">
        <v>2752</v>
      </c>
      <c r="P93" s="52" t="s">
        <v>2753</v>
      </c>
    </row>
    <row r="94" spans="2:16" x14ac:dyDescent="0.25">
      <c r="B94" s="32">
        <v>83</v>
      </c>
      <c r="C94" s="229" t="s">
        <v>2754</v>
      </c>
      <c r="D94" s="229"/>
      <c r="E94" s="229"/>
      <c r="F94" s="229"/>
      <c r="G94" s="229"/>
      <c r="H94" s="229"/>
      <c r="I94" s="229"/>
      <c r="J94" s="59" t="s">
        <v>712</v>
      </c>
      <c r="K94" s="46">
        <v>680000</v>
      </c>
      <c r="L94" s="2">
        <v>44628</v>
      </c>
      <c r="M94" s="35"/>
      <c r="N94" s="32"/>
      <c r="O94" s="32" t="s">
        <v>2055</v>
      </c>
      <c r="P94" s="38" t="s">
        <v>713</v>
      </c>
    </row>
    <row r="95" spans="2:16" x14ac:dyDescent="0.25">
      <c r="B95" s="32">
        <v>84</v>
      </c>
      <c r="C95" s="263" t="s">
        <v>2755</v>
      </c>
      <c r="D95" s="229"/>
      <c r="E95" s="229"/>
      <c r="F95" s="229"/>
      <c r="G95" s="229"/>
      <c r="H95" s="229"/>
      <c r="I95" s="229"/>
      <c r="J95" s="59" t="s">
        <v>712</v>
      </c>
      <c r="K95" s="46">
        <v>1250000</v>
      </c>
      <c r="L95" s="2">
        <v>44628</v>
      </c>
      <c r="M95" s="32"/>
      <c r="N95" s="32"/>
      <c r="O95" s="32" t="s">
        <v>2055</v>
      </c>
      <c r="P95" s="52" t="s">
        <v>713</v>
      </c>
    </row>
    <row r="96" spans="2:16" x14ac:dyDescent="0.25">
      <c r="B96" s="32">
        <v>85</v>
      </c>
      <c r="C96" s="229" t="s">
        <v>2756</v>
      </c>
      <c r="D96" s="229"/>
      <c r="E96" s="229"/>
      <c r="F96" s="229"/>
      <c r="G96" s="229"/>
      <c r="H96" s="229"/>
      <c r="I96" s="229"/>
      <c r="J96" s="59" t="s">
        <v>2757</v>
      </c>
      <c r="K96" s="46">
        <v>2950000</v>
      </c>
      <c r="L96" s="2">
        <v>44622</v>
      </c>
      <c r="M96" s="2"/>
      <c r="N96" s="32">
        <v>2357612</v>
      </c>
      <c r="O96" s="32" t="s">
        <v>2758</v>
      </c>
      <c r="P96" s="52" t="s">
        <v>1854</v>
      </c>
    </row>
    <row r="97" spans="2:16" x14ac:dyDescent="0.25">
      <c r="B97" s="32">
        <v>86</v>
      </c>
      <c r="C97" s="229" t="s">
        <v>2759</v>
      </c>
      <c r="D97" s="229"/>
      <c r="E97" s="229"/>
      <c r="F97" s="229"/>
      <c r="G97" s="229"/>
      <c r="H97" s="229"/>
      <c r="I97" s="229"/>
      <c r="J97" s="59" t="s">
        <v>702</v>
      </c>
      <c r="K97" s="46" t="s">
        <v>2492</v>
      </c>
      <c r="L97" s="2">
        <v>44628</v>
      </c>
      <c r="M97" s="32"/>
      <c r="N97" s="51">
        <v>3104165783</v>
      </c>
      <c r="O97" s="32" t="s">
        <v>2760</v>
      </c>
      <c r="P97" s="52" t="s">
        <v>2761</v>
      </c>
    </row>
    <row r="98" spans="2:16" x14ac:dyDescent="0.25">
      <c r="B98" s="32">
        <v>87</v>
      </c>
      <c r="C98" s="229" t="s">
        <v>2762</v>
      </c>
      <c r="D98" s="229"/>
      <c r="E98" s="229"/>
      <c r="F98" s="229"/>
      <c r="G98" s="229"/>
      <c r="H98" s="229"/>
      <c r="I98" s="229"/>
      <c r="J98" s="59" t="s">
        <v>2200</v>
      </c>
      <c r="K98" s="46">
        <v>2850000</v>
      </c>
      <c r="L98" s="2">
        <v>44627</v>
      </c>
      <c r="M98" s="32"/>
      <c r="N98" s="32">
        <v>4801300</v>
      </c>
      <c r="O98" s="32" t="s">
        <v>2763</v>
      </c>
      <c r="P98" s="52" t="s">
        <v>2764</v>
      </c>
    </row>
    <row r="99" spans="2:16" x14ac:dyDescent="0.25">
      <c r="B99" s="32">
        <v>88</v>
      </c>
      <c r="C99" s="229" t="s">
        <v>2765</v>
      </c>
      <c r="D99" s="229"/>
      <c r="E99" s="229"/>
      <c r="F99" s="229"/>
      <c r="G99" s="229"/>
      <c r="H99" s="229"/>
      <c r="I99" s="229"/>
      <c r="J99" s="59" t="s">
        <v>702</v>
      </c>
      <c r="K99" s="46">
        <v>12500000</v>
      </c>
      <c r="L99" s="2">
        <v>44628</v>
      </c>
      <c r="M99" s="32" t="s">
        <v>3923</v>
      </c>
      <c r="N99" s="32">
        <v>3137546144</v>
      </c>
      <c r="O99" s="32" t="s">
        <v>229</v>
      </c>
      <c r="P99" s="38" t="s">
        <v>2504</v>
      </c>
    </row>
    <row r="100" spans="2:16" x14ac:dyDescent="0.25">
      <c r="B100" s="32">
        <v>89</v>
      </c>
      <c r="C100" s="229" t="s">
        <v>2766</v>
      </c>
      <c r="D100" s="229"/>
      <c r="E100" s="229"/>
      <c r="F100" s="229"/>
      <c r="G100" s="229"/>
      <c r="H100" s="229"/>
      <c r="I100" s="229"/>
      <c r="J100" s="59" t="s">
        <v>2767</v>
      </c>
      <c r="K100" s="46">
        <v>16250000</v>
      </c>
      <c r="L100" s="2">
        <v>44627</v>
      </c>
      <c r="M100" s="32"/>
      <c r="N100" s="32"/>
      <c r="O100" s="32" t="s">
        <v>2768</v>
      </c>
      <c r="P100" s="52"/>
    </row>
    <row r="101" spans="2:16" x14ac:dyDescent="0.25">
      <c r="B101" s="32">
        <v>90</v>
      </c>
      <c r="C101" s="271" t="s">
        <v>2769</v>
      </c>
      <c r="D101" s="272"/>
      <c r="E101" s="272"/>
      <c r="F101" s="272"/>
      <c r="G101" s="272"/>
      <c r="H101" s="272"/>
      <c r="I101" s="272"/>
      <c r="J101" s="59" t="s">
        <v>1659</v>
      </c>
      <c r="K101" s="46">
        <v>19950000</v>
      </c>
      <c r="L101" s="2">
        <v>44628</v>
      </c>
      <c r="M101" s="32"/>
      <c r="N101" s="32" t="s">
        <v>2770</v>
      </c>
      <c r="O101" s="32" t="s">
        <v>196</v>
      </c>
      <c r="P101" s="52" t="s">
        <v>2771</v>
      </c>
    </row>
    <row r="102" spans="2:16" x14ac:dyDescent="0.25">
      <c r="B102" s="32">
        <v>91</v>
      </c>
      <c r="C102" s="229" t="s">
        <v>2772</v>
      </c>
      <c r="D102" s="229"/>
      <c r="E102" s="229"/>
      <c r="F102" s="229"/>
      <c r="G102" s="229"/>
      <c r="H102" s="229"/>
      <c r="I102" s="229"/>
      <c r="J102" s="59" t="s">
        <v>2773</v>
      </c>
      <c r="K102" s="46">
        <v>9500000</v>
      </c>
      <c r="L102" s="2">
        <v>44628</v>
      </c>
      <c r="M102" s="32"/>
      <c r="N102" s="32" t="s">
        <v>2774</v>
      </c>
      <c r="O102" s="39" t="s">
        <v>2775</v>
      </c>
      <c r="P102" s="52" t="s">
        <v>2776</v>
      </c>
    </row>
    <row r="103" spans="2:16" x14ac:dyDescent="0.25">
      <c r="B103" s="32">
        <v>92</v>
      </c>
      <c r="C103" s="229" t="s">
        <v>2777</v>
      </c>
      <c r="D103" s="229"/>
      <c r="E103" s="229"/>
      <c r="F103" s="229"/>
      <c r="G103" s="229"/>
      <c r="H103" s="229"/>
      <c r="I103" s="229"/>
      <c r="J103" s="59" t="s">
        <v>2773</v>
      </c>
      <c r="K103" s="46">
        <v>3500000</v>
      </c>
      <c r="L103" s="2">
        <v>44628</v>
      </c>
      <c r="M103" s="32"/>
      <c r="N103" s="32" t="s">
        <v>2774</v>
      </c>
      <c r="O103" s="39" t="s">
        <v>2775</v>
      </c>
      <c r="P103" s="52" t="s">
        <v>2776</v>
      </c>
    </row>
    <row r="104" spans="2:16" x14ac:dyDescent="0.25">
      <c r="B104" s="32">
        <v>93</v>
      </c>
      <c r="C104" s="229" t="s">
        <v>2778</v>
      </c>
      <c r="D104" s="229"/>
      <c r="E104" s="229"/>
      <c r="F104" s="229"/>
      <c r="G104" s="229"/>
      <c r="H104" s="229"/>
      <c r="I104" s="229"/>
      <c r="J104" s="59" t="s">
        <v>2779</v>
      </c>
      <c r="K104" s="46">
        <v>2990000</v>
      </c>
      <c r="L104" s="2">
        <v>44628</v>
      </c>
      <c r="M104" s="32" t="s">
        <v>3923</v>
      </c>
      <c r="N104" s="32">
        <v>4483960</v>
      </c>
      <c r="O104" s="78" t="s">
        <v>2353</v>
      </c>
      <c r="P104" s="52" t="s">
        <v>1806</v>
      </c>
    </row>
    <row r="105" spans="2:16" x14ac:dyDescent="0.25">
      <c r="B105" s="32">
        <v>94</v>
      </c>
      <c r="C105" s="263" t="s">
        <v>5037</v>
      </c>
      <c r="D105" s="229"/>
      <c r="E105" s="229"/>
      <c r="F105" s="229"/>
      <c r="G105" s="229"/>
      <c r="H105" s="229"/>
      <c r="I105" s="229"/>
      <c r="J105" s="59" t="s">
        <v>2780</v>
      </c>
      <c r="K105" s="46">
        <v>3500000</v>
      </c>
      <c r="L105" s="2">
        <v>44628</v>
      </c>
      <c r="M105" s="2" t="s">
        <v>3923</v>
      </c>
      <c r="N105" s="32" t="s">
        <v>2781</v>
      </c>
      <c r="O105" s="32" t="s">
        <v>2782</v>
      </c>
      <c r="P105" s="52" t="s">
        <v>2783</v>
      </c>
    </row>
    <row r="106" spans="2:16" x14ac:dyDescent="0.25">
      <c r="B106" s="32">
        <v>95</v>
      </c>
      <c r="C106" s="229" t="s">
        <v>2784</v>
      </c>
      <c r="D106" s="229"/>
      <c r="E106" s="229"/>
      <c r="F106" s="229"/>
      <c r="G106" s="229"/>
      <c r="H106" s="229"/>
      <c r="I106" s="229"/>
      <c r="J106" s="59" t="s">
        <v>2785</v>
      </c>
      <c r="K106" s="46" t="s">
        <v>150</v>
      </c>
      <c r="L106" s="2">
        <v>44628</v>
      </c>
      <c r="M106" s="32"/>
      <c r="N106" s="32">
        <v>3147743362</v>
      </c>
      <c r="O106" s="32" t="s">
        <v>2786</v>
      </c>
      <c r="P106" s="52" t="s">
        <v>2787</v>
      </c>
    </row>
    <row r="107" spans="2:16" x14ac:dyDescent="0.25">
      <c r="B107" s="32">
        <v>96</v>
      </c>
      <c r="C107" s="229" t="s">
        <v>2788</v>
      </c>
      <c r="D107" s="229"/>
      <c r="E107" s="229"/>
      <c r="F107" s="229"/>
      <c r="G107" s="229"/>
      <c r="H107" s="229"/>
      <c r="I107" s="229"/>
      <c r="J107" s="59" t="s">
        <v>2200</v>
      </c>
      <c r="K107" s="46">
        <v>9900000</v>
      </c>
      <c r="L107" s="2">
        <v>44628</v>
      </c>
      <c r="M107" s="32" t="s">
        <v>3923</v>
      </c>
      <c r="N107" s="32" t="s">
        <v>2789</v>
      </c>
      <c r="O107" s="32" t="s">
        <v>2790</v>
      </c>
      <c r="P107" s="52" t="s">
        <v>2791</v>
      </c>
    </row>
    <row r="108" spans="2:16" x14ac:dyDescent="0.25">
      <c r="B108" s="32">
        <v>97</v>
      </c>
      <c r="C108" s="229" t="s">
        <v>2792</v>
      </c>
      <c r="D108" s="229"/>
      <c r="E108" s="229"/>
      <c r="F108" s="229"/>
      <c r="G108" s="229"/>
      <c r="H108" s="229"/>
      <c r="I108" s="229"/>
      <c r="J108" s="59" t="s">
        <v>2793</v>
      </c>
      <c r="K108" s="46">
        <v>7550000</v>
      </c>
      <c r="L108" s="2">
        <v>44630</v>
      </c>
      <c r="M108" s="32"/>
      <c r="N108" s="32" t="s">
        <v>2301</v>
      </c>
      <c r="O108" s="32" t="s">
        <v>2302</v>
      </c>
      <c r="P108" s="38" t="s">
        <v>2303</v>
      </c>
    </row>
    <row r="109" spans="2:16" x14ac:dyDescent="0.25">
      <c r="B109" s="32">
        <v>98</v>
      </c>
      <c r="C109" s="229" t="s">
        <v>2794</v>
      </c>
      <c r="D109" s="229"/>
      <c r="E109" s="229"/>
      <c r="F109" s="229"/>
      <c r="G109" s="229"/>
      <c r="H109" s="229"/>
      <c r="I109" s="229"/>
      <c r="J109" s="59" t="s">
        <v>2795</v>
      </c>
      <c r="K109" s="46">
        <v>39950000</v>
      </c>
      <c r="L109" s="2">
        <v>44630</v>
      </c>
      <c r="M109" s="32"/>
      <c r="N109" s="32">
        <v>3117997210</v>
      </c>
      <c r="O109" s="32" t="s">
        <v>2796</v>
      </c>
      <c r="P109" s="52" t="s">
        <v>2797</v>
      </c>
    </row>
    <row r="110" spans="2:16" x14ac:dyDescent="0.25">
      <c r="B110" s="32">
        <v>99</v>
      </c>
      <c r="C110" s="229" t="s">
        <v>2798</v>
      </c>
      <c r="D110" s="229"/>
      <c r="E110" s="229"/>
      <c r="F110" s="229"/>
      <c r="G110" s="229"/>
      <c r="H110" s="229"/>
      <c r="I110" s="229"/>
      <c r="J110" s="59" t="s">
        <v>702</v>
      </c>
      <c r="K110" s="46">
        <v>29900000</v>
      </c>
      <c r="L110" s="2">
        <v>44634</v>
      </c>
      <c r="M110" s="2"/>
      <c r="N110" s="32" t="s">
        <v>2036</v>
      </c>
      <c r="O110" s="32" t="s">
        <v>2748</v>
      </c>
      <c r="P110" s="52" t="s">
        <v>2600</v>
      </c>
    </row>
    <row r="111" spans="2:16" x14ac:dyDescent="0.25">
      <c r="B111" s="32">
        <v>100</v>
      </c>
      <c r="C111" s="229" t="s">
        <v>2799</v>
      </c>
      <c r="D111" s="229"/>
      <c r="E111" s="229"/>
      <c r="F111" s="229"/>
      <c r="G111" s="229"/>
      <c r="H111" s="229"/>
      <c r="I111" s="229"/>
      <c r="J111" s="59" t="s">
        <v>712</v>
      </c>
      <c r="K111" s="46">
        <v>2500000</v>
      </c>
      <c r="L111" s="2">
        <v>44634</v>
      </c>
      <c r="M111" s="32"/>
      <c r="N111" s="32"/>
      <c r="O111" s="32" t="s">
        <v>2800</v>
      </c>
      <c r="P111" s="52" t="s">
        <v>2801</v>
      </c>
    </row>
    <row r="112" spans="2:16" x14ac:dyDescent="0.25">
      <c r="B112" s="32">
        <v>101</v>
      </c>
      <c r="C112" s="229" t="s">
        <v>2802</v>
      </c>
      <c r="D112" s="229"/>
      <c r="E112" s="229"/>
      <c r="F112" s="229"/>
      <c r="G112" s="229"/>
      <c r="H112" s="229"/>
      <c r="I112" s="229"/>
      <c r="J112" s="59" t="s">
        <v>890</v>
      </c>
      <c r="K112" s="46">
        <v>6270000</v>
      </c>
      <c r="L112" s="2">
        <v>44635</v>
      </c>
      <c r="M112" s="32" t="s">
        <v>3923</v>
      </c>
      <c r="N112" s="32"/>
      <c r="O112" s="32" t="s">
        <v>989</v>
      </c>
      <c r="P112" s="52" t="s">
        <v>990</v>
      </c>
    </row>
    <row r="113" spans="2:16" x14ac:dyDescent="0.25">
      <c r="B113" s="32">
        <v>102</v>
      </c>
      <c r="C113" s="263" t="s">
        <v>2803</v>
      </c>
      <c r="D113" s="229"/>
      <c r="E113" s="229"/>
      <c r="F113" s="229"/>
      <c r="G113" s="229"/>
      <c r="H113" s="229"/>
      <c r="I113" s="229"/>
      <c r="J113" s="59" t="s">
        <v>890</v>
      </c>
      <c r="K113" s="46">
        <v>9910000</v>
      </c>
      <c r="L113" s="2">
        <v>44635</v>
      </c>
      <c r="M113" s="32"/>
      <c r="N113" s="32"/>
      <c r="O113" s="32" t="s">
        <v>989</v>
      </c>
      <c r="P113" s="52" t="s">
        <v>990</v>
      </c>
    </row>
    <row r="114" spans="2:16" x14ac:dyDescent="0.25">
      <c r="B114" s="32">
        <v>103</v>
      </c>
      <c r="C114" s="229" t="s">
        <v>2804</v>
      </c>
      <c r="D114" s="229"/>
      <c r="E114" s="229"/>
      <c r="F114" s="229"/>
      <c r="G114" s="229"/>
      <c r="H114" s="229"/>
      <c r="I114" s="229"/>
      <c r="J114" s="59" t="s">
        <v>851</v>
      </c>
      <c r="K114" s="46">
        <v>11950000</v>
      </c>
      <c r="L114" s="2">
        <v>44635</v>
      </c>
      <c r="M114" s="32"/>
      <c r="N114" s="32">
        <v>3217011017</v>
      </c>
      <c r="O114" s="32" t="s">
        <v>2805</v>
      </c>
      <c r="P114" s="52" t="s">
        <v>2806</v>
      </c>
    </row>
    <row r="115" spans="2:16" x14ac:dyDescent="0.25">
      <c r="B115" s="32">
        <v>104</v>
      </c>
      <c r="C115" s="229" t="s">
        <v>2807</v>
      </c>
      <c r="D115" s="229"/>
      <c r="E115" s="229"/>
      <c r="F115" s="229"/>
      <c r="G115" s="229"/>
      <c r="H115" s="229"/>
      <c r="I115" s="229"/>
      <c r="J115" s="59" t="s">
        <v>2808</v>
      </c>
      <c r="K115" s="46">
        <v>5000000</v>
      </c>
      <c r="L115" s="2">
        <v>44635</v>
      </c>
      <c r="M115" s="32" t="s">
        <v>3923</v>
      </c>
      <c r="N115" s="32" t="s">
        <v>2809</v>
      </c>
      <c r="O115" s="32" t="s">
        <v>1359</v>
      </c>
      <c r="P115" s="52" t="s">
        <v>2810</v>
      </c>
    </row>
    <row r="116" spans="2:16" x14ac:dyDescent="0.25">
      <c r="B116" s="32">
        <v>105</v>
      </c>
      <c r="C116" s="229" t="s">
        <v>2811</v>
      </c>
      <c r="D116" s="229"/>
      <c r="E116" s="229"/>
      <c r="F116" s="229"/>
      <c r="G116" s="229"/>
      <c r="H116" s="229"/>
      <c r="I116" s="229"/>
      <c r="J116" s="59" t="s">
        <v>702</v>
      </c>
      <c r="K116" s="46">
        <v>29470000</v>
      </c>
      <c r="L116" s="2">
        <v>44636</v>
      </c>
      <c r="M116" s="32"/>
      <c r="N116" s="32"/>
      <c r="O116" s="32"/>
      <c r="P116" s="52"/>
    </row>
    <row r="117" spans="2:16" x14ac:dyDescent="0.25">
      <c r="B117" s="32">
        <v>106</v>
      </c>
      <c r="C117" s="229" t="s">
        <v>2812</v>
      </c>
      <c r="D117" s="229"/>
      <c r="E117" s="229"/>
      <c r="F117" s="229"/>
      <c r="G117" s="229"/>
      <c r="H117" s="229"/>
      <c r="I117" s="229"/>
      <c r="J117" s="59" t="s">
        <v>2590</v>
      </c>
      <c r="K117" s="46">
        <v>7700000</v>
      </c>
      <c r="L117" s="2">
        <v>44636</v>
      </c>
      <c r="M117" s="32"/>
      <c r="N117" s="32" t="s">
        <v>2591</v>
      </c>
      <c r="O117" s="32" t="s">
        <v>400</v>
      </c>
      <c r="P117" s="38" t="s">
        <v>1012</v>
      </c>
    </row>
    <row r="118" spans="2:16" x14ac:dyDescent="0.25">
      <c r="B118" s="32">
        <v>107</v>
      </c>
      <c r="C118" s="229" t="s">
        <v>2813</v>
      </c>
      <c r="D118" s="229"/>
      <c r="E118" s="229"/>
      <c r="F118" s="229"/>
      <c r="G118" s="229"/>
      <c r="H118" s="229"/>
      <c r="I118" s="229"/>
      <c r="J118" s="59" t="s">
        <v>1139</v>
      </c>
      <c r="K118" s="46">
        <v>2950000</v>
      </c>
      <c r="L118" s="2">
        <v>44636</v>
      </c>
      <c r="M118" s="32"/>
      <c r="N118" s="32"/>
      <c r="O118" s="32"/>
      <c r="P118" s="52"/>
    </row>
    <row r="119" spans="2:16" x14ac:dyDescent="0.25">
      <c r="B119" s="32">
        <v>108</v>
      </c>
      <c r="C119" s="229" t="s">
        <v>2814</v>
      </c>
      <c r="D119" s="229"/>
      <c r="E119" s="229"/>
      <c r="F119" s="229"/>
      <c r="G119" s="229"/>
      <c r="H119" s="229"/>
      <c r="I119" s="229"/>
      <c r="J119" s="59" t="s">
        <v>890</v>
      </c>
      <c r="K119" s="46">
        <v>9910000</v>
      </c>
      <c r="L119" s="2">
        <v>44637</v>
      </c>
      <c r="M119" s="32"/>
      <c r="N119" s="32"/>
      <c r="O119" s="32" t="s">
        <v>989</v>
      </c>
      <c r="P119" s="52" t="s">
        <v>990</v>
      </c>
    </row>
    <row r="120" spans="2:16" x14ac:dyDescent="0.25">
      <c r="B120" s="32">
        <v>109</v>
      </c>
      <c r="C120" s="229" t="s">
        <v>2815</v>
      </c>
      <c r="D120" s="229"/>
      <c r="E120" s="229"/>
      <c r="F120" s="229"/>
      <c r="G120" s="229"/>
      <c r="H120" s="229"/>
      <c r="I120" s="229"/>
      <c r="J120" s="59" t="s">
        <v>702</v>
      </c>
      <c r="K120" s="46">
        <v>52650000</v>
      </c>
      <c r="L120" s="2">
        <v>44637</v>
      </c>
      <c r="M120" s="32" t="s">
        <v>3923</v>
      </c>
      <c r="N120" s="32">
        <v>3214826168</v>
      </c>
      <c r="O120" s="32" t="s">
        <v>2599</v>
      </c>
      <c r="P120" s="52" t="s">
        <v>2600</v>
      </c>
    </row>
    <row r="121" spans="2:16" x14ac:dyDescent="0.25">
      <c r="B121" s="32">
        <v>110</v>
      </c>
      <c r="C121" s="229" t="s">
        <v>2816</v>
      </c>
      <c r="D121" s="229"/>
      <c r="E121" s="229"/>
      <c r="F121" s="229"/>
      <c r="G121" s="229"/>
      <c r="H121" s="229"/>
      <c r="I121" s="229"/>
      <c r="J121" s="59" t="s">
        <v>823</v>
      </c>
      <c r="K121" s="46">
        <v>14950000</v>
      </c>
      <c r="L121" s="2">
        <v>44638</v>
      </c>
      <c r="M121" s="2"/>
      <c r="N121" s="32">
        <v>3122967935</v>
      </c>
      <c r="O121" s="32" t="s">
        <v>2817</v>
      </c>
      <c r="P121" s="38" t="s">
        <v>2608</v>
      </c>
    </row>
    <row r="122" spans="2:16" x14ac:dyDescent="0.25">
      <c r="B122" s="32">
        <v>111</v>
      </c>
      <c r="C122" s="229" t="s">
        <v>2818</v>
      </c>
      <c r="D122" s="229"/>
      <c r="E122" s="229"/>
      <c r="F122" s="229"/>
      <c r="G122" s="229"/>
      <c r="H122" s="229"/>
      <c r="I122" s="229"/>
      <c r="J122" s="59" t="s">
        <v>1875</v>
      </c>
      <c r="K122" s="46">
        <v>3950000</v>
      </c>
      <c r="L122" s="2">
        <v>44642</v>
      </c>
      <c r="M122" s="32" t="s">
        <v>3923</v>
      </c>
      <c r="N122" s="32">
        <v>3116460496</v>
      </c>
      <c r="O122" s="32" t="s">
        <v>2819</v>
      </c>
      <c r="P122" s="52" t="s">
        <v>1876</v>
      </c>
    </row>
    <row r="123" spans="2:16" x14ac:dyDescent="0.25">
      <c r="B123" s="32">
        <v>112</v>
      </c>
      <c r="C123" s="229" t="s">
        <v>2820</v>
      </c>
      <c r="D123" s="229"/>
      <c r="E123" s="229"/>
      <c r="F123" s="229"/>
      <c r="G123" s="229"/>
      <c r="H123" s="229"/>
      <c r="I123" s="229"/>
      <c r="J123" s="59" t="s">
        <v>2715</v>
      </c>
      <c r="K123" s="46">
        <v>1980000</v>
      </c>
      <c r="L123" s="2">
        <v>44642</v>
      </c>
      <c r="M123" s="32"/>
      <c r="N123" s="32"/>
      <c r="O123" s="32" t="s">
        <v>2076</v>
      </c>
      <c r="P123" s="52" t="s">
        <v>1899</v>
      </c>
    </row>
    <row r="124" spans="2:16" ht="15" customHeight="1" x14ac:dyDescent="0.25">
      <c r="B124" s="32">
        <v>113</v>
      </c>
      <c r="C124" s="229" t="s">
        <v>2821</v>
      </c>
      <c r="D124" s="229"/>
      <c r="E124" s="229"/>
      <c r="F124" s="229"/>
      <c r="G124" s="229"/>
      <c r="H124" s="229"/>
      <c r="I124" s="229"/>
      <c r="J124" s="59" t="s">
        <v>2780</v>
      </c>
      <c r="K124" s="46">
        <v>58900000</v>
      </c>
      <c r="L124" s="2">
        <v>44644</v>
      </c>
      <c r="M124" s="2"/>
      <c r="N124" s="32" t="s">
        <v>2822</v>
      </c>
      <c r="O124" s="32" t="s">
        <v>2823</v>
      </c>
      <c r="P124" s="38" t="s">
        <v>2824</v>
      </c>
    </row>
    <row r="125" spans="2:16" x14ac:dyDescent="0.25">
      <c r="B125" s="32">
        <v>114</v>
      </c>
      <c r="C125" s="229" t="s">
        <v>2825</v>
      </c>
      <c r="D125" s="229"/>
      <c r="E125" s="229"/>
      <c r="F125" s="229"/>
      <c r="G125" s="229"/>
      <c r="H125" s="229"/>
      <c r="I125" s="229"/>
      <c r="J125" s="59" t="s">
        <v>2826</v>
      </c>
      <c r="K125" s="46">
        <v>400</v>
      </c>
      <c r="L125" s="2">
        <v>44644</v>
      </c>
      <c r="M125" s="2" t="s">
        <v>3923</v>
      </c>
      <c r="N125" s="32"/>
      <c r="O125" s="32" t="s">
        <v>2827</v>
      </c>
      <c r="P125" s="52"/>
    </row>
    <row r="126" spans="2:16" x14ac:dyDescent="0.25">
      <c r="B126" s="32">
        <v>115</v>
      </c>
      <c r="C126" s="229" t="s">
        <v>2828</v>
      </c>
      <c r="D126" s="229"/>
      <c r="E126" s="229"/>
      <c r="F126" s="229"/>
      <c r="G126" s="229"/>
      <c r="H126" s="229"/>
      <c r="I126" s="229"/>
      <c r="J126" s="59" t="s">
        <v>2672</v>
      </c>
      <c r="K126" s="46">
        <v>9790000</v>
      </c>
      <c r="L126" s="2">
        <v>44644</v>
      </c>
      <c r="M126" s="2"/>
      <c r="N126" s="32"/>
      <c r="O126" s="32" t="s">
        <v>2829</v>
      </c>
      <c r="P126" s="52" t="s">
        <v>2830</v>
      </c>
    </row>
    <row r="127" spans="2:16" x14ac:dyDescent="0.25">
      <c r="B127" s="32">
        <v>116</v>
      </c>
      <c r="C127" s="229" t="s">
        <v>1488</v>
      </c>
      <c r="D127" s="229"/>
      <c r="E127" s="229"/>
      <c r="F127" s="229"/>
      <c r="G127" s="229"/>
      <c r="H127" s="229"/>
      <c r="I127" s="229"/>
      <c r="J127" s="59" t="s">
        <v>702</v>
      </c>
      <c r="K127" s="1">
        <v>4500000</v>
      </c>
      <c r="L127" s="2">
        <v>44645</v>
      </c>
      <c r="M127" s="32" t="s">
        <v>3923</v>
      </c>
      <c r="N127" s="32">
        <v>3104680508</v>
      </c>
      <c r="O127" s="32" t="s">
        <v>212</v>
      </c>
      <c r="P127" s="38" t="s">
        <v>703</v>
      </c>
    </row>
    <row r="128" spans="2:16" ht="15" customHeight="1" x14ac:dyDescent="0.25">
      <c r="B128" s="32">
        <v>117</v>
      </c>
      <c r="C128" s="229" t="s">
        <v>2831</v>
      </c>
      <c r="D128" s="229"/>
      <c r="E128" s="229"/>
      <c r="F128" s="229"/>
      <c r="G128" s="229"/>
      <c r="H128" s="229"/>
      <c r="I128" s="229"/>
      <c r="J128" s="59" t="s">
        <v>2593</v>
      </c>
      <c r="K128" s="53">
        <v>4390000</v>
      </c>
      <c r="L128" s="2">
        <v>44645</v>
      </c>
      <c r="M128" s="32" t="s">
        <v>3923</v>
      </c>
      <c r="N128" s="32" t="s">
        <v>2832</v>
      </c>
      <c r="O128" s="32" t="s">
        <v>2833</v>
      </c>
      <c r="P128" s="52" t="s">
        <v>2834</v>
      </c>
    </row>
    <row r="129" spans="2:16" x14ac:dyDescent="0.25">
      <c r="B129" s="32">
        <v>118</v>
      </c>
      <c r="C129" s="229" t="s">
        <v>2835</v>
      </c>
      <c r="D129" s="229"/>
      <c r="E129" s="229"/>
      <c r="F129" s="229"/>
      <c r="G129" s="229"/>
      <c r="H129" s="229"/>
      <c r="I129" s="229"/>
      <c r="J129" s="59" t="s">
        <v>702</v>
      </c>
      <c r="K129" s="53">
        <v>58900000</v>
      </c>
      <c r="L129" s="2" t="s">
        <v>2836</v>
      </c>
      <c r="M129" s="32"/>
      <c r="N129" s="32" t="s">
        <v>2036</v>
      </c>
      <c r="O129" s="32" t="s">
        <v>2748</v>
      </c>
      <c r="P129" s="52" t="s">
        <v>2600</v>
      </c>
    </row>
    <row r="130" spans="2:16" x14ac:dyDescent="0.25">
      <c r="B130" s="32">
        <v>119</v>
      </c>
      <c r="C130" s="229" t="s">
        <v>2837</v>
      </c>
      <c r="D130" s="229"/>
      <c r="E130" s="229"/>
      <c r="F130" s="229"/>
      <c r="G130" s="229"/>
      <c r="H130" s="229"/>
      <c r="I130" s="229"/>
      <c r="J130" s="59" t="s">
        <v>2838</v>
      </c>
      <c r="K130" s="46">
        <v>17950000</v>
      </c>
      <c r="L130" s="2">
        <v>44648</v>
      </c>
      <c r="M130" s="2"/>
      <c r="N130" s="32"/>
      <c r="O130" s="32" t="s">
        <v>2839</v>
      </c>
      <c r="P130" s="52" t="s">
        <v>2840</v>
      </c>
    </row>
    <row r="131" spans="2:16" ht="15" customHeight="1" x14ac:dyDescent="0.25">
      <c r="B131" s="32">
        <v>120</v>
      </c>
      <c r="C131" s="229" t="s">
        <v>2841</v>
      </c>
      <c r="D131" s="229"/>
      <c r="E131" s="229"/>
      <c r="F131" s="229"/>
      <c r="G131" s="229"/>
      <c r="H131" s="229"/>
      <c r="I131" s="229"/>
      <c r="J131" s="59" t="s">
        <v>702</v>
      </c>
      <c r="K131" s="46">
        <v>2750000</v>
      </c>
      <c r="L131" s="2">
        <v>44648</v>
      </c>
      <c r="M131" s="2"/>
      <c r="N131" s="32"/>
      <c r="O131" s="32" t="s">
        <v>417</v>
      </c>
      <c r="P131" s="38"/>
    </row>
    <row r="132" spans="2:16" x14ac:dyDescent="0.25">
      <c r="B132" s="32">
        <v>121</v>
      </c>
      <c r="C132" s="229" t="s">
        <v>2842</v>
      </c>
      <c r="D132" s="229"/>
      <c r="E132" s="229"/>
      <c r="F132" s="229"/>
      <c r="G132" s="229"/>
      <c r="H132" s="229"/>
      <c r="I132" s="229"/>
      <c r="J132" s="59" t="s">
        <v>2843</v>
      </c>
      <c r="K132" s="46">
        <v>15950000</v>
      </c>
      <c r="L132" s="2">
        <v>44650</v>
      </c>
      <c r="M132" s="32"/>
      <c r="N132" s="32" t="s">
        <v>2844</v>
      </c>
      <c r="O132" s="32" t="s">
        <v>2845</v>
      </c>
      <c r="P132" s="52" t="s">
        <v>2846</v>
      </c>
    </row>
    <row r="133" spans="2:16" x14ac:dyDescent="0.25">
      <c r="B133" s="32">
        <v>122</v>
      </c>
      <c r="C133" s="229" t="s">
        <v>2847</v>
      </c>
      <c r="D133" s="229"/>
      <c r="E133" s="229"/>
      <c r="F133" s="229"/>
      <c r="G133" s="229"/>
      <c r="H133" s="229"/>
      <c r="I133" s="229"/>
      <c r="J133" s="59" t="s">
        <v>2743</v>
      </c>
      <c r="K133" s="46">
        <v>6950000</v>
      </c>
      <c r="L133" s="2">
        <v>44651</v>
      </c>
      <c r="M133" s="32"/>
      <c r="N133" s="32">
        <v>3175594091</v>
      </c>
      <c r="O133" s="32" t="s">
        <v>496</v>
      </c>
      <c r="P133" s="38" t="s">
        <v>748</v>
      </c>
    </row>
    <row r="134" spans="2:16" x14ac:dyDescent="0.25">
      <c r="B134" s="32">
        <v>123</v>
      </c>
      <c r="C134" s="229" t="s">
        <v>2848</v>
      </c>
      <c r="D134" s="229"/>
      <c r="E134" s="229"/>
      <c r="F134" s="229"/>
      <c r="G134" s="229"/>
      <c r="H134" s="229"/>
      <c r="I134" s="229"/>
      <c r="J134" s="59" t="s">
        <v>2204</v>
      </c>
      <c r="K134" s="46">
        <v>14990000</v>
      </c>
      <c r="L134" s="2">
        <v>44652</v>
      </c>
      <c r="M134" s="32"/>
      <c r="N134" s="32">
        <v>3218381675</v>
      </c>
      <c r="O134" s="32" t="s">
        <v>2849</v>
      </c>
      <c r="P134" s="52" t="s">
        <v>2850</v>
      </c>
    </row>
    <row r="135" spans="2:16" x14ac:dyDescent="0.25">
      <c r="B135" s="32">
        <v>124</v>
      </c>
      <c r="C135" s="229"/>
      <c r="D135" s="229"/>
      <c r="E135" s="229"/>
      <c r="F135" s="229"/>
      <c r="G135" s="229"/>
      <c r="H135" s="229"/>
      <c r="I135" s="229"/>
      <c r="J135" s="59" t="s">
        <v>702</v>
      </c>
      <c r="K135" s="46">
        <v>5960000</v>
      </c>
      <c r="L135" s="2">
        <v>44655</v>
      </c>
      <c r="M135" s="2"/>
      <c r="N135" s="32"/>
      <c r="O135" s="32"/>
      <c r="P135" s="52"/>
    </row>
    <row r="136" spans="2:16" x14ac:dyDescent="0.25">
      <c r="B136" s="32">
        <v>125</v>
      </c>
      <c r="C136" s="229" t="s">
        <v>2851</v>
      </c>
      <c r="D136" s="229"/>
      <c r="E136" s="229"/>
      <c r="F136" s="229"/>
      <c r="G136" s="229"/>
      <c r="H136" s="229"/>
      <c r="I136" s="229"/>
      <c r="J136" s="59" t="s">
        <v>702</v>
      </c>
      <c r="K136" s="46">
        <v>1950000</v>
      </c>
      <c r="L136" s="2">
        <v>44655</v>
      </c>
      <c r="M136" s="32"/>
      <c r="N136" s="32">
        <v>3214826168</v>
      </c>
      <c r="O136" s="32" t="s">
        <v>2599</v>
      </c>
      <c r="P136" s="52" t="s">
        <v>2600</v>
      </c>
    </row>
    <row r="137" spans="2:16" x14ac:dyDescent="0.25">
      <c r="B137" s="32">
        <v>126</v>
      </c>
      <c r="C137" s="229" t="s">
        <v>2852</v>
      </c>
      <c r="D137" s="229"/>
      <c r="E137" s="229"/>
      <c r="F137" s="229"/>
      <c r="G137" s="229"/>
      <c r="H137" s="229"/>
      <c r="I137" s="229"/>
      <c r="J137" s="59" t="s">
        <v>2853</v>
      </c>
      <c r="K137" s="46">
        <v>3950000</v>
      </c>
      <c r="L137" s="2">
        <v>44655</v>
      </c>
      <c r="M137" s="32"/>
      <c r="N137" s="32" t="s">
        <v>2854</v>
      </c>
      <c r="O137" s="32" t="s">
        <v>2855</v>
      </c>
      <c r="P137" s="52" t="s">
        <v>2856</v>
      </c>
    </row>
    <row r="138" spans="2:16" x14ac:dyDescent="0.25">
      <c r="B138" s="32">
        <v>127</v>
      </c>
      <c r="C138" s="229" t="s">
        <v>2857</v>
      </c>
      <c r="D138" s="229"/>
      <c r="E138" s="229"/>
      <c r="F138" s="229"/>
      <c r="G138" s="229"/>
      <c r="H138" s="229"/>
      <c r="I138" s="229"/>
      <c r="J138" s="59" t="s">
        <v>2858</v>
      </c>
      <c r="K138" s="46">
        <v>1750000</v>
      </c>
      <c r="L138" s="2">
        <v>44655</v>
      </c>
      <c r="M138" s="2"/>
      <c r="N138" s="32" t="s">
        <v>2859</v>
      </c>
      <c r="O138" s="32" t="s">
        <v>2860</v>
      </c>
      <c r="P138" s="52" t="s">
        <v>2861</v>
      </c>
    </row>
    <row r="139" spans="2:16" x14ac:dyDescent="0.25">
      <c r="B139" s="32">
        <v>128</v>
      </c>
      <c r="C139" s="229" t="s">
        <v>2862</v>
      </c>
      <c r="D139" s="229"/>
      <c r="E139" s="229"/>
      <c r="F139" s="229"/>
      <c r="G139" s="229"/>
      <c r="H139" s="229"/>
      <c r="I139" s="229"/>
      <c r="J139" s="59" t="s">
        <v>1358</v>
      </c>
      <c r="K139" s="46">
        <v>3500000</v>
      </c>
      <c r="L139" s="2">
        <v>44655</v>
      </c>
      <c r="M139" s="32" t="s">
        <v>3923</v>
      </c>
      <c r="N139" s="32" t="s">
        <v>2809</v>
      </c>
      <c r="O139" s="32" t="s">
        <v>1359</v>
      </c>
      <c r="P139" s="52" t="s">
        <v>2810</v>
      </c>
    </row>
    <row r="140" spans="2:16" x14ac:dyDescent="0.25">
      <c r="B140" s="32">
        <v>129</v>
      </c>
      <c r="C140" s="229" t="s">
        <v>2863</v>
      </c>
      <c r="D140" s="229"/>
      <c r="E140" s="229"/>
      <c r="F140" s="229"/>
      <c r="G140" s="229"/>
      <c r="H140" s="229"/>
      <c r="I140" s="229"/>
      <c r="J140" s="59" t="s">
        <v>1480</v>
      </c>
      <c r="K140" s="46">
        <v>15950000</v>
      </c>
      <c r="L140" s="2">
        <v>44655</v>
      </c>
      <c r="M140" s="2"/>
      <c r="N140" s="32"/>
      <c r="O140" s="32" t="s">
        <v>2864</v>
      </c>
      <c r="P140" s="52" t="s">
        <v>1483</v>
      </c>
    </row>
    <row r="141" spans="2:16" x14ac:dyDescent="0.25">
      <c r="B141" s="32">
        <v>130</v>
      </c>
      <c r="C141" s="263" t="s">
        <v>2865</v>
      </c>
      <c r="D141" s="229"/>
      <c r="E141" s="229"/>
      <c r="F141" s="229"/>
      <c r="G141" s="229"/>
      <c r="H141" s="229"/>
      <c r="I141" s="229"/>
      <c r="J141" s="59" t="s">
        <v>702</v>
      </c>
      <c r="K141" s="46">
        <v>10970000</v>
      </c>
      <c r="L141" s="2">
        <v>44655</v>
      </c>
      <c r="M141" s="32"/>
      <c r="N141" s="32" t="s">
        <v>2036</v>
      </c>
      <c r="O141" s="32" t="s">
        <v>2748</v>
      </c>
      <c r="P141" s="52" t="s">
        <v>2600</v>
      </c>
    </row>
    <row r="142" spans="2:16" x14ac:dyDescent="0.25">
      <c r="B142" s="32">
        <v>131</v>
      </c>
      <c r="C142" s="229" t="s">
        <v>2866</v>
      </c>
      <c r="D142" s="229"/>
      <c r="E142" s="229"/>
      <c r="F142" s="229"/>
      <c r="G142" s="229"/>
      <c r="H142" s="229"/>
      <c r="I142" s="229"/>
      <c r="J142" s="59" t="s">
        <v>1546</v>
      </c>
      <c r="K142" s="46">
        <v>15680000</v>
      </c>
      <c r="L142" s="2">
        <v>44656</v>
      </c>
      <c r="M142" s="32"/>
      <c r="N142" s="32" t="s">
        <v>2867</v>
      </c>
      <c r="O142" s="32" t="s">
        <v>2868</v>
      </c>
      <c r="P142" s="52" t="s">
        <v>2869</v>
      </c>
    </row>
    <row r="143" spans="2:16" x14ac:dyDescent="0.25">
      <c r="B143" s="32">
        <v>132</v>
      </c>
      <c r="C143" s="229" t="s">
        <v>2870</v>
      </c>
      <c r="D143" s="229"/>
      <c r="E143" s="229"/>
      <c r="F143" s="229"/>
      <c r="G143" s="229"/>
      <c r="H143" s="229"/>
      <c r="I143" s="229"/>
      <c r="J143" s="59" t="s">
        <v>2871</v>
      </c>
      <c r="K143" s="46">
        <v>11900000</v>
      </c>
      <c r="L143" s="2">
        <v>44656</v>
      </c>
      <c r="M143" s="2" t="s">
        <v>3923</v>
      </c>
      <c r="N143" s="32" t="s">
        <v>2872</v>
      </c>
      <c r="O143" s="32" t="s">
        <v>2873</v>
      </c>
      <c r="P143" s="52" t="s">
        <v>1356</v>
      </c>
    </row>
    <row r="144" spans="2:16" x14ac:dyDescent="0.25">
      <c r="B144" s="32">
        <v>133</v>
      </c>
      <c r="C144" s="229" t="s">
        <v>2874</v>
      </c>
      <c r="D144" s="229"/>
      <c r="E144" s="229"/>
      <c r="F144" s="229"/>
      <c r="G144" s="229"/>
      <c r="H144" s="229"/>
      <c r="I144" s="229"/>
      <c r="J144" s="59" t="s">
        <v>702</v>
      </c>
      <c r="K144" s="46">
        <v>14950000</v>
      </c>
      <c r="L144" s="2">
        <v>44657</v>
      </c>
      <c r="M144" s="32" t="s">
        <v>3923</v>
      </c>
      <c r="N144" s="32">
        <v>3104680508</v>
      </c>
      <c r="O144" s="32" t="s">
        <v>212</v>
      </c>
      <c r="P144" s="38" t="s">
        <v>703</v>
      </c>
    </row>
    <row r="145" spans="2:16" x14ac:dyDescent="0.25">
      <c r="B145" s="32">
        <v>134</v>
      </c>
      <c r="C145" s="229" t="s">
        <v>2875</v>
      </c>
      <c r="D145" s="229"/>
      <c r="E145" s="229"/>
      <c r="F145" s="229"/>
      <c r="G145" s="229"/>
      <c r="H145" s="229"/>
      <c r="I145" s="229"/>
      <c r="J145" s="59" t="s">
        <v>1535</v>
      </c>
      <c r="K145" s="46">
        <v>1250000</v>
      </c>
      <c r="L145" s="2">
        <v>44657</v>
      </c>
      <c r="M145" s="32" t="s">
        <v>3923</v>
      </c>
      <c r="N145" s="32" t="s">
        <v>2876</v>
      </c>
      <c r="O145" s="32" t="s">
        <v>887</v>
      </c>
      <c r="P145" s="52" t="s">
        <v>2877</v>
      </c>
    </row>
    <row r="146" spans="2:16" x14ac:dyDescent="0.25">
      <c r="B146" s="32">
        <v>135</v>
      </c>
      <c r="C146" s="229" t="s">
        <v>2878</v>
      </c>
      <c r="D146" s="229"/>
      <c r="E146" s="229"/>
      <c r="F146" s="229"/>
      <c r="G146" s="229"/>
      <c r="H146" s="229"/>
      <c r="I146" s="229"/>
      <c r="J146" s="59" t="s">
        <v>702</v>
      </c>
      <c r="K146" s="46">
        <v>3900000</v>
      </c>
      <c r="L146" s="2">
        <v>44662</v>
      </c>
      <c r="M146" s="32"/>
      <c r="N146" s="32">
        <v>3137546144</v>
      </c>
      <c r="O146" s="32" t="s">
        <v>229</v>
      </c>
      <c r="P146" s="52" t="s">
        <v>2504</v>
      </c>
    </row>
    <row r="147" spans="2:16" x14ac:dyDescent="0.25">
      <c r="B147" s="32">
        <v>136</v>
      </c>
      <c r="C147" s="229" t="s">
        <v>2879</v>
      </c>
      <c r="D147" s="229"/>
      <c r="E147" s="229"/>
      <c r="F147" s="229"/>
      <c r="G147" s="229"/>
      <c r="H147" s="229"/>
      <c r="I147" s="229"/>
      <c r="J147" s="59" t="s">
        <v>702</v>
      </c>
      <c r="K147" s="46">
        <v>18550000</v>
      </c>
      <c r="L147" s="2">
        <v>44662</v>
      </c>
      <c r="M147" s="32"/>
      <c r="N147" s="32" t="s">
        <v>2036</v>
      </c>
      <c r="O147" s="32" t="s">
        <v>2748</v>
      </c>
      <c r="P147" s="52" t="s">
        <v>2600</v>
      </c>
    </row>
    <row r="148" spans="2:16" x14ac:dyDescent="0.25">
      <c r="B148" s="32">
        <v>137</v>
      </c>
      <c r="C148" s="229" t="s">
        <v>2880</v>
      </c>
      <c r="D148" s="229"/>
      <c r="E148" s="229"/>
      <c r="F148" s="229"/>
      <c r="G148" s="229"/>
      <c r="H148" s="229"/>
      <c r="I148" s="229"/>
      <c r="J148" s="59" t="s">
        <v>1139</v>
      </c>
      <c r="K148" s="46">
        <v>2600000</v>
      </c>
      <c r="L148" s="2">
        <v>44662</v>
      </c>
      <c r="M148" s="32" t="s">
        <v>3923</v>
      </c>
      <c r="N148" s="32"/>
      <c r="O148" s="32" t="s">
        <v>2049</v>
      </c>
      <c r="P148" s="52" t="s">
        <v>2881</v>
      </c>
    </row>
    <row r="149" spans="2:16" x14ac:dyDescent="0.25">
      <c r="B149" s="32">
        <v>138</v>
      </c>
      <c r="C149" s="229" t="s">
        <v>2882</v>
      </c>
      <c r="D149" s="229"/>
      <c r="E149" s="229"/>
      <c r="F149" s="229"/>
      <c r="G149" s="229"/>
      <c r="H149" s="229"/>
      <c r="I149" s="229"/>
      <c r="J149" s="59" t="s">
        <v>2808</v>
      </c>
      <c r="K149" s="1">
        <v>23500000</v>
      </c>
      <c r="L149" s="2">
        <v>44664</v>
      </c>
      <c r="M149" s="2"/>
      <c r="N149" s="32"/>
      <c r="O149" s="32" t="s">
        <v>2883</v>
      </c>
      <c r="P149" s="38" t="s">
        <v>2884</v>
      </c>
    </row>
    <row r="150" spans="2:16" x14ac:dyDescent="0.25">
      <c r="B150" s="32">
        <v>139</v>
      </c>
      <c r="C150" s="263" t="s">
        <v>2885</v>
      </c>
      <c r="D150" s="229"/>
      <c r="E150" s="229"/>
      <c r="F150" s="229"/>
      <c r="G150" s="229"/>
      <c r="H150" s="229"/>
      <c r="I150" s="229"/>
      <c r="J150" s="59" t="s">
        <v>702</v>
      </c>
      <c r="K150" s="46">
        <v>300000000</v>
      </c>
      <c r="L150" s="2">
        <v>44663</v>
      </c>
      <c r="M150" s="32"/>
      <c r="N150" s="32" t="s">
        <v>2036</v>
      </c>
      <c r="O150" s="32" t="s">
        <v>2748</v>
      </c>
      <c r="P150" s="52" t="s">
        <v>2600</v>
      </c>
    </row>
    <row r="151" spans="2:16" x14ac:dyDescent="0.25">
      <c r="B151" s="32">
        <v>140</v>
      </c>
      <c r="C151" s="229" t="s">
        <v>2886</v>
      </c>
      <c r="D151" s="229"/>
      <c r="E151" s="229"/>
      <c r="F151" s="229"/>
      <c r="G151" s="229"/>
      <c r="H151" s="229"/>
      <c r="I151" s="229"/>
      <c r="J151" s="59" t="s">
        <v>2144</v>
      </c>
      <c r="K151" s="46">
        <v>7250000</v>
      </c>
      <c r="L151" s="2">
        <v>44664</v>
      </c>
      <c r="M151" s="32"/>
      <c r="N151" s="32" t="s">
        <v>2887</v>
      </c>
      <c r="O151" s="32" t="s">
        <v>2888</v>
      </c>
      <c r="P151" s="52" t="s">
        <v>2147</v>
      </c>
    </row>
    <row r="152" spans="2:16" x14ac:dyDescent="0.25">
      <c r="B152" s="32">
        <v>141</v>
      </c>
      <c r="C152" s="229" t="s">
        <v>2889</v>
      </c>
      <c r="D152" s="229"/>
      <c r="E152" s="229"/>
      <c r="F152" s="229"/>
      <c r="G152" s="229"/>
      <c r="H152" s="229"/>
      <c r="I152" s="229"/>
      <c r="J152" s="59" t="s">
        <v>2602</v>
      </c>
      <c r="K152" s="46">
        <f>9500000*0.95</f>
        <v>9025000</v>
      </c>
      <c r="L152" s="2">
        <v>44669</v>
      </c>
      <c r="M152" s="2"/>
      <c r="N152" s="32" t="s">
        <v>2890</v>
      </c>
      <c r="O152" s="32" t="s">
        <v>2891</v>
      </c>
      <c r="P152" s="38" t="s">
        <v>2892</v>
      </c>
    </row>
    <row r="153" spans="2:16" x14ac:dyDescent="0.25">
      <c r="B153" s="32">
        <v>142</v>
      </c>
      <c r="C153" s="229" t="s">
        <v>2893</v>
      </c>
      <c r="D153" s="229"/>
      <c r="E153" s="229"/>
      <c r="F153" s="229"/>
      <c r="G153" s="229"/>
      <c r="H153" s="229"/>
      <c r="I153" s="229"/>
      <c r="J153" s="59" t="s">
        <v>823</v>
      </c>
      <c r="K153" s="46">
        <v>14950000</v>
      </c>
      <c r="L153" s="2">
        <v>44670</v>
      </c>
      <c r="M153" s="32"/>
      <c r="N153" s="32"/>
      <c r="O153" s="32" t="s">
        <v>824</v>
      </c>
      <c r="P153" s="52"/>
    </row>
    <row r="154" spans="2:16" x14ac:dyDescent="0.25">
      <c r="B154" s="32">
        <v>143</v>
      </c>
      <c r="C154" s="229" t="s">
        <v>2894</v>
      </c>
      <c r="D154" s="229"/>
      <c r="E154" s="229"/>
      <c r="F154" s="229"/>
      <c r="G154" s="229"/>
      <c r="H154" s="229"/>
      <c r="I154" s="229"/>
      <c r="J154" s="59" t="s">
        <v>2895</v>
      </c>
      <c r="K154" s="46">
        <v>16950000</v>
      </c>
      <c r="L154" s="2">
        <v>44671</v>
      </c>
      <c r="M154" s="32"/>
      <c r="N154" s="32" t="s">
        <v>2896</v>
      </c>
      <c r="O154" s="32" t="s">
        <v>2897</v>
      </c>
      <c r="P154" s="52" t="s">
        <v>2898</v>
      </c>
    </row>
    <row r="155" spans="2:16" x14ac:dyDescent="0.25">
      <c r="B155" s="32" t="s">
        <v>2899</v>
      </c>
      <c r="C155" s="230" t="s">
        <v>2900</v>
      </c>
      <c r="D155" s="231"/>
      <c r="E155" s="231"/>
      <c r="F155" s="231"/>
      <c r="G155" s="231"/>
      <c r="H155" s="231"/>
      <c r="I155" s="232"/>
      <c r="J155" s="59" t="s">
        <v>747</v>
      </c>
      <c r="K155" s="46">
        <v>7275000</v>
      </c>
      <c r="L155" s="2">
        <v>44671</v>
      </c>
      <c r="M155" s="32"/>
      <c r="N155" s="32">
        <v>3175594091</v>
      </c>
      <c r="O155" s="32" t="s">
        <v>2045</v>
      </c>
      <c r="P155" s="52"/>
    </row>
    <row r="156" spans="2:16" x14ac:dyDescent="0.25">
      <c r="B156" s="32">
        <v>144</v>
      </c>
      <c r="C156" s="229" t="s">
        <v>2901</v>
      </c>
      <c r="D156" s="229"/>
      <c r="E156" s="229"/>
      <c r="F156" s="229"/>
      <c r="G156" s="229"/>
      <c r="H156" s="229"/>
      <c r="I156" s="229"/>
      <c r="J156" s="59" t="s">
        <v>2895</v>
      </c>
      <c r="K156" s="46">
        <v>21950000</v>
      </c>
      <c r="L156" s="2">
        <v>44671</v>
      </c>
      <c r="M156" s="32"/>
      <c r="N156" s="32" t="s">
        <v>2896</v>
      </c>
      <c r="O156" s="32" t="s">
        <v>2897</v>
      </c>
      <c r="P156" s="52" t="s">
        <v>2898</v>
      </c>
    </row>
    <row r="157" spans="2:16" x14ac:dyDescent="0.25">
      <c r="B157" s="32">
        <v>145</v>
      </c>
      <c r="C157" s="263" t="s">
        <v>3458</v>
      </c>
      <c r="D157" s="229"/>
      <c r="E157" s="229"/>
      <c r="F157" s="229"/>
      <c r="G157" s="229"/>
      <c r="H157" s="229"/>
      <c r="I157" s="229"/>
      <c r="J157" s="59" t="s">
        <v>1439</v>
      </c>
      <c r="K157" s="46">
        <v>25800000</v>
      </c>
      <c r="L157" s="2">
        <v>44671</v>
      </c>
      <c r="M157" s="2"/>
      <c r="N157" s="32"/>
      <c r="O157" s="32" t="s">
        <v>2902</v>
      </c>
      <c r="P157" s="52" t="s">
        <v>2903</v>
      </c>
    </row>
    <row r="158" spans="2:16" x14ac:dyDescent="0.25">
      <c r="B158" s="32">
        <v>146</v>
      </c>
      <c r="C158" s="229" t="s">
        <v>2904</v>
      </c>
      <c r="D158" s="229"/>
      <c r="E158" s="229"/>
      <c r="F158" s="229"/>
      <c r="G158" s="229"/>
      <c r="H158" s="229"/>
      <c r="I158" s="229"/>
      <c r="J158" s="59" t="s">
        <v>2905</v>
      </c>
      <c r="K158" s="46">
        <v>3760000</v>
      </c>
      <c r="L158" s="2">
        <v>44673</v>
      </c>
      <c r="M158" s="32"/>
      <c r="N158" s="32"/>
      <c r="O158" s="32" t="s">
        <v>2906</v>
      </c>
      <c r="P158" s="38"/>
    </row>
    <row r="159" spans="2:16" x14ac:dyDescent="0.25">
      <c r="B159" s="32">
        <v>147</v>
      </c>
      <c r="C159" s="229" t="s">
        <v>2907</v>
      </c>
      <c r="D159" s="229"/>
      <c r="E159" s="229"/>
      <c r="F159" s="229"/>
      <c r="G159" s="229"/>
      <c r="H159" s="229"/>
      <c r="I159" s="229"/>
      <c r="J159" s="59" t="s">
        <v>2670</v>
      </c>
      <c r="K159" s="46">
        <v>4400000</v>
      </c>
      <c r="L159" s="2">
        <v>44673</v>
      </c>
      <c r="M159" s="32"/>
      <c r="N159" s="32" t="s">
        <v>2908</v>
      </c>
      <c r="O159" s="32" t="s">
        <v>2670</v>
      </c>
      <c r="P159" s="52"/>
    </row>
    <row r="160" spans="2:16" x14ac:dyDescent="0.25">
      <c r="B160" s="32">
        <v>148</v>
      </c>
      <c r="C160" s="229" t="s">
        <v>2909</v>
      </c>
      <c r="D160" s="229"/>
      <c r="E160" s="229"/>
      <c r="F160" s="229"/>
      <c r="G160" s="229"/>
      <c r="H160" s="229"/>
      <c r="I160" s="229"/>
      <c r="J160" s="59" t="s">
        <v>2670</v>
      </c>
      <c r="K160" s="46">
        <v>11915000</v>
      </c>
      <c r="L160" s="2">
        <v>44673</v>
      </c>
      <c r="M160" s="32"/>
      <c r="N160" s="32" t="s">
        <v>2908</v>
      </c>
      <c r="O160" s="32" t="s">
        <v>2670</v>
      </c>
      <c r="P160" s="52"/>
    </row>
    <row r="161" spans="2:16" x14ac:dyDescent="0.25">
      <c r="B161" s="32">
        <v>149</v>
      </c>
      <c r="C161" s="229" t="s">
        <v>2910</v>
      </c>
      <c r="D161" s="229"/>
      <c r="E161" s="229"/>
      <c r="F161" s="229"/>
      <c r="G161" s="229"/>
      <c r="H161" s="229"/>
      <c r="I161" s="229"/>
      <c r="J161" s="59" t="s">
        <v>2838</v>
      </c>
      <c r="K161" s="46">
        <v>11950000</v>
      </c>
      <c r="L161" s="2">
        <v>44673</v>
      </c>
      <c r="M161" s="32" t="s">
        <v>3923</v>
      </c>
      <c r="N161" s="32"/>
      <c r="O161" s="32" t="s">
        <v>2911</v>
      </c>
      <c r="P161" s="52" t="s">
        <v>2912</v>
      </c>
    </row>
    <row r="162" spans="2:16" x14ac:dyDescent="0.25">
      <c r="B162" s="32">
        <v>150</v>
      </c>
      <c r="C162" s="229" t="s">
        <v>2913</v>
      </c>
      <c r="D162" s="229"/>
      <c r="E162" s="229"/>
      <c r="F162" s="229"/>
      <c r="G162" s="229"/>
      <c r="H162" s="229"/>
      <c r="I162" s="229"/>
      <c r="J162" s="59" t="s">
        <v>2838</v>
      </c>
      <c r="K162" s="46">
        <v>9410000</v>
      </c>
      <c r="L162" s="2">
        <v>44642</v>
      </c>
      <c r="M162" s="2"/>
      <c r="N162" s="32"/>
      <c r="O162" s="32" t="s">
        <v>2839</v>
      </c>
      <c r="P162" s="52" t="s">
        <v>2840</v>
      </c>
    </row>
    <row r="163" spans="2:16" x14ac:dyDescent="0.25">
      <c r="B163" s="32">
        <v>151</v>
      </c>
      <c r="C163" s="229" t="s">
        <v>2914</v>
      </c>
      <c r="D163" s="229"/>
      <c r="E163" s="229"/>
      <c r="F163" s="229"/>
      <c r="G163" s="229"/>
      <c r="H163" s="229"/>
      <c r="I163" s="229"/>
      <c r="J163" s="59" t="s">
        <v>2915</v>
      </c>
      <c r="K163" s="46">
        <v>300000000</v>
      </c>
      <c r="L163" s="2">
        <v>44676</v>
      </c>
      <c r="M163" s="32"/>
      <c r="N163" s="32">
        <v>3174383326</v>
      </c>
      <c r="O163" s="78" t="s">
        <v>2916</v>
      </c>
      <c r="P163" s="76" t="s">
        <v>2917</v>
      </c>
    </row>
    <row r="164" spans="2:16" x14ac:dyDescent="0.25">
      <c r="B164" s="32">
        <v>152</v>
      </c>
      <c r="C164" s="229" t="s">
        <v>2918</v>
      </c>
      <c r="D164" s="229"/>
      <c r="E164" s="229"/>
      <c r="F164" s="229"/>
      <c r="G164" s="229"/>
      <c r="H164" s="229"/>
      <c r="I164" s="229"/>
      <c r="J164" s="59"/>
      <c r="K164" s="46">
        <v>1950000</v>
      </c>
      <c r="L164" s="2">
        <v>44676</v>
      </c>
      <c r="M164" s="32" t="s">
        <v>3923</v>
      </c>
      <c r="N164" s="32">
        <v>3146920966</v>
      </c>
      <c r="O164" s="32" t="s">
        <v>578</v>
      </c>
      <c r="P164" s="52" t="s">
        <v>2661</v>
      </c>
    </row>
    <row r="165" spans="2:16" x14ac:dyDescent="0.25">
      <c r="B165" s="32">
        <v>153</v>
      </c>
      <c r="C165" s="229" t="s">
        <v>2919</v>
      </c>
      <c r="D165" s="229"/>
      <c r="E165" s="229"/>
      <c r="F165" s="229"/>
      <c r="G165" s="229"/>
      <c r="H165" s="229"/>
      <c r="I165" s="229"/>
      <c r="J165" s="7" t="s">
        <v>702</v>
      </c>
      <c r="K165" s="46">
        <v>1980000</v>
      </c>
      <c r="L165" s="2">
        <v>44677</v>
      </c>
      <c r="M165" s="32"/>
      <c r="N165" s="32">
        <v>3137546144</v>
      </c>
      <c r="O165" s="32" t="s">
        <v>229</v>
      </c>
      <c r="P165" s="52" t="s">
        <v>2504</v>
      </c>
    </row>
    <row r="166" spans="2:16" x14ac:dyDescent="0.25">
      <c r="B166" s="32">
        <v>154</v>
      </c>
      <c r="C166" s="229" t="s">
        <v>2920</v>
      </c>
      <c r="D166" s="229"/>
      <c r="E166" s="229"/>
      <c r="F166" s="229"/>
      <c r="G166" s="229"/>
      <c r="H166" s="229"/>
      <c r="I166" s="229"/>
      <c r="J166" s="59" t="s">
        <v>2921</v>
      </c>
      <c r="K166" s="46">
        <v>5650000</v>
      </c>
      <c r="L166" s="2">
        <v>44677</v>
      </c>
      <c r="M166" s="2"/>
      <c r="N166" s="32"/>
      <c r="O166" s="32" t="s">
        <v>2922</v>
      </c>
      <c r="P166" s="38" t="s">
        <v>2923</v>
      </c>
    </row>
    <row r="167" spans="2:16" x14ac:dyDescent="0.25">
      <c r="B167" s="32">
        <v>155</v>
      </c>
      <c r="C167" s="265" t="s">
        <v>2924</v>
      </c>
      <c r="D167" s="265"/>
      <c r="E167" s="265"/>
      <c r="F167" s="265"/>
      <c r="G167" s="265"/>
      <c r="H167" s="265"/>
      <c r="I167" s="265"/>
      <c r="J167" s="64" t="s">
        <v>2925</v>
      </c>
      <c r="K167" s="46">
        <v>9950000</v>
      </c>
      <c r="L167" s="2">
        <v>44677</v>
      </c>
      <c r="M167" s="32"/>
      <c r="N167" s="32"/>
      <c r="O167" s="32" t="s">
        <v>2926</v>
      </c>
      <c r="P167" s="52" t="s">
        <v>2927</v>
      </c>
    </row>
    <row r="168" spans="2:16" x14ac:dyDescent="0.25">
      <c r="B168" s="32">
        <v>156</v>
      </c>
      <c r="C168" s="229" t="s">
        <v>2928</v>
      </c>
      <c r="D168" s="229"/>
      <c r="E168" s="229"/>
      <c r="F168" s="229"/>
      <c r="G168" s="229"/>
      <c r="H168" s="229"/>
      <c r="I168" s="229"/>
      <c r="J168" s="59" t="s">
        <v>2929</v>
      </c>
      <c r="K168" s="46">
        <v>1300000</v>
      </c>
      <c r="L168" s="2">
        <v>44677</v>
      </c>
      <c r="M168" s="2" t="s">
        <v>3923</v>
      </c>
      <c r="N168" s="32"/>
      <c r="O168" s="32" t="s">
        <v>2930</v>
      </c>
      <c r="P168" s="52" t="s">
        <v>2931</v>
      </c>
    </row>
    <row r="169" spans="2:16" x14ac:dyDescent="0.25">
      <c r="B169" s="32">
        <v>157</v>
      </c>
      <c r="C169" s="229" t="s">
        <v>2932</v>
      </c>
      <c r="D169" s="229"/>
      <c r="E169" s="229"/>
      <c r="F169" s="229"/>
      <c r="G169" s="229"/>
      <c r="H169" s="229"/>
      <c r="I169" s="229"/>
      <c r="J169" s="59" t="s">
        <v>851</v>
      </c>
      <c r="K169" s="46">
        <v>2950000</v>
      </c>
      <c r="L169" s="2">
        <v>44677</v>
      </c>
      <c r="M169" s="2"/>
      <c r="N169" s="32" t="s">
        <v>1286</v>
      </c>
      <c r="O169" s="32" t="s">
        <v>2933</v>
      </c>
      <c r="P169" s="52" t="s">
        <v>1287</v>
      </c>
    </row>
    <row r="170" spans="2:16" x14ac:dyDescent="0.25">
      <c r="B170" s="32">
        <v>158</v>
      </c>
      <c r="C170" s="229" t="s">
        <v>2934</v>
      </c>
      <c r="D170" s="229"/>
      <c r="E170" s="229"/>
      <c r="F170" s="229"/>
      <c r="G170" s="229"/>
      <c r="H170" s="229"/>
      <c r="I170" s="229"/>
      <c r="J170" s="59" t="s">
        <v>805</v>
      </c>
      <c r="K170" s="46">
        <v>7950000</v>
      </c>
      <c r="L170" s="2">
        <v>44678</v>
      </c>
      <c r="M170" s="32"/>
      <c r="N170" s="32" t="s">
        <v>2935</v>
      </c>
      <c r="O170" s="32" t="s">
        <v>2936</v>
      </c>
      <c r="P170" s="52" t="s">
        <v>2937</v>
      </c>
    </row>
    <row r="171" spans="2:16" x14ac:dyDescent="0.25">
      <c r="B171" s="32">
        <v>159</v>
      </c>
      <c r="C171" s="229" t="s">
        <v>2938</v>
      </c>
      <c r="D171" s="229"/>
      <c r="E171" s="229"/>
      <c r="F171" s="229"/>
      <c r="G171" s="229"/>
      <c r="H171" s="229"/>
      <c r="I171" s="229"/>
      <c r="J171" s="59" t="s">
        <v>1875</v>
      </c>
      <c r="K171" s="46">
        <v>5500000</v>
      </c>
      <c r="L171" s="2">
        <v>44678</v>
      </c>
      <c r="M171" s="2"/>
      <c r="N171" s="32">
        <v>4442074</v>
      </c>
      <c r="O171" s="32" t="s">
        <v>390</v>
      </c>
      <c r="P171" s="52" t="s">
        <v>1876</v>
      </c>
    </row>
    <row r="172" spans="2:16" x14ac:dyDescent="0.25">
      <c r="B172" s="32">
        <v>160</v>
      </c>
      <c r="C172" s="229" t="s">
        <v>2939</v>
      </c>
      <c r="D172" s="229"/>
      <c r="E172" s="229"/>
      <c r="F172" s="229"/>
      <c r="G172" s="229"/>
      <c r="H172" s="229"/>
      <c r="I172" s="229"/>
      <c r="J172" s="59" t="s">
        <v>805</v>
      </c>
      <c r="K172" s="46">
        <v>17920000</v>
      </c>
      <c r="L172" s="2" t="s">
        <v>2940</v>
      </c>
      <c r="M172" s="32" t="s">
        <v>3923</v>
      </c>
      <c r="N172" s="32" t="s">
        <v>2941</v>
      </c>
      <c r="O172" s="32" t="s">
        <v>2942</v>
      </c>
      <c r="P172" s="38" t="s">
        <v>2943</v>
      </c>
    </row>
    <row r="173" spans="2:16" x14ac:dyDescent="0.25">
      <c r="B173" s="32">
        <v>161</v>
      </c>
      <c r="C173" s="59" t="s">
        <v>2944</v>
      </c>
      <c r="D173" s="59"/>
      <c r="E173" s="59"/>
      <c r="F173" s="59"/>
      <c r="G173" s="59"/>
      <c r="H173" s="59"/>
      <c r="I173" s="59"/>
      <c r="J173" s="59" t="s">
        <v>805</v>
      </c>
      <c r="K173" s="46">
        <v>10650000</v>
      </c>
      <c r="L173" s="2" t="s">
        <v>2940</v>
      </c>
      <c r="M173" s="32" t="s">
        <v>3923</v>
      </c>
      <c r="N173" s="32" t="s">
        <v>2941</v>
      </c>
      <c r="O173" s="32" t="s">
        <v>2942</v>
      </c>
      <c r="P173" s="38" t="s">
        <v>2943</v>
      </c>
    </row>
    <row r="174" spans="2:16" ht="15" customHeight="1" x14ac:dyDescent="0.25">
      <c r="B174" s="32">
        <v>162</v>
      </c>
      <c r="C174" s="59" t="s">
        <v>2945</v>
      </c>
      <c r="D174" s="59"/>
      <c r="E174" s="59"/>
      <c r="F174" s="59"/>
      <c r="G174" s="59"/>
      <c r="H174" s="59"/>
      <c r="I174" s="59"/>
      <c r="J174" s="59" t="s">
        <v>884</v>
      </c>
      <c r="K174" s="46">
        <v>19980000</v>
      </c>
      <c r="L174" s="2">
        <v>44683</v>
      </c>
      <c r="M174" s="32" t="s">
        <v>3923</v>
      </c>
      <c r="N174" s="32" t="s">
        <v>2946</v>
      </c>
      <c r="O174" s="32" t="s">
        <v>2947</v>
      </c>
      <c r="P174" s="52" t="s">
        <v>2948</v>
      </c>
    </row>
    <row r="175" spans="2:16" x14ac:dyDescent="0.25">
      <c r="B175" s="32">
        <v>163</v>
      </c>
      <c r="C175" s="263" t="s">
        <v>2949</v>
      </c>
      <c r="D175" s="229"/>
      <c r="E175" s="229"/>
      <c r="F175" s="229"/>
      <c r="G175" s="229"/>
      <c r="H175" s="229"/>
      <c r="I175" s="229"/>
      <c r="J175" s="59" t="s">
        <v>702</v>
      </c>
      <c r="K175" s="46" t="s">
        <v>2492</v>
      </c>
      <c r="L175" s="2">
        <v>44679</v>
      </c>
      <c r="M175" s="2" t="s">
        <v>3923</v>
      </c>
      <c r="N175" s="32" t="s">
        <v>2036</v>
      </c>
      <c r="O175" s="32" t="s">
        <v>2748</v>
      </c>
      <c r="P175" s="52" t="s">
        <v>2600</v>
      </c>
    </row>
    <row r="176" spans="2:16" x14ac:dyDescent="0.25">
      <c r="B176" s="32">
        <v>164</v>
      </c>
      <c r="C176" s="229" t="s">
        <v>2950</v>
      </c>
      <c r="D176" s="229"/>
      <c r="E176" s="229"/>
      <c r="F176" s="229"/>
      <c r="G176" s="229"/>
      <c r="H176" s="229"/>
      <c r="I176" s="229"/>
      <c r="J176" s="64" t="s">
        <v>1139</v>
      </c>
      <c r="K176" s="46">
        <v>6950000</v>
      </c>
      <c r="L176" s="2">
        <v>44679</v>
      </c>
      <c r="M176" s="2"/>
      <c r="N176" s="77">
        <v>3003675022</v>
      </c>
      <c r="O176" s="32" t="s">
        <v>2697</v>
      </c>
      <c r="P176" s="52" t="s">
        <v>2698</v>
      </c>
    </row>
    <row r="177" spans="2:16" x14ac:dyDescent="0.25">
      <c r="B177" s="32">
        <v>165</v>
      </c>
      <c r="C177" s="264" t="s">
        <v>2951</v>
      </c>
      <c r="D177" s="231"/>
      <c r="E177" s="231"/>
      <c r="F177" s="231"/>
      <c r="G177" s="231"/>
      <c r="H177" s="231"/>
      <c r="I177" s="232"/>
      <c r="J177" s="59" t="s">
        <v>2722</v>
      </c>
      <c r="K177" s="46">
        <v>350000</v>
      </c>
      <c r="L177" s="2">
        <v>44679</v>
      </c>
      <c r="M177" s="32"/>
      <c r="N177" s="32">
        <v>3006080561</v>
      </c>
      <c r="O177" s="32" t="s">
        <v>1738</v>
      </c>
      <c r="P177" s="38" t="s">
        <v>1739</v>
      </c>
    </row>
    <row r="178" spans="2:16" ht="15" customHeight="1" x14ac:dyDescent="0.25">
      <c r="B178" s="32">
        <v>166</v>
      </c>
      <c r="C178" s="263" t="s">
        <v>2952</v>
      </c>
      <c r="D178" s="229"/>
      <c r="E178" s="229"/>
      <c r="F178" s="229"/>
      <c r="G178" s="229"/>
      <c r="H178" s="229"/>
      <c r="I178" s="229"/>
      <c r="J178" s="64" t="s">
        <v>1439</v>
      </c>
      <c r="K178" s="46">
        <v>1250000</v>
      </c>
      <c r="L178" s="2">
        <v>44680</v>
      </c>
      <c r="M178" s="2" t="s">
        <v>3923</v>
      </c>
      <c r="N178" s="32">
        <v>3183484307</v>
      </c>
      <c r="O178" s="32" t="s">
        <v>2116</v>
      </c>
      <c r="P178" s="52" t="s">
        <v>2117</v>
      </c>
    </row>
    <row r="179" spans="2:16" x14ac:dyDescent="0.25">
      <c r="B179" s="32">
        <v>167</v>
      </c>
      <c r="C179" s="229" t="s">
        <v>2953</v>
      </c>
      <c r="D179" s="229"/>
      <c r="E179" s="229"/>
      <c r="F179" s="229"/>
      <c r="G179" s="229"/>
      <c r="H179" s="229"/>
      <c r="I179" s="229"/>
      <c r="J179" s="64" t="s">
        <v>702</v>
      </c>
      <c r="K179" s="46">
        <v>14990000</v>
      </c>
      <c r="L179" s="2">
        <v>44680</v>
      </c>
      <c r="M179" s="32"/>
      <c r="N179" s="32">
        <v>3137546144</v>
      </c>
      <c r="O179" s="32" t="s">
        <v>229</v>
      </c>
      <c r="P179" s="52" t="s">
        <v>2504</v>
      </c>
    </row>
    <row r="180" spans="2:16" x14ac:dyDescent="0.25">
      <c r="B180" s="32">
        <v>168</v>
      </c>
      <c r="C180" s="263" t="s">
        <v>2954</v>
      </c>
      <c r="D180" s="229"/>
      <c r="E180" s="229"/>
      <c r="F180" s="229"/>
      <c r="G180" s="229"/>
      <c r="H180" s="229"/>
      <c r="I180" s="229"/>
      <c r="J180" s="59" t="s">
        <v>851</v>
      </c>
      <c r="K180" s="46">
        <v>15990000</v>
      </c>
      <c r="L180" s="2">
        <v>44680</v>
      </c>
      <c r="M180" s="32"/>
      <c r="N180" s="32" t="s">
        <v>2955</v>
      </c>
      <c r="O180" s="32" t="s">
        <v>2956</v>
      </c>
      <c r="P180" s="52" t="s">
        <v>1287</v>
      </c>
    </row>
    <row r="181" spans="2:16" x14ac:dyDescent="0.25">
      <c r="B181" s="32">
        <v>169</v>
      </c>
      <c r="C181" s="263" t="s">
        <v>2957</v>
      </c>
      <c r="D181" s="229"/>
      <c r="E181" s="229"/>
      <c r="F181" s="229"/>
      <c r="G181" s="229"/>
      <c r="H181" s="229"/>
      <c r="I181" s="229"/>
      <c r="J181" s="59" t="s">
        <v>702</v>
      </c>
      <c r="K181" s="46">
        <v>15950000</v>
      </c>
      <c r="L181" s="2">
        <v>44661</v>
      </c>
      <c r="M181" s="32"/>
      <c r="N181" s="32">
        <v>3105680508</v>
      </c>
      <c r="O181" s="32" t="s">
        <v>212</v>
      </c>
      <c r="P181" s="38" t="s">
        <v>703</v>
      </c>
    </row>
    <row r="182" spans="2:16" x14ac:dyDescent="0.25">
      <c r="B182" s="32">
        <v>170</v>
      </c>
      <c r="C182" s="229" t="s">
        <v>2958</v>
      </c>
      <c r="D182" s="229"/>
      <c r="E182" s="229"/>
      <c r="F182" s="229"/>
      <c r="G182" s="229"/>
      <c r="H182" s="229"/>
      <c r="I182" s="229"/>
      <c r="J182" s="59" t="s">
        <v>702</v>
      </c>
      <c r="K182" s="46" t="s">
        <v>2959</v>
      </c>
      <c r="L182" s="2">
        <v>44684</v>
      </c>
      <c r="M182" s="32"/>
      <c r="N182" s="32">
        <v>3105680508</v>
      </c>
      <c r="O182" s="32" t="s">
        <v>212</v>
      </c>
      <c r="P182" s="38" t="s">
        <v>703</v>
      </c>
    </row>
    <row r="183" spans="2:16" x14ac:dyDescent="0.25">
      <c r="B183" s="32">
        <v>171</v>
      </c>
      <c r="C183" s="229" t="s">
        <v>2960</v>
      </c>
      <c r="D183" s="229"/>
      <c r="E183" s="229"/>
      <c r="F183" s="229"/>
      <c r="G183" s="229"/>
      <c r="H183" s="229"/>
      <c r="I183" s="229"/>
      <c r="J183" s="59" t="s">
        <v>2961</v>
      </c>
      <c r="K183" s="46">
        <v>5950000</v>
      </c>
      <c r="L183" s="2">
        <v>44684</v>
      </c>
      <c r="M183" s="32"/>
      <c r="N183" s="32" t="s">
        <v>2591</v>
      </c>
      <c r="O183" s="32" t="s">
        <v>400</v>
      </c>
      <c r="P183" s="38" t="s">
        <v>1012</v>
      </c>
    </row>
    <row r="184" spans="2:16" x14ac:dyDescent="0.25">
      <c r="B184" s="32">
        <v>172</v>
      </c>
      <c r="C184" s="229" t="s">
        <v>2962</v>
      </c>
      <c r="D184" s="229"/>
      <c r="E184" s="229"/>
      <c r="F184" s="229"/>
      <c r="G184" s="229"/>
      <c r="H184" s="229"/>
      <c r="I184" s="229"/>
      <c r="J184" s="59" t="s">
        <v>2961</v>
      </c>
      <c r="K184" s="46">
        <v>2750000</v>
      </c>
      <c r="L184" s="2">
        <v>44684</v>
      </c>
      <c r="M184" s="32"/>
      <c r="N184" s="32" t="s">
        <v>2591</v>
      </c>
      <c r="O184" s="32" t="s">
        <v>400</v>
      </c>
      <c r="P184" s="38" t="s">
        <v>1012</v>
      </c>
    </row>
    <row r="185" spans="2:16" x14ac:dyDescent="0.25">
      <c r="B185" s="32">
        <v>173</v>
      </c>
      <c r="C185" s="229" t="s">
        <v>2963</v>
      </c>
      <c r="D185" s="229"/>
      <c r="E185" s="229"/>
      <c r="F185" s="229"/>
      <c r="G185" s="229"/>
      <c r="H185" s="229"/>
      <c r="I185" s="229"/>
      <c r="J185" s="64" t="s">
        <v>1439</v>
      </c>
      <c r="K185" s="46">
        <v>9950000</v>
      </c>
      <c r="L185" s="2">
        <v>44684</v>
      </c>
      <c r="M185" s="2" t="s">
        <v>3923</v>
      </c>
      <c r="N185" s="32">
        <v>3183484307</v>
      </c>
      <c r="O185" s="32" t="s">
        <v>2116</v>
      </c>
      <c r="P185" s="52" t="s">
        <v>2117</v>
      </c>
    </row>
    <row r="186" spans="2:16" x14ac:dyDescent="0.25">
      <c r="B186" s="32">
        <v>174</v>
      </c>
      <c r="C186" s="229" t="s">
        <v>2964</v>
      </c>
      <c r="D186" s="229"/>
      <c r="E186" s="229"/>
      <c r="F186" s="229"/>
      <c r="G186" s="229"/>
      <c r="H186" s="229"/>
      <c r="I186" s="229"/>
      <c r="J186" s="59" t="s">
        <v>1439</v>
      </c>
      <c r="K186" s="46">
        <v>1250000</v>
      </c>
      <c r="L186" s="2">
        <v>44684</v>
      </c>
      <c r="M186" s="2" t="s">
        <v>3923</v>
      </c>
      <c r="N186" s="32">
        <v>3183484307</v>
      </c>
      <c r="O186" s="32" t="s">
        <v>2116</v>
      </c>
      <c r="P186" s="52" t="s">
        <v>2117</v>
      </c>
    </row>
    <row r="187" spans="2:16" ht="15" customHeight="1" x14ac:dyDescent="0.25">
      <c r="B187" s="32">
        <v>175</v>
      </c>
      <c r="C187" s="229" t="s">
        <v>2965</v>
      </c>
      <c r="D187" s="229"/>
      <c r="E187" s="229"/>
      <c r="F187" s="229"/>
      <c r="G187" s="229"/>
      <c r="H187" s="229"/>
      <c r="I187" s="229"/>
      <c r="J187" s="59" t="s">
        <v>1177</v>
      </c>
      <c r="K187" s="46">
        <v>8150000</v>
      </c>
      <c r="L187" s="2">
        <v>44685</v>
      </c>
      <c r="M187" s="32"/>
      <c r="N187" s="32"/>
      <c r="O187" s="32" t="s">
        <v>2966</v>
      </c>
      <c r="P187" s="52" t="s">
        <v>2967</v>
      </c>
    </row>
    <row r="188" spans="2:16" x14ac:dyDescent="0.25">
      <c r="B188" s="32">
        <v>176</v>
      </c>
      <c r="C188" s="229" t="s">
        <v>2968</v>
      </c>
      <c r="D188" s="229"/>
      <c r="E188" s="229"/>
      <c r="F188" s="229"/>
      <c r="G188" s="229"/>
      <c r="H188" s="229"/>
      <c r="I188" s="229"/>
      <c r="J188" s="59" t="s">
        <v>2969</v>
      </c>
      <c r="K188" s="46">
        <v>13450000</v>
      </c>
      <c r="L188" s="2">
        <v>44685</v>
      </c>
      <c r="M188" s="32"/>
      <c r="N188" s="32"/>
      <c r="O188" s="32" t="s">
        <v>2970</v>
      </c>
      <c r="P188" s="52" t="s">
        <v>2971</v>
      </c>
    </row>
    <row r="189" spans="2:16" x14ac:dyDescent="0.25">
      <c r="B189" s="32">
        <v>177</v>
      </c>
      <c r="C189" s="229" t="s">
        <v>2972</v>
      </c>
      <c r="D189" s="229"/>
      <c r="E189" s="229"/>
      <c r="F189" s="229"/>
      <c r="G189" s="229"/>
      <c r="H189" s="229"/>
      <c r="I189" s="229"/>
      <c r="J189" s="59" t="s">
        <v>702</v>
      </c>
      <c r="K189" s="46">
        <v>1400000</v>
      </c>
      <c r="L189" s="2">
        <v>44691</v>
      </c>
      <c r="M189" s="32"/>
      <c r="N189" s="32"/>
      <c r="O189" s="32" t="s">
        <v>2973</v>
      </c>
      <c r="P189" s="52" t="s">
        <v>2621</v>
      </c>
    </row>
    <row r="190" spans="2:16" x14ac:dyDescent="0.25">
      <c r="B190" s="32">
        <v>178</v>
      </c>
      <c r="C190" s="229" t="s">
        <v>2974</v>
      </c>
      <c r="D190" s="229"/>
      <c r="E190" s="229"/>
      <c r="F190" s="229"/>
      <c r="G190" s="229"/>
      <c r="H190" s="229"/>
      <c r="I190" s="229"/>
      <c r="J190" s="59" t="s">
        <v>702</v>
      </c>
      <c r="K190" s="46">
        <v>19440000</v>
      </c>
      <c r="L190" s="2">
        <v>44686</v>
      </c>
      <c r="M190" s="32"/>
      <c r="N190" s="32"/>
      <c r="O190" s="32" t="s">
        <v>2975</v>
      </c>
      <c r="P190" s="52" t="s">
        <v>2761</v>
      </c>
    </row>
    <row r="191" spans="2:16" x14ac:dyDescent="0.25">
      <c r="B191" s="32">
        <v>179</v>
      </c>
      <c r="C191" s="229" t="s">
        <v>2976</v>
      </c>
      <c r="D191" s="229"/>
      <c r="E191" s="229"/>
      <c r="F191" s="229"/>
      <c r="G191" s="229"/>
      <c r="H191" s="229"/>
      <c r="I191" s="229"/>
      <c r="J191" s="59" t="s">
        <v>2779</v>
      </c>
      <c r="K191" s="46">
        <v>17990000</v>
      </c>
      <c r="L191" s="2">
        <v>44687</v>
      </c>
      <c r="M191" s="32" t="s">
        <v>3923</v>
      </c>
      <c r="N191" s="32">
        <v>4483960</v>
      </c>
      <c r="O191" s="78" t="s">
        <v>2353</v>
      </c>
      <c r="P191" s="52" t="s">
        <v>1806</v>
      </c>
    </row>
    <row r="192" spans="2:16" x14ac:dyDescent="0.25">
      <c r="B192" s="32">
        <v>180</v>
      </c>
      <c r="C192" s="229" t="s">
        <v>2977</v>
      </c>
      <c r="D192" s="229"/>
      <c r="E192" s="229"/>
      <c r="F192" s="229"/>
      <c r="G192" s="229"/>
      <c r="H192" s="229"/>
      <c r="I192" s="229"/>
      <c r="J192" s="59" t="s">
        <v>805</v>
      </c>
      <c r="K192" s="46">
        <v>20950000</v>
      </c>
      <c r="L192" s="2">
        <v>44809</v>
      </c>
      <c r="M192" s="32" t="s">
        <v>3923</v>
      </c>
      <c r="N192" s="32" t="s">
        <v>2872</v>
      </c>
      <c r="O192" s="32" t="s">
        <v>2873</v>
      </c>
      <c r="P192" s="52" t="s">
        <v>1356</v>
      </c>
    </row>
    <row r="193" spans="2:16" x14ac:dyDescent="0.25">
      <c r="B193" s="32">
        <v>181</v>
      </c>
      <c r="C193" s="229" t="s">
        <v>2978</v>
      </c>
      <c r="D193" s="229"/>
      <c r="E193" s="229"/>
      <c r="F193" s="229"/>
      <c r="G193" s="229"/>
      <c r="H193" s="229"/>
      <c r="I193" s="229"/>
      <c r="J193" s="59" t="s">
        <v>2979</v>
      </c>
      <c r="K193" s="46">
        <v>8800000</v>
      </c>
      <c r="L193" s="2">
        <v>44690</v>
      </c>
      <c r="M193" s="2"/>
      <c r="N193" s="32"/>
      <c r="O193" s="32" t="s">
        <v>2269</v>
      </c>
      <c r="P193" s="52" t="s">
        <v>2270</v>
      </c>
    </row>
    <row r="194" spans="2:16" x14ac:dyDescent="0.25">
      <c r="B194" s="32">
        <v>182</v>
      </c>
      <c r="C194" s="229" t="s">
        <v>2980</v>
      </c>
      <c r="D194" s="229"/>
      <c r="E194" s="229"/>
      <c r="F194" s="229"/>
      <c r="G194" s="229"/>
      <c r="H194" s="229"/>
      <c r="I194" s="229"/>
      <c r="J194" s="59" t="s">
        <v>805</v>
      </c>
      <c r="K194" s="46">
        <v>20950000</v>
      </c>
      <c r="L194" s="2">
        <v>44690</v>
      </c>
      <c r="M194" s="32"/>
      <c r="N194" s="32"/>
      <c r="O194" s="32" t="s">
        <v>1355</v>
      </c>
      <c r="P194" s="38" t="s">
        <v>1356</v>
      </c>
    </row>
    <row r="195" spans="2:16" x14ac:dyDescent="0.25">
      <c r="B195" s="32">
        <v>183</v>
      </c>
      <c r="C195" s="229" t="s">
        <v>2981</v>
      </c>
      <c r="D195" s="229"/>
      <c r="E195" s="229"/>
      <c r="F195" s="229"/>
      <c r="G195" s="229"/>
      <c r="H195" s="229"/>
      <c r="I195" s="229"/>
      <c r="J195" s="59" t="s">
        <v>2982</v>
      </c>
      <c r="K195" s="46">
        <v>14950000</v>
      </c>
      <c r="L195" s="2">
        <v>44690</v>
      </c>
      <c r="M195" s="2"/>
      <c r="N195" s="32">
        <v>3207498224</v>
      </c>
      <c r="O195" s="32" t="s">
        <v>2983</v>
      </c>
      <c r="P195" s="38" t="s">
        <v>2984</v>
      </c>
    </row>
    <row r="196" spans="2:16" x14ac:dyDescent="0.25">
      <c r="B196" s="32">
        <v>184</v>
      </c>
      <c r="C196" s="229" t="s">
        <v>2985</v>
      </c>
      <c r="D196" s="229"/>
      <c r="E196" s="229"/>
      <c r="F196" s="229"/>
      <c r="G196" s="229"/>
      <c r="H196" s="229"/>
      <c r="I196" s="229"/>
      <c r="J196" s="59" t="s">
        <v>702</v>
      </c>
      <c r="K196" s="46">
        <v>9990000</v>
      </c>
      <c r="L196" s="2">
        <v>44691</v>
      </c>
      <c r="M196" s="32" t="s">
        <v>3923</v>
      </c>
      <c r="N196" s="32">
        <v>3104680508</v>
      </c>
      <c r="O196" s="32" t="s">
        <v>212</v>
      </c>
      <c r="P196" s="38" t="s">
        <v>703</v>
      </c>
    </row>
    <row r="197" spans="2:16" x14ac:dyDescent="0.25">
      <c r="B197" s="32">
        <v>185</v>
      </c>
      <c r="C197" s="229" t="s">
        <v>2986</v>
      </c>
      <c r="D197" s="229"/>
      <c r="E197" s="229"/>
      <c r="F197" s="229"/>
      <c r="G197" s="229"/>
      <c r="H197" s="229"/>
      <c r="I197" s="229"/>
      <c r="J197" s="59" t="s">
        <v>1875</v>
      </c>
      <c r="K197" s="46">
        <v>8400000</v>
      </c>
      <c r="L197" s="2">
        <v>44691</v>
      </c>
      <c r="M197" s="32"/>
      <c r="N197" s="32" t="s">
        <v>2987</v>
      </c>
      <c r="O197" s="32" t="s">
        <v>372</v>
      </c>
      <c r="P197" s="52" t="s">
        <v>2561</v>
      </c>
    </row>
    <row r="198" spans="2:16" x14ac:dyDescent="0.25">
      <c r="B198" s="32">
        <v>186</v>
      </c>
      <c r="C198" s="229" t="s">
        <v>2988</v>
      </c>
      <c r="D198" s="229"/>
      <c r="E198" s="229"/>
      <c r="F198" s="229"/>
      <c r="G198" s="229"/>
      <c r="H198" s="229"/>
      <c r="I198" s="229"/>
      <c r="J198" s="59" t="s">
        <v>1875</v>
      </c>
      <c r="K198" s="46">
        <v>15990000</v>
      </c>
      <c r="L198" s="2">
        <v>44691</v>
      </c>
      <c r="M198" s="32"/>
      <c r="N198" s="32" t="s">
        <v>2987</v>
      </c>
      <c r="O198" s="32" t="s">
        <v>372</v>
      </c>
      <c r="P198" s="52" t="s">
        <v>2561</v>
      </c>
    </row>
    <row r="199" spans="2:16" x14ac:dyDescent="0.25">
      <c r="B199" s="32">
        <v>187</v>
      </c>
      <c r="C199" s="229" t="s">
        <v>2989</v>
      </c>
      <c r="D199" s="229"/>
      <c r="E199" s="229"/>
      <c r="F199" s="229"/>
      <c r="G199" s="229"/>
      <c r="H199" s="229"/>
      <c r="I199" s="229"/>
      <c r="J199" s="59" t="s">
        <v>2225</v>
      </c>
      <c r="K199" s="46">
        <v>1880000</v>
      </c>
      <c r="L199" s="2">
        <v>44692</v>
      </c>
      <c r="M199" s="32" t="s">
        <v>3923</v>
      </c>
      <c r="N199" s="32" t="s">
        <v>2452</v>
      </c>
      <c r="O199" s="32" t="s">
        <v>2453</v>
      </c>
      <c r="P199" s="52" t="s">
        <v>2454</v>
      </c>
    </row>
    <row r="200" spans="2:16" x14ac:dyDescent="0.25">
      <c r="B200" s="32">
        <v>188</v>
      </c>
      <c r="C200" s="229" t="s">
        <v>2990</v>
      </c>
      <c r="D200" s="229"/>
      <c r="E200" s="229"/>
      <c r="F200" s="229"/>
      <c r="G200" s="229"/>
      <c r="H200" s="229"/>
      <c r="I200" s="229"/>
      <c r="J200" s="59" t="s">
        <v>2225</v>
      </c>
      <c r="K200" s="46">
        <v>1500000</v>
      </c>
      <c r="L200" s="2">
        <v>44691</v>
      </c>
      <c r="M200" s="2" t="s">
        <v>3923</v>
      </c>
      <c r="N200" s="32" t="s">
        <v>2452</v>
      </c>
      <c r="O200" s="32" t="s">
        <v>2453</v>
      </c>
      <c r="P200" s="38" t="s">
        <v>2454</v>
      </c>
    </row>
    <row r="201" spans="2:16" x14ac:dyDescent="0.25">
      <c r="B201" s="32">
        <v>189</v>
      </c>
      <c r="C201" s="229" t="s">
        <v>2991</v>
      </c>
      <c r="D201" s="229"/>
      <c r="E201" s="229"/>
      <c r="F201" s="229"/>
      <c r="G201" s="229"/>
      <c r="H201" s="229"/>
      <c r="I201" s="229"/>
      <c r="J201" s="59" t="s">
        <v>702</v>
      </c>
      <c r="K201" s="46">
        <v>3000000</v>
      </c>
      <c r="L201" s="2">
        <v>44707</v>
      </c>
      <c r="M201" s="32"/>
      <c r="N201" s="32" t="s">
        <v>2619</v>
      </c>
      <c r="O201" s="32" t="s">
        <v>2620</v>
      </c>
      <c r="P201" s="52" t="s">
        <v>2621</v>
      </c>
    </row>
    <row r="202" spans="2:16" x14ac:dyDescent="0.25">
      <c r="B202" s="32">
        <v>190</v>
      </c>
      <c r="C202" s="229" t="s">
        <v>2992</v>
      </c>
      <c r="D202" s="229"/>
      <c r="E202" s="229"/>
      <c r="F202" s="229"/>
      <c r="G202" s="229"/>
      <c r="H202" s="229"/>
      <c r="I202" s="229"/>
      <c r="J202" s="59" t="s">
        <v>1428</v>
      </c>
      <c r="K202" s="46">
        <v>195000</v>
      </c>
      <c r="L202" s="2">
        <v>44700</v>
      </c>
      <c r="M202" s="2"/>
      <c r="N202" s="32"/>
      <c r="O202" s="32"/>
      <c r="P202" s="52"/>
    </row>
    <row r="203" spans="2:16" x14ac:dyDescent="0.25">
      <c r="B203" s="32">
        <v>191</v>
      </c>
      <c r="C203" s="229" t="s">
        <v>2993</v>
      </c>
      <c r="D203" s="229"/>
      <c r="E203" s="229"/>
      <c r="F203" s="229"/>
      <c r="G203" s="229"/>
      <c r="H203" s="229"/>
      <c r="I203" s="229"/>
      <c r="J203" s="59" t="s">
        <v>1804</v>
      </c>
      <c r="K203" s="46">
        <v>2500000</v>
      </c>
      <c r="L203" s="2">
        <v>44693</v>
      </c>
      <c r="M203" s="32"/>
      <c r="N203" s="32">
        <v>4483960</v>
      </c>
      <c r="O203" s="78" t="s">
        <v>2353</v>
      </c>
      <c r="P203" s="52" t="s">
        <v>1806</v>
      </c>
    </row>
    <row r="204" spans="2:16" x14ac:dyDescent="0.25">
      <c r="B204" s="32">
        <v>192</v>
      </c>
      <c r="C204" s="229" t="s">
        <v>2994</v>
      </c>
      <c r="D204" s="229"/>
      <c r="E204" s="229"/>
      <c r="F204" s="229"/>
      <c r="G204" s="229"/>
      <c r="H204" s="229"/>
      <c r="I204" s="229"/>
      <c r="J204" s="79" t="s">
        <v>2995</v>
      </c>
      <c r="K204" s="46">
        <v>18990000</v>
      </c>
      <c r="L204" s="2">
        <v>44691</v>
      </c>
      <c r="M204" s="32" t="s">
        <v>3923</v>
      </c>
      <c r="N204" s="32">
        <v>3176377118</v>
      </c>
      <c r="O204" s="32" t="s">
        <v>2996</v>
      </c>
      <c r="P204" s="52" t="s">
        <v>2997</v>
      </c>
    </row>
    <row r="205" spans="2:16" x14ac:dyDescent="0.25">
      <c r="B205" s="32">
        <v>193</v>
      </c>
      <c r="C205" s="229" t="s">
        <v>2998</v>
      </c>
      <c r="D205" s="229"/>
      <c r="E205" s="229"/>
      <c r="F205" s="229"/>
      <c r="G205" s="229"/>
      <c r="H205" s="229"/>
      <c r="I205" s="229"/>
      <c r="J205" s="59" t="s">
        <v>890</v>
      </c>
      <c r="K205" s="46">
        <v>17990000</v>
      </c>
      <c r="L205" s="2">
        <v>44691</v>
      </c>
      <c r="M205" s="32"/>
      <c r="N205" s="32"/>
      <c r="O205" s="32" t="s">
        <v>2999</v>
      </c>
      <c r="P205" s="52" t="s">
        <v>990</v>
      </c>
    </row>
    <row r="206" spans="2:16" x14ac:dyDescent="0.25">
      <c r="B206" s="32">
        <v>194</v>
      </c>
      <c r="C206" s="229" t="s">
        <v>3000</v>
      </c>
      <c r="D206" s="229"/>
      <c r="E206" s="229"/>
      <c r="F206" s="229"/>
      <c r="G206" s="229"/>
      <c r="H206" s="229"/>
      <c r="I206" s="229"/>
      <c r="J206" s="59" t="s">
        <v>1546</v>
      </c>
      <c r="K206" s="46">
        <v>49850000</v>
      </c>
      <c r="L206" s="2">
        <v>44691</v>
      </c>
      <c r="M206" s="32"/>
      <c r="N206" s="32"/>
      <c r="O206" s="32" t="s">
        <v>2868</v>
      </c>
      <c r="P206" s="52" t="s">
        <v>2869</v>
      </c>
    </row>
    <row r="207" spans="2:16" x14ac:dyDescent="0.25">
      <c r="B207" s="32">
        <v>195</v>
      </c>
      <c r="C207" s="229" t="s">
        <v>3001</v>
      </c>
      <c r="D207" s="229"/>
      <c r="E207" s="229"/>
      <c r="F207" s="229"/>
      <c r="G207" s="229"/>
      <c r="H207" s="229"/>
      <c r="I207" s="229"/>
      <c r="J207" s="59" t="s">
        <v>3002</v>
      </c>
      <c r="K207" s="46">
        <v>15680000</v>
      </c>
      <c r="L207" s="2">
        <v>44691</v>
      </c>
      <c r="M207" s="32" t="s">
        <v>3923</v>
      </c>
      <c r="N207" s="32"/>
      <c r="O207" s="32" t="s">
        <v>3003</v>
      </c>
      <c r="P207" s="66" t="s">
        <v>2557</v>
      </c>
    </row>
    <row r="208" spans="2:16" x14ac:dyDescent="0.25">
      <c r="B208" s="32">
        <v>196</v>
      </c>
      <c r="C208" s="229" t="s">
        <v>3004</v>
      </c>
      <c r="D208" s="229"/>
      <c r="E208" s="229"/>
      <c r="F208" s="229"/>
      <c r="G208" s="229"/>
      <c r="H208" s="229"/>
      <c r="I208" s="229"/>
      <c r="J208" s="59" t="s">
        <v>702</v>
      </c>
      <c r="K208" s="46">
        <v>19990000</v>
      </c>
      <c r="L208" s="2">
        <v>44698</v>
      </c>
      <c r="M208" s="32" t="s">
        <v>3923</v>
      </c>
      <c r="N208" s="32">
        <v>3105680508</v>
      </c>
      <c r="O208" s="32" t="s">
        <v>212</v>
      </c>
      <c r="P208" s="38" t="s">
        <v>703</v>
      </c>
    </row>
    <row r="209" spans="2:16" x14ac:dyDescent="0.25">
      <c r="B209" s="32">
        <v>197</v>
      </c>
      <c r="C209" s="229" t="s">
        <v>3005</v>
      </c>
      <c r="D209" s="229"/>
      <c r="E209" s="229"/>
      <c r="F209" s="229"/>
      <c r="G209" s="229"/>
      <c r="H209" s="229"/>
      <c r="I209" s="229"/>
      <c r="J209" s="59" t="s">
        <v>851</v>
      </c>
      <c r="K209" s="46" t="s">
        <v>3006</v>
      </c>
      <c r="L209" s="2">
        <v>44692</v>
      </c>
      <c r="M209" s="32"/>
      <c r="N209" s="32" t="s">
        <v>2955</v>
      </c>
      <c r="O209" s="32" t="s">
        <v>2956</v>
      </c>
      <c r="P209" s="52" t="s">
        <v>1287</v>
      </c>
    </row>
    <row r="210" spans="2:16" x14ac:dyDescent="0.25">
      <c r="B210" s="32">
        <v>198</v>
      </c>
      <c r="C210" s="229" t="s">
        <v>3007</v>
      </c>
      <c r="D210" s="229"/>
      <c r="E210" s="229"/>
      <c r="F210" s="229"/>
      <c r="G210" s="229"/>
      <c r="H210" s="229"/>
      <c r="I210" s="229"/>
      <c r="J210" s="59" t="s">
        <v>1139</v>
      </c>
      <c r="K210" s="46">
        <v>9950000</v>
      </c>
      <c r="L210" s="2">
        <v>44692</v>
      </c>
      <c r="M210" s="32"/>
      <c r="N210" s="32">
        <v>3014621799</v>
      </c>
      <c r="O210" s="32" t="s">
        <v>3008</v>
      </c>
      <c r="P210" s="38" t="s">
        <v>3009</v>
      </c>
    </row>
    <row r="211" spans="2:16" x14ac:dyDescent="0.25">
      <c r="B211" s="32">
        <v>199</v>
      </c>
      <c r="C211" s="229" t="s">
        <v>3010</v>
      </c>
      <c r="D211" s="229"/>
      <c r="E211" s="229"/>
      <c r="F211" s="229"/>
      <c r="G211" s="229"/>
      <c r="H211" s="229"/>
      <c r="I211" s="229"/>
      <c r="J211" s="59" t="s">
        <v>1139</v>
      </c>
      <c r="K211" s="46">
        <v>5500000</v>
      </c>
      <c r="L211" s="2">
        <v>44692</v>
      </c>
      <c r="M211" s="32"/>
      <c r="N211" s="32">
        <v>3014621799</v>
      </c>
      <c r="O211" s="32" t="s">
        <v>3008</v>
      </c>
      <c r="P211" s="38" t="s">
        <v>3009</v>
      </c>
    </row>
    <row r="212" spans="2:16" x14ac:dyDescent="0.25">
      <c r="B212" s="32">
        <v>200</v>
      </c>
      <c r="C212" s="229" t="s">
        <v>3011</v>
      </c>
      <c r="D212" s="229"/>
      <c r="E212" s="229"/>
      <c r="F212" s="229"/>
      <c r="G212" s="229"/>
      <c r="H212" s="229"/>
      <c r="I212" s="229"/>
      <c r="J212" s="59" t="s">
        <v>3012</v>
      </c>
      <c r="K212" s="46">
        <v>4950000</v>
      </c>
      <c r="L212" s="2">
        <v>44692</v>
      </c>
      <c r="M212" s="32" t="s">
        <v>3923</v>
      </c>
      <c r="N212" s="32"/>
      <c r="O212" s="32" t="s">
        <v>3013</v>
      </c>
      <c r="P212" s="52" t="s">
        <v>3014</v>
      </c>
    </row>
    <row r="213" spans="2:16" x14ac:dyDescent="0.25">
      <c r="B213" s="32">
        <v>201</v>
      </c>
      <c r="C213" s="229" t="s">
        <v>3015</v>
      </c>
      <c r="D213" s="229"/>
      <c r="E213" s="229"/>
      <c r="F213" s="229"/>
      <c r="G213" s="229"/>
      <c r="H213" s="229"/>
      <c r="I213" s="229"/>
      <c r="J213" s="59" t="s">
        <v>2961</v>
      </c>
      <c r="K213" s="46">
        <v>29950000</v>
      </c>
      <c r="L213" s="2">
        <v>44692</v>
      </c>
      <c r="M213" s="32"/>
      <c r="N213" s="32" t="s">
        <v>2591</v>
      </c>
      <c r="O213" s="32" t="s">
        <v>400</v>
      </c>
      <c r="P213" s="52" t="s">
        <v>1012</v>
      </c>
    </row>
    <row r="214" spans="2:16" x14ac:dyDescent="0.25">
      <c r="B214" s="32">
        <v>202</v>
      </c>
      <c r="C214" s="263" t="s">
        <v>4310</v>
      </c>
      <c r="D214" s="229"/>
      <c r="E214" s="229"/>
      <c r="F214" s="229"/>
      <c r="G214" s="229"/>
      <c r="H214" s="229"/>
      <c r="I214" s="229"/>
      <c r="J214" s="59" t="s">
        <v>2961</v>
      </c>
      <c r="K214" s="46">
        <v>13950000</v>
      </c>
      <c r="L214" s="2">
        <v>44692</v>
      </c>
      <c r="M214" s="32"/>
      <c r="N214" s="32" t="s">
        <v>2591</v>
      </c>
      <c r="O214" s="32" t="s">
        <v>400</v>
      </c>
      <c r="P214" s="52" t="s">
        <v>1012</v>
      </c>
    </row>
    <row r="215" spans="2:16" x14ac:dyDescent="0.25">
      <c r="B215" s="32">
        <v>203</v>
      </c>
      <c r="C215" s="229" t="s">
        <v>3016</v>
      </c>
      <c r="D215" s="229"/>
      <c r="E215" s="229"/>
      <c r="F215" s="229"/>
      <c r="G215" s="229"/>
      <c r="H215" s="229"/>
      <c r="I215" s="229"/>
      <c r="J215" s="59" t="s">
        <v>1875</v>
      </c>
      <c r="K215" s="46">
        <v>800000</v>
      </c>
      <c r="L215" s="2">
        <v>44692</v>
      </c>
      <c r="M215" s="2"/>
      <c r="N215" s="32">
        <v>4442074</v>
      </c>
      <c r="O215" s="32" t="s">
        <v>390</v>
      </c>
      <c r="P215" s="52" t="s">
        <v>1876</v>
      </c>
    </row>
    <row r="216" spans="2:16" x14ac:dyDescent="0.25">
      <c r="B216" s="32">
        <v>204</v>
      </c>
      <c r="C216" s="229" t="s">
        <v>3017</v>
      </c>
      <c r="D216" s="229"/>
      <c r="E216" s="229"/>
      <c r="F216" s="229"/>
      <c r="G216" s="229"/>
      <c r="H216" s="229"/>
      <c r="I216" s="229"/>
      <c r="J216" s="59" t="s">
        <v>3012</v>
      </c>
      <c r="K216" s="46">
        <v>29980000</v>
      </c>
      <c r="L216" s="2">
        <v>44692</v>
      </c>
      <c r="M216" s="32" t="s">
        <v>3923</v>
      </c>
      <c r="N216" s="32"/>
      <c r="O216" s="32" t="s">
        <v>3013</v>
      </c>
      <c r="P216" s="52" t="s">
        <v>3014</v>
      </c>
    </row>
    <row r="217" spans="2:16" x14ac:dyDescent="0.25">
      <c r="B217" s="32">
        <v>205</v>
      </c>
      <c r="C217" s="229" t="s">
        <v>3018</v>
      </c>
      <c r="D217" s="229"/>
      <c r="E217" s="229"/>
      <c r="F217" s="229"/>
      <c r="G217" s="229"/>
      <c r="H217" s="229"/>
      <c r="I217" s="229"/>
      <c r="J217" s="59" t="s">
        <v>890</v>
      </c>
      <c r="K217" s="46">
        <v>7525000</v>
      </c>
      <c r="L217" s="2">
        <v>44693</v>
      </c>
      <c r="M217" s="32"/>
      <c r="N217" s="32">
        <v>3014201614</v>
      </c>
      <c r="O217" s="32" t="s">
        <v>3019</v>
      </c>
      <c r="P217" s="52"/>
    </row>
    <row r="218" spans="2:16" x14ac:dyDescent="0.25">
      <c r="B218" s="32">
        <v>206</v>
      </c>
      <c r="C218" s="229" t="s">
        <v>3020</v>
      </c>
      <c r="D218" s="229"/>
      <c r="E218" s="229"/>
      <c r="F218" s="229"/>
      <c r="G218" s="229"/>
      <c r="H218" s="229"/>
      <c r="I218" s="229"/>
      <c r="J218" s="59" t="s">
        <v>702</v>
      </c>
      <c r="K218" s="46">
        <v>9980000</v>
      </c>
      <c r="L218" s="2">
        <v>44697</v>
      </c>
      <c r="M218" s="2"/>
      <c r="N218" s="32">
        <v>3104165783</v>
      </c>
      <c r="O218" s="32" t="s">
        <v>2975</v>
      </c>
      <c r="P218" s="52" t="s">
        <v>2761</v>
      </c>
    </row>
    <row r="219" spans="2:16" x14ac:dyDescent="0.25">
      <c r="B219" s="32">
        <v>207</v>
      </c>
      <c r="C219" s="229" t="s">
        <v>3021</v>
      </c>
      <c r="D219" s="229"/>
      <c r="E219" s="229"/>
      <c r="F219" s="229"/>
      <c r="G219" s="229"/>
      <c r="H219" s="229"/>
      <c r="I219" s="229"/>
      <c r="J219" s="59" t="s">
        <v>702</v>
      </c>
      <c r="K219" s="46">
        <v>10980000</v>
      </c>
      <c r="L219" s="2">
        <v>44697</v>
      </c>
      <c r="M219" s="32"/>
      <c r="N219" s="32" t="s">
        <v>2036</v>
      </c>
      <c r="O219" s="32" t="s">
        <v>2748</v>
      </c>
      <c r="P219" s="52" t="s">
        <v>2600</v>
      </c>
    </row>
    <row r="220" spans="2:16" x14ac:dyDescent="0.25">
      <c r="B220" s="32">
        <v>208</v>
      </c>
      <c r="C220" s="229" t="s">
        <v>3022</v>
      </c>
      <c r="D220" s="229"/>
      <c r="E220" s="229"/>
      <c r="F220" s="229"/>
      <c r="G220" s="229"/>
      <c r="H220" s="229"/>
      <c r="I220" s="229"/>
      <c r="J220" s="59" t="s">
        <v>1139</v>
      </c>
      <c r="K220" s="46">
        <v>4500000</v>
      </c>
      <c r="L220" s="2">
        <v>44697</v>
      </c>
      <c r="M220" s="32"/>
      <c r="N220" s="32">
        <v>3003177639</v>
      </c>
      <c r="O220" s="32" t="s">
        <v>3023</v>
      </c>
      <c r="P220" s="52" t="s">
        <v>3024</v>
      </c>
    </row>
    <row r="221" spans="2:16" x14ac:dyDescent="0.25">
      <c r="B221" s="32">
        <v>209</v>
      </c>
      <c r="C221" s="229" t="s">
        <v>3025</v>
      </c>
      <c r="D221" s="229"/>
      <c r="E221" s="229"/>
      <c r="F221" s="229"/>
      <c r="G221" s="229"/>
      <c r="H221" s="229"/>
      <c r="I221" s="229"/>
      <c r="J221" s="59" t="s">
        <v>2717</v>
      </c>
      <c r="K221" s="46">
        <v>14950000</v>
      </c>
      <c r="L221" s="2">
        <v>44694</v>
      </c>
      <c r="M221" s="2" t="s">
        <v>3923</v>
      </c>
      <c r="N221" s="32"/>
      <c r="O221" s="32" t="s">
        <v>3026</v>
      </c>
      <c r="P221" s="66" t="s">
        <v>3027</v>
      </c>
    </row>
    <row r="222" spans="2:16" x14ac:dyDescent="0.25">
      <c r="B222" s="32">
        <v>210</v>
      </c>
      <c r="C222" s="229" t="s">
        <v>3028</v>
      </c>
      <c r="D222" s="229"/>
      <c r="E222" s="229"/>
      <c r="F222" s="229"/>
      <c r="G222" s="229"/>
      <c r="H222" s="229"/>
      <c r="I222" s="229"/>
      <c r="J222" s="59" t="s">
        <v>2961</v>
      </c>
      <c r="K222" s="56">
        <v>13950000</v>
      </c>
      <c r="L222" s="2">
        <v>44694</v>
      </c>
      <c r="M222" s="32"/>
      <c r="N222" s="32" t="s">
        <v>2591</v>
      </c>
      <c r="O222" s="32" t="s">
        <v>400</v>
      </c>
      <c r="P222" s="52" t="s">
        <v>1012</v>
      </c>
    </row>
    <row r="223" spans="2:16" x14ac:dyDescent="0.25">
      <c r="B223" s="32">
        <v>211</v>
      </c>
      <c r="C223" s="229" t="s">
        <v>3029</v>
      </c>
      <c r="D223" s="229"/>
      <c r="E223" s="229"/>
      <c r="F223" s="229"/>
      <c r="G223" s="229"/>
      <c r="H223" s="229"/>
      <c r="I223" s="229"/>
      <c r="J223" s="59" t="s">
        <v>2961</v>
      </c>
      <c r="K223" s="46">
        <v>13950000</v>
      </c>
      <c r="L223" s="2">
        <v>44694</v>
      </c>
      <c r="M223" s="32"/>
      <c r="N223" s="32" t="s">
        <v>2591</v>
      </c>
      <c r="O223" s="32" t="s">
        <v>400</v>
      </c>
      <c r="P223" s="52" t="s">
        <v>1012</v>
      </c>
    </row>
    <row r="224" spans="2:16" x14ac:dyDescent="0.25">
      <c r="B224" s="32">
        <v>212</v>
      </c>
      <c r="C224" s="229" t="s">
        <v>3030</v>
      </c>
      <c r="D224" s="229"/>
      <c r="E224" s="229"/>
      <c r="F224" s="229"/>
      <c r="G224" s="229"/>
      <c r="H224" s="229"/>
      <c r="I224" s="229"/>
      <c r="J224" s="59" t="s">
        <v>1139</v>
      </c>
      <c r="K224" s="46">
        <v>7550000</v>
      </c>
      <c r="L224" s="2">
        <v>44692</v>
      </c>
      <c r="M224" s="32"/>
      <c r="N224" s="32">
        <v>3014621799</v>
      </c>
      <c r="O224" s="32" t="s">
        <v>3008</v>
      </c>
      <c r="P224" s="38" t="s">
        <v>3009</v>
      </c>
    </row>
    <row r="225" spans="2:16" x14ac:dyDescent="0.25">
      <c r="B225" s="32">
        <v>213</v>
      </c>
      <c r="C225" s="229" t="s">
        <v>3031</v>
      </c>
      <c r="D225" s="229"/>
      <c r="E225" s="229"/>
      <c r="F225" s="229"/>
      <c r="G225" s="229"/>
      <c r="H225" s="229"/>
      <c r="I225" s="229"/>
      <c r="J225" s="59" t="s">
        <v>1139</v>
      </c>
      <c r="K225" s="46">
        <v>13950000</v>
      </c>
      <c r="L225" s="2">
        <v>44692</v>
      </c>
      <c r="M225" s="32"/>
      <c r="N225" s="32">
        <v>3014621799</v>
      </c>
      <c r="O225" s="32" t="s">
        <v>3008</v>
      </c>
      <c r="P225" s="38" t="s">
        <v>3009</v>
      </c>
    </row>
    <row r="226" spans="2:16" x14ac:dyDescent="0.25">
      <c r="B226" s="32">
        <v>214</v>
      </c>
      <c r="C226" s="229" t="s">
        <v>3032</v>
      </c>
      <c r="D226" s="229"/>
      <c r="E226" s="229"/>
      <c r="F226" s="229"/>
      <c r="G226" s="229"/>
      <c r="H226" s="229"/>
      <c r="I226" s="229"/>
      <c r="J226" s="59" t="s">
        <v>702</v>
      </c>
      <c r="K226" s="46">
        <v>2950000</v>
      </c>
      <c r="L226" s="2">
        <v>44698</v>
      </c>
      <c r="M226" s="32"/>
      <c r="N226" s="32">
        <v>3105680508</v>
      </c>
      <c r="O226" s="32" t="s">
        <v>212</v>
      </c>
      <c r="P226" s="38" t="s">
        <v>703</v>
      </c>
    </row>
    <row r="227" spans="2:16" ht="15" customHeight="1" x14ac:dyDescent="0.25">
      <c r="B227" s="32">
        <v>215</v>
      </c>
      <c r="C227" s="229" t="s">
        <v>3033</v>
      </c>
      <c r="D227" s="229"/>
      <c r="E227" s="229"/>
      <c r="F227" s="229"/>
      <c r="G227" s="229"/>
      <c r="H227" s="229"/>
      <c r="I227" s="229"/>
      <c r="J227" s="59" t="s">
        <v>702</v>
      </c>
      <c r="K227" s="46">
        <v>650000</v>
      </c>
      <c r="L227" s="2">
        <v>44698</v>
      </c>
      <c r="M227" s="32"/>
      <c r="N227" s="32">
        <v>3104165783</v>
      </c>
      <c r="O227" s="32" t="s">
        <v>2975</v>
      </c>
      <c r="P227" s="52" t="s">
        <v>2761</v>
      </c>
    </row>
    <row r="228" spans="2:16" x14ac:dyDescent="0.25">
      <c r="B228" s="32">
        <v>216</v>
      </c>
      <c r="C228" s="229" t="s">
        <v>3034</v>
      </c>
      <c r="D228" s="229"/>
      <c r="E228" s="229"/>
      <c r="F228" s="229"/>
      <c r="G228" s="229"/>
      <c r="H228" s="229"/>
      <c r="I228" s="229"/>
      <c r="J228" s="59" t="s">
        <v>1535</v>
      </c>
      <c r="K228" s="46">
        <v>17990000</v>
      </c>
      <c r="L228" s="2">
        <v>44705</v>
      </c>
      <c r="M228" s="32"/>
      <c r="N228" s="32" t="s">
        <v>3035</v>
      </c>
      <c r="O228" s="32" t="s">
        <v>3036</v>
      </c>
      <c r="P228" s="52" t="s">
        <v>3037</v>
      </c>
    </row>
    <row r="229" spans="2:16" x14ac:dyDescent="0.25">
      <c r="B229" s="32">
        <v>217</v>
      </c>
      <c r="C229" s="263" t="s">
        <v>3038</v>
      </c>
      <c r="D229" s="229"/>
      <c r="E229" s="229"/>
      <c r="F229" s="229"/>
      <c r="G229" s="229"/>
      <c r="H229" s="229"/>
      <c r="I229" s="229"/>
      <c r="J229" s="59" t="s">
        <v>1535</v>
      </c>
      <c r="K229" s="46">
        <v>19940000</v>
      </c>
      <c r="L229" s="2">
        <v>44705</v>
      </c>
      <c r="M229" s="32"/>
      <c r="N229" s="32" t="s">
        <v>3035</v>
      </c>
      <c r="O229" s="32" t="s">
        <v>3036</v>
      </c>
      <c r="P229" s="38" t="s">
        <v>3037</v>
      </c>
    </row>
    <row r="230" spans="2:16" x14ac:dyDescent="0.25">
      <c r="B230" s="32">
        <v>218</v>
      </c>
      <c r="C230" s="229" t="s">
        <v>3039</v>
      </c>
      <c r="D230" s="229"/>
      <c r="E230" s="229"/>
      <c r="F230" s="229"/>
      <c r="G230" s="229"/>
      <c r="H230" s="229"/>
      <c r="I230" s="229"/>
      <c r="J230" s="59" t="s">
        <v>3040</v>
      </c>
      <c r="K230" s="46">
        <v>5950000</v>
      </c>
      <c r="L230" s="2">
        <v>44699</v>
      </c>
      <c r="M230" s="32" t="s">
        <v>3923</v>
      </c>
      <c r="N230" s="32">
        <v>7433053</v>
      </c>
      <c r="O230" s="32" t="s">
        <v>3041</v>
      </c>
      <c r="P230" s="80" t="s">
        <v>3042</v>
      </c>
    </row>
    <row r="231" spans="2:16" x14ac:dyDescent="0.25">
      <c r="B231" s="32">
        <v>219</v>
      </c>
      <c r="C231" s="229" t="s">
        <v>3043</v>
      </c>
      <c r="D231" s="229"/>
      <c r="E231" s="229"/>
      <c r="F231" s="229"/>
      <c r="G231" s="229"/>
      <c r="H231" s="229"/>
      <c r="I231" s="229"/>
      <c r="J231" s="59" t="s">
        <v>747</v>
      </c>
      <c r="K231" s="46">
        <v>4200000</v>
      </c>
      <c r="L231" s="2">
        <v>44699</v>
      </c>
      <c r="M231" s="32"/>
      <c r="N231" s="32">
        <v>3175594091</v>
      </c>
      <c r="O231" s="32" t="s">
        <v>496</v>
      </c>
      <c r="P231" s="38" t="s">
        <v>748</v>
      </c>
    </row>
    <row r="232" spans="2:16" x14ac:dyDescent="0.25">
      <c r="B232" s="32">
        <v>220</v>
      </c>
      <c r="C232" s="229" t="s">
        <v>3044</v>
      </c>
      <c r="D232" s="229"/>
      <c r="E232" s="229"/>
      <c r="F232" s="229"/>
      <c r="G232" s="229"/>
      <c r="H232" s="229"/>
      <c r="I232" s="229"/>
      <c r="J232" s="59" t="s">
        <v>702</v>
      </c>
      <c r="K232" s="46">
        <v>4500000</v>
      </c>
      <c r="L232" s="2">
        <v>44699</v>
      </c>
      <c r="M232" s="32"/>
      <c r="N232" s="32">
        <v>3137546144</v>
      </c>
      <c r="O232" s="51" t="s">
        <v>229</v>
      </c>
      <c r="P232" s="52" t="s">
        <v>2504</v>
      </c>
    </row>
    <row r="233" spans="2:16" x14ac:dyDescent="0.25">
      <c r="B233" s="32">
        <v>221</v>
      </c>
      <c r="C233" s="229" t="s">
        <v>3045</v>
      </c>
      <c r="D233" s="229"/>
      <c r="E233" s="229"/>
      <c r="F233" s="229"/>
      <c r="G233" s="229"/>
      <c r="H233" s="229"/>
      <c r="I233" s="229"/>
      <c r="J233" s="59" t="s">
        <v>3046</v>
      </c>
      <c r="K233" s="46"/>
      <c r="L233" s="2">
        <v>44700</v>
      </c>
      <c r="M233" s="32"/>
      <c r="N233" s="32"/>
      <c r="O233" s="32" t="s">
        <v>3047</v>
      </c>
      <c r="P233" s="52" t="s">
        <v>3048</v>
      </c>
    </row>
    <row r="234" spans="2:16" x14ac:dyDescent="0.25">
      <c r="B234" s="32">
        <v>222</v>
      </c>
      <c r="C234" s="263" t="s">
        <v>3049</v>
      </c>
      <c r="D234" s="229"/>
      <c r="E234" s="229"/>
      <c r="F234" s="229"/>
      <c r="G234" s="229"/>
      <c r="H234" s="229"/>
      <c r="I234" s="229"/>
      <c r="J234" s="59" t="s">
        <v>3050</v>
      </c>
      <c r="K234" s="1" t="s">
        <v>150</v>
      </c>
      <c r="L234" s="2">
        <v>44704</v>
      </c>
      <c r="M234" s="32" t="s">
        <v>3923</v>
      </c>
      <c r="N234" s="32">
        <v>3104131109</v>
      </c>
      <c r="O234" s="32" t="s">
        <v>3051</v>
      </c>
      <c r="P234" s="38" t="s">
        <v>3052</v>
      </c>
    </row>
    <row r="235" spans="2:16" x14ac:dyDescent="0.25">
      <c r="B235" s="32">
        <v>223</v>
      </c>
      <c r="C235" s="263" t="s">
        <v>3053</v>
      </c>
      <c r="D235" s="229"/>
      <c r="E235" s="229"/>
      <c r="F235" s="229"/>
      <c r="G235" s="229"/>
      <c r="H235" s="229"/>
      <c r="I235" s="229"/>
      <c r="J235" s="59"/>
      <c r="K235" s="46"/>
      <c r="L235" s="2">
        <v>44700</v>
      </c>
      <c r="M235" s="2"/>
      <c r="N235" s="57"/>
      <c r="O235" s="32" t="s">
        <v>3054</v>
      </c>
      <c r="P235" s="52" t="s">
        <v>3055</v>
      </c>
    </row>
    <row r="236" spans="2:16" x14ac:dyDescent="0.25">
      <c r="B236" s="32">
        <v>224</v>
      </c>
      <c r="C236" s="229" t="s">
        <v>3056</v>
      </c>
      <c r="D236" s="229"/>
      <c r="E236" s="229"/>
      <c r="F236" s="229"/>
      <c r="G236" s="229"/>
      <c r="H236" s="229"/>
      <c r="I236" s="229"/>
      <c r="J236" s="59" t="s">
        <v>702</v>
      </c>
      <c r="K236" s="46">
        <v>3760000</v>
      </c>
      <c r="L236" s="2">
        <v>44701</v>
      </c>
      <c r="M236" s="32" t="s">
        <v>3923</v>
      </c>
      <c r="N236" s="32">
        <v>3137546144</v>
      </c>
      <c r="O236" s="51" t="s">
        <v>229</v>
      </c>
      <c r="P236" s="52" t="s">
        <v>2504</v>
      </c>
    </row>
    <row r="237" spans="2:16" ht="15" customHeight="1" x14ac:dyDescent="0.25">
      <c r="B237" s="32">
        <v>225</v>
      </c>
      <c r="C237" s="229" t="s">
        <v>3057</v>
      </c>
      <c r="D237" s="229"/>
      <c r="E237" s="229"/>
      <c r="F237" s="229"/>
      <c r="G237" s="229"/>
      <c r="H237" s="229"/>
      <c r="I237" s="229"/>
      <c r="J237" s="59" t="s">
        <v>2672</v>
      </c>
      <c r="K237" s="46">
        <v>4950000</v>
      </c>
      <c r="L237" s="2">
        <v>44704</v>
      </c>
      <c r="M237" s="32"/>
      <c r="N237" s="32">
        <v>3016835136</v>
      </c>
      <c r="O237" s="32" t="s">
        <v>3058</v>
      </c>
      <c r="P237" s="52" t="s">
        <v>2830</v>
      </c>
    </row>
    <row r="238" spans="2:16" x14ac:dyDescent="0.25">
      <c r="B238" s="32">
        <v>226</v>
      </c>
      <c r="C238" s="229" t="s">
        <v>3059</v>
      </c>
      <c r="D238" s="229"/>
      <c r="E238" s="229"/>
      <c r="F238" s="229"/>
      <c r="G238" s="229"/>
      <c r="H238" s="229"/>
      <c r="I238" s="229"/>
      <c r="J238" s="59" t="s">
        <v>702</v>
      </c>
      <c r="K238" s="46">
        <v>3000000</v>
      </c>
      <c r="L238" s="2">
        <v>44704</v>
      </c>
      <c r="M238" s="32"/>
      <c r="N238" s="32">
        <v>3137546144</v>
      </c>
      <c r="O238" s="51" t="s">
        <v>229</v>
      </c>
      <c r="P238" s="52" t="s">
        <v>2504</v>
      </c>
    </row>
    <row r="239" spans="2:16" x14ac:dyDescent="0.25">
      <c r="B239" s="32">
        <v>227</v>
      </c>
      <c r="C239" s="229" t="s">
        <v>3060</v>
      </c>
      <c r="D239" s="229"/>
      <c r="E239" s="229"/>
      <c r="F239" s="229"/>
      <c r="G239" s="229"/>
      <c r="H239" s="229"/>
      <c r="I239" s="229"/>
      <c r="J239" s="59" t="s">
        <v>3061</v>
      </c>
      <c r="K239" s="46">
        <v>10000000</v>
      </c>
      <c r="L239" s="2">
        <v>44704</v>
      </c>
      <c r="M239" s="32"/>
      <c r="N239" s="81">
        <v>3127463275</v>
      </c>
      <c r="O239" s="32" t="s">
        <v>3062</v>
      </c>
      <c r="P239" s="52" t="s">
        <v>3062</v>
      </c>
    </row>
    <row r="240" spans="2:16" x14ac:dyDescent="0.25">
      <c r="B240" s="32">
        <v>228</v>
      </c>
      <c r="C240" s="229" t="s">
        <v>3063</v>
      </c>
      <c r="D240" s="229"/>
      <c r="E240" s="229"/>
      <c r="F240" s="229"/>
      <c r="G240" s="229"/>
      <c r="H240" s="229"/>
      <c r="I240" s="229"/>
      <c r="J240" s="59" t="s">
        <v>702</v>
      </c>
      <c r="K240" s="46">
        <v>139000000</v>
      </c>
      <c r="L240" s="2">
        <v>44704</v>
      </c>
      <c r="M240" s="32"/>
      <c r="N240" s="32">
        <v>3137546144</v>
      </c>
      <c r="O240" s="51" t="s">
        <v>229</v>
      </c>
      <c r="P240" s="52" t="s">
        <v>2504</v>
      </c>
    </row>
    <row r="241" spans="2:16" x14ac:dyDescent="0.25">
      <c r="B241" s="32">
        <v>229</v>
      </c>
      <c r="C241" s="229" t="s">
        <v>3064</v>
      </c>
      <c r="D241" s="229"/>
      <c r="E241" s="229"/>
      <c r="F241" s="229"/>
      <c r="G241" s="229"/>
      <c r="H241" s="229"/>
      <c r="I241" s="229"/>
      <c r="J241" s="59" t="s">
        <v>702</v>
      </c>
      <c r="K241" s="46">
        <v>1000000</v>
      </c>
      <c r="L241" s="2">
        <v>44704</v>
      </c>
      <c r="M241" s="32"/>
      <c r="N241" s="32">
        <v>3137546144</v>
      </c>
      <c r="O241" s="51" t="s">
        <v>229</v>
      </c>
      <c r="P241" s="52" t="s">
        <v>2504</v>
      </c>
    </row>
    <row r="242" spans="2:16" x14ac:dyDescent="0.25">
      <c r="B242" s="32">
        <v>230</v>
      </c>
      <c r="C242" s="229" t="s">
        <v>3065</v>
      </c>
      <c r="D242" s="229"/>
      <c r="E242" s="229"/>
      <c r="F242" s="229"/>
      <c r="G242" s="229"/>
      <c r="H242" s="229"/>
      <c r="I242" s="229"/>
      <c r="J242" s="59" t="s">
        <v>702</v>
      </c>
      <c r="K242" s="46">
        <v>3760000</v>
      </c>
      <c r="L242" s="2">
        <v>44707</v>
      </c>
      <c r="M242" s="32"/>
      <c r="N242" s="32">
        <v>3104165783</v>
      </c>
      <c r="O242" s="32" t="s">
        <v>2975</v>
      </c>
      <c r="P242" s="52" t="s">
        <v>2761</v>
      </c>
    </row>
    <row r="243" spans="2:16" x14ac:dyDescent="0.25">
      <c r="B243" s="32">
        <v>231</v>
      </c>
      <c r="C243" s="263" t="s">
        <v>3066</v>
      </c>
      <c r="D243" s="229"/>
      <c r="E243" s="229"/>
      <c r="F243" s="229"/>
      <c r="G243" s="229"/>
      <c r="H243" s="229"/>
      <c r="I243" s="229"/>
      <c r="J243" s="59" t="s">
        <v>747</v>
      </c>
      <c r="K243" s="46">
        <v>9410000</v>
      </c>
      <c r="L243" s="2">
        <v>44707</v>
      </c>
      <c r="M243" s="32"/>
      <c r="N243" s="32">
        <v>3175594091</v>
      </c>
      <c r="O243" s="32" t="s">
        <v>496</v>
      </c>
      <c r="P243" s="38" t="s">
        <v>748</v>
      </c>
    </row>
    <row r="244" spans="2:16" x14ac:dyDescent="0.25">
      <c r="B244" s="32">
        <v>232</v>
      </c>
      <c r="C244" s="229" t="s">
        <v>3067</v>
      </c>
      <c r="D244" s="229"/>
      <c r="E244" s="229"/>
      <c r="F244" s="229"/>
      <c r="G244" s="229"/>
      <c r="H244" s="229"/>
      <c r="I244" s="229"/>
      <c r="J244" s="59" t="s">
        <v>702</v>
      </c>
      <c r="K244" s="46">
        <v>5990000</v>
      </c>
      <c r="L244" s="2">
        <v>44707</v>
      </c>
      <c r="M244" s="2"/>
      <c r="N244" s="32">
        <v>3104165783</v>
      </c>
      <c r="O244" s="32" t="s">
        <v>2975</v>
      </c>
      <c r="P244" s="52" t="s">
        <v>2761</v>
      </c>
    </row>
    <row r="245" spans="2:16" x14ac:dyDescent="0.25">
      <c r="B245" s="32">
        <v>233</v>
      </c>
      <c r="C245" s="229" t="s">
        <v>3068</v>
      </c>
      <c r="D245" s="229"/>
      <c r="E245" s="229"/>
      <c r="F245" s="229"/>
      <c r="G245" s="229"/>
      <c r="H245" s="229"/>
      <c r="I245" s="229"/>
      <c r="J245" s="59" t="s">
        <v>3069</v>
      </c>
      <c r="K245" s="46">
        <v>2500000</v>
      </c>
      <c r="L245" s="2" t="s">
        <v>3070</v>
      </c>
      <c r="M245" s="32" t="s">
        <v>3923</v>
      </c>
      <c r="N245" s="32">
        <v>3113635049</v>
      </c>
      <c r="O245" s="32" t="s">
        <v>3071</v>
      </c>
      <c r="P245" s="38" t="s">
        <v>3072</v>
      </c>
    </row>
    <row r="246" spans="2:16" x14ac:dyDescent="0.25">
      <c r="B246" s="32">
        <v>234</v>
      </c>
      <c r="C246" s="229" t="s">
        <v>3073</v>
      </c>
      <c r="D246" s="229"/>
      <c r="E246" s="229"/>
      <c r="F246" s="229"/>
      <c r="G246" s="229"/>
      <c r="H246" s="229"/>
      <c r="I246" s="229"/>
      <c r="J246" s="59" t="s">
        <v>1734</v>
      </c>
      <c r="K246" s="46">
        <v>3000000</v>
      </c>
      <c r="L246" s="2">
        <v>44707</v>
      </c>
      <c r="M246" s="32" t="s">
        <v>3923</v>
      </c>
      <c r="N246" s="32" t="s">
        <v>3074</v>
      </c>
      <c r="O246" s="32" t="s">
        <v>3075</v>
      </c>
      <c r="P246" s="52" t="s">
        <v>3076</v>
      </c>
    </row>
    <row r="247" spans="2:16" x14ac:dyDescent="0.25">
      <c r="B247" s="32">
        <v>235</v>
      </c>
      <c r="C247" s="229" t="s">
        <v>3077</v>
      </c>
      <c r="D247" s="229"/>
      <c r="E247" s="229"/>
      <c r="F247" s="229"/>
      <c r="G247" s="229"/>
      <c r="H247" s="229"/>
      <c r="I247" s="229"/>
      <c r="J247" s="59" t="s">
        <v>3078</v>
      </c>
      <c r="K247" s="46">
        <v>26360000</v>
      </c>
      <c r="L247" s="2">
        <v>44712</v>
      </c>
      <c r="M247" s="32"/>
      <c r="N247" s="32">
        <v>2662277</v>
      </c>
      <c r="O247" s="32" t="s">
        <v>3079</v>
      </c>
      <c r="P247" s="38" t="s">
        <v>3080</v>
      </c>
    </row>
    <row r="248" spans="2:16" x14ac:dyDescent="0.25">
      <c r="B248" s="32">
        <v>236</v>
      </c>
      <c r="C248" s="229" t="s">
        <v>3081</v>
      </c>
      <c r="D248" s="229"/>
      <c r="E248" s="229"/>
      <c r="F248" s="229"/>
      <c r="G248" s="229"/>
      <c r="H248" s="229"/>
      <c r="I248" s="229"/>
      <c r="J248" s="59" t="s">
        <v>851</v>
      </c>
      <c r="K248" s="46">
        <v>18950000</v>
      </c>
      <c r="L248" s="2">
        <v>44712</v>
      </c>
      <c r="M248" s="32"/>
      <c r="N248" s="32">
        <v>3217011017</v>
      </c>
      <c r="O248" s="32" t="s">
        <v>3082</v>
      </c>
      <c r="P248" s="38" t="s">
        <v>2806</v>
      </c>
    </row>
    <row r="249" spans="2:16" x14ac:dyDescent="0.25">
      <c r="B249" s="32">
        <v>237</v>
      </c>
      <c r="C249" s="229" t="s">
        <v>3083</v>
      </c>
      <c r="D249" s="229"/>
      <c r="E249" s="229"/>
      <c r="F249" s="229"/>
      <c r="G249" s="229"/>
      <c r="H249" s="229"/>
      <c r="I249" s="229"/>
      <c r="J249" s="59" t="s">
        <v>1139</v>
      </c>
      <c r="K249" s="46">
        <v>6270000</v>
      </c>
      <c r="L249" s="2">
        <v>44712</v>
      </c>
      <c r="M249" s="32" t="s">
        <v>3923</v>
      </c>
      <c r="N249" s="32"/>
      <c r="O249" s="32"/>
      <c r="P249" s="38"/>
    </row>
    <row r="250" spans="2:16" x14ac:dyDescent="0.25">
      <c r="B250" s="32">
        <v>238</v>
      </c>
      <c r="C250" s="229" t="s">
        <v>3084</v>
      </c>
      <c r="D250" s="229"/>
      <c r="E250" s="229"/>
      <c r="F250" s="229"/>
      <c r="G250" s="229"/>
      <c r="H250" s="229"/>
      <c r="I250" s="229"/>
      <c r="J250" s="59" t="s">
        <v>1086</v>
      </c>
      <c r="K250" s="46">
        <v>16550000</v>
      </c>
      <c r="L250" s="2">
        <v>44682</v>
      </c>
      <c r="M250" s="32" t="s">
        <v>3923</v>
      </c>
      <c r="N250" s="32" t="s">
        <v>3085</v>
      </c>
      <c r="O250" s="32" t="s">
        <v>3086</v>
      </c>
      <c r="P250" s="52" t="s">
        <v>3087</v>
      </c>
    </row>
    <row r="251" spans="2:16" x14ac:dyDescent="0.25">
      <c r="B251" s="32">
        <v>239</v>
      </c>
      <c r="C251" s="229" t="s">
        <v>3088</v>
      </c>
      <c r="D251" s="229"/>
      <c r="E251" s="229"/>
      <c r="F251" s="229"/>
      <c r="G251" s="229"/>
      <c r="H251" s="229"/>
      <c r="I251" s="229"/>
      <c r="J251" s="59" t="s">
        <v>1125</v>
      </c>
      <c r="K251" s="46">
        <v>3000000</v>
      </c>
      <c r="L251" s="2">
        <v>44682</v>
      </c>
      <c r="M251" s="32" t="s">
        <v>3923</v>
      </c>
      <c r="N251" s="32">
        <v>3002218400</v>
      </c>
      <c r="O251" s="32" t="s">
        <v>3089</v>
      </c>
      <c r="P251" s="38" t="s">
        <v>1597</v>
      </c>
    </row>
    <row r="252" spans="2:16" x14ac:dyDescent="0.25">
      <c r="B252" s="32">
        <v>240</v>
      </c>
      <c r="C252" s="229" t="s">
        <v>3001</v>
      </c>
      <c r="D252" s="229"/>
      <c r="E252" s="229"/>
      <c r="F252" s="229"/>
      <c r="G252" s="229"/>
      <c r="H252" s="229"/>
      <c r="I252" s="229"/>
      <c r="J252" s="59" t="s">
        <v>1804</v>
      </c>
      <c r="K252" s="46">
        <v>14990000</v>
      </c>
      <c r="L252" s="2">
        <v>44719</v>
      </c>
      <c r="M252" s="32" t="s">
        <v>3923</v>
      </c>
      <c r="N252" s="32">
        <v>4483960</v>
      </c>
      <c r="O252" s="32" t="s">
        <v>2353</v>
      </c>
      <c r="P252" s="52" t="s">
        <v>1806</v>
      </c>
    </row>
    <row r="253" spans="2:16" x14ac:dyDescent="0.25">
      <c r="B253" s="32">
        <v>241</v>
      </c>
      <c r="C253" s="229" t="s">
        <v>3090</v>
      </c>
      <c r="D253" s="229"/>
      <c r="E253" s="229"/>
      <c r="F253" s="229"/>
      <c r="G253" s="229"/>
      <c r="H253" s="229"/>
      <c r="I253" s="229"/>
      <c r="J253" s="59" t="s">
        <v>702</v>
      </c>
      <c r="K253" s="46">
        <v>2820000</v>
      </c>
      <c r="L253" s="2">
        <v>44718</v>
      </c>
      <c r="M253" s="32" t="s">
        <v>3923</v>
      </c>
      <c r="N253" s="32" t="s">
        <v>2036</v>
      </c>
      <c r="O253" s="32" t="s">
        <v>2748</v>
      </c>
      <c r="P253" s="52" t="s">
        <v>2600</v>
      </c>
    </row>
    <row r="254" spans="2:16" x14ac:dyDescent="0.25">
      <c r="B254" s="32">
        <v>242</v>
      </c>
      <c r="C254" s="229" t="s">
        <v>3091</v>
      </c>
      <c r="D254" s="229"/>
      <c r="E254" s="229"/>
      <c r="F254" s="229"/>
      <c r="G254" s="229"/>
      <c r="H254" s="229"/>
      <c r="I254" s="229"/>
      <c r="J254" s="59" t="s">
        <v>702</v>
      </c>
      <c r="K254" s="46">
        <v>12000000</v>
      </c>
      <c r="L254" s="2">
        <v>44718</v>
      </c>
      <c r="M254" s="32" t="s">
        <v>3923</v>
      </c>
      <c r="N254" s="32" t="s">
        <v>2036</v>
      </c>
      <c r="O254" s="32" t="s">
        <v>2748</v>
      </c>
      <c r="P254" s="52" t="s">
        <v>2600</v>
      </c>
    </row>
    <row r="255" spans="2:16" x14ac:dyDescent="0.25">
      <c r="B255" s="32">
        <v>243</v>
      </c>
      <c r="C255" s="229" t="s">
        <v>3092</v>
      </c>
      <c r="D255" s="229"/>
      <c r="E255" s="229"/>
      <c r="F255" s="229"/>
      <c r="G255" s="229"/>
      <c r="H255" s="229"/>
      <c r="I255" s="229"/>
      <c r="J255" s="59" t="s">
        <v>702</v>
      </c>
      <c r="K255" s="46">
        <v>800000</v>
      </c>
      <c r="L255" s="2">
        <v>44714</v>
      </c>
      <c r="M255" s="2"/>
      <c r="N255" s="32" t="s">
        <v>2036</v>
      </c>
      <c r="O255" s="32" t="s">
        <v>2748</v>
      </c>
      <c r="P255" s="52" t="s">
        <v>2600</v>
      </c>
    </row>
    <row r="256" spans="2:16" x14ac:dyDescent="0.25">
      <c r="B256" s="32">
        <v>244</v>
      </c>
      <c r="C256" s="229" t="s">
        <v>3093</v>
      </c>
      <c r="D256" s="229"/>
      <c r="E256" s="229"/>
      <c r="F256" s="229"/>
      <c r="G256" s="229"/>
      <c r="H256" s="229"/>
      <c r="I256" s="229"/>
      <c r="J256" s="59" t="s">
        <v>1139</v>
      </c>
      <c r="K256" s="46">
        <v>3500000</v>
      </c>
      <c r="L256" s="2">
        <v>44718</v>
      </c>
      <c r="M256" s="32" t="s">
        <v>3923</v>
      </c>
      <c r="N256" s="32"/>
      <c r="O256" s="32"/>
      <c r="P256" s="52"/>
    </row>
    <row r="257" spans="2:16" x14ac:dyDescent="0.25">
      <c r="B257" s="32">
        <v>245</v>
      </c>
      <c r="C257" s="229" t="s">
        <v>3094</v>
      </c>
      <c r="D257" s="229"/>
      <c r="E257" s="229"/>
      <c r="F257" s="229"/>
      <c r="G257" s="229"/>
      <c r="H257" s="229"/>
      <c r="I257" s="229"/>
      <c r="J257" s="59" t="s">
        <v>702</v>
      </c>
      <c r="K257" s="46">
        <v>19940000</v>
      </c>
      <c r="L257" s="2">
        <v>44719</v>
      </c>
      <c r="M257" s="2"/>
      <c r="N257" s="32">
        <v>3104165783</v>
      </c>
      <c r="O257" s="32" t="s">
        <v>2975</v>
      </c>
      <c r="P257" s="52" t="s">
        <v>2761</v>
      </c>
    </row>
    <row r="258" spans="2:16" x14ac:dyDescent="0.25">
      <c r="B258" s="32">
        <v>246</v>
      </c>
      <c r="C258" s="229" t="s">
        <v>3095</v>
      </c>
      <c r="D258" s="229"/>
      <c r="E258" s="229"/>
      <c r="F258" s="229"/>
      <c r="G258" s="229"/>
      <c r="H258" s="229"/>
      <c r="I258" s="229"/>
      <c r="J258" s="59" t="s">
        <v>702</v>
      </c>
      <c r="K258" s="46">
        <v>26340000</v>
      </c>
      <c r="L258" s="2">
        <v>44719</v>
      </c>
      <c r="M258" s="32"/>
      <c r="N258" s="32">
        <v>3104165783</v>
      </c>
      <c r="O258" s="32" t="s">
        <v>2975</v>
      </c>
      <c r="P258" s="52" t="s">
        <v>2761</v>
      </c>
    </row>
    <row r="259" spans="2:16" x14ac:dyDescent="0.25">
      <c r="B259" s="32">
        <v>247</v>
      </c>
      <c r="C259" s="229" t="s">
        <v>3096</v>
      </c>
      <c r="D259" s="229"/>
      <c r="E259" s="229"/>
      <c r="F259" s="229"/>
      <c r="G259" s="229"/>
      <c r="H259" s="229"/>
      <c r="I259" s="229"/>
      <c r="J259" s="59" t="s">
        <v>3097</v>
      </c>
      <c r="K259" s="46">
        <v>1000000</v>
      </c>
      <c r="L259" s="2">
        <v>44719</v>
      </c>
      <c r="M259" s="32" t="s">
        <v>3923</v>
      </c>
      <c r="N259" s="32" t="s">
        <v>1983</v>
      </c>
      <c r="O259" s="51" t="s">
        <v>1984</v>
      </c>
      <c r="P259" s="52" t="s">
        <v>1985</v>
      </c>
    </row>
    <row r="260" spans="2:16" x14ac:dyDescent="0.25">
      <c r="B260" s="32">
        <v>248</v>
      </c>
      <c r="C260" s="229" t="s">
        <v>3098</v>
      </c>
      <c r="D260" s="229"/>
      <c r="E260" s="229"/>
      <c r="F260" s="229"/>
      <c r="G260" s="229"/>
      <c r="H260" s="229"/>
      <c r="I260" s="229"/>
      <c r="J260" s="59" t="s">
        <v>702</v>
      </c>
      <c r="K260" s="46">
        <v>15990000</v>
      </c>
      <c r="L260" s="2">
        <v>44719</v>
      </c>
      <c r="M260" s="32"/>
      <c r="N260" s="32">
        <v>3104165783</v>
      </c>
      <c r="O260" s="32" t="s">
        <v>2975</v>
      </c>
      <c r="P260" s="52" t="s">
        <v>2761</v>
      </c>
    </row>
    <row r="261" spans="2:16" x14ac:dyDescent="0.25">
      <c r="B261" s="32">
        <v>249</v>
      </c>
      <c r="C261" s="229" t="s">
        <v>3099</v>
      </c>
      <c r="D261" s="229"/>
      <c r="E261" s="229"/>
      <c r="F261" s="229"/>
      <c r="G261" s="229"/>
      <c r="H261" s="229"/>
      <c r="I261" s="229"/>
      <c r="J261" s="59" t="s">
        <v>1480</v>
      </c>
      <c r="K261" s="46" t="s">
        <v>3433</v>
      </c>
      <c r="L261" s="2">
        <v>44719</v>
      </c>
      <c r="M261" s="32"/>
      <c r="N261" s="32" t="s">
        <v>1481</v>
      </c>
      <c r="O261" s="32" t="s">
        <v>3100</v>
      </c>
      <c r="P261" s="52" t="s">
        <v>1483</v>
      </c>
    </row>
    <row r="262" spans="2:16" x14ac:dyDescent="0.25">
      <c r="B262" s="32">
        <v>250</v>
      </c>
      <c r="C262" s="229" t="s">
        <v>3101</v>
      </c>
      <c r="D262" s="229"/>
      <c r="E262" s="229"/>
      <c r="F262" s="229"/>
      <c r="G262" s="229"/>
      <c r="H262" s="229"/>
      <c r="I262" s="229"/>
      <c r="J262" s="59" t="s">
        <v>2445</v>
      </c>
      <c r="K262" s="46">
        <v>26650000</v>
      </c>
      <c r="L262" s="2">
        <v>44719</v>
      </c>
      <c r="M262" s="32"/>
      <c r="N262" s="32" t="s">
        <v>2123</v>
      </c>
      <c r="O262" s="51" t="s">
        <v>1486</v>
      </c>
      <c r="P262" s="38" t="s">
        <v>1487</v>
      </c>
    </row>
    <row r="263" spans="2:16" x14ac:dyDescent="0.25">
      <c r="B263" s="32">
        <v>251</v>
      </c>
      <c r="C263" s="229" t="s">
        <v>3102</v>
      </c>
      <c r="D263" s="229"/>
      <c r="E263" s="229"/>
      <c r="F263" s="229"/>
      <c r="G263" s="229"/>
      <c r="H263" s="229"/>
      <c r="I263" s="229"/>
      <c r="J263" s="59" t="s">
        <v>702</v>
      </c>
      <c r="K263" s="46">
        <v>33250000</v>
      </c>
      <c r="L263" s="2">
        <v>44720</v>
      </c>
      <c r="M263" s="32" t="s">
        <v>3923</v>
      </c>
      <c r="N263" s="32" t="s">
        <v>2745</v>
      </c>
      <c r="O263" s="32" t="s">
        <v>2746</v>
      </c>
      <c r="P263" s="52" t="s">
        <v>703</v>
      </c>
    </row>
    <row r="264" spans="2:16" x14ac:dyDescent="0.25">
      <c r="B264" s="32">
        <v>252</v>
      </c>
      <c r="C264" s="263" t="s">
        <v>3103</v>
      </c>
      <c r="D264" s="229"/>
      <c r="E264" s="229"/>
      <c r="F264" s="229"/>
      <c r="G264" s="229"/>
      <c r="H264" s="229"/>
      <c r="I264" s="229"/>
      <c r="J264" s="59" t="s">
        <v>3104</v>
      </c>
      <c r="K264" s="46" t="s">
        <v>3433</v>
      </c>
      <c r="L264" s="2">
        <v>44720</v>
      </c>
      <c r="M264" s="32"/>
      <c r="N264" s="32"/>
      <c r="O264" s="32"/>
      <c r="P264" s="52"/>
    </row>
    <row r="265" spans="2:16" x14ac:dyDescent="0.25">
      <c r="B265" s="32">
        <v>253</v>
      </c>
      <c r="C265" s="229" t="s">
        <v>3105</v>
      </c>
      <c r="D265" s="229"/>
      <c r="E265" s="229"/>
      <c r="F265" s="229"/>
      <c r="G265" s="229"/>
      <c r="H265" s="229"/>
      <c r="I265" s="229"/>
      <c r="J265" s="59" t="s">
        <v>702</v>
      </c>
      <c r="K265" s="46">
        <v>17000000</v>
      </c>
      <c r="L265" s="2">
        <v>44720</v>
      </c>
      <c r="M265" s="32"/>
      <c r="N265" s="32" t="s">
        <v>2745</v>
      </c>
      <c r="O265" s="32" t="s">
        <v>2746</v>
      </c>
      <c r="P265" s="52" t="s">
        <v>703</v>
      </c>
    </row>
    <row r="266" spans="2:16" ht="15" customHeight="1" x14ac:dyDescent="0.25">
      <c r="B266" s="32">
        <v>254</v>
      </c>
      <c r="C266" s="229" t="s">
        <v>3106</v>
      </c>
      <c r="D266" s="229"/>
      <c r="E266" s="229"/>
      <c r="F266" s="229"/>
      <c r="G266" s="229"/>
      <c r="H266" s="229"/>
      <c r="I266" s="229"/>
      <c r="J266" s="59" t="s">
        <v>1139</v>
      </c>
      <c r="K266" s="46">
        <v>1800000</v>
      </c>
      <c r="L266" s="2">
        <v>44722</v>
      </c>
      <c r="M266" s="32" t="s">
        <v>3923</v>
      </c>
      <c r="N266" s="32"/>
      <c r="O266" s="32"/>
      <c r="P266" s="52"/>
    </row>
    <row r="267" spans="2:16" x14ac:dyDescent="0.25">
      <c r="B267" s="32">
        <v>255</v>
      </c>
      <c r="C267" s="229" t="s">
        <v>3107</v>
      </c>
      <c r="D267" s="229"/>
      <c r="E267" s="229"/>
      <c r="F267" s="229"/>
      <c r="G267" s="229"/>
      <c r="H267" s="229"/>
      <c r="I267" s="229"/>
      <c r="J267" s="59" t="s">
        <v>702</v>
      </c>
      <c r="K267" s="46">
        <v>1000000</v>
      </c>
      <c r="L267" s="2">
        <v>44722</v>
      </c>
      <c r="M267" s="32"/>
      <c r="N267" s="32" t="s">
        <v>2036</v>
      </c>
      <c r="O267" s="32" t="s">
        <v>2748</v>
      </c>
      <c r="P267" s="52" t="s">
        <v>2600</v>
      </c>
    </row>
    <row r="268" spans="2:16" x14ac:dyDescent="0.25">
      <c r="B268" s="32">
        <v>256</v>
      </c>
      <c r="C268" s="261" t="s">
        <v>3108</v>
      </c>
      <c r="D268" s="261"/>
      <c r="E268" s="261"/>
      <c r="F268" s="261"/>
      <c r="G268" s="261"/>
      <c r="H268" s="261"/>
      <c r="I268" s="261"/>
      <c r="J268" s="69" t="s">
        <v>3050</v>
      </c>
      <c r="K268" s="46">
        <v>26950000</v>
      </c>
      <c r="L268" s="2">
        <v>44725</v>
      </c>
      <c r="M268" s="2"/>
      <c r="N268" s="32">
        <v>3104131109</v>
      </c>
      <c r="O268" s="32" t="s">
        <v>3109</v>
      </c>
      <c r="P268" s="52" t="s">
        <v>3052</v>
      </c>
    </row>
    <row r="269" spans="2:16" x14ac:dyDescent="0.25">
      <c r="B269" s="32">
        <v>257</v>
      </c>
      <c r="C269" s="277" t="s">
        <v>3110</v>
      </c>
      <c r="D269" s="278"/>
      <c r="E269" s="278"/>
      <c r="F269" s="278"/>
      <c r="G269" s="278"/>
      <c r="H269" s="278"/>
      <c r="I269" s="278"/>
      <c r="J269" s="69" t="s">
        <v>702</v>
      </c>
      <c r="K269" s="46">
        <v>30000000</v>
      </c>
      <c r="L269" s="2">
        <v>44727</v>
      </c>
      <c r="M269" s="32"/>
      <c r="N269" s="32">
        <v>3104165783</v>
      </c>
      <c r="O269" s="32" t="s">
        <v>2975</v>
      </c>
      <c r="P269" s="52" t="s">
        <v>2761</v>
      </c>
    </row>
    <row r="270" spans="2:16" x14ac:dyDescent="0.25">
      <c r="B270" s="32">
        <v>258</v>
      </c>
      <c r="C270" s="263" t="s">
        <v>3111</v>
      </c>
      <c r="D270" s="229"/>
      <c r="E270" s="229"/>
      <c r="F270" s="229"/>
      <c r="G270" s="229"/>
      <c r="H270" s="229"/>
      <c r="I270" s="229"/>
      <c r="J270" s="59" t="s">
        <v>3112</v>
      </c>
      <c r="K270" s="46">
        <v>1950000</v>
      </c>
      <c r="L270" s="2">
        <v>44727</v>
      </c>
      <c r="M270" s="32"/>
      <c r="N270" s="32"/>
      <c r="O270" s="32" t="s">
        <v>3113</v>
      </c>
      <c r="P270" s="52" t="s">
        <v>3114</v>
      </c>
    </row>
    <row r="271" spans="2:16" x14ac:dyDescent="0.25">
      <c r="B271" s="32">
        <v>259</v>
      </c>
      <c r="C271" s="261" t="s">
        <v>3115</v>
      </c>
      <c r="D271" s="261"/>
      <c r="E271" s="261"/>
      <c r="F271" s="261"/>
      <c r="G271" s="261"/>
      <c r="H271" s="261"/>
      <c r="I271" s="261"/>
      <c r="J271" s="59" t="s">
        <v>712</v>
      </c>
      <c r="K271" s="46">
        <v>21320000</v>
      </c>
      <c r="L271" s="2">
        <v>44727</v>
      </c>
      <c r="M271" s="32"/>
      <c r="N271" s="32">
        <v>3137851941</v>
      </c>
      <c r="O271" s="32" t="s">
        <v>2055</v>
      </c>
      <c r="P271" s="38" t="s">
        <v>713</v>
      </c>
    </row>
    <row r="272" spans="2:16" x14ac:dyDescent="0.25">
      <c r="B272" s="32">
        <v>260</v>
      </c>
      <c r="C272" s="263" t="s">
        <v>3116</v>
      </c>
      <c r="D272" s="229"/>
      <c r="E272" s="229"/>
      <c r="F272" s="229"/>
      <c r="G272" s="229"/>
      <c r="H272" s="229"/>
      <c r="I272" s="229"/>
      <c r="J272" s="59" t="s">
        <v>712</v>
      </c>
      <c r="K272" s="46" t="s">
        <v>3117</v>
      </c>
      <c r="L272" s="2">
        <v>44727</v>
      </c>
      <c r="M272" s="32"/>
      <c r="N272" s="32">
        <v>3137851941</v>
      </c>
      <c r="O272" s="32" t="s">
        <v>2055</v>
      </c>
      <c r="P272" s="38" t="s">
        <v>713</v>
      </c>
    </row>
    <row r="273" spans="2:16" x14ac:dyDescent="0.25">
      <c r="B273" s="32">
        <v>261</v>
      </c>
      <c r="C273" s="229" t="s">
        <v>3118</v>
      </c>
      <c r="D273" s="229"/>
      <c r="E273" s="229"/>
      <c r="F273" s="229"/>
      <c r="G273" s="229"/>
      <c r="H273" s="229"/>
      <c r="I273" s="229"/>
      <c r="J273" s="59" t="s">
        <v>851</v>
      </c>
      <c r="K273" s="46">
        <v>4300000</v>
      </c>
      <c r="L273" s="2">
        <v>44727</v>
      </c>
      <c r="M273" s="32"/>
      <c r="N273" s="32">
        <v>3124054584</v>
      </c>
      <c r="O273" s="51" t="s">
        <v>233</v>
      </c>
      <c r="P273" s="38" t="s">
        <v>1287</v>
      </c>
    </row>
    <row r="274" spans="2:16" x14ac:dyDescent="0.25">
      <c r="B274" s="32">
        <v>262</v>
      </c>
      <c r="C274" s="229" t="s">
        <v>3105</v>
      </c>
      <c r="D274" s="229"/>
      <c r="E274" s="229"/>
      <c r="F274" s="229"/>
      <c r="G274" s="229"/>
      <c r="H274" s="229"/>
      <c r="I274" s="229"/>
      <c r="J274" s="59" t="s">
        <v>702</v>
      </c>
      <c r="K274" s="46">
        <v>4950000</v>
      </c>
      <c r="L274" s="2">
        <v>44727</v>
      </c>
      <c r="M274" s="32"/>
      <c r="N274" s="32" t="s">
        <v>2745</v>
      </c>
      <c r="O274" s="32" t="s">
        <v>2746</v>
      </c>
      <c r="P274" s="52" t="s">
        <v>703</v>
      </c>
    </row>
    <row r="275" spans="2:16" x14ac:dyDescent="0.25">
      <c r="B275" s="32">
        <v>263</v>
      </c>
      <c r="C275" s="229" t="s">
        <v>3119</v>
      </c>
      <c r="D275" s="229"/>
      <c r="E275" s="229"/>
      <c r="F275" s="229"/>
      <c r="G275" s="229"/>
      <c r="H275" s="229"/>
      <c r="I275" s="229"/>
      <c r="J275" s="59" t="s">
        <v>702</v>
      </c>
      <c r="K275" s="46">
        <v>1500000</v>
      </c>
      <c r="L275" s="2">
        <v>44728</v>
      </c>
      <c r="M275" s="32" t="s">
        <v>3120</v>
      </c>
      <c r="N275" s="32" t="s">
        <v>1978</v>
      </c>
      <c r="O275" s="51" t="s">
        <v>505</v>
      </c>
      <c r="P275" s="52" t="s">
        <v>1979</v>
      </c>
    </row>
    <row r="276" spans="2:16" x14ac:dyDescent="0.25">
      <c r="B276" s="32">
        <v>264</v>
      </c>
      <c r="C276" s="229" t="s">
        <v>3121</v>
      </c>
      <c r="D276" s="229"/>
      <c r="E276" s="229"/>
      <c r="F276" s="229"/>
      <c r="G276" s="229"/>
      <c r="H276" s="229"/>
      <c r="I276" s="229"/>
      <c r="J276" s="59" t="s">
        <v>2593</v>
      </c>
      <c r="K276" s="46">
        <v>15950000</v>
      </c>
      <c r="L276" s="2" t="s">
        <v>3122</v>
      </c>
      <c r="M276" s="32" t="s">
        <v>3923</v>
      </c>
      <c r="N276" s="32" t="s">
        <v>2832</v>
      </c>
      <c r="O276" s="32" t="s">
        <v>2833</v>
      </c>
      <c r="P276" s="52" t="s">
        <v>2834</v>
      </c>
    </row>
    <row r="277" spans="2:16" x14ac:dyDescent="0.25">
      <c r="B277" s="32">
        <v>265</v>
      </c>
      <c r="C277" s="229" t="s">
        <v>3123</v>
      </c>
      <c r="D277" s="229"/>
      <c r="E277" s="229"/>
      <c r="F277" s="229"/>
      <c r="G277" s="229"/>
      <c r="H277" s="229"/>
      <c r="I277" s="229"/>
      <c r="J277" s="59" t="s">
        <v>342</v>
      </c>
      <c r="K277" s="46">
        <v>5960000</v>
      </c>
      <c r="L277" s="2">
        <v>44728</v>
      </c>
      <c r="M277" s="32"/>
      <c r="N277" s="32"/>
      <c r="O277" s="51" t="s">
        <v>342</v>
      </c>
      <c r="P277" s="38" t="s">
        <v>1245</v>
      </c>
    </row>
    <row r="278" spans="2:16" x14ac:dyDescent="0.25">
      <c r="B278" s="32">
        <v>266</v>
      </c>
      <c r="C278" s="229" t="s">
        <v>3124</v>
      </c>
      <c r="D278" s="229"/>
      <c r="E278" s="229"/>
      <c r="F278" s="229"/>
      <c r="G278" s="229"/>
      <c r="H278" s="229"/>
      <c r="I278" s="229"/>
      <c r="J278" s="59"/>
      <c r="K278" s="46">
        <v>9990000</v>
      </c>
      <c r="L278" s="2">
        <v>44729</v>
      </c>
      <c r="M278" s="32"/>
      <c r="N278" s="32">
        <v>3014076047</v>
      </c>
      <c r="O278" s="51" t="s">
        <v>3125</v>
      </c>
      <c r="P278" s="38" t="s">
        <v>3126</v>
      </c>
    </row>
    <row r="279" spans="2:16" x14ac:dyDescent="0.25">
      <c r="B279" s="32">
        <v>267</v>
      </c>
      <c r="C279" s="263" t="s">
        <v>3127</v>
      </c>
      <c r="D279" s="229"/>
      <c r="E279" s="229"/>
      <c r="F279" s="229"/>
      <c r="G279" s="229"/>
      <c r="H279" s="229"/>
      <c r="I279" s="229"/>
      <c r="J279" s="59" t="s">
        <v>3128</v>
      </c>
      <c r="K279" s="46">
        <v>27850000</v>
      </c>
      <c r="L279" s="2">
        <v>44733</v>
      </c>
      <c r="M279" s="32"/>
      <c r="N279" s="32"/>
      <c r="O279" s="51" t="s">
        <v>3129</v>
      </c>
      <c r="P279" s="38" t="s">
        <v>3130</v>
      </c>
    </row>
    <row r="280" spans="2:16" x14ac:dyDescent="0.25">
      <c r="B280" s="32">
        <v>268</v>
      </c>
      <c r="C280" s="263" t="s">
        <v>3131</v>
      </c>
      <c r="D280" s="229"/>
      <c r="E280" s="229"/>
      <c r="F280" s="229"/>
      <c r="G280" s="229"/>
      <c r="H280" s="229"/>
      <c r="I280" s="229"/>
      <c r="J280" s="59" t="s">
        <v>3061</v>
      </c>
      <c r="K280" s="46">
        <v>11950000</v>
      </c>
      <c r="L280" s="2">
        <v>44733</v>
      </c>
      <c r="M280" s="32"/>
      <c r="N280" s="32">
        <v>3127463275</v>
      </c>
      <c r="O280" s="51" t="s">
        <v>3132</v>
      </c>
      <c r="P280" s="38" t="s">
        <v>3133</v>
      </c>
    </row>
    <row r="281" spans="2:16" x14ac:dyDescent="0.25">
      <c r="B281" s="32">
        <v>269</v>
      </c>
      <c r="C281" s="229" t="s">
        <v>3134</v>
      </c>
      <c r="D281" s="229"/>
      <c r="E281" s="229"/>
      <c r="F281" s="229"/>
      <c r="G281" s="229"/>
      <c r="H281" s="229"/>
      <c r="I281" s="229"/>
      <c r="J281" s="59" t="s">
        <v>1177</v>
      </c>
      <c r="K281" s="46">
        <v>3950000</v>
      </c>
      <c r="L281" s="2">
        <v>44734</v>
      </c>
      <c r="M281" s="32"/>
      <c r="N281" s="32">
        <v>3508866</v>
      </c>
      <c r="O281" s="51" t="s">
        <v>3135</v>
      </c>
      <c r="P281" s="38" t="s">
        <v>3136</v>
      </c>
    </row>
    <row r="282" spans="2:16" x14ac:dyDescent="0.25">
      <c r="B282" s="32">
        <v>270</v>
      </c>
      <c r="C282" s="229" t="s">
        <v>3137</v>
      </c>
      <c r="D282" s="229"/>
      <c r="E282" s="229"/>
      <c r="F282" s="229"/>
      <c r="G282" s="229"/>
      <c r="H282" s="229"/>
      <c r="I282" s="229"/>
      <c r="J282" s="59" t="s">
        <v>702</v>
      </c>
      <c r="K282" s="46">
        <v>1000000</v>
      </c>
      <c r="L282" s="2">
        <v>44734</v>
      </c>
      <c r="M282" s="32"/>
      <c r="N282" s="32">
        <v>3004601567</v>
      </c>
      <c r="O282" s="51" t="s">
        <v>3138</v>
      </c>
      <c r="P282" s="52" t="s">
        <v>3139</v>
      </c>
    </row>
    <row r="283" spans="2:16" x14ac:dyDescent="0.25">
      <c r="B283" s="32">
        <v>271</v>
      </c>
      <c r="C283" s="229" t="s">
        <v>3140</v>
      </c>
      <c r="D283" s="229"/>
      <c r="E283" s="229"/>
      <c r="F283" s="229"/>
      <c r="G283" s="229"/>
      <c r="H283" s="229"/>
      <c r="I283" s="229"/>
      <c r="J283" s="59" t="s">
        <v>3141</v>
      </c>
      <c r="K283" s="46">
        <v>2300</v>
      </c>
      <c r="L283" s="2">
        <v>44734</v>
      </c>
      <c r="M283" s="32"/>
      <c r="N283" s="32"/>
      <c r="O283" s="51" t="s">
        <v>1436</v>
      </c>
      <c r="P283" s="66" t="s">
        <v>1437</v>
      </c>
    </row>
    <row r="284" spans="2:16" x14ac:dyDescent="0.25">
      <c r="B284" s="32">
        <v>272</v>
      </c>
      <c r="C284" s="229" t="s">
        <v>3142</v>
      </c>
      <c r="D284" s="229"/>
      <c r="E284" s="229"/>
      <c r="F284" s="229"/>
      <c r="G284" s="229"/>
      <c r="H284" s="229"/>
      <c r="I284" s="229"/>
      <c r="J284" s="59" t="s">
        <v>702</v>
      </c>
      <c r="K284" s="46">
        <v>4500000</v>
      </c>
      <c r="L284" s="2">
        <v>44740</v>
      </c>
      <c r="M284" s="32"/>
      <c r="N284" s="32">
        <v>3146920966</v>
      </c>
      <c r="O284" s="51" t="s">
        <v>2660</v>
      </c>
      <c r="P284" s="38" t="s">
        <v>2661</v>
      </c>
    </row>
    <row r="285" spans="2:16" ht="15" customHeight="1" x14ac:dyDescent="0.25">
      <c r="B285" s="32">
        <v>273</v>
      </c>
      <c r="C285" s="229" t="s">
        <v>3143</v>
      </c>
      <c r="D285" s="229"/>
      <c r="E285" s="229"/>
      <c r="F285" s="229"/>
      <c r="G285" s="229"/>
      <c r="H285" s="229"/>
      <c r="I285" s="229"/>
      <c r="J285" s="59" t="s">
        <v>3144</v>
      </c>
      <c r="K285" s="46">
        <v>2950000</v>
      </c>
      <c r="L285" s="2">
        <v>44735</v>
      </c>
      <c r="M285" s="32"/>
      <c r="N285" s="32"/>
      <c r="O285" s="51" t="s">
        <v>3145</v>
      </c>
      <c r="P285" s="38" t="s">
        <v>3146</v>
      </c>
    </row>
    <row r="286" spans="2:16" ht="15" customHeight="1" x14ac:dyDescent="0.25">
      <c r="B286" s="32">
        <v>274</v>
      </c>
      <c r="C286" s="229" t="s">
        <v>3147</v>
      </c>
      <c r="D286" s="229"/>
      <c r="E286" s="229"/>
      <c r="F286" s="229"/>
      <c r="G286" s="229"/>
      <c r="H286" s="229"/>
      <c r="I286" s="229"/>
      <c r="J286" s="59" t="s">
        <v>3148</v>
      </c>
      <c r="K286" s="46">
        <v>9990000</v>
      </c>
      <c r="L286" s="2">
        <v>44735</v>
      </c>
      <c r="M286" s="32"/>
      <c r="N286" s="32" t="s">
        <v>3149</v>
      </c>
      <c r="O286" s="51" t="s">
        <v>3150</v>
      </c>
      <c r="P286" s="52"/>
    </row>
    <row r="287" spans="2:16" ht="15" customHeight="1" x14ac:dyDescent="0.25">
      <c r="B287" s="32">
        <v>275</v>
      </c>
      <c r="C287" s="229" t="s">
        <v>3151</v>
      </c>
      <c r="D287" s="229"/>
      <c r="E287" s="229"/>
      <c r="F287" s="229"/>
      <c r="G287" s="229"/>
      <c r="H287" s="229"/>
      <c r="I287" s="229"/>
      <c r="J287" s="59" t="s">
        <v>851</v>
      </c>
      <c r="K287" s="46">
        <v>12050000</v>
      </c>
      <c r="L287" s="2">
        <v>44736</v>
      </c>
      <c r="M287" s="32"/>
      <c r="N287" s="32">
        <v>3217011017</v>
      </c>
      <c r="O287" s="51" t="s">
        <v>3082</v>
      </c>
      <c r="P287" s="66" t="s">
        <v>1326</v>
      </c>
    </row>
    <row r="288" spans="2:16" ht="15" customHeight="1" x14ac:dyDescent="0.25">
      <c r="B288" s="32">
        <v>276</v>
      </c>
      <c r="C288" s="229" t="s">
        <v>3152</v>
      </c>
      <c r="D288" s="229"/>
      <c r="E288" s="229"/>
      <c r="F288" s="229"/>
      <c r="G288" s="229"/>
      <c r="H288" s="229"/>
      <c r="I288" s="229"/>
      <c r="J288" s="59" t="s">
        <v>851</v>
      </c>
      <c r="K288" s="46">
        <v>4950000</v>
      </c>
      <c r="L288" s="2">
        <v>44736</v>
      </c>
      <c r="M288" s="32"/>
      <c r="N288" s="32">
        <v>3217011017</v>
      </c>
      <c r="O288" s="51" t="s">
        <v>3082</v>
      </c>
      <c r="P288" s="52" t="s">
        <v>2806</v>
      </c>
    </row>
    <row r="289" spans="2:16" x14ac:dyDescent="0.25">
      <c r="B289" s="32">
        <v>277</v>
      </c>
      <c r="C289" s="229" t="s">
        <v>3153</v>
      </c>
      <c r="D289" s="229"/>
      <c r="E289" s="229"/>
      <c r="F289" s="229"/>
      <c r="G289" s="229"/>
      <c r="H289" s="229"/>
      <c r="I289" s="229"/>
      <c r="J289" s="59" t="s">
        <v>753</v>
      </c>
      <c r="K289" s="46">
        <v>1500000</v>
      </c>
      <c r="L289" s="2" t="s">
        <v>3154</v>
      </c>
      <c r="M289" s="32" t="s">
        <v>3923</v>
      </c>
      <c r="N289" s="32" t="s">
        <v>2591</v>
      </c>
      <c r="O289" s="32" t="s">
        <v>400</v>
      </c>
      <c r="P289" s="52" t="s">
        <v>1012</v>
      </c>
    </row>
    <row r="290" spans="2:16" x14ac:dyDescent="0.25">
      <c r="B290" s="32">
        <v>278</v>
      </c>
      <c r="C290" s="229" t="s">
        <v>3155</v>
      </c>
      <c r="D290" s="229"/>
      <c r="E290" s="229"/>
      <c r="F290" s="229"/>
      <c r="G290" s="229"/>
      <c r="H290" s="229"/>
      <c r="I290" s="229"/>
      <c r="J290" s="59" t="s">
        <v>702</v>
      </c>
      <c r="K290" s="46">
        <v>8990000</v>
      </c>
      <c r="L290" s="2">
        <v>44740</v>
      </c>
      <c r="M290" s="32"/>
      <c r="N290" s="32">
        <v>3104165783</v>
      </c>
      <c r="O290" s="32" t="s">
        <v>2975</v>
      </c>
      <c r="P290" s="52" t="s">
        <v>2761</v>
      </c>
    </row>
    <row r="291" spans="2:16" x14ac:dyDescent="0.25">
      <c r="B291" s="32">
        <v>279</v>
      </c>
      <c r="C291" s="263" t="s">
        <v>3156</v>
      </c>
      <c r="D291" s="229"/>
      <c r="E291" s="229"/>
      <c r="F291" s="229"/>
      <c r="G291" s="229"/>
      <c r="H291" s="229"/>
      <c r="I291" s="229"/>
      <c r="J291" s="59" t="s">
        <v>702</v>
      </c>
      <c r="K291" s="46">
        <v>7900000</v>
      </c>
      <c r="L291" s="2">
        <v>44741</v>
      </c>
      <c r="M291" s="2"/>
      <c r="N291" s="32">
        <v>3104165783</v>
      </c>
      <c r="O291" s="32" t="s">
        <v>2975</v>
      </c>
      <c r="P291" s="52" t="s">
        <v>2761</v>
      </c>
    </row>
    <row r="292" spans="2:16" x14ac:dyDescent="0.25">
      <c r="B292" s="32">
        <v>280</v>
      </c>
      <c r="C292" s="229" t="s">
        <v>3157</v>
      </c>
      <c r="D292" s="229"/>
      <c r="E292" s="229"/>
      <c r="F292" s="229"/>
      <c r="G292" s="229"/>
      <c r="H292" s="229"/>
      <c r="I292" s="229"/>
      <c r="J292" s="59" t="s">
        <v>3158</v>
      </c>
      <c r="K292" s="46">
        <v>12980000</v>
      </c>
      <c r="L292" s="2">
        <v>44740</v>
      </c>
      <c r="M292" s="32"/>
      <c r="N292" s="32">
        <v>3228625</v>
      </c>
      <c r="O292" s="51" t="s">
        <v>3159</v>
      </c>
      <c r="P292" s="38" t="s">
        <v>3160</v>
      </c>
    </row>
    <row r="293" spans="2:16" x14ac:dyDescent="0.25">
      <c r="B293" s="32">
        <v>281</v>
      </c>
      <c r="C293" s="229" t="s">
        <v>3161</v>
      </c>
      <c r="D293" s="229"/>
      <c r="E293" s="229"/>
      <c r="F293" s="229"/>
      <c r="G293" s="229"/>
      <c r="H293" s="229"/>
      <c r="I293" s="229"/>
      <c r="J293" s="59" t="s">
        <v>1439</v>
      </c>
      <c r="K293" s="46">
        <v>23700000</v>
      </c>
      <c r="L293" s="2">
        <v>44741</v>
      </c>
      <c r="M293" s="32"/>
      <c r="N293" s="32">
        <v>3183484307</v>
      </c>
      <c r="O293" s="32" t="s">
        <v>2116</v>
      </c>
      <c r="P293" s="52" t="s">
        <v>2117</v>
      </c>
    </row>
    <row r="294" spans="2:16" x14ac:dyDescent="0.25">
      <c r="B294" s="32">
        <v>282</v>
      </c>
      <c r="C294" s="229" t="s">
        <v>3162</v>
      </c>
      <c r="D294" s="229"/>
      <c r="E294" s="229"/>
      <c r="F294" s="229"/>
      <c r="G294" s="229"/>
      <c r="H294" s="229"/>
      <c r="I294" s="229"/>
      <c r="J294" s="59" t="s">
        <v>3158</v>
      </c>
      <c r="K294" s="46">
        <v>17970000</v>
      </c>
      <c r="L294" s="2">
        <v>44742</v>
      </c>
      <c r="M294" s="32"/>
      <c r="N294" s="32">
        <v>3228625</v>
      </c>
      <c r="O294" s="51" t="s">
        <v>3163</v>
      </c>
      <c r="P294" s="38" t="s">
        <v>3160</v>
      </c>
    </row>
    <row r="295" spans="2:16" x14ac:dyDescent="0.25">
      <c r="B295" s="32">
        <v>283</v>
      </c>
      <c r="C295" s="229" t="s">
        <v>3164</v>
      </c>
      <c r="D295" s="229"/>
      <c r="E295" s="229"/>
      <c r="F295" s="229"/>
      <c r="G295" s="229"/>
      <c r="H295" s="229"/>
      <c r="I295" s="229"/>
      <c r="J295" s="59" t="s">
        <v>1177</v>
      </c>
      <c r="K295" s="46">
        <v>3950000</v>
      </c>
      <c r="L295" s="2">
        <v>44742</v>
      </c>
      <c r="M295" s="32"/>
      <c r="N295" s="32" t="s">
        <v>3165</v>
      </c>
      <c r="O295" s="51" t="s">
        <v>3135</v>
      </c>
      <c r="P295" s="38" t="s">
        <v>3136</v>
      </c>
    </row>
    <row r="296" spans="2:16" x14ac:dyDescent="0.25">
      <c r="B296" s="32">
        <v>284</v>
      </c>
      <c r="C296" s="229" t="s">
        <v>3166</v>
      </c>
      <c r="D296" s="229"/>
      <c r="E296" s="229"/>
      <c r="F296" s="229"/>
      <c r="G296" s="229"/>
      <c r="H296" s="229"/>
      <c r="I296" s="229"/>
      <c r="J296" s="59" t="s">
        <v>1434</v>
      </c>
      <c r="K296" s="46">
        <v>2950</v>
      </c>
      <c r="L296" s="2">
        <v>44742</v>
      </c>
      <c r="M296" s="32"/>
      <c r="N296" s="32" t="s">
        <v>3167</v>
      </c>
      <c r="O296" s="51" t="s">
        <v>1436</v>
      </c>
      <c r="P296" s="38" t="s">
        <v>1437</v>
      </c>
    </row>
    <row r="297" spans="2:16" x14ac:dyDescent="0.25">
      <c r="B297" s="32">
        <v>285</v>
      </c>
      <c r="C297" s="229" t="s">
        <v>3168</v>
      </c>
      <c r="D297" s="229"/>
      <c r="E297" s="229"/>
      <c r="F297" s="229"/>
      <c r="G297" s="229"/>
      <c r="H297" s="229"/>
      <c r="I297" s="229"/>
      <c r="J297" s="59" t="s">
        <v>702</v>
      </c>
      <c r="K297" s="46">
        <v>6990000</v>
      </c>
      <c r="L297" s="2">
        <v>44742</v>
      </c>
      <c r="M297" s="32" t="s">
        <v>3923</v>
      </c>
      <c r="N297" s="32" t="s">
        <v>2745</v>
      </c>
      <c r="O297" s="32" t="s">
        <v>2746</v>
      </c>
      <c r="P297" s="52" t="s">
        <v>703</v>
      </c>
    </row>
    <row r="298" spans="2:16" x14ac:dyDescent="0.25">
      <c r="B298" s="32">
        <v>286</v>
      </c>
      <c r="C298" s="229" t="s">
        <v>3169</v>
      </c>
      <c r="D298" s="229"/>
      <c r="E298" s="229"/>
      <c r="F298" s="229"/>
      <c r="G298" s="229"/>
      <c r="H298" s="229"/>
      <c r="I298" s="229"/>
      <c r="J298" s="59" t="s">
        <v>702</v>
      </c>
      <c r="K298" s="46">
        <v>10743128</v>
      </c>
      <c r="L298" s="2">
        <v>44742</v>
      </c>
      <c r="M298" s="32"/>
      <c r="N298" s="32" t="s">
        <v>2036</v>
      </c>
      <c r="O298" s="32" t="s">
        <v>2748</v>
      </c>
      <c r="P298" s="52" t="s">
        <v>2600</v>
      </c>
    </row>
    <row r="299" spans="2:16" x14ac:dyDescent="0.25">
      <c r="B299" s="32">
        <v>287</v>
      </c>
      <c r="C299" s="229" t="s">
        <v>3170</v>
      </c>
      <c r="D299" s="229"/>
      <c r="E299" s="229"/>
      <c r="F299" s="229"/>
      <c r="G299" s="229"/>
      <c r="H299" s="229"/>
      <c r="I299" s="229"/>
      <c r="J299" s="59" t="s">
        <v>3171</v>
      </c>
      <c r="K299" s="46" t="s">
        <v>2492</v>
      </c>
      <c r="L299" s="2">
        <v>44747</v>
      </c>
      <c r="M299" s="32"/>
      <c r="N299" s="32" t="s">
        <v>3172</v>
      </c>
      <c r="O299" s="51" t="s">
        <v>233</v>
      </c>
      <c r="P299" s="52" t="s">
        <v>3173</v>
      </c>
    </row>
    <row r="300" spans="2:16" x14ac:dyDescent="0.25">
      <c r="B300" s="32">
        <v>288</v>
      </c>
      <c r="C300" s="271" t="s">
        <v>3174</v>
      </c>
      <c r="D300" s="272"/>
      <c r="E300" s="272"/>
      <c r="F300" s="272"/>
      <c r="G300" s="272"/>
      <c r="H300" s="272"/>
      <c r="I300" s="272"/>
      <c r="J300" s="59" t="s">
        <v>1343</v>
      </c>
      <c r="K300" s="46">
        <v>16950000</v>
      </c>
      <c r="L300" s="2">
        <v>44748</v>
      </c>
      <c r="M300" s="2" t="s">
        <v>3923</v>
      </c>
      <c r="N300" s="32"/>
      <c r="O300" s="51" t="s">
        <v>3175</v>
      </c>
      <c r="P300" s="52" t="s">
        <v>1075</v>
      </c>
    </row>
    <row r="301" spans="2:16" x14ac:dyDescent="0.25">
      <c r="B301" s="32">
        <v>289</v>
      </c>
      <c r="C301" s="229" t="s">
        <v>3176</v>
      </c>
      <c r="D301" s="229"/>
      <c r="E301" s="229"/>
      <c r="F301" s="229"/>
      <c r="G301" s="229"/>
      <c r="H301" s="229"/>
      <c r="I301" s="229"/>
      <c r="J301" s="59" t="s">
        <v>1343</v>
      </c>
      <c r="K301" s="46">
        <v>4350000</v>
      </c>
      <c r="L301" s="2">
        <v>44748</v>
      </c>
      <c r="M301" s="32" t="s">
        <v>3923</v>
      </c>
      <c r="N301" s="32"/>
      <c r="O301" s="51" t="s">
        <v>3175</v>
      </c>
      <c r="P301" s="38" t="s">
        <v>1075</v>
      </c>
    </row>
    <row r="302" spans="2:16" x14ac:dyDescent="0.25">
      <c r="B302" s="32">
        <v>290</v>
      </c>
      <c r="C302" s="229" t="s">
        <v>3177</v>
      </c>
      <c r="D302" s="229"/>
      <c r="E302" s="229"/>
      <c r="F302" s="229"/>
      <c r="G302" s="229"/>
      <c r="H302" s="229"/>
      <c r="I302" s="229"/>
      <c r="J302" s="59" t="s">
        <v>702</v>
      </c>
      <c r="K302" s="46">
        <v>6900000</v>
      </c>
      <c r="L302" s="2">
        <v>44748</v>
      </c>
      <c r="M302" s="2" t="s">
        <v>3923</v>
      </c>
      <c r="N302" s="32">
        <v>3104680508</v>
      </c>
      <c r="O302" s="32" t="s">
        <v>212</v>
      </c>
      <c r="P302" s="38" t="s">
        <v>703</v>
      </c>
    </row>
    <row r="303" spans="2:16" x14ac:dyDescent="0.25">
      <c r="B303" s="32">
        <v>291</v>
      </c>
      <c r="C303" s="229" t="s">
        <v>3178</v>
      </c>
      <c r="D303" s="229"/>
      <c r="E303" s="229"/>
      <c r="F303" s="229"/>
      <c r="G303" s="229"/>
      <c r="H303" s="229"/>
      <c r="I303" s="229"/>
      <c r="J303" s="59" t="s">
        <v>3179</v>
      </c>
      <c r="K303" s="46">
        <v>1910000</v>
      </c>
      <c r="L303" s="2">
        <v>44749</v>
      </c>
      <c r="M303" s="32" t="s">
        <v>3923</v>
      </c>
      <c r="N303" s="32" t="s">
        <v>3180</v>
      </c>
      <c r="O303" s="51" t="s">
        <v>3181</v>
      </c>
      <c r="P303" s="38" t="s">
        <v>3182</v>
      </c>
    </row>
    <row r="304" spans="2:16" x14ac:dyDescent="0.25">
      <c r="B304" s="32">
        <v>292</v>
      </c>
      <c r="C304" s="229" t="s">
        <v>3183</v>
      </c>
      <c r="D304" s="229"/>
      <c r="E304" s="229"/>
      <c r="F304" s="229"/>
      <c r="G304" s="229"/>
      <c r="H304" s="229"/>
      <c r="I304" s="229"/>
      <c r="J304" s="59" t="s">
        <v>702</v>
      </c>
      <c r="K304" s="46">
        <v>1940000</v>
      </c>
      <c r="L304" s="2">
        <v>44749</v>
      </c>
      <c r="M304" s="32" t="s">
        <v>3923</v>
      </c>
      <c r="N304" s="32">
        <v>3104680508</v>
      </c>
      <c r="O304" s="32" t="s">
        <v>212</v>
      </c>
      <c r="P304" s="38" t="s">
        <v>703</v>
      </c>
    </row>
    <row r="305" spans="2:16" x14ac:dyDescent="0.25">
      <c r="B305" s="32">
        <v>293</v>
      </c>
      <c r="C305" s="229" t="s">
        <v>3184</v>
      </c>
      <c r="D305" s="229"/>
      <c r="E305" s="229"/>
      <c r="F305" s="229"/>
      <c r="G305" s="229"/>
      <c r="H305" s="229"/>
      <c r="I305" s="229"/>
      <c r="J305" s="59" t="s">
        <v>1177</v>
      </c>
      <c r="K305" s="46">
        <v>15990000</v>
      </c>
      <c r="L305" s="2">
        <v>44750</v>
      </c>
      <c r="M305" s="32"/>
      <c r="N305" s="32">
        <v>3216297582</v>
      </c>
      <c r="O305" s="51" t="s">
        <v>3185</v>
      </c>
      <c r="P305" s="52" t="s">
        <v>3186</v>
      </c>
    </row>
    <row r="306" spans="2:16" x14ac:dyDescent="0.25">
      <c r="B306" s="32">
        <v>294</v>
      </c>
      <c r="C306" s="229" t="s">
        <v>3187</v>
      </c>
      <c r="D306" s="229"/>
      <c r="E306" s="229"/>
      <c r="F306" s="229"/>
      <c r="G306" s="229"/>
      <c r="H306" s="229"/>
      <c r="I306" s="229"/>
      <c r="J306" s="59" t="s">
        <v>712</v>
      </c>
      <c r="K306" s="46">
        <f xml:space="preserve"> 7350000+4890000</f>
        <v>12240000</v>
      </c>
      <c r="L306" s="2">
        <v>44753</v>
      </c>
      <c r="M306" s="32"/>
      <c r="N306" s="32">
        <v>3137851941</v>
      </c>
      <c r="O306" s="51" t="s">
        <v>2055</v>
      </c>
      <c r="P306" s="52" t="s">
        <v>713</v>
      </c>
    </row>
    <row r="307" spans="2:16" x14ac:dyDescent="0.25">
      <c r="B307" s="32">
        <v>295</v>
      </c>
      <c r="C307" s="229" t="s">
        <v>3188</v>
      </c>
      <c r="D307" s="229"/>
      <c r="E307" s="229"/>
      <c r="F307" s="229"/>
      <c r="G307" s="229"/>
      <c r="H307" s="229"/>
      <c r="I307" s="229"/>
      <c r="J307" s="59" t="s">
        <v>2593</v>
      </c>
      <c r="K307" s="46">
        <v>1000000</v>
      </c>
      <c r="L307" s="2">
        <v>44750</v>
      </c>
      <c r="M307" s="32" t="s">
        <v>3923</v>
      </c>
      <c r="N307" s="32" t="s">
        <v>2832</v>
      </c>
      <c r="O307" s="51" t="s">
        <v>2833</v>
      </c>
      <c r="P307" s="38" t="s">
        <v>2834</v>
      </c>
    </row>
    <row r="308" spans="2:16" x14ac:dyDescent="0.25">
      <c r="B308" s="32">
        <v>296</v>
      </c>
      <c r="C308" s="229" t="s">
        <v>3189</v>
      </c>
      <c r="D308" s="229"/>
      <c r="E308" s="229"/>
      <c r="F308" s="229"/>
      <c r="G308" s="229"/>
      <c r="H308" s="229"/>
      <c r="I308" s="229"/>
      <c r="J308" s="59" t="s">
        <v>702</v>
      </c>
      <c r="K308" s="46">
        <v>37630000</v>
      </c>
      <c r="L308" s="2">
        <v>44753</v>
      </c>
      <c r="M308" s="32"/>
      <c r="N308" s="32"/>
      <c r="O308" s="51" t="s">
        <v>3190</v>
      </c>
      <c r="P308" s="38" t="s">
        <v>703</v>
      </c>
    </row>
    <row r="309" spans="2:16" x14ac:dyDescent="0.25">
      <c r="B309" s="32">
        <v>297</v>
      </c>
      <c r="C309" s="229" t="s">
        <v>3191</v>
      </c>
      <c r="D309" s="229"/>
      <c r="E309" s="229"/>
      <c r="F309" s="229"/>
      <c r="G309" s="229"/>
      <c r="H309" s="229"/>
      <c r="I309" s="229"/>
      <c r="J309" s="59" t="s">
        <v>702</v>
      </c>
      <c r="K309" s="46">
        <v>8970000</v>
      </c>
      <c r="L309" s="2">
        <v>44753</v>
      </c>
      <c r="M309" s="32"/>
      <c r="N309" s="32" t="s">
        <v>2036</v>
      </c>
      <c r="O309" s="32" t="s">
        <v>2748</v>
      </c>
      <c r="P309" s="52" t="s">
        <v>2600</v>
      </c>
    </row>
    <row r="310" spans="2:16" x14ac:dyDescent="0.25">
      <c r="B310" s="32">
        <v>298</v>
      </c>
      <c r="C310" s="229" t="s">
        <v>3192</v>
      </c>
      <c r="D310" s="229"/>
      <c r="E310" s="229"/>
      <c r="F310" s="229"/>
      <c r="G310" s="229"/>
      <c r="H310" s="229"/>
      <c r="I310" s="229"/>
      <c r="J310" s="59" t="s">
        <v>747</v>
      </c>
      <c r="K310" s="1">
        <v>3400000</v>
      </c>
      <c r="L310" s="2">
        <v>44753</v>
      </c>
      <c r="M310" s="32"/>
      <c r="N310" s="32">
        <v>3175594091</v>
      </c>
      <c r="O310" s="32" t="s">
        <v>496</v>
      </c>
      <c r="P310" s="38" t="s">
        <v>748</v>
      </c>
    </row>
    <row r="311" spans="2:16" x14ac:dyDescent="0.25">
      <c r="B311" s="32">
        <v>299</v>
      </c>
      <c r="C311" s="229" t="s">
        <v>3193</v>
      </c>
      <c r="D311" s="229"/>
      <c r="E311" s="229"/>
      <c r="F311" s="229"/>
      <c r="G311" s="229"/>
      <c r="H311" s="229"/>
      <c r="I311" s="229"/>
      <c r="J311" s="59" t="s">
        <v>805</v>
      </c>
      <c r="K311" s="46">
        <v>18400000</v>
      </c>
      <c r="L311" s="2">
        <v>44753</v>
      </c>
      <c r="M311" s="32"/>
      <c r="N311" s="32" t="s">
        <v>3194</v>
      </c>
      <c r="O311" s="51" t="s">
        <v>639</v>
      </c>
      <c r="P311" s="38" t="s">
        <v>1326</v>
      </c>
    </row>
    <row r="312" spans="2:16" x14ac:dyDescent="0.25">
      <c r="B312" s="32">
        <v>300</v>
      </c>
      <c r="C312" s="263" t="s">
        <v>3195</v>
      </c>
      <c r="D312" s="229"/>
      <c r="E312" s="229"/>
      <c r="F312" s="229"/>
      <c r="G312" s="229"/>
      <c r="H312" s="229"/>
      <c r="I312" s="229"/>
      <c r="J312" s="59" t="s">
        <v>1139</v>
      </c>
      <c r="K312" s="46">
        <v>950000</v>
      </c>
      <c r="L312" s="2">
        <v>44753</v>
      </c>
      <c r="M312" s="32"/>
      <c r="N312" s="32"/>
      <c r="O312" s="51" t="s">
        <v>3196</v>
      </c>
      <c r="P312" s="52"/>
    </row>
    <row r="313" spans="2:16" x14ac:dyDescent="0.25">
      <c r="B313" s="32">
        <v>301</v>
      </c>
      <c r="C313" s="229" t="s">
        <v>3197</v>
      </c>
      <c r="D313" s="229"/>
      <c r="E313" s="229"/>
      <c r="F313" s="229"/>
      <c r="G313" s="229"/>
      <c r="H313" s="229"/>
      <c r="I313" s="229"/>
      <c r="J313" s="59" t="s">
        <v>1875</v>
      </c>
      <c r="K313" s="46">
        <v>5950000</v>
      </c>
      <c r="L313" s="2">
        <v>44753</v>
      </c>
      <c r="M313" s="32"/>
      <c r="N313" s="32">
        <v>44442074</v>
      </c>
      <c r="O313" s="51" t="s">
        <v>3198</v>
      </c>
      <c r="P313" s="52" t="s">
        <v>3199</v>
      </c>
    </row>
    <row r="314" spans="2:16" x14ac:dyDescent="0.25">
      <c r="B314" s="32">
        <v>302</v>
      </c>
      <c r="C314" s="229" t="s">
        <v>3200</v>
      </c>
      <c r="D314" s="229"/>
      <c r="E314" s="229"/>
      <c r="F314" s="229"/>
      <c r="G314" s="229"/>
      <c r="H314" s="229"/>
      <c r="I314" s="229"/>
      <c r="J314" s="64" t="s">
        <v>702</v>
      </c>
      <c r="K314" s="46">
        <v>500000</v>
      </c>
      <c r="L314" s="2">
        <v>44761</v>
      </c>
      <c r="M314" s="32" t="s">
        <v>3923</v>
      </c>
      <c r="N314" s="32"/>
      <c r="O314" s="51" t="s">
        <v>229</v>
      </c>
      <c r="P314" s="52" t="s">
        <v>2504</v>
      </c>
    </row>
    <row r="315" spans="2:16" x14ac:dyDescent="0.25">
      <c r="B315" s="32">
        <v>303</v>
      </c>
      <c r="C315" s="229" t="s">
        <v>3201</v>
      </c>
      <c r="D315" s="229"/>
      <c r="E315" s="229"/>
      <c r="F315" s="229"/>
      <c r="G315" s="229"/>
      <c r="H315" s="229"/>
      <c r="I315" s="229"/>
      <c r="J315" s="59" t="s">
        <v>3202</v>
      </c>
      <c r="K315" s="46">
        <v>9970000</v>
      </c>
      <c r="L315" s="2">
        <v>44761</v>
      </c>
      <c r="M315" s="32"/>
      <c r="N315" s="32">
        <v>3137851941</v>
      </c>
      <c r="O315" s="51" t="s">
        <v>2055</v>
      </c>
      <c r="P315" s="52" t="s">
        <v>713</v>
      </c>
    </row>
    <row r="316" spans="2:16" x14ac:dyDescent="0.25">
      <c r="B316" s="32">
        <v>304</v>
      </c>
      <c r="C316" s="271" t="s">
        <v>3203</v>
      </c>
      <c r="D316" s="272"/>
      <c r="E316" s="272"/>
      <c r="F316" s="272"/>
      <c r="G316" s="272"/>
      <c r="H316" s="272"/>
      <c r="I316" s="272"/>
      <c r="J316" s="59" t="s">
        <v>3204</v>
      </c>
      <c r="K316" s="46">
        <v>11950000</v>
      </c>
      <c r="L316" s="2">
        <v>44757</v>
      </c>
      <c r="M316" s="32"/>
      <c r="N316" s="32" t="s">
        <v>3205</v>
      </c>
      <c r="O316" s="51" t="s">
        <v>3206</v>
      </c>
      <c r="P316" s="52" t="s">
        <v>3207</v>
      </c>
    </row>
    <row r="317" spans="2:16" x14ac:dyDescent="0.25">
      <c r="B317" s="32">
        <v>305</v>
      </c>
      <c r="C317" s="271" t="s">
        <v>3208</v>
      </c>
      <c r="D317" s="272"/>
      <c r="E317" s="272"/>
      <c r="F317" s="272"/>
      <c r="G317" s="272"/>
      <c r="H317" s="272"/>
      <c r="I317" s="272"/>
      <c r="J317" s="59" t="s">
        <v>851</v>
      </c>
      <c r="K317" s="46">
        <v>120000</v>
      </c>
      <c r="L317" s="2" t="s">
        <v>3209</v>
      </c>
      <c r="M317" s="32"/>
      <c r="N317" s="32" t="s">
        <v>2955</v>
      </c>
      <c r="O317" s="32" t="s">
        <v>2956</v>
      </c>
      <c r="P317" s="52" t="s">
        <v>1287</v>
      </c>
    </row>
    <row r="318" spans="2:16" x14ac:dyDescent="0.25">
      <c r="B318" s="32">
        <v>306</v>
      </c>
      <c r="C318" s="229" t="s">
        <v>3201</v>
      </c>
      <c r="D318" s="229"/>
      <c r="E318" s="229"/>
      <c r="F318" s="229"/>
      <c r="G318" s="229"/>
      <c r="H318" s="229"/>
      <c r="I318" s="229"/>
      <c r="J318" s="59" t="s">
        <v>702</v>
      </c>
      <c r="K318" s="46">
        <v>9970000</v>
      </c>
      <c r="L318" s="2">
        <v>44761</v>
      </c>
      <c r="M318" s="32"/>
      <c r="N318" s="51">
        <v>3104165783</v>
      </c>
      <c r="O318" s="32" t="s">
        <v>2760</v>
      </c>
      <c r="P318" s="52" t="s">
        <v>2761</v>
      </c>
    </row>
    <row r="319" spans="2:16" x14ac:dyDescent="0.25">
      <c r="B319" s="32">
        <v>307</v>
      </c>
      <c r="C319" s="263" t="s">
        <v>4221</v>
      </c>
      <c r="D319" s="229"/>
      <c r="E319" s="229"/>
      <c r="F319" s="229"/>
      <c r="G319" s="229"/>
      <c r="H319" s="229"/>
      <c r="I319" s="229"/>
      <c r="J319" s="59" t="s">
        <v>2664</v>
      </c>
      <c r="K319" s="46">
        <v>10550000</v>
      </c>
      <c r="L319" s="2">
        <v>44763</v>
      </c>
      <c r="M319" s="2"/>
      <c r="N319" s="32">
        <v>3165394946</v>
      </c>
      <c r="O319" s="51" t="s">
        <v>3210</v>
      </c>
      <c r="P319" s="38" t="s">
        <v>3211</v>
      </c>
    </row>
    <row r="320" spans="2:16" x14ac:dyDescent="0.25">
      <c r="B320" s="32">
        <v>308</v>
      </c>
      <c r="C320" s="229" t="s">
        <v>3212</v>
      </c>
      <c r="D320" s="229"/>
      <c r="E320" s="229"/>
      <c r="F320" s="229"/>
      <c r="G320" s="229"/>
      <c r="H320" s="229"/>
      <c r="I320" s="229"/>
      <c r="J320" s="59" t="s">
        <v>1343</v>
      </c>
      <c r="K320" s="46">
        <v>4550000</v>
      </c>
      <c r="L320" s="2">
        <v>44763</v>
      </c>
      <c r="M320" s="32" t="s">
        <v>3923</v>
      </c>
      <c r="N320" s="32" t="s">
        <v>2253</v>
      </c>
      <c r="O320" s="51" t="s">
        <v>3213</v>
      </c>
      <c r="P320" s="52" t="s">
        <v>1075</v>
      </c>
    </row>
    <row r="321" spans="2:16" x14ac:dyDescent="0.25">
      <c r="B321" s="32">
        <v>309</v>
      </c>
      <c r="C321" s="271" t="s">
        <v>3214</v>
      </c>
      <c r="D321" s="272"/>
      <c r="E321" s="272"/>
      <c r="F321" s="272"/>
      <c r="G321" s="272"/>
      <c r="H321" s="272"/>
      <c r="I321" s="272"/>
      <c r="J321" s="59" t="s">
        <v>771</v>
      </c>
      <c r="K321" s="46">
        <v>3250000</v>
      </c>
      <c r="L321" s="2">
        <v>44763</v>
      </c>
      <c r="M321" s="32"/>
      <c r="N321" s="32"/>
      <c r="O321" s="51" t="s">
        <v>2556</v>
      </c>
      <c r="P321" s="38" t="s">
        <v>2557</v>
      </c>
    </row>
    <row r="322" spans="2:16" x14ac:dyDescent="0.25">
      <c r="B322" s="32">
        <v>310</v>
      </c>
      <c r="C322" s="229" t="s">
        <v>3215</v>
      </c>
      <c r="D322" s="229"/>
      <c r="E322" s="229"/>
      <c r="F322" s="229"/>
      <c r="G322" s="229"/>
      <c r="H322" s="229"/>
      <c r="I322" s="229"/>
      <c r="J322" s="59" t="s">
        <v>2593</v>
      </c>
      <c r="K322" s="46">
        <v>5900000</v>
      </c>
      <c r="L322" s="2">
        <v>44763</v>
      </c>
      <c r="M322" s="32" t="s">
        <v>3923</v>
      </c>
      <c r="N322" s="32">
        <v>3217324763</v>
      </c>
      <c r="O322" s="51" t="s">
        <v>3216</v>
      </c>
      <c r="P322" s="38" t="s">
        <v>3217</v>
      </c>
    </row>
    <row r="323" spans="2:16" x14ac:dyDescent="0.25">
      <c r="B323" s="32">
        <v>311</v>
      </c>
      <c r="C323" s="229" t="s">
        <v>3218</v>
      </c>
      <c r="D323" s="229"/>
      <c r="E323" s="229"/>
      <c r="F323" s="229"/>
      <c r="G323" s="229"/>
      <c r="H323" s="229"/>
      <c r="I323" s="229"/>
      <c r="J323" s="59" t="s">
        <v>3219</v>
      </c>
      <c r="K323" s="46">
        <v>13990000</v>
      </c>
      <c r="L323" s="2" t="s">
        <v>3220</v>
      </c>
      <c r="M323" s="32" t="s">
        <v>3923</v>
      </c>
      <c r="N323" s="32" t="s">
        <v>3221</v>
      </c>
      <c r="O323" s="51" t="s">
        <v>3222</v>
      </c>
      <c r="P323" s="38" t="s">
        <v>3223</v>
      </c>
    </row>
    <row r="324" spans="2:16" x14ac:dyDescent="0.25">
      <c r="B324" s="32">
        <v>312</v>
      </c>
      <c r="C324" s="229" t="s">
        <v>3224</v>
      </c>
      <c r="D324" s="229"/>
      <c r="E324" s="229"/>
      <c r="F324" s="229"/>
      <c r="G324" s="229"/>
      <c r="H324" s="229"/>
      <c r="I324" s="229"/>
      <c r="J324" s="59" t="s">
        <v>1574</v>
      </c>
      <c r="K324" s="46">
        <v>5950000</v>
      </c>
      <c r="L324" s="2">
        <v>44763</v>
      </c>
      <c r="M324" s="32" t="s">
        <v>3923</v>
      </c>
      <c r="N324" s="32">
        <v>3014228936</v>
      </c>
      <c r="O324" s="51" t="s">
        <v>3225</v>
      </c>
      <c r="P324" s="80" t="s">
        <v>3226</v>
      </c>
    </row>
    <row r="325" spans="2:16" x14ac:dyDescent="0.25">
      <c r="B325" s="32">
        <v>313</v>
      </c>
      <c r="C325" s="229" t="s">
        <v>3227</v>
      </c>
      <c r="D325" s="229"/>
      <c r="E325" s="229"/>
      <c r="F325" s="229"/>
      <c r="G325" s="229"/>
      <c r="H325" s="229"/>
      <c r="I325" s="229"/>
      <c r="J325" s="59" t="s">
        <v>2593</v>
      </c>
      <c r="K325" s="46">
        <v>12750000</v>
      </c>
      <c r="L325" s="2">
        <v>44764</v>
      </c>
      <c r="M325" s="32" t="s">
        <v>3923</v>
      </c>
      <c r="N325" s="32">
        <v>3217324763</v>
      </c>
      <c r="O325" s="51" t="s">
        <v>3216</v>
      </c>
      <c r="P325" s="82" t="s">
        <v>3217</v>
      </c>
    </row>
    <row r="326" spans="2:16" x14ac:dyDescent="0.25">
      <c r="B326" s="32">
        <v>314</v>
      </c>
      <c r="C326" s="229" t="s">
        <v>3228</v>
      </c>
      <c r="D326" s="229"/>
      <c r="E326" s="229"/>
      <c r="F326" s="229"/>
      <c r="G326" s="229"/>
      <c r="H326" s="229"/>
      <c r="I326" s="229"/>
      <c r="J326" s="59" t="s">
        <v>2593</v>
      </c>
      <c r="K326" s="46">
        <v>3500000</v>
      </c>
      <c r="L326" s="2">
        <v>44764</v>
      </c>
      <c r="M326" s="2" t="s">
        <v>3923</v>
      </c>
      <c r="N326" s="32">
        <v>3217324763</v>
      </c>
      <c r="O326" s="51" t="s">
        <v>3216</v>
      </c>
      <c r="P326" s="82" t="s">
        <v>3217</v>
      </c>
    </row>
    <row r="327" spans="2:16" x14ac:dyDescent="0.25">
      <c r="B327" s="32">
        <v>315</v>
      </c>
      <c r="C327" s="229" t="s">
        <v>3229</v>
      </c>
      <c r="D327" s="229"/>
      <c r="E327" s="229"/>
      <c r="F327" s="229"/>
      <c r="G327" s="229"/>
      <c r="H327" s="229"/>
      <c r="I327" s="229"/>
      <c r="J327" s="59" t="s">
        <v>2593</v>
      </c>
      <c r="K327" s="46">
        <v>3500000</v>
      </c>
      <c r="L327" s="2">
        <v>44764</v>
      </c>
      <c r="M327" s="32" t="s">
        <v>3923</v>
      </c>
      <c r="N327" s="32">
        <v>3217324763</v>
      </c>
      <c r="O327" s="51" t="s">
        <v>3216</v>
      </c>
      <c r="P327" s="82" t="s">
        <v>3217</v>
      </c>
    </row>
    <row r="328" spans="2:16" x14ac:dyDescent="0.25">
      <c r="B328" s="32">
        <v>316</v>
      </c>
      <c r="C328" s="229" t="s">
        <v>3230</v>
      </c>
      <c r="D328" s="229"/>
      <c r="E328" s="229"/>
      <c r="F328" s="229"/>
      <c r="G328" s="229"/>
      <c r="H328" s="229"/>
      <c r="I328" s="229"/>
      <c r="J328" s="59" t="s">
        <v>3231</v>
      </c>
      <c r="K328" s="46">
        <v>1500000</v>
      </c>
      <c r="L328" s="2">
        <v>44764</v>
      </c>
      <c r="M328" s="32"/>
      <c r="N328" s="32"/>
      <c r="O328" s="32" t="s">
        <v>3231</v>
      </c>
      <c r="P328" s="38"/>
    </row>
    <row r="329" spans="2:16" x14ac:dyDescent="0.25">
      <c r="B329" s="32">
        <v>317</v>
      </c>
      <c r="C329" s="229" t="s">
        <v>3232</v>
      </c>
      <c r="D329" s="229"/>
      <c r="E329" s="229"/>
      <c r="F329" s="229"/>
      <c r="G329" s="229"/>
      <c r="H329" s="229"/>
      <c r="I329" s="229"/>
      <c r="J329" s="59" t="s">
        <v>3233</v>
      </c>
      <c r="K329" s="46">
        <v>4750000</v>
      </c>
      <c r="L329" s="2">
        <v>44768</v>
      </c>
      <c r="M329" s="2"/>
      <c r="N329" s="32" t="s">
        <v>3234</v>
      </c>
      <c r="O329" s="51" t="s">
        <v>3235</v>
      </c>
      <c r="P329" s="38" t="s">
        <v>3236</v>
      </c>
    </row>
    <row r="330" spans="2:16" x14ac:dyDescent="0.25">
      <c r="B330" s="32">
        <v>318</v>
      </c>
      <c r="C330" s="229" t="s">
        <v>3237</v>
      </c>
      <c r="D330" s="229"/>
      <c r="E330" s="229"/>
      <c r="F330" s="229"/>
      <c r="G330" s="229"/>
      <c r="H330" s="229"/>
      <c r="I330" s="229"/>
      <c r="J330" s="59" t="s">
        <v>3238</v>
      </c>
      <c r="K330" s="46">
        <v>4600000</v>
      </c>
      <c r="L330" s="2">
        <v>44768</v>
      </c>
      <c r="M330" s="32"/>
      <c r="N330" s="32"/>
      <c r="O330" s="51" t="s">
        <v>3239</v>
      </c>
      <c r="P330" s="38"/>
    </row>
    <row r="331" spans="2:16" x14ac:dyDescent="0.25">
      <c r="B331" s="32">
        <v>319</v>
      </c>
      <c r="C331" s="229" t="s">
        <v>3240</v>
      </c>
      <c r="D331" s="229"/>
      <c r="E331" s="229"/>
      <c r="F331" s="229"/>
      <c r="G331" s="229"/>
      <c r="H331" s="229"/>
      <c r="I331" s="229"/>
      <c r="J331" s="59" t="s">
        <v>702</v>
      </c>
      <c r="K331" s="46">
        <v>4000000</v>
      </c>
      <c r="L331" s="2" t="s">
        <v>3241</v>
      </c>
      <c r="M331" s="32"/>
      <c r="N331" s="32">
        <v>3104165783</v>
      </c>
      <c r="O331" s="51" t="s">
        <v>3242</v>
      </c>
      <c r="P331" s="38" t="s">
        <v>2761</v>
      </c>
    </row>
    <row r="332" spans="2:16" x14ac:dyDescent="0.25">
      <c r="B332" s="32">
        <v>320</v>
      </c>
      <c r="C332" s="229" t="s">
        <v>3243</v>
      </c>
      <c r="D332" s="229"/>
      <c r="E332" s="229"/>
      <c r="F332" s="229"/>
      <c r="G332" s="229"/>
      <c r="H332" s="229"/>
      <c r="I332" s="229"/>
      <c r="J332" s="59" t="s">
        <v>702</v>
      </c>
      <c r="K332" s="46">
        <v>2000000</v>
      </c>
      <c r="L332" s="2" t="s">
        <v>3244</v>
      </c>
      <c r="M332" s="32"/>
      <c r="N332" s="32">
        <v>3104165783</v>
      </c>
      <c r="O332" s="51" t="s">
        <v>3242</v>
      </c>
      <c r="P332" s="38" t="s">
        <v>2761</v>
      </c>
    </row>
    <row r="333" spans="2:16" x14ac:dyDescent="0.25">
      <c r="B333" s="32">
        <v>321</v>
      </c>
      <c r="C333" s="263" t="s">
        <v>4220</v>
      </c>
      <c r="D333" s="229"/>
      <c r="E333" s="229"/>
      <c r="F333" s="229"/>
      <c r="G333" s="229"/>
      <c r="H333" s="229"/>
      <c r="I333" s="229"/>
      <c r="J333" s="59" t="s">
        <v>3245</v>
      </c>
      <c r="K333" s="46">
        <v>5390000</v>
      </c>
      <c r="L333" s="2">
        <v>44774</v>
      </c>
      <c r="M333" s="32" t="s">
        <v>3923</v>
      </c>
      <c r="N333" s="32">
        <v>3117649050</v>
      </c>
      <c r="O333" s="51" t="s">
        <v>3246</v>
      </c>
      <c r="P333" s="38" t="s">
        <v>3247</v>
      </c>
    </row>
    <row r="334" spans="2:16" x14ac:dyDescent="0.25">
      <c r="B334" s="32">
        <v>322</v>
      </c>
      <c r="C334" s="229" t="s">
        <v>3248</v>
      </c>
      <c r="D334" s="229"/>
      <c r="E334" s="229"/>
      <c r="F334" s="229"/>
      <c r="G334" s="229"/>
      <c r="H334" s="229"/>
      <c r="I334" s="229"/>
      <c r="J334" s="59" t="s">
        <v>2204</v>
      </c>
      <c r="K334" s="46">
        <v>22950000</v>
      </c>
      <c r="L334" s="2">
        <v>44774</v>
      </c>
      <c r="M334" s="32"/>
      <c r="N334" s="32">
        <v>3218381675</v>
      </c>
      <c r="O334" s="51" t="s">
        <v>2849</v>
      </c>
      <c r="P334" s="38" t="s">
        <v>2206</v>
      </c>
    </row>
    <row r="335" spans="2:16" x14ac:dyDescent="0.25">
      <c r="B335" s="32">
        <v>323</v>
      </c>
      <c r="C335" s="229" t="s">
        <v>3249</v>
      </c>
      <c r="D335" s="229"/>
      <c r="E335" s="229"/>
      <c r="F335" s="229"/>
      <c r="G335" s="229"/>
      <c r="H335" s="229"/>
      <c r="I335" s="229"/>
      <c r="J335" s="59" t="s">
        <v>1139</v>
      </c>
      <c r="K335" s="46">
        <v>6550000</v>
      </c>
      <c r="L335" s="2">
        <v>44775</v>
      </c>
      <c r="M335" s="32"/>
      <c r="N335" s="32"/>
      <c r="O335" s="51"/>
      <c r="P335" s="38"/>
    </row>
    <row r="336" spans="2:16" x14ac:dyDescent="0.25">
      <c r="B336" s="32">
        <v>324</v>
      </c>
      <c r="C336" s="271" t="s">
        <v>3250</v>
      </c>
      <c r="D336" s="272"/>
      <c r="E336" s="272"/>
      <c r="F336" s="272"/>
      <c r="G336" s="272"/>
      <c r="H336" s="272"/>
      <c r="I336" s="272"/>
      <c r="J336" s="59" t="s">
        <v>702</v>
      </c>
      <c r="K336" s="46">
        <v>2950000</v>
      </c>
      <c r="L336" s="2">
        <v>44777</v>
      </c>
      <c r="M336" s="32"/>
      <c r="N336" s="51">
        <v>3104165783</v>
      </c>
      <c r="O336" s="32" t="s">
        <v>2760</v>
      </c>
      <c r="P336" s="52" t="s">
        <v>2761</v>
      </c>
    </row>
    <row r="337" spans="2:16" x14ac:dyDescent="0.25">
      <c r="B337" s="32">
        <v>325</v>
      </c>
      <c r="C337" s="271" t="s">
        <v>3251</v>
      </c>
      <c r="D337" s="272"/>
      <c r="E337" s="272"/>
      <c r="F337" s="272"/>
      <c r="G337" s="272"/>
      <c r="H337" s="272"/>
      <c r="I337" s="272"/>
      <c r="J337" s="59" t="s">
        <v>702</v>
      </c>
      <c r="K337" s="46">
        <v>6270000</v>
      </c>
      <c r="L337" s="2">
        <v>44777</v>
      </c>
      <c r="M337" s="32"/>
      <c r="N337" s="51">
        <v>3104165783</v>
      </c>
      <c r="O337" s="32" t="s">
        <v>2760</v>
      </c>
      <c r="P337" s="52" t="s">
        <v>2761</v>
      </c>
    </row>
    <row r="338" spans="2:16" x14ac:dyDescent="0.25">
      <c r="B338" s="32">
        <v>326</v>
      </c>
      <c r="C338" s="271" t="s">
        <v>3252</v>
      </c>
      <c r="D338" s="272"/>
      <c r="E338" s="272"/>
      <c r="F338" s="272"/>
      <c r="G338" s="272"/>
      <c r="H338" s="272"/>
      <c r="I338" s="272"/>
      <c r="J338" s="23" t="s">
        <v>702</v>
      </c>
      <c r="K338" s="46">
        <v>750000</v>
      </c>
      <c r="L338" s="2">
        <v>44777</v>
      </c>
      <c r="M338" s="32" t="s">
        <v>3923</v>
      </c>
      <c r="N338" s="32">
        <v>3137546144</v>
      </c>
      <c r="O338" s="51" t="s">
        <v>229</v>
      </c>
      <c r="P338" s="38" t="s">
        <v>2504</v>
      </c>
    </row>
    <row r="339" spans="2:16" x14ac:dyDescent="0.25">
      <c r="B339" s="32">
        <v>327</v>
      </c>
      <c r="C339" s="229" t="s">
        <v>3253</v>
      </c>
      <c r="D339" s="229"/>
      <c r="E339" s="229"/>
      <c r="F339" s="229"/>
      <c r="G339" s="229"/>
      <c r="H339" s="229"/>
      <c r="I339" s="229"/>
      <c r="J339" s="59" t="s">
        <v>1139</v>
      </c>
      <c r="K339" s="46">
        <v>5100000</v>
      </c>
      <c r="L339" s="2">
        <v>44776</v>
      </c>
      <c r="M339" s="32" t="s">
        <v>3923</v>
      </c>
      <c r="N339" s="32">
        <v>3117208117</v>
      </c>
      <c r="O339" s="51" t="s">
        <v>3254</v>
      </c>
      <c r="P339" s="38" t="s">
        <v>3255</v>
      </c>
    </row>
    <row r="340" spans="2:16" x14ac:dyDescent="0.25">
      <c r="B340" s="32">
        <v>328</v>
      </c>
      <c r="C340" s="273" t="s">
        <v>3256</v>
      </c>
      <c r="D340" s="274"/>
      <c r="E340" s="274"/>
      <c r="F340" s="274"/>
      <c r="G340" s="274"/>
      <c r="H340" s="274"/>
      <c r="I340" s="274"/>
      <c r="J340" s="59" t="s">
        <v>1272</v>
      </c>
      <c r="K340" s="46">
        <v>6270000</v>
      </c>
      <c r="L340" s="2">
        <v>44777</v>
      </c>
      <c r="M340" s="32"/>
      <c r="N340" s="32">
        <v>3104057513</v>
      </c>
      <c r="O340" s="51" t="s">
        <v>3257</v>
      </c>
      <c r="P340" s="54" t="s">
        <v>1301</v>
      </c>
    </row>
    <row r="341" spans="2:16" x14ac:dyDescent="0.25">
      <c r="B341" s="32">
        <v>329</v>
      </c>
      <c r="C341" s="229" t="s">
        <v>3258</v>
      </c>
      <c r="D341" s="229"/>
      <c r="E341" s="229"/>
      <c r="F341" s="229"/>
      <c r="G341" s="229"/>
      <c r="H341" s="229"/>
      <c r="I341" s="229"/>
      <c r="J341" s="59" t="s">
        <v>702</v>
      </c>
      <c r="K341" s="46">
        <v>1000000</v>
      </c>
      <c r="L341" s="2">
        <v>44777</v>
      </c>
      <c r="M341" s="32"/>
      <c r="N341" s="32">
        <v>3137546144</v>
      </c>
      <c r="O341" s="51" t="s">
        <v>229</v>
      </c>
      <c r="P341" s="38" t="s">
        <v>2504</v>
      </c>
    </row>
    <row r="342" spans="2:16" ht="15" customHeight="1" x14ac:dyDescent="0.25">
      <c r="B342" s="32">
        <v>330</v>
      </c>
      <c r="C342" s="229" t="s">
        <v>3259</v>
      </c>
      <c r="D342" s="229"/>
      <c r="E342" s="229"/>
      <c r="F342" s="229"/>
      <c r="G342" s="229"/>
      <c r="H342" s="229"/>
      <c r="I342" s="229"/>
      <c r="J342" s="59" t="s">
        <v>3260</v>
      </c>
      <c r="K342" s="46">
        <v>1250000</v>
      </c>
      <c r="L342" s="2">
        <v>44777</v>
      </c>
      <c r="M342" s="32" t="s">
        <v>3923</v>
      </c>
      <c r="N342" s="32" t="s">
        <v>1906</v>
      </c>
      <c r="O342" s="51" t="s">
        <v>1907</v>
      </c>
      <c r="P342" s="52" t="s">
        <v>1908</v>
      </c>
    </row>
    <row r="343" spans="2:16" x14ac:dyDescent="0.25">
      <c r="B343" s="32">
        <v>331</v>
      </c>
      <c r="C343" s="229" t="s">
        <v>3261</v>
      </c>
      <c r="D343" s="229"/>
      <c r="E343" s="229"/>
      <c r="F343" s="229"/>
      <c r="G343" s="229"/>
      <c r="H343" s="229"/>
      <c r="I343" s="229"/>
      <c r="J343" s="59" t="s">
        <v>3262</v>
      </c>
      <c r="K343" s="46">
        <v>28780000</v>
      </c>
      <c r="L343" s="2">
        <v>44781</v>
      </c>
      <c r="M343" s="32" t="s">
        <v>3923</v>
      </c>
      <c r="N343" s="32">
        <v>3014228936</v>
      </c>
      <c r="O343" s="51" t="s">
        <v>3225</v>
      </c>
      <c r="P343" s="38" t="s">
        <v>3226</v>
      </c>
    </row>
    <row r="344" spans="2:16" x14ac:dyDescent="0.25">
      <c r="B344" s="32">
        <v>332</v>
      </c>
      <c r="C344" s="229" t="s">
        <v>3263</v>
      </c>
      <c r="D344" s="229"/>
      <c r="E344" s="229"/>
      <c r="F344" s="229"/>
      <c r="G344" s="229"/>
      <c r="H344" s="229"/>
      <c r="I344" s="229"/>
      <c r="J344" s="59" t="s">
        <v>3158</v>
      </c>
      <c r="K344" s="46">
        <v>26500000</v>
      </c>
      <c r="L344" s="2">
        <v>44781</v>
      </c>
      <c r="M344" s="32"/>
      <c r="N344" s="32" t="s">
        <v>3264</v>
      </c>
      <c r="O344" s="51" t="s">
        <v>3159</v>
      </c>
      <c r="P344" s="38" t="s">
        <v>3160</v>
      </c>
    </row>
    <row r="345" spans="2:16" x14ac:dyDescent="0.25">
      <c r="B345" s="32">
        <v>333</v>
      </c>
      <c r="C345" s="229" t="s">
        <v>3265</v>
      </c>
      <c r="D345" s="229"/>
      <c r="E345" s="229"/>
      <c r="F345" s="229"/>
      <c r="G345" s="229"/>
      <c r="H345" s="229"/>
      <c r="I345" s="229"/>
      <c r="J345" s="59" t="s">
        <v>747</v>
      </c>
      <c r="K345" s="46">
        <v>6900000</v>
      </c>
      <c r="L345" s="2">
        <v>44781</v>
      </c>
      <c r="M345" s="32"/>
      <c r="N345" s="32">
        <v>3175594091</v>
      </c>
      <c r="O345" s="32" t="s">
        <v>496</v>
      </c>
      <c r="P345" s="38" t="s">
        <v>748</v>
      </c>
    </row>
    <row r="346" spans="2:16" x14ac:dyDescent="0.25">
      <c r="B346" s="32">
        <v>334</v>
      </c>
      <c r="C346" s="229" t="s">
        <v>3266</v>
      </c>
      <c r="D346" s="229"/>
      <c r="E346" s="229"/>
      <c r="F346" s="229"/>
      <c r="G346" s="229"/>
      <c r="H346" s="229"/>
      <c r="I346" s="229"/>
      <c r="J346" s="59" t="s">
        <v>702</v>
      </c>
      <c r="K346" s="46">
        <v>22770000</v>
      </c>
      <c r="L346" s="2">
        <v>44784</v>
      </c>
      <c r="M346" s="32"/>
      <c r="N346" s="32" t="s">
        <v>2036</v>
      </c>
      <c r="O346" s="32" t="s">
        <v>2748</v>
      </c>
      <c r="P346" s="52" t="s">
        <v>2600</v>
      </c>
    </row>
    <row r="347" spans="2:16" x14ac:dyDescent="0.25">
      <c r="B347" s="32">
        <v>335</v>
      </c>
      <c r="C347" s="229" t="s">
        <v>3267</v>
      </c>
      <c r="D347" s="229"/>
      <c r="E347" s="229"/>
      <c r="F347" s="229"/>
      <c r="G347" s="229"/>
      <c r="H347" s="229"/>
      <c r="I347" s="229"/>
      <c r="J347" s="59"/>
      <c r="K347" s="46">
        <v>26950000</v>
      </c>
      <c r="L347" s="2">
        <v>44781</v>
      </c>
      <c r="M347" s="32"/>
      <c r="N347" s="32" t="s">
        <v>2591</v>
      </c>
      <c r="O347" s="32" t="s">
        <v>400</v>
      </c>
      <c r="P347" s="52" t="s">
        <v>1012</v>
      </c>
    </row>
    <row r="348" spans="2:16" x14ac:dyDescent="0.25">
      <c r="B348" s="32">
        <v>336</v>
      </c>
      <c r="C348" s="229" t="s">
        <v>3268</v>
      </c>
      <c r="D348" s="229"/>
      <c r="E348" s="229"/>
      <c r="F348" s="229"/>
      <c r="G348" s="229"/>
      <c r="H348" s="229"/>
      <c r="I348" s="229"/>
      <c r="J348" s="59" t="s">
        <v>3269</v>
      </c>
      <c r="K348" s="46">
        <v>6500000</v>
      </c>
      <c r="L348" s="2">
        <v>44782</v>
      </c>
      <c r="M348" s="32"/>
      <c r="N348" s="32" t="s">
        <v>3270</v>
      </c>
      <c r="O348" s="51" t="s">
        <v>646</v>
      </c>
      <c r="P348" s="38" t="s">
        <v>3271</v>
      </c>
    </row>
    <row r="349" spans="2:16" ht="15" customHeight="1" x14ac:dyDescent="0.25">
      <c r="B349" s="32">
        <v>337</v>
      </c>
      <c r="C349" s="229" t="s">
        <v>3272</v>
      </c>
      <c r="D349" s="229"/>
      <c r="E349" s="229"/>
      <c r="F349" s="229"/>
      <c r="G349" s="229"/>
      <c r="H349" s="229"/>
      <c r="I349" s="229"/>
      <c r="J349" s="59" t="s">
        <v>2979</v>
      </c>
      <c r="K349" s="46">
        <v>16305000</v>
      </c>
      <c r="L349" s="2">
        <v>44782</v>
      </c>
      <c r="M349" s="32"/>
      <c r="N349" s="32"/>
      <c r="O349" s="51" t="s">
        <v>2269</v>
      </c>
      <c r="P349" s="38"/>
    </row>
    <row r="350" spans="2:16" x14ac:dyDescent="0.25">
      <c r="B350" s="32">
        <v>338</v>
      </c>
      <c r="C350" s="229" t="s">
        <v>3256</v>
      </c>
      <c r="D350" s="229"/>
      <c r="E350" s="229"/>
      <c r="F350" s="229"/>
      <c r="G350" s="229"/>
      <c r="H350" s="229"/>
      <c r="I350" s="229"/>
      <c r="J350" s="59" t="s">
        <v>3269</v>
      </c>
      <c r="K350" s="46">
        <v>6270000</v>
      </c>
      <c r="L350" s="2">
        <v>44783</v>
      </c>
      <c r="M350" s="32"/>
      <c r="N350" s="32" t="s">
        <v>3270</v>
      </c>
      <c r="O350" s="51" t="s">
        <v>3273</v>
      </c>
      <c r="P350" s="38" t="s">
        <v>3274</v>
      </c>
    </row>
    <row r="351" spans="2:16" x14ac:dyDescent="0.25">
      <c r="B351" s="32">
        <v>339</v>
      </c>
      <c r="C351" s="271" t="s">
        <v>3266</v>
      </c>
      <c r="D351" s="272"/>
      <c r="E351" s="272"/>
      <c r="F351" s="272"/>
      <c r="G351" s="272"/>
      <c r="H351" s="272"/>
      <c r="I351" s="272"/>
      <c r="J351" s="59" t="s">
        <v>805</v>
      </c>
      <c r="K351" s="46">
        <v>20700000</v>
      </c>
      <c r="L351" s="2">
        <v>44783</v>
      </c>
      <c r="M351" s="32"/>
      <c r="N351" s="32" t="s">
        <v>3275</v>
      </c>
      <c r="O351" s="51" t="s">
        <v>3276</v>
      </c>
      <c r="P351" s="38" t="s">
        <v>2638</v>
      </c>
    </row>
    <row r="352" spans="2:16" x14ac:dyDescent="0.25">
      <c r="B352" s="32">
        <v>340</v>
      </c>
      <c r="C352" s="263" t="s">
        <v>3277</v>
      </c>
      <c r="D352" s="229"/>
      <c r="E352" s="229"/>
      <c r="F352" s="229"/>
      <c r="G352" s="229"/>
      <c r="H352" s="229"/>
      <c r="I352" s="229"/>
      <c r="J352" s="59" t="s">
        <v>3278</v>
      </c>
      <c r="K352" s="46">
        <v>6950000</v>
      </c>
      <c r="L352" s="2">
        <v>44784</v>
      </c>
      <c r="M352" s="32"/>
      <c r="N352" s="32">
        <v>3165296912</v>
      </c>
      <c r="O352" s="51" t="s">
        <v>3279</v>
      </c>
      <c r="P352" s="38" t="s">
        <v>3280</v>
      </c>
    </row>
    <row r="353" spans="2:16" x14ac:dyDescent="0.25">
      <c r="B353" s="32">
        <v>341</v>
      </c>
      <c r="C353" s="229" t="s">
        <v>3281</v>
      </c>
      <c r="D353" s="229"/>
      <c r="E353" s="229"/>
      <c r="F353" s="229"/>
      <c r="G353" s="229"/>
      <c r="H353" s="229"/>
      <c r="I353" s="229"/>
      <c r="J353" s="59" t="s">
        <v>2563</v>
      </c>
      <c r="K353" s="46">
        <v>95000000</v>
      </c>
      <c r="L353" s="2">
        <v>44784</v>
      </c>
      <c r="M353" s="32"/>
      <c r="N353" s="32"/>
      <c r="O353" s="51"/>
      <c r="P353" s="38"/>
    </row>
    <row r="354" spans="2:16" x14ac:dyDescent="0.25">
      <c r="B354" s="32">
        <v>342</v>
      </c>
      <c r="C354" s="263" t="s">
        <v>3282</v>
      </c>
      <c r="D354" s="229"/>
      <c r="E354" s="229"/>
      <c r="F354" s="229"/>
      <c r="G354" s="229"/>
      <c r="H354" s="229"/>
      <c r="I354" s="229"/>
      <c r="J354" s="59" t="s">
        <v>702</v>
      </c>
      <c r="K354" s="46">
        <v>29980000</v>
      </c>
      <c r="L354" s="2">
        <v>44792</v>
      </c>
      <c r="M354" s="32"/>
      <c r="N354" s="51">
        <v>3104165783</v>
      </c>
      <c r="O354" s="32" t="s">
        <v>2760</v>
      </c>
      <c r="P354" s="52" t="s">
        <v>2761</v>
      </c>
    </row>
    <row r="355" spans="2:16" x14ac:dyDescent="0.25">
      <c r="B355" s="32">
        <v>343</v>
      </c>
      <c r="C355" s="229" t="s">
        <v>3283</v>
      </c>
      <c r="D355" s="229"/>
      <c r="E355" s="229"/>
      <c r="F355" s="229"/>
      <c r="G355" s="229"/>
      <c r="H355" s="229"/>
      <c r="I355" s="229"/>
      <c r="J355" s="59" t="s">
        <v>3284</v>
      </c>
      <c r="K355" s="46">
        <v>199540000</v>
      </c>
      <c r="L355" s="2">
        <v>44789</v>
      </c>
      <c r="M355" s="32"/>
      <c r="N355" s="32" t="s">
        <v>3285</v>
      </c>
      <c r="O355" s="51" t="s">
        <v>3286</v>
      </c>
      <c r="P355" s="38" t="s">
        <v>3287</v>
      </c>
    </row>
    <row r="356" spans="2:16" x14ac:dyDescent="0.25">
      <c r="B356" s="32">
        <v>344</v>
      </c>
      <c r="C356" s="271" t="s">
        <v>3288</v>
      </c>
      <c r="D356" s="272"/>
      <c r="E356" s="272"/>
      <c r="F356" s="272"/>
      <c r="G356" s="272"/>
      <c r="H356" s="272"/>
      <c r="I356" s="272"/>
      <c r="J356" s="59" t="s">
        <v>747</v>
      </c>
      <c r="K356" s="46">
        <v>11990000</v>
      </c>
      <c r="L356" s="2">
        <v>44790</v>
      </c>
      <c r="M356" s="2"/>
      <c r="N356" s="32">
        <v>3175594091</v>
      </c>
      <c r="O356" s="32" t="s">
        <v>496</v>
      </c>
      <c r="P356" s="38" t="s">
        <v>748</v>
      </c>
    </row>
    <row r="357" spans="2:16" x14ac:dyDescent="0.25">
      <c r="B357" s="32">
        <v>345</v>
      </c>
      <c r="C357" s="271" t="s">
        <v>3289</v>
      </c>
      <c r="D357" s="272"/>
      <c r="E357" s="272"/>
      <c r="F357" s="272"/>
      <c r="G357" s="272"/>
      <c r="H357" s="272"/>
      <c r="I357" s="272"/>
      <c r="J357" s="59" t="s">
        <v>2715</v>
      </c>
      <c r="K357" s="46">
        <v>3950000</v>
      </c>
      <c r="L357" s="2">
        <v>44790</v>
      </c>
      <c r="M357" s="32" t="s">
        <v>3923</v>
      </c>
      <c r="N357" s="32" t="s">
        <v>1897</v>
      </c>
      <c r="O357" s="32" t="s">
        <v>2076</v>
      </c>
      <c r="P357" s="38" t="s">
        <v>1899</v>
      </c>
    </row>
    <row r="358" spans="2:16" x14ac:dyDescent="0.25">
      <c r="B358" s="32">
        <v>346</v>
      </c>
      <c r="C358" s="229" t="s">
        <v>3290</v>
      </c>
      <c r="D358" s="229"/>
      <c r="E358" s="229"/>
      <c r="F358" s="229"/>
      <c r="G358" s="229"/>
      <c r="H358" s="229"/>
      <c r="I358" s="229"/>
      <c r="J358" s="59" t="s">
        <v>702</v>
      </c>
      <c r="K358" s="46">
        <v>7500000</v>
      </c>
      <c r="L358" s="2">
        <v>44790</v>
      </c>
      <c r="M358" s="32"/>
      <c r="N358" s="51">
        <v>3104165783</v>
      </c>
      <c r="O358" s="32" t="s">
        <v>2760</v>
      </c>
      <c r="P358" s="52" t="s">
        <v>2761</v>
      </c>
    </row>
    <row r="359" spans="2:16" x14ac:dyDescent="0.25">
      <c r="B359" s="32">
        <v>347</v>
      </c>
      <c r="C359" s="229" t="s">
        <v>3291</v>
      </c>
      <c r="D359" s="229"/>
      <c r="E359" s="229"/>
      <c r="F359" s="229"/>
      <c r="G359" s="229"/>
      <c r="H359" s="229"/>
      <c r="I359" s="229"/>
      <c r="J359" s="59" t="s">
        <v>2664</v>
      </c>
      <c r="K359" s="46">
        <v>3950000</v>
      </c>
      <c r="L359" s="2">
        <v>44790</v>
      </c>
      <c r="M359" s="32"/>
      <c r="N359" s="32">
        <v>3165394946</v>
      </c>
      <c r="O359" s="51" t="s">
        <v>3292</v>
      </c>
      <c r="P359" s="38" t="s">
        <v>3293</v>
      </c>
    </row>
    <row r="360" spans="2:16" x14ac:dyDescent="0.25">
      <c r="B360" s="32">
        <v>348</v>
      </c>
      <c r="C360" s="229" t="s">
        <v>3294</v>
      </c>
      <c r="D360" s="229"/>
      <c r="E360" s="229"/>
      <c r="F360" s="229"/>
      <c r="G360" s="229"/>
      <c r="H360" s="229"/>
      <c r="I360" s="229"/>
      <c r="J360" s="59" t="s">
        <v>3295</v>
      </c>
      <c r="K360" s="46">
        <v>52650000</v>
      </c>
      <c r="L360" s="2">
        <v>44791</v>
      </c>
      <c r="M360" s="32"/>
      <c r="N360" s="32" t="s">
        <v>3296</v>
      </c>
      <c r="O360" s="51" t="s">
        <v>3297</v>
      </c>
      <c r="P360" s="38" t="s">
        <v>3298</v>
      </c>
    </row>
    <row r="361" spans="2:16" x14ac:dyDescent="0.25">
      <c r="B361" s="32">
        <v>349</v>
      </c>
      <c r="C361" s="229" t="s">
        <v>3299</v>
      </c>
      <c r="D361" s="229"/>
      <c r="E361" s="229"/>
      <c r="F361" s="229"/>
      <c r="G361" s="229"/>
      <c r="H361" s="229"/>
      <c r="I361" s="229"/>
      <c r="J361" s="59" t="s">
        <v>3269</v>
      </c>
      <c r="K361" s="46">
        <v>2500000</v>
      </c>
      <c r="L361" s="2">
        <v>44791</v>
      </c>
      <c r="M361" s="32"/>
      <c r="N361" s="32"/>
      <c r="O361" s="51"/>
      <c r="P361" s="38" t="s">
        <v>3274</v>
      </c>
    </row>
    <row r="362" spans="2:16" x14ac:dyDescent="0.25">
      <c r="B362" s="32">
        <v>350</v>
      </c>
      <c r="C362" s="263" t="s">
        <v>3300</v>
      </c>
      <c r="D362" s="229"/>
      <c r="E362" s="229"/>
      <c r="F362" s="229"/>
      <c r="G362" s="229"/>
      <c r="H362" s="229"/>
      <c r="I362" s="229"/>
      <c r="J362" s="59" t="s">
        <v>3301</v>
      </c>
      <c r="K362" s="46">
        <v>1500000</v>
      </c>
      <c r="L362" s="2">
        <v>44792</v>
      </c>
      <c r="M362" s="32"/>
      <c r="N362" s="32">
        <v>3207198907</v>
      </c>
      <c r="O362" s="51" t="s">
        <v>3302</v>
      </c>
      <c r="P362" s="38" t="s">
        <v>1417</v>
      </c>
    </row>
    <row r="363" spans="2:16" x14ac:dyDescent="0.25">
      <c r="B363" s="32">
        <v>351</v>
      </c>
      <c r="C363" s="229" t="s">
        <v>3303</v>
      </c>
      <c r="D363" s="229"/>
      <c r="E363" s="229"/>
      <c r="F363" s="229"/>
      <c r="G363" s="229"/>
      <c r="H363" s="229"/>
      <c r="I363" s="229"/>
      <c r="J363" s="59" t="s">
        <v>771</v>
      </c>
      <c r="K363" s="46">
        <v>27570000</v>
      </c>
      <c r="L363" s="2">
        <v>44792</v>
      </c>
      <c r="M363" s="32"/>
      <c r="N363" s="32"/>
      <c r="O363" s="51" t="s">
        <v>2657</v>
      </c>
      <c r="P363" s="38" t="s">
        <v>2658</v>
      </c>
    </row>
    <row r="364" spans="2:16" x14ac:dyDescent="0.25">
      <c r="B364" s="32">
        <v>352</v>
      </c>
      <c r="C364" s="271" t="s">
        <v>3304</v>
      </c>
      <c r="D364" s="272"/>
      <c r="E364" s="272"/>
      <c r="F364" s="272"/>
      <c r="G364" s="272"/>
      <c r="H364" s="272"/>
      <c r="I364" s="272"/>
      <c r="J364" s="59" t="s">
        <v>702</v>
      </c>
      <c r="K364" s="46">
        <v>12550000</v>
      </c>
      <c r="L364" s="2">
        <v>44795</v>
      </c>
      <c r="M364" s="32"/>
      <c r="N364" s="32">
        <v>3004601567</v>
      </c>
      <c r="O364" s="51" t="s">
        <v>3305</v>
      </c>
      <c r="P364" s="38" t="s">
        <v>3139</v>
      </c>
    </row>
    <row r="365" spans="2:16" x14ac:dyDescent="0.25">
      <c r="B365" s="32">
        <v>353</v>
      </c>
      <c r="C365" s="229" t="s">
        <v>3306</v>
      </c>
      <c r="D365" s="229"/>
      <c r="E365" s="229"/>
      <c r="F365" s="229"/>
      <c r="G365" s="229"/>
      <c r="H365" s="229"/>
      <c r="I365" s="229"/>
      <c r="J365" s="59" t="s">
        <v>2961</v>
      </c>
      <c r="K365" s="46">
        <v>5950000</v>
      </c>
      <c r="L365" s="2">
        <v>44795</v>
      </c>
      <c r="M365" s="32" t="s">
        <v>3923</v>
      </c>
      <c r="N365" s="32">
        <v>3015421412</v>
      </c>
      <c r="O365" s="51" t="s">
        <v>400</v>
      </c>
      <c r="P365" s="38" t="s">
        <v>1012</v>
      </c>
    </row>
    <row r="366" spans="2:16" x14ac:dyDescent="0.25">
      <c r="B366" s="32">
        <v>354</v>
      </c>
      <c r="C366" s="229" t="s">
        <v>3307</v>
      </c>
      <c r="D366" s="229"/>
      <c r="E366" s="229"/>
      <c r="F366" s="229"/>
      <c r="G366" s="229"/>
      <c r="H366" s="229"/>
      <c r="I366" s="229"/>
      <c r="J366" s="59" t="s">
        <v>1875</v>
      </c>
      <c r="K366" s="46">
        <v>1250000</v>
      </c>
      <c r="L366" s="2">
        <v>44796</v>
      </c>
      <c r="M366" s="32"/>
      <c r="N366" s="32">
        <v>3113391008</v>
      </c>
      <c r="O366" s="51" t="s">
        <v>2560</v>
      </c>
      <c r="P366" s="52" t="s">
        <v>2561</v>
      </c>
    </row>
    <row r="367" spans="2:16" x14ac:dyDescent="0.25">
      <c r="B367" s="32">
        <v>355</v>
      </c>
      <c r="C367" s="271" t="s">
        <v>3308</v>
      </c>
      <c r="D367" s="272"/>
      <c r="E367" s="272"/>
      <c r="F367" s="272"/>
      <c r="G367" s="272"/>
      <c r="H367" s="272"/>
      <c r="I367" s="272"/>
      <c r="J367" s="59" t="s">
        <v>3309</v>
      </c>
      <c r="K367" s="46">
        <v>1650000</v>
      </c>
      <c r="L367" s="2">
        <v>44796</v>
      </c>
      <c r="M367" s="32"/>
      <c r="N367" s="32">
        <v>3458345</v>
      </c>
      <c r="O367" s="51" t="s">
        <v>3310</v>
      </c>
      <c r="P367" s="38" t="s">
        <v>3311</v>
      </c>
    </row>
    <row r="368" spans="2:16" x14ac:dyDescent="0.25">
      <c r="B368" s="32">
        <v>356</v>
      </c>
      <c r="C368" s="229" t="s">
        <v>3312</v>
      </c>
      <c r="D368" s="229"/>
      <c r="E368" s="229"/>
      <c r="F368" s="229"/>
      <c r="G368" s="229"/>
      <c r="H368" s="229"/>
      <c r="I368" s="229"/>
      <c r="J368" s="59" t="s">
        <v>2593</v>
      </c>
      <c r="K368" s="46">
        <v>23850000</v>
      </c>
      <c r="L368" s="2">
        <v>44796</v>
      </c>
      <c r="M368" s="32"/>
      <c r="N368" s="32">
        <v>3217324763</v>
      </c>
      <c r="O368" s="51" t="s">
        <v>3216</v>
      </c>
      <c r="P368" s="38" t="s">
        <v>3217</v>
      </c>
    </row>
    <row r="369" spans="2:16" x14ac:dyDescent="0.25">
      <c r="B369" s="32">
        <v>357</v>
      </c>
      <c r="C369" s="229" t="s">
        <v>3313</v>
      </c>
      <c r="D369" s="229"/>
      <c r="E369" s="229"/>
      <c r="F369" s="229"/>
      <c r="G369" s="229"/>
      <c r="H369" s="229"/>
      <c r="I369" s="229"/>
      <c r="J369" s="59" t="s">
        <v>1139</v>
      </c>
      <c r="K369" s="46">
        <v>1950000</v>
      </c>
      <c r="L369" s="2" t="s">
        <v>3314</v>
      </c>
      <c r="M369" s="32" t="s">
        <v>3923</v>
      </c>
      <c r="N369" s="32" t="s">
        <v>3315</v>
      </c>
      <c r="O369" s="51" t="s">
        <v>3316</v>
      </c>
      <c r="P369" s="52" t="s">
        <v>2881</v>
      </c>
    </row>
    <row r="370" spans="2:16" x14ac:dyDescent="0.25">
      <c r="B370" s="32">
        <v>358</v>
      </c>
      <c r="C370" s="229" t="s">
        <v>3317</v>
      </c>
      <c r="D370" s="229"/>
      <c r="E370" s="229"/>
      <c r="F370" s="229"/>
      <c r="G370" s="229"/>
      <c r="H370" s="229"/>
      <c r="I370" s="229"/>
      <c r="J370" s="59" t="s">
        <v>831</v>
      </c>
      <c r="K370" s="46">
        <v>52650000</v>
      </c>
      <c r="L370" s="2" t="s">
        <v>3318</v>
      </c>
      <c r="M370" s="2"/>
      <c r="N370" s="32">
        <v>3147943785</v>
      </c>
      <c r="O370" s="51" t="s">
        <v>2269</v>
      </c>
      <c r="P370" s="38" t="s">
        <v>2270</v>
      </c>
    </row>
    <row r="371" spans="2:16" x14ac:dyDescent="0.25">
      <c r="B371" s="32">
        <v>359</v>
      </c>
      <c r="C371" s="229" t="s">
        <v>3319</v>
      </c>
      <c r="D371" s="229"/>
      <c r="E371" s="229"/>
      <c r="F371" s="229"/>
      <c r="G371" s="229"/>
      <c r="H371" s="229"/>
      <c r="I371" s="229"/>
      <c r="J371" s="59" t="s">
        <v>702</v>
      </c>
      <c r="K371" s="46">
        <v>670000</v>
      </c>
      <c r="L371" s="2">
        <v>44799</v>
      </c>
      <c r="M371" s="32"/>
      <c r="N371" s="51">
        <v>3104165783</v>
      </c>
      <c r="O371" s="32" t="s">
        <v>2760</v>
      </c>
      <c r="P371" s="52" t="s">
        <v>2761</v>
      </c>
    </row>
    <row r="372" spans="2:16" x14ac:dyDescent="0.25">
      <c r="B372" s="32">
        <v>360</v>
      </c>
      <c r="C372" s="229" t="s">
        <v>3320</v>
      </c>
      <c r="D372" s="229"/>
      <c r="E372" s="229"/>
      <c r="F372" s="229"/>
      <c r="G372" s="229"/>
      <c r="H372" s="229"/>
      <c r="I372" s="229"/>
      <c r="J372" s="59" t="s">
        <v>3321</v>
      </c>
      <c r="K372" s="46">
        <v>6990000</v>
      </c>
      <c r="L372" s="2">
        <v>44799</v>
      </c>
      <c r="M372" s="32"/>
      <c r="N372" s="32">
        <v>3043388706</v>
      </c>
      <c r="O372" s="51" t="s">
        <v>3322</v>
      </c>
      <c r="P372" s="38" t="s">
        <v>3323</v>
      </c>
    </row>
    <row r="373" spans="2:16" x14ac:dyDescent="0.25">
      <c r="B373" s="32">
        <v>361</v>
      </c>
      <c r="C373" s="229" t="s">
        <v>3324</v>
      </c>
      <c r="D373" s="229"/>
      <c r="E373" s="229"/>
      <c r="F373" s="229"/>
      <c r="G373" s="229"/>
      <c r="H373" s="229"/>
      <c r="I373" s="229"/>
      <c r="J373" s="59" t="s">
        <v>3321</v>
      </c>
      <c r="K373" s="46">
        <v>1990000</v>
      </c>
      <c r="L373" s="2">
        <v>44799</v>
      </c>
      <c r="M373" s="32"/>
      <c r="N373" s="32">
        <v>3043388707</v>
      </c>
      <c r="O373" s="51" t="s">
        <v>3322</v>
      </c>
      <c r="P373" s="38" t="s">
        <v>3323</v>
      </c>
    </row>
    <row r="374" spans="2:16" x14ac:dyDescent="0.25">
      <c r="B374" s="32">
        <v>362</v>
      </c>
      <c r="C374" s="271" t="s">
        <v>3325</v>
      </c>
      <c r="D374" s="272"/>
      <c r="E374" s="272"/>
      <c r="F374" s="272"/>
      <c r="G374" s="272"/>
      <c r="H374" s="272"/>
      <c r="I374" s="272"/>
      <c r="J374" s="59" t="s">
        <v>702</v>
      </c>
      <c r="K374" s="46">
        <v>8970000</v>
      </c>
      <c r="L374" s="2">
        <v>44799</v>
      </c>
      <c r="M374" s="32"/>
      <c r="N374" s="51">
        <v>3104165783</v>
      </c>
      <c r="O374" s="32" t="s">
        <v>2760</v>
      </c>
      <c r="P374" s="52" t="s">
        <v>2761</v>
      </c>
    </row>
    <row r="375" spans="2:16" x14ac:dyDescent="0.25">
      <c r="B375" s="32">
        <v>363</v>
      </c>
      <c r="C375" s="271" t="s">
        <v>3326</v>
      </c>
      <c r="D375" s="272"/>
      <c r="E375" s="272"/>
      <c r="F375" s="272"/>
      <c r="G375" s="272"/>
      <c r="H375" s="272"/>
      <c r="I375" s="272"/>
      <c r="J375" s="59" t="s">
        <v>712</v>
      </c>
      <c r="K375" s="46">
        <v>1250000</v>
      </c>
      <c r="L375" s="2" t="s">
        <v>3327</v>
      </c>
      <c r="M375" s="32"/>
      <c r="N375" s="32">
        <v>3137851941</v>
      </c>
      <c r="O375" s="51" t="s">
        <v>2055</v>
      </c>
      <c r="P375" s="38" t="s">
        <v>713</v>
      </c>
    </row>
    <row r="376" spans="2:16" x14ac:dyDescent="0.25">
      <c r="B376" s="32">
        <v>364</v>
      </c>
      <c r="C376" s="229" t="s">
        <v>3328</v>
      </c>
      <c r="D376" s="229"/>
      <c r="E376" s="229"/>
      <c r="F376" s="229"/>
      <c r="G376" s="229"/>
      <c r="H376" s="229"/>
      <c r="I376" s="229"/>
      <c r="J376" s="59" t="s">
        <v>1139</v>
      </c>
      <c r="K376" s="46">
        <v>3550000</v>
      </c>
      <c r="L376" s="2">
        <v>44802</v>
      </c>
      <c r="M376" s="32" t="s">
        <v>3923</v>
      </c>
      <c r="N376" s="32"/>
      <c r="O376" s="51" t="s">
        <v>3329</v>
      </c>
      <c r="P376" s="38"/>
    </row>
    <row r="377" spans="2:16" x14ac:dyDescent="0.25">
      <c r="B377" s="32">
        <v>365</v>
      </c>
      <c r="C377" s="229" t="s">
        <v>3330</v>
      </c>
      <c r="D377" s="229"/>
      <c r="E377" s="229"/>
      <c r="F377" s="229"/>
      <c r="G377" s="229"/>
      <c r="H377" s="229"/>
      <c r="I377" s="229"/>
      <c r="J377" s="59" t="s">
        <v>3331</v>
      </c>
      <c r="K377" s="46">
        <v>3900000</v>
      </c>
      <c r="L377" s="2">
        <v>44802</v>
      </c>
      <c r="M377" s="32"/>
      <c r="N377" s="32"/>
      <c r="O377" s="51" t="s">
        <v>3332</v>
      </c>
      <c r="P377" s="38" t="s">
        <v>3333</v>
      </c>
    </row>
    <row r="378" spans="2:16" x14ac:dyDescent="0.25">
      <c r="B378" s="32">
        <v>366</v>
      </c>
      <c r="C378" s="271" t="s">
        <v>3334</v>
      </c>
      <c r="D378" s="272"/>
      <c r="E378" s="272"/>
      <c r="F378" s="272"/>
      <c r="G378" s="272"/>
      <c r="H378" s="272"/>
      <c r="I378" s="272"/>
      <c r="J378" s="59" t="s">
        <v>3335</v>
      </c>
      <c r="K378" s="46">
        <v>4950000</v>
      </c>
      <c r="L378" s="2">
        <v>44802</v>
      </c>
      <c r="M378" s="32"/>
      <c r="N378" s="32"/>
      <c r="O378" s="51" t="s">
        <v>2269</v>
      </c>
      <c r="P378" s="38" t="s">
        <v>2270</v>
      </c>
    </row>
    <row r="379" spans="2:16" x14ac:dyDescent="0.25">
      <c r="B379" s="32">
        <v>367</v>
      </c>
      <c r="C379" s="229" t="s">
        <v>3336</v>
      </c>
      <c r="D379" s="229"/>
      <c r="E379" s="229"/>
      <c r="F379" s="229"/>
      <c r="G379" s="229"/>
      <c r="H379" s="229"/>
      <c r="I379" s="229"/>
      <c r="J379" s="59" t="s">
        <v>1480</v>
      </c>
      <c r="K379" s="46">
        <v>12950000</v>
      </c>
      <c r="L379" s="2">
        <v>44803</v>
      </c>
      <c r="M379" s="32"/>
      <c r="N379" s="32" t="s">
        <v>3337</v>
      </c>
      <c r="O379" s="51" t="s">
        <v>3338</v>
      </c>
      <c r="P379" s="38" t="s">
        <v>3339</v>
      </c>
    </row>
    <row r="380" spans="2:16" x14ac:dyDescent="0.25">
      <c r="B380" s="32">
        <v>368</v>
      </c>
      <c r="C380" s="229" t="s">
        <v>3340</v>
      </c>
      <c r="D380" s="229"/>
      <c r="E380" s="229"/>
      <c r="F380" s="229"/>
      <c r="G380" s="229"/>
      <c r="H380" s="229"/>
      <c r="I380" s="229"/>
      <c r="J380" s="59" t="s">
        <v>702</v>
      </c>
      <c r="K380" s="46">
        <v>1690000</v>
      </c>
      <c r="L380" s="2">
        <v>44803</v>
      </c>
      <c r="M380" s="32"/>
      <c r="N380" s="32">
        <v>3207253060</v>
      </c>
      <c r="O380" s="51" t="s">
        <v>3341</v>
      </c>
      <c r="P380" s="38" t="s">
        <v>3342</v>
      </c>
    </row>
    <row r="381" spans="2:16" x14ac:dyDescent="0.25">
      <c r="B381" s="32">
        <v>369</v>
      </c>
      <c r="C381" s="229" t="s">
        <v>3343</v>
      </c>
      <c r="D381" s="229"/>
      <c r="E381" s="229"/>
      <c r="F381" s="229"/>
      <c r="G381" s="229"/>
      <c r="H381" s="229"/>
      <c r="I381" s="229"/>
      <c r="J381" s="59" t="s">
        <v>1804</v>
      </c>
      <c r="K381" s="46">
        <v>17990000</v>
      </c>
      <c r="L381" s="2">
        <v>44805</v>
      </c>
      <c r="M381" s="32" t="s">
        <v>3923</v>
      </c>
      <c r="N381" s="32"/>
      <c r="O381" s="51"/>
      <c r="P381" s="38"/>
    </row>
    <row r="382" spans="2:16" x14ac:dyDescent="0.25">
      <c r="B382" s="32">
        <v>370</v>
      </c>
      <c r="C382" s="229" t="s">
        <v>3344</v>
      </c>
      <c r="D382" s="229"/>
      <c r="E382" s="229"/>
      <c r="F382" s="229"/>
      <c r="G382" s="229"/>
      <c r="H382" s="229"/>
      <c r="I382" s="229"/>
      <c r="J382" s="59" t="s">
        <v>3345</v>
      </c>
      <c r="K382" s="46">
        <v>5960000</v>
      </c>
      <c r="L382" s="2">
        <v>44805</v>
      </c>
      <c r="M382" s="32"/>
      <c r="N382" s="32"/>
      <c r="O382" s="51" t="s">
        <v>2390</v>
      </c>
      <c r="P382" s="38" t="s">
        <v>990</v>
      </c>
    </row>
    <row r="383" spans="2:16" x14ac:dyDescent="0.25">
      <c r="B383" s="32">
        <v>371</v>
      </c>
      <c r="C383" s="229" t="s">
        <v>3346</v>
      </c>
      <c r="D383" s="229"/>
      <c r="E383" s="229"/>
      <c r="F383" s="229"/>
      <c r="G383" s="229"/>
      <c r="H383" s="229"/>
      <c r="I383" s="229"/>
      <c r="J383" s="59" t="s">
        <v>3345</v>
      </c>
      <c r="K383" s="46">
        <v>20990000</v>
      </c>
      <c r="L383" s="2">
        <v>44805</v>
      </c>
      <c r="M383" s="32" t="s">
        <v>3923</v>
      </c>
      <c r="N383" s="32"/>
      <c r="O383" s="51" t="s">
        <v>2390</v>
      </c>
      <c r="P383" s="38" t="s">
        <v>990</v>
      </c>
    </row>
    <row r="384" spans="2:16" x14ac:dyDescent="0.25">
      <c r="B384" s="32">
        <v>372</v>
      </c>
      <c r="C384" s="229" t="s">
        <v>3347</v>
      </c>
      <c r="D384" s="229"/>
      <c r="E384" s="229"/>
      <c r="F384" s="229"/>
      <c r="G384" s="229"/>
      <c r="H384" s="229"/>
      <c r="I384" s="229"/>
      <c r="J384" s="59" t="s">
        <v>2445</v>
      </c>
      <c r="K384" s="46">
        <v>25950000</v>
      </c>
      <c r="L384" s="2">
        <v>44690</v>
      </c>
      <c r="M384" s="32" t="s">
        <v>3923</v>
      </c>
      <c r="N384" s="32" t="s">
        <v>3348</v>
      </c>
      <c r="O384" s="51" t="s">
        <v>3349</v>
      </c>
      <c r="P384" s="38" t="s">
        <v>3350</v>
      </c>
    </row>
    <row r="385" spans="2:16" x14ac:dyDescent="0.25">
      <c r="B385" s="32">
        <v>373</v>
      </c>
      <c r="C385" s="229" t="s">
        <v>3347</v>
      </c>
      <c r="D385" s="229"/>
      <c r="E385" s="229"/>
      <c r="F385" s="229"/>
      <c r="G385" s="229"/>
      <c r="H385" s="229"/>
      <c r="I385" s="229"/>
      <c r="J385" s="59" t="s">
        <v>2445</v>
      </c>
      <c r="K385" s="46">
        <v>25950000</v>
      </c>
      <c r="L385" s="2">
        <v>44809</v>
      </c>
      <c r="M385" s="32"/>
      <c r="N385" s="32" t="s">
        <v>3348</v>
      </c>
      <c r="O385" s="51" t="s">
        <v>3349</v>
      </c>
      <c r="P385" s="38" t="s">
        <v>3350</v>
      </c>
    </row>
    <row r="386" spans="2:16" x14ac:dyDescent="0.25">
      <c r="B386" s="32">
        <v>374</v>
      </c>
      <c r="C386" s="229" t="s">
        <v>3351</v>
      </c>
      <c r="D386" s="229"/>
      <c r="E386" s="229"/>
      <c r="F386" s="229"/>
      <c r="G386" s="229"/>
      <c r="H386" s="229"/>
      <c r="I386" s="229"/>
      <c r="J386" s="59" t="s">
        <v>3352</v>
      </c>
      <c r="K386" s="46" t="s">
        <v>2492</v>
      </c>
      <c r="L386" s="2">
        <v>44809</v>
      </c>
      <c r="M386" s="32"/>
      <c r="N386" s="32">
        <v>3105178936</v>
      </c>
      <c r="O386" s="51" t="s">
        <v>3353</v>
      </c>
      <c r="P386" s="38" t="s">
        <v>3354</v>
      </c>
    </row>
    <row r="387" spans="2:16" x14ac:dyDescent="0.25">
      <c r="B387" s="32">
        <v>375</v>
      </c>
      <c r="C387" s="229" t="s">
        <v>3355</v>
      </c>
      <c r="D387" s="229"/>
      <c r="E387" s="229"/>
      <c r="F387" s="229"/>
      <c r="G387" s="229"/>
      <c r="H387" s="229"/>
      <c r="I387" s="229"/>
      <c r="J387" s="59" t="s">
        <v>3269</v>
      </c>
      <c r="K387" s="46">
        <v>27550000</v>
      </c>
      <c r="L387" s="2">
        <v>44809</v>
      </c>
      <c r="M387" s="32"/>
      <c r="N387" s="32" t="s">
        <v>3270</v>
      </c>
      <c r="O387" s="51" t="s">
        <v>646</v>
      </c>
      <c r="P387" s="38" t="s">
        <v>3271</v>
      </c>
    </row>
    <row r="388" spans="2:16" x14ac:dyDescent="0.25">
      <c r="B388" s="32">
        <v>376</v>
      </c>
      <c r="C388" s="263" t="s">
        <v>3356</v>
      </c>
      <c r="D388" s="229"/>
      <c r="E388" s="229"/>
      <c r="F388" s="229"/>
      <c r="G388" s="229"/>
      <c r="H388" s="229"/>
      <c r="I388" s="229"/>
      <c r="J388" s="59" t="s">
        <v>2838</v>
      </c>
      <c r="K388" s="46">
        <v>1880000</v>
      </c>
      <c r="L388" s="2">
        <v>44809</v>
      </c>
      <c r="M388" s="32"/>
      <c r="N388" s="32"/>
      <c r="O388" s="51" t="s">
        <v>3357</v>
      </c>
      <c r="P388" s="38"/>
    </row>
    <row r="389" spans="2:16" x14ac:dyDescent="0.25">
      <c r="B389" s="32">
        <v>377</v>
      </c>
      <c r="C389" s="272" t="s">
        <v>3358</v>
      </c>
      <c r="D389" s="272"/>
      <c r="E389" s="272"/>
      <c r="F389" s="272"/>
      <c r="G389" s="272"/>
      <c r="H389" s="272"/>
      <c r="I389" s="272"/>
      <c r="J389" s="59" t="s">
        <v>702</v>
      </c>
      <c r="K389" s="46">
        <v>1880000</v>
      </c>
      <c r="L389" s="2">
        <v>44810</v>
      </c>
      <c r="M389" s="2"/>
      <c r="N389" s="32">
        <v>3137546144</v>
      </c>
      <c r="O389" s="51" t="s">
        <v>229</v>
      </c>
      <c r="P389" s="52" t="s">
        <v>2504</v>
      </c>
    </row>
    <row r="390" spans="2:16" x14ac:dyDescent="0.25">
      <c r="B390" s="32">
        <v>378</v>
      </c>
      <c r="C390" s="229" t="s">
        <v>3359</v>
      </c>
      <c r="D390" s="229"/>
      <c r="E390" s="229"/>
      <c r="F390" s="229"/>
      <c r="G390" s="229"/>
      <c r="H390" s="229"/>
      <c r="I390" s="229"/>
      <c r="J390" s="59" t="s">
        <v>702</v>
      </c>
      <c r="K390" s="46">
        <v>1750000</v>
      </c>
      <c r="L390" s="2">
        <v>44810</v>
      </c>
      <c r="M390" s="2" t="s">
        <v>3923</v>
      </c>
      <c r="N390" s="51">
        <v>3104165783</v>
      </c>
      <c r="O390" s="32" t="s">
        <v>2760</v>
      </c>
      <c r="P390" s="52" t="s">
        <v>2761</v>
      </c>
    </row>
    <row r="391" spans="2:16" x14ac:dyDescent="0.25">
      <c r="B391" s="32">
        <v>379</v>
      </c>
      <c r="C391" s="229" t="s">
        <v>3360</v>
      </c>
      <c r="D391" s="229"/>
      <c r="E391" s="229"/>
      <c r="F391" s="229"/>
      <c r="G391" s="229"/>
      <c r="H391" s="229"/>
      <c r="I391" s="229"/>
      <c r="J391" s="59" t="s">
        <v>702</v>
      </c>
      <c r="K391" s="46">
        <v>6400000</v>
      </c>
      <c r="L391" s="2">
        <v>44810</v>
      </c>
      <c r="M391" s="32"/>
      <c r="N391" s="32">
        <v>3137546144</v>
      </c>
      <c r="O391" s="51" t="s">
        <v>229</v>
      </c>
      <c r="P391" s="52" t="s">
        <v>2504</v>
      </c>
    </row>
    <row r="392" spans="2:16" x14ac:dyDescent="0.25">
      <c r="B392" s="32">
        <v>380</v>
      </c>
      <c r="C392" s="229" t="s">
        <v>3361</v>
      </c>
      <c r="D392" s="229"/>
      <c r="E392" s="229"/>
      <c r="F392" s="229"/>
      <c r="G392" s="229"/>
      <c r="H392" s="229"/>
      <c r="I392" s="229"/>
      <c r="J392" s="59" t="s">
        <v>702</v>
      </c>
      <c r="K392" s="46">
        <v>1600000</v>
      </c>
      <c r="L392" s="2">
        <v>44812</v>
      </c>
      <c r="M392" s="32" t="s">
        <v>3923</v>
      </c>
      <c r="N392" s="32">
        <v>3229057649</v>
      </c>
      <c r="O392" s="51" t="s">
        <v>3362</v>
      </c>
      <c r="P392" s="38" t="s">
        <v>3363</v>
      </c>
    </row>
    <row r="393" spans="2:16" x14ac:dyDescent="0.25">
      <c r="B393" s="32">
        <v>381</v>
      </c>
      <c r="C393" s="229" t="s">
        <v>3364</v>
      </c>
      <c r="D393" s="229"/>
      <c r="E393" s="229"/>
      <c r="F393" s="229"/>
      <c r="G393" s="229"/>
      <c r="H393" s="229"/>
      <c r="I393" s="229"/>
      <c r="J393" s="59" t="s">
        <v>3365</v>
      </c>
      <c r="K393" s="46" t="s">
        <v>2492</v>
      </c>
      <c r="L393" s="2">
        <v>44812</v>
      </c>
      <c r="M393" s="32"/>
      <c r="N393" s="32" t="s">
        <v>3366</v>
      </c>
      <c r="O393" s="51" t="s">
        <v>3367</v>
      </c>
      <c r="P393" s="38" t="s">
        <v>3368</v>
      </c>
    </row>
    <row r="394" spans="2:16" x14ac:dyDescent="0.25">
      <c r="B394" s="32">
        <v>382</v>
      </c>
      <c r="C394" s="229" t="s">
        <v>3369</v>
      </c>
      <c r="D394" s="229"/>
      <c r="E394" s="229"/>
      <c r="F394" s="229"/>
      <c r="G394" s="229"/>
      <c r="H394" s="229"/>
      <c r="I394" s="229"/>
      <c r="J394" s="59" t="s">
        <v>1218</v>
      </c>
      <c r="K394" s="46">
        <v>2550000</v>
      </c>
      <c r="L394" s="2">
        <v>44812</v>
      </c>
      <c r="M394" s="32"/>
      <c r="N394" s="32"/>
      <c r="O394" s="51" t="s">
        <v>2042</v>
      </c>
      <c r="P394" s="38" t="s">
        <v>2043</v>
      </c>
    </row>
    <row r="395" spans="2:16" x14ac:dyDescent="0.25">
      <c r="B395" s="32">
        <v>383</v>
      </c>
      <c r="C395" s="229" t="s">
        <v>3370</v>
      </c>
      <c r="D395" s="229"/>
      <c r="E395" s="229"/>
      <c r="F395" s="229"/>
      <c r="G395" s="229"/>
      <c r="H395" s="229"/>
      <c r="I395" s="229"/>
      <c r="J395" s="59" t="s">
        <v>3371</v>
      </c>
      <c r="K395" s="46">
        <v>15800000</v>
      </c>
      <c r="L395" s="2">
        <v>44812</v>
      </c>
      <c r="M395" s="32"/>
      <c r="N395" s="83" t="s">
        <v>3372</v>
      </c>
      <c r="O395" s="51" t="s">
        <v>3373</v>
      </c>
      <c r="P395" s="38" t="s">
        <v>3374</v>
      </c>
    </row>
    <row r="396" spans="2:16" ht="15" customHeight="1" x14ac:dyDescent="0.25">
      <c r="B396" s="32">
        <v>384</v>
      </c>
      <c r="C396" s="229" t="s">
        <v>3375</v>
      </c>
      <c r="D396" s="229"/>
      <c r="E396" s="229"/>
      <c r="F396" s="229"/>
      <c r="G396" s="229"/>
      <c r="H396" s="229"/>
      <c r="I396" s="229"/>
      <c r="J396" s="59" t="s">
        <v>2664</v>
      </c>
      <c r="K396" s="46">
        <v>15990000</v>
      </c>
      <c r="L396" s="2">
        <v>44812</v>
      </c>
      <c r="M396" s="32"/>
      <c r="N396" s="32" t="s">
        <v>3376</v>
      </c>
      <c r="O396" s="51" t="s">
        <v>3377</v>
      </c>
      <c r="P396" s="38" t="s">
        <v>3378</v>
      </c>
    </row>
    <row r="397" spans="2:16" x14ac:dyDescent="0.25">
      <c r="B397" s="32">
        <v>385</v>
      </c>
      <c r="C397" s="272" t="s">
        <v>3379</v>
      </c>
      <c r="D397" s="272"/>
      <c r="E397" s="272"/>
      <c r="F397" s="272"/>
      <c r="G397" s="272"/>
      <c r="H397" s="272"/>
      <c r="I397" s="272"/>
      <c r="J397" s="59" t="s">
        <v>2664</v>
      </c>
      <c r="K397" s="46">
        <v>19940000</v>
      </c>
      <c r="L397" s="2">
        <v>44812</v>
      </c>
      <c r="M397" s="32"/>
      <c r="N397" s="32" t="s">
        <v>3376</v>
      </c>
      <c r="O397" s="51" t="s">
        <v>3377</v>
      </c>
      <c r="P397" s="38" t="s">
        <v>3378</v>
      </c>
    </row>
    <row r="398" spans="2:16" x14ac:dyDescent="0.25">
      <c r="B398" s="32">
        <v>386</v>
      </c>
      <c r="C398" s="229" t="s">
        <v>3380</v>
      </c>
      <c r="D398" s="229"/>
      <c r="E398" s="229"/>
      <c r="F398" s="229"/>
      <c r="G398" s="229"/>
      <c r="H398" s="229"/>
      <c r="I398" s="229"/>
      <c r="J398" s="59" t="s">
        <v>747</v>
      </c>
      <c r="K398" s="46">
        <v>1000000</v>
      </c>
      <c r="L398" s="2">
        <v>44812</v>
      </c>
      <c r="M398" s="32" t="s">
        <v>3923</v>
      </c>
      <c r="N398" s="32">
        <v>3175594091</v>
      </c>
      <c r="O398" s="32" t="s">
        <v>496</v>
      </c>
      <c r="P398" s="38" t="s">
        <v>748</v>
      </c>
    </row>
    <row r="399" spans="2:16" x14ac:dyDescent="0.25">
      <c r="B399" s="32">
        <v>387</v>
      </c>
      <c r="C399" s="229" t="s">
        <v>3381</v>
      </c>
      <c r="D399" s="229"/>
      <c r="E399" s="229"/>
      <c r="F399" s="229"/>
      <c r="G399" s="229"/>
      <c r="H399" s="229"/>
      <c r="I399" s="229"/>
      <c r="J399" s="59" t="s">
        <v>890</v>
      </c>
      <c r="K399" s="46">
        <v>9990000</v>
      </c>
      <c r="L399" s="2">
        <v>44813</v>
      </c>
      <c r="M399" s="32"/>
      <c r="N399" s="32"/>
      <c r="O399" s="51" t="s">
        <v>2390</v>
      </c>
      <c r="P399" s="38" t="s">
        <v>990</v>
      </c>
    </row>
    <row r="400" spans="2:16" x14ac:dyDescent="0.25">
      <c r="B400" s="32">
        <v>388</v>
      </c>
      <c r="C400" s="272" t="s">
        <v>3382</v>
      </c>
      <c r="D400" s="272"/>
      <c r="E400" s="272"/>
      <c r="F400" s="272"/>
      <c r="G400" s="272"/>
      <c r="H400" s="272"/>
      <c r="I400" s="272"/>
      <c r="J400" s="59" t="s">
        <v>805</v>
      </c>
      <c r="K400" s="46">
        <v>14950000</v>
      </c>
      <c r="L400" s="2">
        <v>44813</v>
      </c>
      <c r="M400" s="32"/>
      <c r="N400" s="32" t="s">
        <v>1405</v>
      </c>
      <c r="O400" s="51" t="s">
        <v>639</v>
      </c>
      <c r="P400" s="52" t="s">
        <v>1326</v>
      </c>
    </row>
    <row r="401" spans="2:16" x14ac:dyDescent="0.25">
      <c r="B401" s="32">
        <v>389</v>
      </c>
      <c r="C401" s="229" t="s">
        <v>3383</v>
      </c>
      <c r="D401" s="229"/>
      <c r="E401" s="229"/>
      <c r="F401" s="229"/>
      <c r="G401" s="229"/>
      <c r="H401" s="229"/>
      <c r="I401" s="229"/>
      <c r="J401" s="59" t="s">
        <v>3384</v>
      </c>
      <c r="K401" s="46">
        <v>6950000</v>
      </c>
      <c r="L401" s="2">
        <v>44813</v>
      </c>
      <c r="M401" s="32" t="s">
        <v>3923</v>
      </c>
      <c r="N401" s="32"/>
      <c r="O401" s="51" t="s">
        <v>3385</v>
      </c>
      <c r="P401" s="38" t="s">
        <v>3386</v>
      </c>
    </row>
    <row r="402" spans="2:16" x14ac:dyDescent="0.25">
      <c r="B402" s="32">
        <v>390</v>
      </c>
      <c r="C402" s="229" t="s">
        <v>3387</v>
      </c>
      <c r="D402" s="229"/>
      <c r="E402" s="229"/>
      <c r="F402" s="229"/>
      <c r="G402" s="229"/>
      <c r="H402" s="229"/>
      <c r="I402" s="229"/>
      <c r="J402" s="59" t="s">
        <v>702</v>
      </c>
      <c r="K402" s="46">
        <v>25490000</v>
      </c>
      <c r="L402" s="2">
        <v>44818</v>
      </c>
      <c r="M402" s="32"/>
      <c r="N402" s="51">
        <v>3104165783</v>
      </c>
      <c r="O402" s="32" t="s">
        <v>2760</v>
      </c>
      <c r="P402" s="52" t="s">
        <v>2761</v>
      </c>
    </row>
    <row r="403" spans="2:16" x14ac:dyDescent="0.25">
      <c r="B403" s="32">
        <v>391</v>
      </c>
      <c r="C403" s="229" t="s">
        <v>3388</v>
      </c>
      <c r="D403" s="229"/>
      <c r="E403" s="229"/>
      <c r="F403" s="229"/>
      <c r="G403" s="229"/>
      <c r="H403" s="229"/>
      <c r="I403" s="229"/>
      <c r="J403" s="59" t="s">
        <v>702</v>
      </c>
      <c r="K403" s="46">
        <v>14380000</v>
      </c>
      <c r="L403" s="2">
        <v>44818</v>
      </c>
      <c r="M403" s="32"/>
      <c r="N403" s="51">
        <v>3104165783</v>
      </c>
      <c r="O403" s="32" t="s">
        <v>2760</v>
      </c>
      <c r="P403" s="52" t="s">
        <v>2761</v>
      </c>
    </row>
    <row r="404" spans="2:16" x14ac:dyDescent="0.25">
      <c r="B404" s="32">
        <v>392</v>
      </c>
      <c r="C404" s="229" t="s">
        <v>3389</v>
      </c>
      <c r="D404" s="229"/>
      <c r="E404" s="229"/>
      <c r="F404" s="229"/>
      <c r="G404" s="229"/>
      <c r="H404" s="229"/>
      <c r="I404" s="229"/>
      <c r="J404" s="59" t="s">
        <v>3390</v>
      </c>
      <c r="K404" s="46">
        <v>9970000</v>
      </c>
      <c r="L404" s="2">
        <v>44823</v>
      </c>
      <c r="M404" s="32"/>
      <c r="N404" s="32" t="s">
        <v>3391</v>
      </c>
      <c r="O404" s="51" t="s">
        <v>3392</v>
      </c>
      <c r="P404" s="38"/>
    </row>
    <row r="405" spans="2:16" x14ac:dyDescent="0.25">
      <c r="B405" s="32">
        <v>393</v>
      </c>
      <c r="C405" s="229" t="s">
        <v>3393</v>
      </c>
      <c r="D405" s="229"/>
      <c r="E405" s="229"/>
      <c r="F405" s="229"/>
      <c r="G405" s="229"/>
      <c r="H405" s="229"/>
      <c r="I405" s="229"/>
      <c r="J405" s="59" t="s">
        <v>2625</v>
      </c>
      <c r="K405" s="46">
        <v>15930000</v>
      </c>
      <c r="L405" s="2">
        <v>44586</v>
      </c>
      <c r="M405" s="32"/>
      <c r="N405" s="32">
        <v>3113079477</v>
      </c>
      <c r="O405" s="51" t="s">
        <v>2626</v>
      </c>
      <c r="P405" s="52" t="s">
        <v>1899</v>
      </c>
    </row>
    <row r="406" spans="2:16" x14ac:dyDescent="0.25">
      <c r="B406" s="32">
        <v>394</v>
      </c>
      <c r="C406" s="229" t="s">
        <v>3394</v>
      </c>
      <c r="D406" s="229"/>
      <c r="E406" s="229"/>
      <c r="F406" s="229"/>
      <c r="G406" s="229"/>
      <c r="H406" s="229"/>
      <c r="I406" s="229"/>
      <c r="J406" s="71" t="s">
        <v>2204</v>
      </c>
      <c r="K406" s="56">
        <v>5500000</v>
      </c>
      <c r="L406" s="2">
        <v>44824</v>
      </c>
      <c r="M406" s="32"/>
      <c r="N406" s="32">
        <v>3126658022</v>
      </c>
      <c r="O406" s="51" t="s">
        <v>2240</v>
      </c>
      <c r="P406" s="52" t="s">
        <v>2241</v>
      </c>
    </row>
    <row r="407" spans="2:16" ht="15" customHeight="1" x14ac:dyDescent="0.25">
      <c r="B407" s="32">
        <v>395</v>
      </c>
      <c r="C407" s="229" t="s">
        <v>3395</v>
      </c>
      <c r="D407" s="229"/>
      <c r="E407" s="229"/>
      <c r="F407" s="229"/>
      <c r="G407" s="229"/>
      <c r="H407" s="229"/>
      <c r="I407" s="229"/>
      <c r="J407" s="59" t="s">
        <v>3396</v>
      </c>
      <c r="K407" s="46">
        <v>6950000</v>
      </c>
      <c r="L407" s="2">
        <v>44824</v>
      </c>
      <c r="M407" s="32"/>
      <c r="N407" s="32">
        <v>3174008840</v>
      </c>
      <c r="O407" s="51" t="s">
        <v>3397</v>
      </c>
      <c r="P407" s="38" t="s">
        <v>3398</v>
      </c>
    </row>
    <row r="408" spans="2:16" x14ac:dyDescent="0.25">
      <c r="B408" s="32">
        <v>396</v>
      </c>
      <c r="C408" s="229" t="s">
        <v>3399</v>
      </c>
      <c r="D408" s="229"/>
      <c r="E408" s="229"/>
      <c r="F408" s="229"/>
      <c r="G408" s="229"/>
      <c r="H408" s="229"/>
      <c r="I408" s="229"/>
      <c r="J408" s="59"/>
      <c r="K408" s="46">
        <v>14900000</v>
      </c>
      <c r="L408" s="2" t="s">
        <v>3400</v>
      </c>
      <c r="M408" s="32"/>
      <c r="N408" s="32">
        <v>4483960</v>
      </c>
      <c r="O408" s="78" t="s">
        <v>2353</v>
      </c>
      <c r="P408" s="52" t="s">
        <v>1806</v>
      </c>
    </row>
    <row r="409" spans="2:16" x14ac:dyDescent="0.25">
      <c r="B409" s="32">
        <v>397</v>
      </c>
      <c r="C409" s="271" t="s">
        <v>3401</v>
      </c>
      <c r="D409" s="272"/>
      <c r="E409" s="272"/>
      <c r="F409" s="272"/>
      <c r="G409" s="272"/>
      <c r="H409" s="272"/>
      <c r="I409" s="272"/>
      <c r="J409" s="59" t="s">
        <v>3269</v>
      </c>
      <c r="K409" s="46">
        <v>6750000</v>
      </c>
      <c r="L409" s="2">
        <v>44825</v>
      </c>
      <c r="M409" s="32"/>
      <c r="N409" s="32" t="s">
        <v>3270</v>
      </c>
      <c r="O409" s="51" t="s">
        <v>646</v>
      </c>
      <c r="P409" s="38" t="s">
        <v>3274</v>
      </c>
    </row>
    <row r="410" spans="2:16" x14ac:dyDescent="0.25">
      <c r="B410" s="32">
        <v>398</v>
      </c>
      <c r="C410" s="271" t="s">
        <v>3403</v>
      </c>
      <c r="D410" s="272"/>
      <c r="E410" s="272"/>
      <c r="F410" s="272"/>
      <c r="G410" s="272"/>
      <c r="H410" s="272"/>
      <c r="I410" s="272"/>
      <c r="J410" s="59" t="s">
        <v>851</v>
      </c>
      <c r="K410" s="1">
        <v>3750000</v>
      </c>
      <c r="L410" s="2">
        <v>44826</v>
      </c>
      <c r="M410" s="32"/>
      <c r="N410" s="32">
        <v>3014111727</v>
      </c>
      <c r="O410" s="51" t="s">
        <v>3402</v>
      </c>
      <c r="P410" s="38" t="s">
        <v>2235</v>
      </c>
    </row>
    <row r="411" spans="2:16" x14ac:dyDescent="0.25">
      <c r="B411" s="32">
        <v>399</v>
      </c>
      <c r="C411" s="229" t="s">
        <v>3409</v>
      </c>
      <c r="D411" s="229"/>
      <c r="E411" s="229"/>
      <c r="F411" s="229"/>
      <c r="G411" s="229"/>
      <c r="H411" s="229"/>
      <c r="I411" s="229"/>
      <c r="J411" s="59" t="s">
        <v>3269</v>
      </c>
      <c r="K411" s="1">
        <v>5990000</v>
      </c>
      <c r="L411" s="2">
        <v>44830</v>
      </c>
      <c r="M411" s="32"/>
      <c r="N411" s="32" t="s">
        <v>3270</v>
      </c>
      <c r="O411" s="51" t="s">
        <v>646</v>
      </c>
      <c r="P411" s="38" t="s">
        <v>3274</v>
      </c>
    </row>
    <row r="412" spans="2:16" x14ac:dyDescent="0.25">
      <c r="B412" s="32">
        <v>400</v>
      </c>
      <c r="C412" s="229" t="s">
        <v>3408</v>
      </c>
      <c r="D412" s="229"/>
      <c r="E412" s="229"/>
      <c r="F412" s="229"/>
      <c r="G412" s="229"/>
      <c r="H412" s="229"/>
      <c r="I412" s="229"/>
      <c r="J412" s="59" t="s">
        <v>3407</v>
      </c>
      <c r="K412" s="1">
        <v>15990000</v>
      </c>
      <c r="L412" s="2">
        <v>44839</v>
      </c>
      <c r="M412" s="32"/>
      <c r="N412" s="32" t="s">
        <v>3404</v>
      </c>
      <c r="O412" s="51" t="s">
        <v>3405</v>
      </c>
      <c r="P412" s="38" t="s">
        <v>3406</v>
      </c>
    </row>
    <row r="413" spans="2:16" x14ac:dyDescent="0.25">
      <c r="B413" s="32">
        <v>401</v>
      </c>
      <c r="C413" s="229" t="s">
        <v>3410</v>
      </c>
      <c r="D413" s="229"/>
      <c r="E413" s="229"/>
      <c r="F413" s="229"/>
      <c r="G413" s="229"/>
      <c r="H413" s="229"/>
      <c r="I413" s="229"/>
      <c r="J413" s="59" t="s">
        <v>3269</v>
      </c>
      <c r="K413" s="1">
        <v>4990000</v>
      </c>
      <c r="L413" s="2">
        <v>44830</v>
      </c>
      <c r="M413" s="32"/>
      <c r="N413" s="32" t="s">
        <v>3270</v>
      </c>
      <c r="O413" s="51" t="s">
        <v>646</v>
      </c>
      <c r="P413" s="38" t="s">
        <v>3274</v>
      </c>
    </row>
    <row r="414" spans="2:16" x14ac:dyDescent="0.25">
      <c r="B414" s="32">
        <v>402</v>
      </c>
      <c r="C414" s="272" t="s">
        <v>3411</v>
      </c>
      <c r="D414" s="272"/>
      <c r="E414" s="272"/>
      <c r="F414" s="272"/>
      <c r="G414" s="272"/>
      <c r="H414" s="272"/>
      <c r="I414" s="272"/>
      <c r="J414" s="59" t="s">
        <v>3335</v>
      </c>
      <c r="K414" s="1">
        <v>7850000</v>
      </c>
      <c r="L414" s="2">
        <v>44831</v>
      </c>
      <c r="M414" s="32"/>
      <c r="N414" s="32"/>
      <c r="O414" s="51" t="s">
        <v>2269</v>
      </c>
      <c r="P414" s="38" t="s">
        <v>2270</v>
      </c>
    </row>
    <row r="415" spans="2:16" x14ac:dyDescent="0.25">
      <c r="B415" s="32">
        <v>403</v>
      </c>
      <c r="C415" s="271" t="s">
        <v>3415</v>
      </c>
      <c r="D415" s="272"/>
      <c r="E415" s="272"/>
      <c r="F415" s="272"/>
      <c r="G415" s="272"/>
      <c r="H415" s="272"/>
      <c r="I415" s="272"/>
      <c r="J415" s="59" t="s">
        <v>3412</v>
      </c>
      <c r="K415" s="1">
        <v>24500000</v>
      </c>
      <c r="L415" s="2">
        <v>44831</v>
      </c>
      <c r="M415" s="32"/>
      <c r="N415" s="32"/>
      <c r="O415" s="51" t="s">
        <v>3413</v>
      </c>
      <c r="P415" s="52" t="s">
        <v>3414</v>
      </c>
    </row>
    <row r="416" spans="2:16" x14ac:dyDescent="0.25">
      <c r="B416" s="32">
        <v>404</v>
      </c>
      <c r="C416" s="229" t="s">
        <v>3417</v>
      </c>
      <c r="D416" s="229"/>
      <c r="E416" s="229"/>
      <c r="F416" s="229"/>
      <c r="G416" s="229"/>
      <c r="H416" s="229"/>
      <c r="I416" s="229"/>
      <c r="J416" s="59" t="s">
        <v>3396</v>
      </c>
      <c r="K416" s="46">
        <v>1000000</v>
      </c>
      <c r="L416" s="2">
        <v>44831</v>
      </c>
      <c r="M416" s="32" t="s">
        <v>3923</v>
      </c>
      <c r="N416" s="32">
        <v>3174008840</v>
      </c>
      <c r="O416" s="51" t="s">
        <v>3416</v>
      </c>
      <c r="P416" s="38" t="s">
        <v>3398</v>
      </c>
    </row>
    <row r="417" spans="2:16" x14ac:dyDescent="0.25">
      <c r="B417" s="32">
        <v>405</v>
      </c>
      <c r="C417" s="229" t="s">
        <v>3418</v>
      </c>
      <c r="D417" s="229"/>
      <c r="E417" s="229"/>
      <c r="F417" s="229"/>
      <c r="G417" s="229"/>
      <c r="H417" s="229"/>
      <c r="I417" s="229"/>
      <c r="J417" s="59" t="s">
        <v>2593</v>
      </c>
      <c r="K417" s="1" t="s">
        <v>3448</v>
      </c>
      <c r="L417" s="2">
        <v>44831</v>
      </c>
      <c r="M417" s="32" t="s">
        <v>3923</v>
      </c>
      <c r="N417" s="32" t="s">
        <v>2832</v>
      </c>
      <c r="O417" s="51" t="s">
        <v>2833</v>
      </c>
      <c r="P417" s="38" t="s">
        <v>2834</v>
      </c>
    </row>
    <row r="418" spans="2:16" x14ac:dyDescent="0.25">
      <c r="B418" s="32">
        <v>406</v>
      </c>
      <c r="C418" s="229" t="s">
        <v>3421</v>
      </c>
      <c r="D418" s="229"/>
      <c r="E418" s="229"/>
      <c r="F418" s="229"/>
      <c r="G418" s="229"/>
      <c r="H418" s="229"/>
      <c r="I418" s="229"/>
      <c r="J418" s="59" t="s">
        <v>3078</v>
      </c>
      <c r="K418" s="1">
        <v>4610000</v>
      </c>
      <c r="L418" s="2">
        <v>44846</v>
      </c>
      <c r="M418" s="32"/>
      <c r="N418" s="32">
        <v>2662277</v>
      </c>
      <c r="O418" s="51" t="s">
        <v>3419</v>
      </c>
      <c r="P418" s="38" t="s">
        <v>3420</v>
      </c>
    </row>
    <row r="419" spans="2:16" x14ac:dyDescent="0.25">
      <c r="B419" s="32">
        <v>407</v>
      </c>
      <c r="C419" s="229" t="s">
        <v>3422</v>
      </c>
      <c r="D419" s="229"/>
      <c r="E419" s="229"/>
      <c r="F419" s="229"/>
      <c r="G419" s="229"/>
      <c r="H419" s="229"/>
      <c r="I419" s="229"/>
      <c r="J419" s="59" t="s">
        <v>3078</v>
      </c>
      <c r="K419" s="1">
        <v>17950000</v>
      </c>
      <c r="L419" s="2">
        <v>44846</v>
      </c>
      <c r="M419" s="32"/>
      <c r="N419" s="32">
        <v>2662277</v>
      </c>
      <c r="O419" s="51" t="s">
        <v>3419</v>
      </c>
      <c r="P419" s="38" t="s">
        <v>3420</v>
      </c>
    </row>
    <row r="420" spans="2:16" x14ac:dyDescent="0.25">
      <c r="B420" s="32">
        <v>408</v>
      </c>
      <c r="C420" s="229" t="s">
        <v>3423</v>
      </c>
      <c r="D420" s="229"/>
      <c r="E420" s="229"/>
      <c r="F420" s="229"/>
      <c r="G420" s="229"/>
      <c r="H420" s="229"/>
      <c r="I420" s="229"/>
      <c r="J420" s="74" t="s">
        <v>2252</v>
      </c>
      <c r="K420" s="1">
        <v>14440000</v>
      </c>
      <c r="L420" s="2">
        <v>44833</v>
      </c>
      <c r="M420" s="32"/>
      <c r="N420" s="32" t="s">
        <v>1253</v>
      </c>
      <c r="O420" s="51" t="s">
        <v>3424</v>
      </c>
      <c r="P420" s="38" t="s">
        <v>3425</v>
      </c>
    </row>
    <row r="421" spans="2:16" x14ac:dyDescent="0.25">
      <c r="B421" s="32">
        <v>409</v>
      </c>
      <c r="C421" s="272" t="s">
        <v>3426</v>
      </c>
      <c r="D421" s="272"/>
      <c r="E421" s="272"/>
      <c r="F421" s="272"/>
      <c r="G421" s="272"/>
      <c r="H421" s="272"/>
      <c r="I421" s="272"/>
      <c r="J421" s="59" t="s">
        <v>702</v>
      </c>
      <c r="K421" s="1">
        <v>16930000</v>
      </c>
      <c r="L421" s="2">
        <v>44809</v>
      </c>
      <c r="M421" s="32" t="s">
        <v>3923</v>
      </c>
      <c r="N421" s="51">
        <v>3104165783</v>
      </c>
      <c r="O421" s="32" t="s">
        <v>2760</v>
      </c>
      <c r="P421" s="52" t="s">
        <v>2761</v>
      </c>
    </row>
    <row r="422" spans="2:16" x14ac:dyDescent="0.25">
      <c r="B422" s="32">
        <v>410</v>
      </c>
      <c r="C422" s="229" t="s">
        <v>3427</v>
      </c>
      <c r="D422" s="229"/>
      <c r="E422" s="229"/>
      <c r="F422" s="229"/>
      <c r="G422" s="229"/>
      <c r="H422" s="229"/>
      <c r="I422" s="229"/>
      <c r="J422" s="59" t="s">
        <v>2757</v>
      </c>
      <c r="K422" s="1">
        <v>1550000</v>
      </c>
      <c r="L422" s="2">
        <v>44833</v>
      </c>
      <c r="M422" s="32" t="s">
        <v>3923</v>
      </c>
      <c r="N422" s="57">
        <v>5712357612</v>
      </c>
      <c r="O422" s="51" t="s">
        <v>2758</v>
      </c>
      <c r="P422" s="38" t="s">
        <v>1854</v>
      </c>
    </row>
    <row r="423" spans="2:16" x14ac:dyDescent="0.25">
      <c r="B423" s="32">
        <v>411</v>
      </c>
      <c r="C423" s="229" t="s">
        <v>3431</v>
      </c>
      <c r="D423" s="229"/>
      <c r="E423" s="229"/>
      <c r="F423" s="229"/>
      <c r="G423" s="229"/>
      <c r="H423" s="229"/>
      <c r="I423" s="229"/>
      <c r="J423" s="59" t="s">
        <v>3428</v>
      </c>
      <c r="K423" s="1" t="s">
        <v>3449</v>
      </c>
      <c r="L423" s="2">
        <v>44833</v>
      </c>
      <c r="M423" s="32"/>
      <c r="N423" s="32">
        <v>3102185403</v>
      </c>
      <c r="O423" s="51" t="s">
        <v>3429</v>
      </c>
      <c r="P423" s="38" t="s">
        <v>3430</v>
      </c>
    </row>
    <row r="424" spans="2:16" x14ac:dyDescent="0.25">
      <c r="B424" s="32">
        <v>412</v>
      </c>
      <c r="C424" s="229" t="s">
        <v>3432</v>
      </c>
      <c r="D424" s="229"/>
      <c r="E424" s="229"/>
      <c r="F424" s="229"/>
      <c r="G424" s="229"/>
      <c r="H424" s="229"/>
      <c r="I424" s="229"/>
      <c r="J424" s="59" t="s">
        <v>3428</v>
      </c>
      <c r="K424" s="1" t="s">
        <v>3449</v>
      </c>
      <c r="L424" s="2">
        <v>44833</v>
      </c>
      <c r="M424" s="32"/>
      <c r="N424" s="32">
        <v>3102185403</v>
      </c>
      <c r="O424" s="51" t="s">
        <v>3429</v>
      </c>
      <c r="P424" s="38" t="s">
        <v>3430</v>
      </c>
    </row>
    <row r="425" spans="2:16" x14ac:dyDescent="0.25">
      <c r="B425" s="32">
        <v>413</v>
      </c>
      <c r="C425" s="229" t="s">
        <v>3434</v>
      </c>
      <c r="D425" s="229"/>
      <c r="E425" s="229"/>
      <c r="F425" s="229"/>
      <c r="G425" s="229"/>
      <c r="H425" s="229"/>
      <c r="I425" s="229"/>
      <c r="J425" s="59" t="s">
        <v>2961</v>
      </c>
      <c r="K425" s="1">
        <v>19700000</v>
      </c>
      <c r="L425" s="2">
        <v>44838</v>
      </c>
      <c r="M425" s="32"/>
      <c r="N425" s="32" t="s">
        <v>2591</v>
      </c>
      <c r="O425" s="51" t="s">
        <v>400</v>
      </c>
      <c r="P425" s="38" t="s">
        <v>1012</v>
      </c>
    </row>
    <row r="426" spans="2:16" x14ac:dyDescent="0.25">
      <c r="B426" s="32">
        <v>414</v>
      </c>
      <c r="C426" s="229" t="s">
        <v>3435</v>
      </c>
      <c r="D426" s="229"/>
      <c r="E426" s="229"/>
      <c r="F426" s="229"/>
      <c r="G426" s="229"/>
      <c r="H426" s="229"/>
      <c r="I426" s="229"/>
      <c r="J426" s="59" t="s">
        <v>702</v>
      </c>
      <c r="K426" s="1">
        <v>2000000</v>
      </c>
      <c r="L426" s="2">
        <v>44809</v>
      </c>
      <c r="M426" s="32"/>
      <c r="N426" s="32">
        <v>3137546144</v>
      </c>
      <c r="O426" s="51" t="s">
        <v>229</v>
      </c>
      <c r="P426" s="52" t="s">
        <v>2504</v>
      </c>
    </row>
    <row r="427" spans="2:16" x14ac:dyDescent="0.25">
      <c r="B427" s="32">
        <v>415</v>
      </c>
      <c r="C427" s="229" t="s">
        <v>3436</v>
      </c>
      <c r="D427" s="229"/>
      <c r="E427" s="229"/>
      <c r="F427" s="229"/>
      <c r="G427" s="229"/>
      <c r="H427" s="229"/>
      <c r="I427" s="229"/>
      <c r="J427" s="59" t="s">
        <v>702</v>
      </c>
      <c r="K427" s="1">
        <v>2250000</v>
      </c>
      <c r="L427" s="2">
        <v>44809</v>
      </c>
      <c r="M427" s="32" t="s">
        <v>3923</v>
      </c>
      <c r="N427" s="32">
        <v>3137546144</v>
      </c>
      <c r="O427" s="51" t="s">
        <v>229</v>
      </c>
      <c r="P427" s="52" t="s">
        <v>2504</v>
      </c>
    </row>
    <row r="428" spans="2:16" x14ac:dyDescent="0.25">
      <c r="B428" s="32">
        <v>416</v>
      </c>
      <c r="C428" s="229" t="s">
        <v>3461</v>
      </c>
      <c r="D428" s="229"/>
      <c r="E428" s="229"/>
      <c r="F428" s="229"/>
      <c r="G428" s="229"/>
      <c r="H428" s="229"/>
      <c r="I428" s="229"/>
      <c r="J428" s="59" t="s">
        <v>702</v>
      </c>
      <c r="K428" s="1">
        <v>2500000</v>
      </c>
      <c r="L428" s="2">
        <v>44840</v>
      </c>
      <c r="M428" s="32" t="s">
        <v>3923</v>
      </c>
      <c r="N428" s="51">
        <v>3104165783</v>
      </c>
      <c r="O428" s="32" t="s">
        <v>2760</v>
      </c>
      <c r="P428" s="52" t="s">
        <v>2761</v>
      </c>
    </row>
    <row r="429" spans="2:16" x14ac:dyDescent="0.25">
      <c r="B429" s="32">
        <v>417</v>
      </c>
      <c r="C429" s="229" t="s">
        <v>3462</v>
      </c>
      <c r="D429" s="229"/>
      <c r="E429" s="229"/>
      <c r="F429" s="229"/>
      <c r="G429" s="229"/>
      <c r="H429" s="229"/>
      <c r="I429" s="229"/>
      <c r="J429" s="59" t="s">
        <v>3490</v>
      </c>
      <c r="K429" s="1">
        <v>6270000</v>
      </c>
      <c r="L429" s="2">
        <v>44811</v>
      </c>
      <c r="M429" s="32" t="s">
        <v>3923</v>
      </c>
      <c r="N429" s="32">
        <v>4808822</v>
      </c>
      <c r="O429" s="51" t="s">
        <v>3491</v>
      </c>
      <c r="P429" s="38" t="s">
        <v>3492</v>
      </c>
    </row>
    <row r="430" spans="2:16" x14ac:dyDescent="0.25">
      <c r="B430" s="32">
        <v>418</v>
      </c>
      <c r="C430" s="229" t="s">
        <v>3438</v>
      </c>
      <c r="D430" s="229"/>
      <c r="E430" s="229"/>
      <c r="F430" s="229"/>
      <c r="G430" s="229"/>
      <c r="H430" s="229"/>
      <c r="I430" s="229"/>
      <c r="J430" s="59" t="s">
        <v>3439</v>
      </c>
      <c r="K430" s="1">
        <v>1850000</v>
      </c>
      <c r="L430" s="2">
        <v>44839</v>
      </c>
      <c r="M430" s="32" t="s">
        <v>3923</v>
      </c>
      <c r="N430" s="32"/>
      <c r="O430" s="51" t="s">
        <v>3437</v>
      </c>
      <c r="P430" s="38" t="s">
        <v>3440</v>
      </c>
    </row>
    <row r="431" spans="2:16" x14ac:dyDescent="0.25">
      <c r="B431" s="32">
        <v>419</v>
      </c>
      <c r="C431" s="263" t="s">
        <v>3443</v>
      </c>
      <c r="D431" s="229"/>
      <c r="E431" s="229"/>
      <c r="F431" s="229"/>
      <c r="G431" s="229"/>
      <c r="H431" s="229"/>
      <c r="I431" s="229"/>
      <c r="J431" s="59" t="s">
        <v>2664</v>
      </c>
      <c r="K431" s="1">
        <v>4740000</v>
      </c>
      <c r="L431" s="2">
        <v>44839</v>
      </c>
      <c r="M431" s="32"/>
      <c r="N431" s="32">
        <v>3165394946</v>
      </c>
      <c r="O431" s="51" t="s">
        <v>3441</v>
      </c>
      <c r="P431" s="38" t="s">
        <v>3442</v>
      </c>
    </row>
    <row r="432" spans="2:16" x14ac:dyDescent="0.25">
      <c r="B432" s="32">
        <v>420</v>
      </c>
      <c r="C432" s="271" t="s">
        <v>3444</v>
      </c>
      <c r="D432" s="272"/>
      <c r="E432" s="272"/>
      <c r="F432" s="272"/>
      <c r="G432" s="272"/>
      <c r="H432" s="272"/>
      <c r="I432" s="272"/>
      <c r="J432" s="59" t="s">
        <v>932</v>
      </c>
      <c r="K432" s="1">
        <v>1500000</v>
      </c>
      <c r="L432" s="2">
        <v>44840</v>
      </c>
      <c r="M432" s="32"/>
      <c r="N432" s="32">
        <v>3017340763</v>
      </c>
      <c r="O432" s="51" t="s">
        <v>3445</v>
      </c>
      <c r="P432" s="38" t="s">
        <v>934</v>
      </c>
    </row>
    <row r="433" spans="2:16" x14ac:dyDescent="0.25">
      <c r="B433" s="32">
        <v>421</v>
      </c>
      <c r="C433" s="229" t="s">
        <v>3446</v>
      </c>
      <c r="D433" s="229"/>
      <c r="E433" s="229"/>
      <c r="F433" s="229"/>
      <c r="G433" s="229"/>
      <c r="H433" s="229"/>
      <c r="I433" s="229"/>
      <c r="J433" s="59" t="s">
        <v>3447</v>
      </c>
      <c r="K433" s="1">
        <v>1850000</v>
      </c>
      <c r="L433" s="2">
        <v>44722</v>
      </c>
      <c r="M433" s="32"/>
      <c r="N433" s="32"/>
      <c r="O433" s="51" t="s">
        <v>2269</v>
      </c>
      <c r="P433" s="38" t="s">
        <v>2270</v>
      </c>
    </row>
    <row r="434" spans="2:16" x14ac:dyDescent="0.25">
      <c r="B434" s="32">
        <v>422</v>
      </c>
      <c r="C434" s="229" t="s">
        <v>3450</v>
      </c>
      <c r="D434" s="229"/>
      <c r="E434" s="229"/>
      <c r="F434" s="229"/>
      <c r="G434" s="229"/>
      <c r="H434" s="229"/>
      <c r="I434" s="229"/>
      <c r="J434" s="59" t="s">
        <v>702</v>
      </c>
      <c r="K434" s="1">
        <v>14990000</v>
      </c>
      <c r="L434" s="2">
        <v>44840</v>
      </c>
      <c r="M434" s="32"/>
      <c r="N434" s="51">
        <v>3104165783</v>
      </c>
      <c r="O434" s="32" t="s">
        <v>2760</v>
      </c>
      <c r="P434" s="52" t="s">
        <v>2761</v>
      </c>
    </row>
    <row r="435" spans="2:16" x14ac:dyDescent="0.25">
      <c r="B435" s="32">
        <v>423</v>
      </c>
      <c r="C435" s="229" t="s">
        <v>3451</v>
      </c>
      <c r="D435" s="229"/>
      <c r="E435" s="229"/>
      <c r="F435" s="229"/>
      <c r="G435" s="229"/>
      <c r="H435" s="229"/>
      <c r="I435" s="229"/>
      <c r="J435" s="59" t="s">
        <v>3452</v>
      </c>
      <c r="K435" s="1">
        <v>3950000</v>
      </c>
      <c r="L435" s="2">
        <v>44840</v>
      </c>
      <c r="M435" s="32" t="s">
        <v>3923</v>
      </c>
      <c r="N435" s="32" t="s">
        <v>3455</v>
      </c>
      <c r="O435" s="51" t="s">
        <v>3453</v>
      </c>
      <c r="P435" s="38" t="s">
        <v>3454</v>
      </c>
    </row>
    <row r="436" spans="2:16" x14ac:dyDescent="0.25">
      <c r="B436" s="32">
        <v>424</v>
      </c>
      <c r="C436" s="263" t="s">
        <v>3475</v>
      </c>
      <c r="D436" s="229"/>
      <c r="E436" s="229"/>
      <c r="F436" s="229"/>
      <c r="G436" s="229"/>
      <c r="H436" s="229"/>
      <c r="I436" s="229"/>
      <c r="J436" s="59" t="s">
        <v>747</v>
      </c>
      <c r="K436" s="1">
        <v>5640650</v>
      </c>
      <c r="L436" s="2">
        <v>44840</v>
      </c>
      <c r="M436" s="32" t="s">
        <v>3923</v>
      </c>
      <c r="N436" s="32">
        <v>3175594091</v>
      </c>
      <c r="O436" s="32" t="s">
        <v>496</v>
      </c>
      <c r="P436" s="38" t="s">
        <v>748</v>
      </c>
    </row>
    <row r="437" spans="2:16" x14ac:dyDescent="0.25">
      <c r="B437" s="32">
        <v>425</v>
      </c>
      <c r="C437" s="263" t="s">
        <v>3474</v>
      </c>
      <c r="D437" s="229"/>
      <c r="E437" s="229"/>
      <c r="F437" s="229"/>
      <c r="G437" s="229"/>
      <c r="H437" s="229"/>
      <c r="I437" s="229"/>
      <c r="J437" s="59" t="s">
        <v>3473</v>
      </c>
      <c r="K437" s="1" t="s">
        <v>3472</v>
      </c>
      <c r="L437" s="2">
        <v>44840</v>
      </c>
      <c r="M437" s="32"/>
    </row>
    <row r="438" spans="2:16" x14ac:dyDescent="0.25">
      <c r="B438" s="32">
        <v>426</v>
      </c>
      <c r="C438" s="229" t="s">
        <v>3459</v>
      </c>
      <c r="D438" s="229"/>
      <c r="E438" s="229"/>
      <c r="F438" s="229"/>
      <c r="G438" s="229"/>
      <c r="H438" s="229"/>
      <c r="I438" s="229"/>
      <c r="J438" s="59" t="s">
        <v>2611</v>
      </c>
      <c r="K438" s="1">
        <v>4000</v>
      </c>
      <c r="L438" s="2">
        <v>44841</v>
      </c>
      <c r="M438" s="32"/>
      <c r="N438" s="32"/>
      <c r="O438" s="51" t="s">
        <v>3460</v>
      </c>
      <c r="P438" s="38"/>
    </row>
    <row r="439" spans="2:16" x14ac:dyDescent="0.25">
      <c r="B439" s="32">
        <v>427</v>
      </c>
      <c r="C439" s="229" t="s">
        <v>3463</v>
      </c>
      <c r="D439" s="229"/>
      <c r="E439" s="229"/>
      <c r="F439" s="229"/>
      <c r="G439" s="229"/>
      <c r="H439" s="229"/>
      <c r="I439" s="229"/>
      <c r="J439" s="59" t="s">
        <v>805</v>
      </c>
      <c r="K439" s="1">
        <v>21950000</v>
      </c>
      <c r="L439" s="2">
        <v>44844</v>
      </c>
      <c r="M439" s="32" t="s">
        <v>3923</v>
      </c>
      <c r="N439" s="32">
        <v>3207091752</v>
      </c>
      <c r="O439" s="51" t="s">
        <v>1355</v>
      </c>
      <c r="P439" s="38" t="s">
        <v>1356</v>
      </c>
    </row>
    <row r="440" spans="2:16" x14ac:dyDescent="0.25">
      <c r="B440" s="32">
        <v>428</v>
      </c>
      <c r="C440" s="229" t="s">
        <v>3465</v>
      </c>
      <c r="D440" s="229"/>
      <c r="E440" s="229"/>
      <c r="F440" s="229"/>
      <c r="G440" s="229"/>
      <c r="H440" s="229"/>
      <c r="I440" s="229"/>
      <c r="J440" s="74" t="s">
        <v>3464</v>
      </c>
      <c r="K440" s="1">
        <v>4750000</v>
      </c>
      <c r="L440" s="2">
        <v>44844</v>
      </c>
      <c r="M440" s="32"/>
      <c r="N440" s="32" t="s">
        <v>2253</v>
      </c>
      <c r="O440" s="51" t="s">
        <v>3213</v>
      </c>
      <c r="P440" s="38" t="s">
        <v>1075</v>
      </c>
    </row>
    <row r="441" spans="2:16" x14ac:dyDescent="0.25">
      <c r="B441" s="32">
        <v>429</v>
      </c>
      <c r="C441" s="263" t="s">
        <v>3466</v>
      </c>
      <c r="D441" s="229"/>
      <c r="E441" s="229"/>
      <c r="F441" s="229"/>
      <c r="G441" s="229"/>
      <c r="H441" s="229"/>
      <c r="I441" s="229"/>
      <c r="J441" s="59" t="s">
        <v>702</v>
      </c>
      <c r="K441" s="1">
        <v>1950000</v>
      </c>
      <c r="L441" s="2">
        <v>44844</v>
      </c>
      <c r="M441" s="32"/>
      <c r="N441" s="32">
        <v>3137546144</v>
      </c>
      <c r="O441" s="51" t="s">
        <v>229</v>
      </c>
      <c r="P441" s="38" t="s">
        <v>2504</v>
      </c>
    </row>
    <row r="442" spans="2:16" x14ac:dyDescent="0.25">
      <c r="B442" s="32">
        <v>430</v>
      </c>
      <c r="C442" s="229" t="s">
        <v>3468</v>
      </c>
      <c r="D442" s="229"/>
      <c r="E442" s="229"/>
      <c r="F442" s="229"/>
      <c r="G442" s="229"/>
      <c r="H442" s="229"/>
      <c r="I442" s="229"/>
      <c r="J442" s="59" t="s">
        <v>3467</v>
      </c>
      <c r="K442" s="1">
        <v>21450000</v>
      </c>
      <c r="L442" s="2">
        <v>44844</v>
      </c>
      <c r="M442" s="32"/>
      <c r="N442" s="32">
        <v>3146177478</v>
      </c>
      <c r="O442" s="51" t="s">
        <v>3470</v>
      </c>
      <c r="P442" s="38" t="s">
        <v>3469</v>
      </c>
    </row>
    <row r="443" spans="2:16" x14ac:dyDescent="0.25">
      <c r="B443" s="32">
        <v>431</v>
      </c>
      <c r="C443" s="229" t="s">
        <v>3471</v>
      </c>
      <c r="D443" s="229"/>
      <c r="E443" s="229"/>
      <c r="F443" s="229"/>
      <c r="G443" s="229"/>
      <c r="H443" s="229"/>
      <c r="I443" s="229"/>
      <c r="J443" s="59" t="s">
        <v>702</v>
      </c>
      <c r="K443" s="1">
        <v>900000</v>
      </c>
      <c r="L443" s="2">
        <v>44845</v>
      </c>
      <c r="M443" s="32" t="s">
        <v>3923</v>
      </c>
      <c r="N443" s="32">
        <v>3137546144</v>
      </c>
      <c r="O443" s="51" t="s">
        <v>229</v>
      </c>
      <c r="P443" s="38" t="s">
        <v>2504</v>
      </c>
    </row>
    <row r="444" spans="2:16" x14ac:dyDescent="0.25">
      <c r="B444" s="32">
        <v>432</v>
      </c>
      <c r="C444" s="229" t="s">
        <v>3476</v>
      </c>
      <c r="D444" s="229"/>
      <c r="E444" s="229"/>
      <c r="F444" s="229"/>
      <c r="G444" s="229"/>
      <c r="H444" s="229"/>
      <c r="I444" s="229"/>
      <c r="J444" s="59" t="s">
        <v>721</v>
      </c>
      <c r="K444" s="1">
        <v>1000000</v>
      </c>
      <c r="L444" s="2">
        <v>44905</v>
      </c>
      <c r="M444" s="32" t="s">
        <v>3923</v>
      </c>
      <c r="N444" s="32" t="s">
        <v>3478</v>
      </c>
      <c r="O444" s="51" t="s">
        <v>3477</v>
      </c>
      <c r="P444" s="38" t="s">
        <v>3479</v>
      </c>
    </row>
    <row r="445" spans="2:16" x14ac:dyDescent="0.25">
      <c r="B445" s="32">
        <v>433</v>
      </c>
      <c r="C445" s="229" t="s">
        <v>3480</v>
      </c>
      <c r="D445" s="229"/>
      <c r="E445" s="229"/>
      <c r="F445" s="229"/>
      <c r="G445" s="229"/>
      <c r="H445" s="229"/>
      <c r="I445" s="229"/>
      <c r="J445" s="59" t="s">
        <v>851</v>
      </c>
      <c r="K445" s="1">
        <v>2500000</v>
      </c>
      <c r="L445" s="2">
        <v>44846</v>
      </c>
      <c r="M445" s="32"/>
      <c r="N445" s="32">
        <v>3206678830</v>
      </c>
      <c r="O445" s="51" t="s">
        <v>284</v>
      </c>
      <c r="P445" s="52" t="s">
        <v>948</v>
      </c>
    </row>
    <row r="446" spans="2:16" x14ac:dyDescent="0.25">
      <c r="B446" s="32">
        <v>434</v>
      </c>
      <c r="C446" s="271" t="s">
        <v>3482</v>
      </c>
      <c r="D446" s="272"/>
      <c r="E446" s="272"/>
      <c r="F446" s="272"/>
      <c r="G446" s="272"/>
      <c r="H446" s="272"/>
      <c r="I446" s="272"/>
      <c r="J446" s="59" t="s">
        <v>1439</v>
      </c>
      <c r="K446" s="1">
        <v>1950000</v>
      </c>
      <c r="L446" s="2">
        <v>44846</v>
      </c>
      <c r="M446" s="32"/>
      <c r="N446" s="32">
        <v>3104145629</v>
      </c>
      <c r="O446" s="51" t="s">
        <v>3481</v>
      </c>
      <c r="P446" s="38" t="s">
        <v>2021</v>
      </c>
    </row>
    <row r="447" spans="2:16" x14ac:dyDescent="0.25">
      <c r="B447" s="32">
        <v>435</v>
      </c>
      <c r="C447" s="271" t="s">
        <v>3483</v>
      </c>
      <c r="D447" s="272"/>
      <c r="E447" s="272"/>
      <c r="F447" s="272"/>
      <c r="G447" s="272"/>
      <c r="H447" s="272"/>
      <c r="I447" s="272"/>
      <c r="J447" s="59" t="s">
        <v>1480</v>
      </c>
      <c r="K447" s="1">
        <v>9950000</v>
      </c>
      <c r="L447" s="2">
        <v>44847</v>
      </c>
      <c r="M447" s="32"/>
      <c r="N447" s="32" t="s">
        <v>3337</v>
      </c>
      <c r="O447" s="51" t="s">
        <v>3338</v>
      </c>
      <c r="P447" s="38" t="s">
        <v>3339</v>
      </c>
    </row>
    <row r="448" spans="2:16" x14ac:dyDescent="0.25">
      <c r="B448" s="32">
        <v>436</v>
      </c>
      <c r="C448" s="271" t="s">
        <v>3485</v>
      </c>
      <c r="D448" s="272"/>
      <c r="E448" s="272"/>
      <c r="F448" s="272"/>
      <c r="G448" s="272"/>
      <c r="H448" s="272"/>
      <c r="I448" s="272"/>
      <c r="J448" s="59" t="s">
        <v>1343</v>
      </c>
      <c r="K448" s="1">
        <v>2500000</v>
      </c>
      <c r="L448" s="2">
        <v>44852</v>
      </c>
      <c r="M448" s="32" t="s">
        <v>3923</v>
      </c>
      <c r="N448" s="32">
        <v>3005780522</v>
      </c>
      <c r="O448" s="51" t="s">
        <v>3484</v>
      </c>
      <c r="P448" s="38" t="s">
        <v>1075</v>
      </c>
    </row>
    <row r="449" spans="2:16" x14ac:dyDescent="0.25">
      <c r="B449" s="32">
        <v>437</v>
      </c>
      <c r="C449" s="229" t="s">
        <v>3489</v>
      </c>
      <c r="D449" s="229"/>
      <c r="E449" s="229"/>
      <c r="F449" s="229"/>
      <c r="G449" s="229"/>
      <c r="H449" s="229"/>
      <c r="I449" s="229"/>
      <c r="J449" s="59" t="s">
        <v>3158</v>
      </c>
      <c r="K449" s="1">
        <v>2100000</v>
      </c>
      <c r="L449" s="2">
        <v>44855</v>
      </c>
      <c r="M449" s="32"/>
      <c r="N449" s="32" t="s">
        <v>3488</v>
      </c>
      <c r="O449" s="51" t="s">
        <v>3486</v>
      </c>
      <c r="P449" s="38" t="s">
        <v>3487</v>
      </c>
    </row>
    <row r="450" spans="2:16" x14ac:dyDescent="0.25">
      <c r="B450" s="32">
        <v>438</v>
      </c>
      <c r="C450" s="229" t="s">
        <v>3462</v>
      </c>
      <c r="D450" s="229"/>
      <c r="E450" s="229"/>
      <c r="F450" s="229"/>
      <c r="G450" s="229"/>
      <c r="H450" s="229"/>
      <c r="I450" s="229"/>
      <c r="J450" s="59" t="s">
        <v>3490</v>
      </c>
      <c r="K450" s="1">
        <v>1000000</v>
      </c>
      <c r="L450" s="2">
        <v>44853</v>
      </c>
      <c r="M450" s="32"/>
      <c r="N450" s="32">
        <v>4808822</v>
      </c>
      <c r="O450" s="51" t="s">
        <v>3491</v>
      </c>
      <c r="P450" s="38" t="s">
        <v>3492</v>
      </c>
    </row>
    <row r="451" spans="2:16" x14ac:dyDescent="0.25">
      <c r="B451" s="32">
        <v>439</v>
      </c>
      <c r="C451" s="271" t="s">
        <v>3493</v>
      </c>
      <c r="D451" s="272"/>
      <c r="E451" s="272"/>
      <c r="F451" s="272"/>
      <c r="G451" s="272"/>
      <c r="H451" s="272"/>
      <c r="I451" s="272"/>
      <c r="J451" s="59" t="s">
        <v>831</v>
      </c>
      <c r="K451" s="1">
        <v>13790000</v>
      </c>
      <c r="L451" s="2">
        <v>44853</v>
      </c>
      <c r="M451" s="32"/>
      <c r="N451" s="32"/>
      <c r="O451" s="51" t="s">
        <v>2269</v>
      </c>
      <c r="P451" s="38" t="s">
        <v>2270</v>
      </c>
    </row>
    <row r="452" spans="2:16" x14ac:dyDescent="0.25">
      <c r="B452" s="32">
        <v>440</v>
      </c>
      <c r="C452" s="229" t="s">
        <v>3494</v>
      </c>
      <c r="D452" s="229"/>
      <c r="E452" s="229"/>
      <c r="F452" s="229"/>
      <c r="G452" s="229"/>
      <c r="H452" s="229"/>
      <c r="I452" s="229"/>
      <c r="J452" s="59" t="s">
        <v>831</v>
      </c>
      <c r="K452" s="1">
        <v>13790000</v>
      </c>
      <c r="L452" s="2">
        <v>44853</v>
      </c>
      <c r="M452" s="32"/>
      <c r="N452" s="32"/>
      <c r="O452" s="51" t="s">
        <v>2269</v>
      </c>
      <c r="P452" s="38" t="s">
        <v>2270</v>
      </c>
    </row>
    <row r="453" spans="2:16" x14ac:dyDescent="0.25">
      <c r="B453" s="32">
        <v>441</v>
      </c>
      <c r="C453" s="229" t="s">
        <v>3497</v>
      </c>
      <c r="D453" s="229"/>
      <c r="E453" s="229"/>
      <c r="F453" s="229"/>
      <c r="G453" s="229"/>
      <c r="H453" s="229"/>
      <c r="I453" s="229"/>
      <c r="J453" s="59" t="s">
        <v>831</v>
      </c>
      <c r="K453" s="1">
        <v>10100000</v>
      </c>
      <c r="L453" s="2">
        <v>44853</v>
      </c>
      <c r="M453" s="32"/>
      <c r="N453" s="32">
        <v>3194913179</v>
      </c>
      <c r="O453" s="51" t="s">
        <v>3495</v>
      </c>
      <c r="P453" s="38" t="s">
        <v>3496</v>
      </c>
    </row>
    <row r="454" spans="2:16" x14ac:dyDescent="0.25">
      <c r="B454" s="32">
        <v>442</v>
      </c>
      <c r="C454" s="229" t="s">
        <v>2375</v>
      </c>
      <c r="D454" s="229"/>
      <c r="E454" s="229"/>
      <c r="F454" s="229"/>
      <c r="G454" s="229"/>
      <c r="H454" s="229"/>
      <c r="I454" s="229"/>
      <c r="J454" s="59" t="s">
        <v>831</v>
      </c>
      <c r="K454" s="1">
        <v>4150000</v>
      </c>
      <c r="L454" s="2">
        <v>44853</v>
      </c>
      <c r="M454" s="32"/>
      <c r="N454" s="32"/>
      <c r="O454" s="51" t="s">
        <v>2269</v>
      </c>
      <c r="P454" s="38" t="s">
        <v>2270</v>
      </c>
    </row>
    <row r="455" spans="2:16" x14ac:dyDescent="0.25">
      <c r="B455" s="32">
        <v>443</v>
      </c>
      <c r="C455" s="229" t="s">
        <v>3501</v>
      </c>
      <c r="D455" s="229"/>
      <c r="E455" s="229"/>
      <c r="F455" s="229"/>
      <c r="G455" s="229"/>
      <c r="H455" s="229"/>
      <c r="I455" s="229"/>
      <c r="J455" s="59" t="s">
        <v>3499</v>
      </c>
      <c r="K455" s="1">
        <v>27960000</v>
      </c>
      <c r="L455" s="2">
        <v>44853</v>
      </c>
      <c r="M455" s="32"/>
      <c r="N455" s="32"/>
      <c r="O455" s="51" t="s">
        <v>3500</v>
      </c>
      <c r="P455" s="38" t="s">
        <v>3498</v>
      </c>
    </row>
    <row r="456" spans="2:16" x14ac:dyDescent="0.25">
      <c r="B456" s="32">
        <v>444</v>
      </c>
      <c r="C456" s="229" t="s">
        <v>3502</v>
      </c>
      <c r="D456" s="229"/>
      <c r="E456" s="229"/>
      <c r="F456" s="229"/>
      <c r="G456" s="229"/>
      <c r="H456" s="229"/>
      <c r="I456" s="229"/>
      <c r="J456" s="59" t="s">
        <v>702</v>
      </c>
      <c r="K456" s="1">
        <v>1980000</v>
      </c>
      <c r="L456" s="2">
        <v>44854</v>
      </c>
      <c r="M456" s="32"/>
      <c r="N456" s="32">
        <v>3104680508</v>
      </c>
      <c r="O456" s="51" t="s">
        <v>212</v>
      </c>
      <c r="P456" s="38" t="s">
        <v>703</v>
      </c>
    </row>
    <row r="457" spans="2:16" x14ac:dyDescent="0.25">
      <c r="B457" s="32">
        <v>445</v>
      </c>
      <c r="C457" s="229" t="s">
        <v>3503</v>
      </c>
      <c r="D457" s="229"/>
      <c r="E457" s="229"/>
      <c r="F457" s="229"/>
      <c r="G457" s="229"/>
      <c r="H457" s="229"/>
      <c r="I457" s="229"/>
      <c r="J457" s="59" t="s">
        <v>2672</v>
      </c>
      <c r="K457" s="1">
        <v>9910000</v>
      </c>
      <c r="L457" s="2">
        <v>44856</v>
      </c>
      <c r="M457" s="32"/>
      <c r="N457" s="32"/>
      <c r="O457" s="51" t="s">
        <v>3504</v>
      </c>
      <c r="P457" s="38" t="s">
        <v>3505</v>
      </c>
    </row>
    <row r="458" spans="2:16" x14ac:dyDescent="0.25">
      <c r="B458" s="32">
        <v>446</v>
      </c>
      <c r="C458" s="229" t="s">
        <v>3508</v>
      </c>
      <c r="D458" s="229"/>
      <c r="E458" s="229"/>
      <c r="F458" s="229"/>
      <c r="G458" s="229"/>
      <c r="H458" s="229"/>
      <c r="I458" s="229"/>
      <c r="J458" s="59" t="s">
        <v>3511</v>
      </c>
      <c r="K458" s="1">
        <v>9910000</v>
      </c>
      <c r="L458" s="2">
        <v>44856</v>
      </c>
      <c r="M458" s="32"/>
      <c r="N458" s="32" t="s">
        <v>3512</v>
      </c>
      <c r="O458" s="51" t="s">
        <v>3507</v>
      </c>
      <c r="P458" s="38" t="s">
        <v>3506</v>
      </c>
    </row>
    <row r="459" spans="2:16" x14ac:dyDescent="0.25">
      <c r="B459" s="32">
        <v>447</v>
      </c>
      <c r="C459" s="229" t="s">
        <v>3510</v>
      </c>
      <c r="D459" s="229"/>
      <c r="E459" s="229"/>
      <c r="F459" s="229"/>
      <c r="G459" s="229"/>
      <c r="H459" s="229"/>
      <c r="I459" s="229"/>
      <c r="J459" s="59" t="s">
        <v>1470</v>
      </c>
      <c r="K459" s="1">
        <v>21250000</v>
      </c>
      <c r="L459" s="2">
        <v>44858</v>
      </c>
      <c r="M459" s="32"/>
      <c r="N459" s="32">
        <v>3005861916</v>
      </c>
      <c r="O459" s="51" t="s">
        <v>3509</v>
      </c>
      <c r="P459" s="54" t="s">
        <v>1472</v>
      </c>
    </row>
    <row r="460" spans="2:16" x14ac:dyDescent="0.25">
      <c r="B460" s="32">
        <v>448</v>
      </c>
      <c r="C460" s="263" t="s">
        <v>3517</v>
      </c>
      <c r="D460" s="229"/>
      <c r="E460" s="229"/>
      <c r="F460" s="229"/>
      <c r="G460" s="229"/>
      <c r="H460" s="229"/>
      <c r="I460" s="229"/>
      <c r="J460" s="59" t="s">
        <v>3513</v>
      </c>
      <c r="K460" s="1">
        <v>3390000</v>
      </c>
      <c r="L460" s="2">
        <v>44859</v>
      </c>
      <c r="M460" s="32"/>
      <c r="N460" s="32" t="s">
        <v>3516</v>
      </c>
      <c r="O460" s="51" t="s">
        <v>3515</v>
      </c>
      <c r="P460" s="38" t="s">
        <v>3514</v>
      </c>
    </row>
    <row r="461" spans="2:16" x14ac:dyDescent="0.25">
      <c r="B461" s="32">
        <v>449</v>
      </c>
      <c r="C461" s="229" t="s">
        <v>3501</v>
      </c>
      <c r="D461" s="229"/>
      <c r="E461" s="229"/>
      <c r="F461" s="229"/>
      <c r="G461" s="229"/>
      <c r="H461" s="229"/>
      <c r="I461" s="229"/>
      <c r="J461" s="59" t="s">
        <v>3499</v>
      </c>
      <c r="K461" s="1">
        <v>27960000</v>
      </c>
      <c r="L461" s="2">
        <v>44859</v>
      </c>
      <c r="M461" s="32"/>
      <c r="N461" s="32" t="s">
        <v>3270</v>
      </c>
      <c r="O461" s="51" t="s">
        <v>646</v>
      </c>
      <c r="P461" s="38" t="s">
        <v>3274</v>
      </c>
    </row>
    <row r="462" spans="2:16" x14ac:dyDescent="0.25">
      <c r="B462" s="32">
        <v>450</v>
      </c>
      <c r="C462" s="229" t="s">
        <v>3518</v>
      </c>
      <c r="D462" s="229"/>
      <c r="E462" s="229"/>
      <c r="F462" s="229"/>
      <c r="G462" s="229"/>
      <c r="H462" s="229"/>
      <c r="I462" s="229"/>
      <c r="J462" s="59" t="s">
        <v>1804</v>
      </c>
      <c r="K462" s="1">
        <v>1000000</v>
      </c>
      <c r="L462" s="2">
        <v>44860</v>
      </c>
      <c r="M462" s="32" t="s">
        <v>3923</v>
      </c>
      <c r="N462" s="32">
        <v>4483960</v>
      </c>
      <c r="O462" s="78" t="s">
        <v>2353</v>
      </c>
      <c r="P462" s="52" t="s">
        <v>1806</v>
      </c>
    </row>
    <row r="463" spans="2:16" x14ac:dyDescent="0.25">
      <c r="B463" s="32">
        <v>451</v>
      </c>
      <c r="C463" s="271" t="s">
        <v>3520</v>
      </c>
      <c r="D463" s="272"/>
      <c r="E463" s="272"/>
      <c r="F463" s="272"/>
      <c r="G463" s="272"/>
      <c r="H463" s="272"/>
      <c r="I463" s="272"/>
      <c r="J463" s="59" t="s">
        <v>1415</v>
      </c>
      <c r="K463" s="1">
        <v>5960000</v>
      </c>
      <c r="L463" s="2">
        <v>44861</v>
      </c>
      <c r="M463" s="32"/>
      <c r="N463" s="32" t="s">
        <v>2381</v>
      </c>
      <c r="O463" s="51" t="s">
        <v>3519</v>
      </c>
      <c r="P463" s="38" t="s">
        <v>2383</v>
      </c>
    </row>
    <row r="464" spans="2:16" x14ac:dyDescent="0.25">
      <c r="B464" s="32">
        <v>452</v>
      </c>
      <c r="C464" s="229" t="s">
        <v>3523</v>
      </c>
      <c r="D464" s="229"/>
      <c r="E464" s="229"/>
      <c r="F464" s="229"/>
      <c r="G464" s="229"/>
      <c r="H464" s="229"/>
      <c r="I464" s="229"/>
      <c r="J464" s="59" t="s">
        <v>971</v>
      </c>
      <c r="K464" s="1">
        <v>11950000</v>
      </c>
      <c r="L464" s="2">
        <v>44862</v>
      </c>
      <c r="M464" s="32"/>
      <c r="N464" s="32">
        <v>3016975955</v>
      </c>
      <c r="O464" s="51" t="s">
        <v>3522</v>
      </c>
      <c r="P464" s="38" t="s">
        <v>3521</v>
      </c>
    </row>
    <row r="465" spans="2:16" x14ac:dyDescent="0.25">
      <c r="B465" s="32">
        <v>453</v>
      </c>
      <c r="C465" s="271" t="s">
        <v>3525</v>
      </c>
      <c r="D465" s="272"/>
      <c r="E465" s="272"/>
      <c r="F465" s="272"/>
      <c r="G465" s="272"/>
      <c r="H465" s="272"/>
      <c r="I465" s="272"/>
      <c r="J465" s="59" t="s">
        <v>2672</v>
      </c>
      <c r="K465" s="1">
        <v>5000000</v>
      </c>
      <c r="L465" s="2">
        <v>44862</v>
      </c>
      <c r="M465" s="32"/>
      <c r="N465" s="32"/>
      <c r="O465" s="51" t="s">
        <v>3524</v>
      </c>
      <c r="P465" s="38" t="s">
        <v>3505</v>
      </c>
    </row>
    <row r="466" spans="2:16" x14ac:dyDescent="0.25">
      <c r="B466" s="32">
        <v>454</v>
      </c>
      <c r="C466" s="229" t="s">
        <v>3526</v>
      </c>
      <c r="D466" s="229"/>
      <c r="E466" s="229"/>
      <c r="F466" s="229"/>
      <c r="G466" s="229"/>
      <c r="H466" s="229"/>
      <c r="I466" s="229"/>
      <c r="J466" s="59" t="s">
        <v>702</v>
      </c>
      <c r="K466" s="1">
        <v>17500000</v>
      </c>
      <c r="L466" s="2">
        <v>44862</v>
      </c>
      <c r="M466" s="72"/>
      <c r="N466" s="51">
        <v>3104165783</v>
      </c>
      <c r="O466" s="32" t="s">
        <v>2760</v>
      </c>
      <c r="P466" s="52" t="s">
        <v>2761</v>
      </c>
    </row>
    <row r="467" spans="2:16" x14ac:dyDescent="0.25">
      <c r="B467" s="32">
        <v>455</v>
      </c>
      <c r="C467" s="229" t="s">
        <v>3529</v>
      </c>
      <c r="D467" s="229"/>
      <c r="E467" s="229"/>
      <c r="F467" s="229"/>
      <c r="G467" s="229"/>
      <c r="H467" s="229"/>
      <c r="I467" s="229"/>
      <c r="J467" s="59" t="s">
        <v>702</v>
      </c>
      <c r="K467" s="1">
        <v>1950000</v>
      </c>
      <c r="L467" s="2">
        <v>44862</v>
      </c>
      <c r="M467" s="2"/>
      <c r="N467" s="32"/>
      <c r="O467" s="51" t="s">
        <v>3528</v>
      </c>
      <c r="P467" s="38" t="s">
        <v>3527</v>
      </c>
    </row>
    <row r="468" spans="2:16" x14ac:dyDescent="0.25">
      <c r="B468" s="32">
        <v>456</v>
      </c>
      <c r="C468" s="271" t="s">
        <v>3534</v>
      </c>
      <c r="D468" s="272"/>
      <c r="E468" s="272"/>
      <c r="F468" s="272"/>
      <c r="G468" s="272"/>
      <c r="H468" s="272"/>
      <c r="I468" s="272"/>
      <c r="J468" s="59" t="s">
        <v>3530</v>
      </c>
      <c r="K468" s="1">
        <v>3950000</v>
      </c>
      <c r="L468" s="2">
        <v>44865</v>
      </c>
      <c r="M468" s="32"/>
      <c r="N468" s="32">
        <v>3118766153</v>
      </c>
      <c r="O468" s="51" t="s">
        <v>3532</v>
      </c>
      <c r="P468" s="38" t="s">
        <v>3531</v>
      </c>
    </row>
    <row r="469" spans="2:16" x14ac:dyDescent="0.25">
      <c r="B469" s="32">
        <v>457</v>
      </c>
      <c r="C469" s="229" t="s">
        <v>3536</v>
      </c>
      <c r="D469" s="229"/>
      <c r="E469" s="229"/>
      <c r="F469" s="229"/>
      <c r="G469" s="229"/>
      <c r="H469" s="229"/>
      <c r="I469" s="229"/>
      <c r="J469" s="59" t="s">
        <v>847</v>
      </c>
      <c r="K469" s="1">
        <v>14350000</v>
      </c>
      <c r="L469" s="2">
        <v>44865</v>
      </c>
      <c r="M469" s="32"/>
      <c r="N469" s="32">
        <v>4443091</v>
      </c>
      <c r="O469" s="51" t="s">
        <v>3535</v>
      </c>
      <c r="P469" s="38" t="s">
        <v>3533</v>
      </c>
    </row>
    <row r="470" spans="2:16" x14ac:dyDescent="0.25">
      <c r="B470" s="32">
        <v>458</v>
      </c>
      <c r="C470" s="271" t="s">
        <v>3537</v>
      </c>
      <c r="D470" s="272"/>
      <c r="E470" s="272"/>
      <c r="F470" s="272"/>
      <c r="G470" s="272"/>
      <c r="H470" s="272"/>
      <c r="I470" s="272"/>
      <c r="J470" s="59" t="s">
        <v>2445</v>
      </c>
      <c r="K470" s="1">
        <v>28750000</v>
      </c>
      <c r="L470" s="2">
        <v>44572</v>
      </c>
      <c r="M470" s="32"/>
      <c r="N470" s="32"/>
      <c r="O470" s="51" t="s">
        <v>3539</v>
      </c>
      <c r="P470" s="52" t="s">
        <v>3538</v>
      </c>
    </row>
    <row r="471" spans="2:16" x14ac:dyDescent="0.25">
      <c r="B471" s="32">
        <v>459</v>
      </c>
      <c r="C471" s="229" t="s">
        <v>3543</v>
      </c>
      <c r="D471" s="229"/>
      <c r="E471" s="229"/>
      <c r="F471" s="229"/>
      <c r="G471" s="229"/>
      <c r="H471" s="229"/>
      <c r="I471" s="229"/>
      <c r="J471" s="59" t="s">
        <v>2593</v>
      </c>
      <c r="K471" s="1">
        <v>7450000</v>
      </c>
      <c r="L471" s="2">
        <v>44867</v>
      </c>
      <c r="M471" s="32" t="s">
        <v>3923</v>
      </c>
      <c r="N471" s="32" t="s">
        <v>3542</v>
      </c>
      <c r="O471" s="51" t="s">
        <v>3540</v>
      </c>
      <c r="P471" s="38" t="s">
        <v>3541</v>
      </c>
    </row>
    <row r="472" spans="2:16" x14ac:dyDescent="0.25">
      <c r="B472" s="32">
        <v>460</v>
      </c>
      <c r="C472" s="229" t="s">
        <v>3544</v>
      </c>
      <c r="D472" s="229"/>
      <c r="E472" s="229"/>
      <c r="F472" s="229"/>
      <c r="G472" s="229"/>
      <c r="H472" s="229"/>
      <c r="I472" s="229"/>
      <c r="J472" s="59" t="s">
        <v>2895</v>
      </c>
      <c r="K472" s="1">
        <v>9950000</v>
      </c>
      <c r="L472" s="2">
        <v>44867</v>
      </c>
      <c r="M472" s="32" t="s">
        <v>3923</v>
      </c>
      <c r="N472" s="32">
        <v>4480648</v>
      </c>
      <c r="O472" s="51" t="s">
        <v>2897</v>
      </c>
      <c r="P472" s="38" t="s">
        <v>2898</v>
      </c>
    </row>
    <row r="473" spans="2:16" x14ac:dyDescent="0.25">
      <c r="B473" s="32">
        <v>461</v>
      </c>
      <c r="C473" s="271" t="s">
        <v>3548</v>
      </c>
      <c r="D473" s="272"/>
      <c r="E473" s="272"/>
      <c r="F473" s="272"/>
      <c r="G473" s="272"/>
      <c r="H473" s="272"/>
      <c r="I473" s="272"/>
      <c r="J473" s="59" t="s">
        <v>3547</v>
      </c>
      <c r="K473" s="1">
        <v>17950000</v>
      </c>
      <c r="L473" s="2">
        <v>44868</v>
      </c>
      <c r="M473" s="32"/>
      <c r="N473" s="32">
        <v>3194807733</v>
      </c>
      <c r="O473" s="51" t="s">
        <v>3545</v>
      </c>
      <c r="P473" s="52" t="s">
        <v>3546</v>
      </c>
    </row>
    <row r="474" spans="2:16" x14ac:dyDescent="0.25">
      <c r="B474" s="32">
        <v>462</v>
      </c>
      <c r="C474" s="229" t="s">
        <v>3573</v>
      </c>
      <c r="D474" s="229"/>
      <c r="E474" s="229"/>
      <c r="F474" s="229"/>
      <c r="G474" s="229"/>
      <c r="H474" s="229"/>
      <c r="I474" s="229"/>
      <c r="J474" s="59" t="s">
        <v>702</v>
      </c>
      <c r="K474" s="1">
        <v>1250000</v>
      </c>
      <c r="L474" s="2">
        <v>44874</v>
      </c>
      <c r="M474" s="32"/>
      <c r="N474" s="32">
        <v>3104278593</v>
      </c>
      <c r="O474" s="51" t="s">
        <v>578</v>
      </c>
      <c r="P474" s="38" t="s">
        <v>3568</v>
      </c>
    </row>
    <row r="475" spans="2:16" x14ac:dyDescent="0.25">
      <c r="B475" s="32">
        <v>463</v>
      </c>
      <c r="C475" s="229" t="s">
        <v>3550</v>
      </c>
      <c r="D475" s="229"/>
      <c r="E475" s="229"/>
      <c r="F475" s="229"/>
      <c r="G475" s="229"/>
      <c r="H475" s="229"/>
      <c r="I475" s="229"/>
      <c r="J475" s="59" t="s">
        <v>3549</v>
      </c>
      <c r="K475" s="1">
        <v>7960000</v>
      </c>
      <c r="L475" s="2">
        <v>44874</v>
      </c>
      <c r="M475" s="32"/>
      <c r="N475" s="32">
        <v>3113079477</v>
      </c>
      <c r="O475" s="51" t="s">
        <v>2626</v>
      </c>
      <c r="P475" s="38" t="s">
        <v>1899</v>
      </c>
    </row>
    <row r="476" spans="2:16" x14ac:dyDescent="0.25">
      <c r="B476" s="32">
        <v>464</v>
      </c>
      <c r="C476" s="229" t="s">
        <v>3551</v>
      </c>
      <c r="D476" s="229"/>
      <c r="E476" s="229"/>
      <c r="F476" s="229"/>
      <c r="G476" s="229"/>
      <c r="H476" s="229"/>
      <c r="I476" s="229"/>
      <c r="J476" s="59" t="s">
        <v>3549</v>
      </c>
      <c r="K476" s="1">
        <v>7900000</v>
      </c>
      <c r="L476" s="2">
        <v>44874</v>
      </c>
      <c r="M476" s="32"/>
      <c r="N476" s="32">
        <v>3113079477</v>
      </c>
      <c r="O476" s="51" t="s">
        <v>2626</v>
      </c>
      <c r="P476" s="38" t="s">
        <v>1899</v>
      </c>
    </row>
    <row r="477" spans="2:16" x14ac:dyDescent="0.25">
      <c r="B477" s="32">
        <v>465</v>
      </c>
      <c r="C477" s="263" t="s">
        <v>3555</v>
      </c>
      <c r="D477" s="229"/>
      <c r="E477" s="229"/>
      <c r="F477" s="229"/>
      <c r="G477" s="229"/>
      <c r="H477" s="229"/>
      <c r="I477" s="229"/>
      <c r="J477" s="59" t="s">
        <v>2780</v>
      </c>
      <c r="K477" s="1">
        <v>29920000</v>
      </c>
      <c r="L477" s="2">
        <v>44874</v>
      </c>
      <c r="M477" s="32"/>
      <c r="N477" s="32" t="s">
        <v>3554</v>
      </c>
      <c r="O477" s="51" t="s">
        <v>3552</v>
      </c>
      <c r="P477" s="38" t="s">
        <v>3553</v>
      </c>
    </row>
    <row r="478" spans="2:16" x14ac:dyDescent="0.25">
      <c r="B478" s="32">
        <v>466</v>
      </c>
      <c r="C478" s="229" t="s">
        <v>3559</v>
      </c>
      <c r="D478" s="229"/>
      <c r="E478" s="229"/>
      <c r="F478" s="229"/>
      <c r="G478" s="229"/>
      <c r="H478" s="229"/>
      <c r="I478" s="229"/>
      <c r="J478" s="59" t="s">
        <v>3558</v>
      </c>
      <c r="K478" s="1"/>
      <c r="L478" s="2">
        <v>44869</v>
      </c>
      <c r="M478" s="32"/>
      <c r="N478" s="32">
        <v>3205535416</v>
      </c>
      <c r="O478" s="51" t="s">
        <v>3556</v>
      </c>
      <c r="P478" s="38" t="s">
        <v>3557</v>
      </c>
    </row>
    <row r="479" spans="2:16" x14ac:dyDescent="0.25">
      <c r="B479" s="32">
        <v>467</v>
      </c>
      <c r="C479" s="263" t="s">
        <v>3562</v>
      </c>
      <c r="D479" s="229"/>
      <c r="E479" s="229"/>
      <c r="F479" s="229"/>
      <c r="G479" s="229"/>
      <c r="H479" s="229"/>
      <c r="I479" s="229"/>
      <c r="J479" s="59" t="s">
        <v>2593</v>
      </c>
      <c r="K479" s="1">
        <v>13950000</v>
      </c>
      <c r="L479" s="2">
        <v>44873</v>
      </c>
      <c r="M479" s="32" t="s">
        <v>3923</v>
      </c>
      <c r="N479" s="32">
        <v>3217324763</v>
      </c>
      <c r="O479" s="51" t="s">
        <v>3560</v>
      </c>
      <c r="P479" s="38" t="s">
        <v>3217</v>
      </c>
    </row>
    <row r="480" spans="2:16" x14ac:dyDescent="0.25">
      <c r="B480" s="32">
        <v>468</v>
      </c>
      <c r="C480" s="276" t="s">
        <v>3561</v>
      </c>
      <c r="D480" s="265"/>
      <c r="E480" s="265"/>
      <c r="F480" s="265"/>
      <c r="G480" s="265"/>
      <c r="H480" s="265"/>
      <c r="I480" s="265"/>
      <c r="J480" s="59" t="s">
        <v>747</v>
      </c>
      <c r="K480" s="1">
        <v>3950000</v>
      </c>
      <c r="L480" s="2">
        <v>44874</v>
      </c>
      <c r="M480" s="32"/>
      <c r="N480" s="32">
        <v>3175594091</v>
      </c>
      <c r="O480" s="51" t="s">
        <v>2045</v>
      </c>
      <c r="P480" s="38" t="s">
        <v>748</v>
      </c>
    </row>
    <row r="481" spans="2:16" x14ac:dyDescent="0.25">
      <c r="B481" s="32">
        <v>469</v>
      </c>
      <c r="C481" s="229" t="s">
        <v>3563</v>
      </c>
      <c r="D481" s="229"/>
      <c r="E481" s="229"/>
      <c r="F481" s="229"/>
      <c r="G481" s="229"/>
      <c r="H481" s="229"/>
      <c r="I481" s="229"/>
      <c r="J481" s="59" t="s">
        <v>702</v>
      </c>
      <c r="K481" s="1">
        <v>1880000</v>
      </c>
      <c r="L481" s="2">
        <v>44874</v>
      </c>
      <c r="M481" s="32"/>
      <c r="N481" s="32">
        <v>3214826168</v>
      </c>
      <c r="O481" s="32" t="s">
        <v>2599</v>
      </c>
      <c r="P481" s="52" t="s">
        <v>2600</v>
      </c>
    </row>
    <row r="482" spans="2:16" x14ac:dyDescent="0.25">
      <c r="B482" s="32">
        <v>470</v>
      </c>
      <c r="C482" s="271" t="s">
        <v>3567</v>
      </c>
      <c r="D482" s="272"/>
      <c r="E482" s="272"/>
      <c r="F482" s="272"/>
      <c r="G482" s="272"/>
      <c r="H482" s="272"/>
      <c r="I482" s="272"/>
      <c r="J482" s="59" t="s">
        <v>3565</v>
      </c>
      <c r="K482" s="1">
        <v>7900000</v>
      </c>
      <c r="L482" s="2">
        <v>44874</v>
      </c>
      <c r="M482" s="32"/>
      <c r="N482" s="32">
        <v>3238128214</v>
      </c>
      <c r="O482" s="51" t="s">
        <v>3564</v>
      </c>
      <c r="P482" s="38" t="s">
        <v>3566</v>
      </c>
    </row>
    <row r="483" spans="2:16" x14ac:dyDescent="0.25">
      <c r="B483" s="32">
        <v>471</v>
      </c>
      <c r="C483" s="229" t="s">
        <v>3569</v>
      </c>
      <c r="D483" s="229"/>
      <c r="E483" s="229"/>
      <c r="F483" s="229"/>
      <c r="G483" s="229"/>
      <c r="H483" s="229"/>
      <c r="I483" s="229"/>
      <c r="J483" s="59" t="s">
        <v>702</v>
      </c>
      <c r="K483" s="1">
        <v>2250000</v>
      </c>
      <c r="L483" s="2">
        <v>44874</v>
      </c>
      <c r="M483" s="32"/>
      <c r="N483" s="32">
        <v>3104278593</v>
      </c>
      <c r="O483" s="51" t="s">
        <v>578</v>
      </c>
      <c r="P483" s="38" t="s">
        <v>3568</v>
      </c>
    </row>
    <row r="484" spans="2:16" x14ac:dyDescent="0.25">
      <c r="B484" s="32">
        <v>472</v>
      </c>
      <c r="C484" s="229" t="s">
        <v>3570</v>
      </c>
      <c r="D484" s="229"/>
      <c r="E484" s="229"/>
      <c r="F484" s="229"/>
      <c r="G484" s="229"/>
      <c r="H484" s="229"/>
      <c r="I484" s="229"/>
      <c r="J484" s="59" t="s">
        <v>3571</v>
      </c>
      <c r="K484" s="1">
        <v>7800000</v>
      </c>
      <c r="L484" s="2">
        <v>44874</v>
      </c>
      <c r="M484" s="32"/>
      <c r="N484" s="32" t="s">
        <v>3572</v>
      </c>
      <c r="O484" s="51" t="s">
        <v>2607</v>
      </c>
      <c r="P484" s="52" t="s">
        <v>2608</v>
      </c>
    </row>
    <row r="485" spans="2:16" x14ac:dyDescent="0.25">
      <c r="B485" s="32">
        <v>473</v>
      </c>
      <c r="C485" s="229" t="s">
        <v>3574</v>
      </c>
      <c r="D485" s="229"/>
      <c r="E485" s="229"/>
      <c r="F485" s="229"/>
      <c r="G485" s="229"/>
      <c r="H485" s="229"/>
      <c r="I485" s="229"/>
      <c r="J485" s="59" t="s">
        <v>1139</v>
      </c>
      <c r="K485" s="1">
        <v>5050000</v>
      </c>
      <c r="L485" s="2">
        <v>44875</v>
      </c>
      <c r="M485" s="32" t="s">
        <v>3923</v>
      </c>
      <c r="N485" s="32"/>
      <c r="O485" s="51" t="s">
        <v>3575</v>
      </c>
      <c r="P485" s="38"/>
    </row>
    <row r="486" spans="2:16" x14ac:dyDescent="0.25">
      <c r="B486" s="32">
        <v>474</v>
      </c>
      <c r="C486" s="229" t="s">
        <v>3579</v>
      </c>
      <c r="D486" s="229"/>
      <c r="E486" s="229"/>
      <c r="F486" s="229"/>
      <c r="G486" s="229"/>
      <c r="H486" s="229"/>
      <c r="I486" s="229"/>
      <c r="J486" s="59" t="s">
        <v>702</v>
      </c>
      <c r="K486" s="1">
        <v>1250000</v>
      </c>
      <c r="L486" s="2">
        <v>44881</v>
      </c>
      <c r="M486" s="32"/>
      <c r="N486" s="32"/>
      <c r="O486" s="51" t="s">
        <v>229</v>
      </c>
      <c r="P486" s="38" t="s">
        <v>2504</v>
      </c>
    </row>
    <row r="487" spans="2:16" x14ac:dyDescent="0.25">
      <c r="B487" s="32">
        <v>475</v>
      </c>
      <c r="C487" s="263" t="s">
        <v>3606</v>
      </c>
      <c r="D487" s="229"/>
      <c r="E487" s="229"/>
      <c r="F487" s="229"/>
      <c r="G487" s="229"/>
      <c r="H487" s="229"/>
      <c r="I487" s="229"/>
      <c r="J487" s="59" t="s">
        <v>851</v>
      </c>
      <c r="K487" s="1">
        <v>27600000</v>
      </c>
      <c r="L487" s="2">
        <v>44876</v>
      </c>
      <c r="M487" s="32"/>
      <c r="N487" s="32">
        <v>3206678830</v>
      </c>
      <c r="O487" s="51" t="s">
        <v>284</v>
      </c>
      <c r="P487" s="38" t="s">
        <v>948</v>
      </c>
    </row>
    <row r="488" spans="2:16" x14ac:dyDescent="0.25">
      <c r="B488" s="32">
        <v>476</v>
      </c>
      <c r="C488" s="263" t="s">
        <v>3577</v>
      </c>
      <c r="D488" s="229"/>
      <c r="E488" s="229"/>
      <c r="F488" s="229"/>
      <c r="G488" s="229"/>
      <c r="H488" s="229"/>
      <c r="I488" s="229"/>
      <c r="J488" s="59" t="s">
        <v>702</v>
      </c>
      <c r="K488" s="1"/>
      <c r="L488" s="2">
        <v>44876</v>
      </c>
      <c r="M488" s="32"/>
      <c r="N488" s="32">
        <v>3104165783</v>
      </c>
      <c r="O488" s="51" t="s">
        <v>3576</v>
      </c>
      <c r="P488" s="38" t="s">
        <v>2761</v>
      </c>
    </row>
    <row r="489" spans="2:16" x14ac:dyDescent="0.25">
      <c r="B489" s="32">
        <v>477</v>
      </c>
      <c r="C489" s="229" t="s">
        <v>3578</v>
      </c>
      <c r="D489" s="229"/>
      <c r="E489" s="229"/>
      <c r="F489" s="229"/>
      <c r="G489" s="229"/>
      <c r="H489" s="229"/>
      <c r="I489" s="229"/>
      <c r="J489" s="59" t="s">
        <v>3681</v>
      </c>
      <c r="K489" s="1">
        <v>6250000</v>
      </c>
      <c r="L489" s="2">
        <v>44881</v>
      </c>
      <c r="M489" s="32"/>
      <c r="N489" s="32">
        <v>350614861</v>
      </c>
      <c r="O489" s="51" t="s">
        <v>3580</v>
      </c>
      <c r="P489" s="38" t="s">
        <v>1863</v>
      </c>
    </row>
    <row r="490" spans="2:16" x14ac:dyDescent="0.25">
      <c r="B490" s="32">
        <v>478</v>
      </c>
      <c r="C490" s="229" t="s">
        <v>3581</v>
      </c>
      <c r="D490" s="229"/>
      <c r="E490" s="229"/>
      <c r="F490" s="229"/>
      <c r="G490" s="229"/>
      <c r="H490" s="229"/>
      <c r="I490" s="229"/>
      <c r="J490" s="59" t="s">
        <v>702</v>
      </c>
      <c r="K490" s="1">
        <v>1880000</v>
      </c>
      <c r="L490" s="2">
        <v>44883</v>
      </c>
      <c r="M490" s="32"/>
      <c r="N490" s="32">
        <v>3137546144</v>
      </c>
      <c r="O490" s="51" t="s">
        <v>229</v>
      </c>
      <c r="P490" s="38" t="s">
        <v>2504</v>
      </c>
    </row>
    <row r="491" spans="2:16" x14ac:dyDescent="0.25">
      <c r="B491" s="32">
        <v>479</v>
      </c>
      <c r="C491" s="271" t="s">
        <v>3582</v>
      </c>
      <c r="D491" s="272"/>
      <c r="E491" s="272"/>
      <c r="F491" s="272"/>
      <c r="G491" s="272"/>
      <c r="H491" s="272"/>
      <c r="I491" s="272"/>
      <c r="J491" s="59" t="s">
        <v>702</v>
      </c>
      <c r="K491" s="1">
        <v>1250000</v>
      </c>
      <c r="L491" s="2">
        <v>44883</v>
      </c>
      <c r="M491" s="32"/>
      <c r="N491" s="32">
        <v>3137546144</v>
      </c>
      <c r="O491" s="51" t="s">
        <v>229</v>
      </c>
      <c r="P491" s="38" t="s">
        <v>2504</v>
      </c>
    </row>
    <row r="492" spans="2:16" x14ac:dyDescent="0.25">
      <c r="B492" s="32">
        <v>480</v>
      </c>
      <c r="C492" s="229" t="s">
        <v>3583</v>
      </c>
      <c r="D492" s="229"/>
      <c r="E492" s="229"/>
      <c r="F492" s="229"/>
      <c r="G492" s="229"/>
      <c r="H492" s="229"/>
      <c r="I492" s="229"/>
      <c r="J492" s="59" t="s">
        <v>702</v>
      </c>
      <c r="K492" s="1">
        <v>6270000</v>
      </c>
      <c r="L492" s="2">
        <v>44883</v>
      </c>
      <c r="M492" s="32"/>
      <c r="N492" s="32"/>
      <c r="O492" s="51" t="s">
        <v>3242</v>
      </c>
      <c r="P492" s="38" t="s">
        <v>2761</v>
      </c>
    </row>
    <row r="493" spans="2:16" x14ac:dyDescent="0.25">
      <c r="B493" s="32">
        <v>481</v>
      </c>
      <c r="C493" s="229" t="s">
        <v>3586</v>
      </c>
      <c r="D493" s="229"/>
      <c r="E493" s="229"/>
      <c r="F493" s="229"/>
      <c r="G493" s="229"/>
      <c r="H493" s="229"/>
      <c r="I493" s="229"/>
      <c r="J493" s="74" t="s">
        <v>3464</v>
      </c>
      <c r="K493" s="1">
        <v>14950000</v>
      </c>
      <c r="L493" s="2">
        <v>44883</v>
      </c>
      <c r="M493" s="32" t="s">
        <v>3923</v>
      </c>
      <c r="N493" s="32" t="s">
        <v>3585</v>
      </c>
      <c r="O493" s="51" t="s">
        <v>3584</v>
      </c>
      <c r="P493" s="38" t="s">
        <v>1075</v>
      </c>
    </row>
    <row r="494" spans="2:16" x14ac:dyDescent="0.25">
      <c r="B494" s="32">
        <v>482</v>
      </c>
      <c r="C494" s="271" t="s">
        <v>3587</v>
      </c>
      <c r="D494" s="272"/>
      <c r="E494" s="272"/>
      <c r="F494" s="272"/>
      <c r="G494" s="272"/>
      <c r="H494" s="272"/>
      <c r="I494" s="272"/>
      <c r="J494" s="59" t="s">
        <v>702</v>
      </c>
      <c r="K494" s="1">
        <v>1780000</v>
      </c>
      <c r="L494" s="2">
        <v>44886</v>
      </c>
      <c r="M494" s="32"/>
      <c r="N494" s="32">
        <v>3146920966</v>
      </c>
      <c r="O494" s="84" t="s">
        <v>2660</v>
      </c>
      <c r="P494" s="82" t="s">
        <v>2661</v>
      </c>
    </row>
    <row r="495" spans="2:16" x14ac:dyDescent="0.25">
      <c r="B495" s="32">
        <v>483</v>
      </c>
      <c r="C495" s="229" t="s">
        <v>3594</v>
      </c>
      <c r="D495" s="229"/>
      <c r="E495" s="229"/>
      <c r="F495" s="229"/>
      <c r="G495" s="229"/>
      <c r="H495" s="229"/>
      <c r="I495" s="229"/>
      <c r="J495" s="59" t="s">
        <v>747</v>
      </c>
      <c r="K495" s="1">
        <v>3880000</v>
      </c>
      <c r="L495" s="2">
        <v>44887</v>
      </c>
      <c r="M495" s="32"/>
      <c r="N495" s="32">
        <v>3175594091</v>
      </c>
      <c r="O495" s="32" t="s">
        <v>3588</v>
      </c>
      <c r="P495" s="82" t="s">
        <v>748</v>
      </c>
    </row>
    <row r="496" spans="2:16" x14ac:dyDescent="0.25">
      <c r="B496" s="32">
        <v>484</v>
      </c>
      <c r="C496" s="263" t="s">
        <v>3591</v>
      </c>
      <c r="D496" s="229"/>
      <c r="E496" s="229"/>
      <c r="F496" s="229"/>
      <c r="G496" s="229"/>
      <c r="H496" s="229"/>
      <c r="I496" s="229"/>
      <c r="J496" s="59" t="s">
        <v>771</v>
      </c>
      <c r="K496" s="1">
        <v>23950000</v>
      </c>
      <c r="L496" s="2">
        <v>44888</v>
      </c>
      <c r="M496" s="32"/>
      <c r="N496" s="32"/>
      <c r="O496" s="51" t="s">
        <v>3589</v>
      </c>
      <c r="P496" s="52" t="s">
        <v>3590</v>
      </c>
    </row>
    <row r="497" spans="2:16" x14ac:dyDescent="0.25">
      <c r="B497" s="32">
        <v>485</v>
      </c>
      <c r="C497" s="229" t="s">
        <v>3592</v>
      </c>
      <c r="D497" s="229"/>
      <c r="E497" s="229"/>
      <c r="F497" s="229"/>
      <c r="G497" s="229"/>
      <c r="H497" s="229"/>
      <c r="I497" s="229"/>
      <c r="J497" s="59" t="s">
        <v>702</v>
      </c>
      <c r="K497" s="1">
        <v>7500000</v>
      </c>
      <c r="L497" s="2">
        <v>44889</v>
      </c>
      <c r="M497" s="32" t="s">
        <v>3923</v>
      </c>
      <c r="N497" s="32">
        <v>3104278593</v>
      </c>
      <c r="O497" s="32" t="s">
        <v>2660</v>
      </c>
      <c r="P497" s="38" t="s">
        <v>2661</v>
      </c>
    </row>
    <row r="498" spans="2:16" x14ac:dyDescent="0.25">
      <c r="B498" s="32">
        <v>486</v>
      </c>
      <c r="C498" s="229" t="s">
        <v>3593</v>
      </c>
      <c r="D498" s="229"/>
      <c r="E498" s="229"/>
      <c r="F498" s="229"/>
      <c r="G498" s="229"/>
      <c r="H498" s="229"/>
      <c r="I498" s="229"/>
      <c r="J498" s="59" t="s">
        <v>702</v>
      </c>
      <c r="K498" s="1">
        <v>3000000</v>
      </c>
      <c r="L498" s="2">
        <v>44889</v>
      </c>
      <c r="M498" s="32" t="s">
        <v>3923</v>
      </c>
      <c r="N498" s="32">
        <v>3104278593</v>
      </c>
      <c r="O498" s="32" t="s">
        <v>2660</v>
      </c>
      <c r="P498" s="38" t="s">
        <v>2661</v>
      </c>
    </row>
    <row r="499" spans="2:16" x14ac:dyDescent="0.25">
      <c r="B499" s="32">
        <v>487</v>
      </c>
      <c r="C499" s="229" t="s">
        <v>3596</v>
      </c>
      <c r="D499" s="229"/>
      <c r="E499" s="229"/>
      <c r="F499" s="229"/>
      <c r="G499" s="229"/>
      <c r="H499" s="229"/>
      <c r="I499" s="229"/>
      <c r="J499" s="59" t="s">
        <v>1343</v>
      </c>
      <c r="K499" s="1">
        <v>18950000</v>
      </c>
      <c r="L499" s="2">
        <v>44889</v>
      </c>
      <c r="M499" s="32"/>
      <c r="N499" s="32">
        <v>3004659012</v>
      </c>
      <c r="O499" s="51" t="s">
        <v>3595</v>
      </c>
      <c r="P499" s="38" t="s">
        <v>1748</v>
      </c>
    </row>
    <row r="500" spans="2:16" x14ac:dyDescent="0.25">
      <c r="B500" s="32">
        <v>488</v>
      </c>
      <c r="C500" s="263" t="s">
        <v>3605</v>
      </c>
      <c r="D500" s="229"/>
      <c r="E500" s="229"/>
      <c r="F500" s="229"/>
      <c r="G500" s="229"/>
      <c r="H500" s="229"/>
      <c r="I500" s="229"/>
      <c r="J500" s="59" t="s">
        <v>3597</v>
      </c>
      <c r="K500" s="1">
        <v>28970000</v>
      </c>
      <c r="L500" s="2">
        <v>44889</v>
      </c>
      <c r="M500" s="32"/>
      <c r="N500" s="32" t="s">
        <v>3600</v>
      </c>
      <c r="O500" s="51" t="s">
        <v>3598</v>
      </c>
      <c r="P500" s="66" t="s">
        <v>3599</v>
      </c>
    </row>
    <row r="501" spans="2:16" x14ac:dyDescent="0.25">
      <c r="B501" s="32">
        <v>489</v>
      </c>
      <c r="C501" s="263" t="s">
        <v>3596</v>
      </c>
      <c r="D501" s="229"/>
      <c r="E501" s="229"/>
      <c r="F501" s="229"/>
      <c r="G501" s="229"/>
      <c r="H501" s="229"/>
      <c r="I501" s="229"/>
      <c r="J501" s="59" t="s">
        <v>702</v>
      </c>
      <c r="K501" s="1">
        <v>18950000</v>
      </c>
      <c r="L501" s="2">
        <v>44889</v>
      </c>
      <c r="M501" s="32"/>
      <c r="N501" s="32">
        <v>3104165783</v>
      </c>
      <c r="O501" s="51" t="s">
        <v>3601</v>
      </c>
      <c r="P501" s="38" t="s">
        <v>2761</v>
      </c>
    </row>
    <row r="502" spans="2:16" x14ac:dyDescent="0.25">
      <c r="B502" s="32">
        <v>490</v>
      </c>
      <c r="C502" s="229" t="s">
        <v>3602</v>
      </c>
      <c r="D502" s="229"/>
      <c r="E502" s="229"/>
      <c r="F502" s="229"/>
      <c r="G502" s="229"/>
      <c r="H502" s="229"/>
      <c r="I502" s="229"/>
      <c r="J502" s="59" t="s">
        <v>1139</v>
      </c>
      <c r="K502" s="1">
        <v>7900000</v>
      </c>
      <c r="L502" s="2">
        <v>44889</v>
      </c>
      <c r="M502" s="32"/>
      <c r="N502" s="32">
        <v>3003675022</v>
      </c>
      <c r="O502" s="84" t="s">
        <v>3604</v>
      </c>
      <c r="P502" s="85" t="s">
        <v>1307</v>
      </c>
    </row>
    <row r="503" spans="2:16" x14ac:dyDescent="0.25">
      <c r="B503" s="32">
        <v>491</v>
      </c>
      <c r="C503" s="229" t="s">
        <v>3603</v>
      </c>
      <c r="D503" s="229"/>
      <c r="E503" s="229"/>
      <c r="F503" s="229"/>
      <c r="G503" s="229"/>
      <c r="H503" s="229"/>
      <c r="I503" s="229"/>
      <c r="J503" s="59" t="s">
        <v>702</v>
      </c>
      <c r="K503" s="1">
        <v>11290000</v>
      </c>
      <c r="L503" s="2">
        <v>44889</v>
      </c>
      <c r="M503" s="32"/>
      <c r="N503" s="32">
        <v>3104165783</v>
      </c>
      <c r="O503" s="51" t="s">
        <v>3242</v>
      </c>
      <c r="P503" s="38" t="s">
        <v>2761</v>
      </c>
    </row>
    <row r="504" spans="2:16" x14ac:dyDescent="0.25">
      <c r="B504" s="32">
        <v>492</v>
      </c>
      <c r="C504" s="229" t="s">
        <v>3607</v>
      </c>
      <c r="D504" s="229"/>
      <c r="E504" s="229"/>
      <c r="F504" s="229"/>
      <c r="G504" s="229"/>
      <c r="H504" s="229"/>
      <c r="I504" s="229"/>
      <c r="J504" s="59" t="s">
        <v>3608</v>
      </c>
      <c r="K504" s="1">
        <v>1950000</v>
      </c>
      <c r="L504" s="2">
        <v>44890</v>
      </c>
      <c r="M504" s="32"/>
      <c r="N504" s="32">
        <v>3014487912</v>
      </c>
      <c r="O504" s="39" t="s">
        <v>706</v>
      </c>
      <c r="P504" s="38" t="s">
        <v>707</v>
      </c>
    </row>
    <row r="505" spans="2:16" x14ac:dyDescent="0.25">
      <c r="B505" s="32">
        <v>493</v>
      </c>
      <c r="C505" s="229" t="s">
        <v>3610</v>
      </c>
      <c r="D505" s="229"/>
      <c r="E505" s="229"/>
      <c r="F505" s="229"/>
      <c r="G505" s="229"/>
      <c r="H505" s="229"/>
      <c r="I505" s="229"/>
      <c r="J505" s="59" t="s">
        <v>3609</v>
      </c>
      <c r="K505" s="1">
        <v>9790000</v>
      </c>
      <c r="L505" s="2">
        <v>44891</v>
      </c>
      <c r="M505" s="32" t="s">
        <v>3923</v>
      </c>
      <c r="N505" s="32" t="s">
        <v>3613</v>
      </c>
      <c r="O505" s="51" t="s">
        <v>3611</v>
      </c>
      <c r="P505" s="38" t="s">
        <v>3612</v>
      </c>
    </row>
    <row r="506" spans="2:16" x14ac:dyDescent="0.25">
      <c r="B506" s="32">
        <v>494</v>
      </c>
      <c r="C506" s="229" t="s">
        <v>3614</v>
      </c>
      <c r="D506" s="229"/>
      <c r="E506" s="229"/>
      <c r="F506" s="229"/>
      <c r="G506" s="229"/>
      <c r="H506" s="229"/>
      <c r="I506" s="229"/>
      <c r="J506" s="59" t="s">
        <v>3511</v>
      </c>
      <c r="K506" s="1">
        <v>5640000</v>
      </c>
      <c r="L506" s="2">
        <v>44893</v>
      </c>
      <c r="M506" s="32"/>
      <c r="N506" s="32" t="s">
        <v>3512</v>
      </c>
      <c r="O506" s="51" t="s">
        <v>3507</v>
      </c>
      <c r="P506" s="38" t="s">
        <v>3506</v>
      </c>
    </row>
    <row r="507" spans="2:16" ht="15" customHeight="1" x14ac:dyDescent="0.25">
      <c r="B507" s="32">
        <v>495</v>
      </c>
      <c r="C507" s="229" t="s">
        <v>3617</v>
      </c>
      <c r="D507" s="229"/>
      <c r="E507" s="229"/>
      <c r="F507" s="229"/>
      <c r="G507" s="229"/>
      <c r="H507" s="229"/>
      <c r="I507" s="229"/>
      <c r="J507" s="59" t="s">
        <v>3618</v>
      </c>
      <c r="K507" s="1">
        <v>12950000</v>
      </c>
      <c r="L507" s="2">
        <v>44893</v>
      </c>
      <c r="M507" s="32"/>
      <c r="N507" s="32">
        <v>3164002004</v>
      </c>
      <c r="O507" s="51" t="s">
        <v>3615</v>
      </c>
      <c r="P507" s="38" t="s">
        <v>3616</v>
      </c>
    </row>
    <row r="508" spans="2:16" x14ac:dyDescent="0.25">
      <c r="B508" s="32">
        <v>496</v>
      </c>
      <c r="C508" s="263" t="s">
        <v>4828</v>
      </c>
      <c r="D508" s="229"/>
      <c r="E508" s="229"/>
      <c r="F508" s="229"/>
      <c r="G508" s="229"/>
      <c r="H508" s="229"/>
      <c r="I508" s="229"/>
      <c r="J508" s="59" t="s">
        <v>702</v>
      </c>
      <c r="K508" s="1">
        <v>2450000</v>
      </c>
      <c r="L508" s="2">
        <v>44894</v>
      </c>
      <c r="M508" s="32"/>
      <c r="N508" s="32">
        <v>3104165783</v>
      </c>
      <c r="O508" s="51" t="s">
        <v>3576</v>
      </c>
      <c r="P508" s="38" t="s">
        <v>2761</v>
      </c>
    </row>
    <row r="509" spans="2:16" ht="15" customHeight="1" x14ac:dyDescent="0.25">
      <c r="B509" s="32">
        <v>497</v>
      </c>
      <c r="C509" s="263" t="s">
        <v>3622</v>
      </c>
      <c r="D509" s="229"/>
      <c r="E509" s="229"/>
      <c r="F509" s="229"/>
      <c r="G509" s="229"/>
      <c r="H509" s="229"/>
      <c r="I509" s="229"/>
      <c r="J509" s="59" t="s">
        <v>1177</v>
      </c>
      <c r="K509" s="1">
        <v>9950000</v>
      </c>
      <c r="L509" s="2">
        <v>44894</v>
      </c>
      <c r="M509" s="32"/>
      <c r="N509" s="32" t="s">
        <v>3621</v>
      </c>
      <c r="O509" s="51" t="s">
        <v>3619</v>
      </c>
      <c r="P509" s="38" t="s">
        <v>3620</v>
      </c>
    </row>
    <row r="510" spans="2:16" x14ac:dyDescent="0.25">
      <c r="B510" s="32">
        <v>498</v>
      </c>
      <c r="C510" s="229" t="s">
        <v>3623</v>
      </c>
      <c r="D510" s="229"/>
      <c r="E510" s="229"/>
      <c r="F510" s="229"/>
      <c r="G510" s="229"/>
      <c r="H510" s="229"/>
      <c r="I510" s="229"/>
      <c r="J510" s="59" t="s">
        <v>1875</v>
      </c>
      <c r="K510" s="1">
        <v>14950000</v>
      </c>
      <c r="L510" s="2">
        <v>44895</v>
      </c>
      <c r="M510" s="32"/>
      <c r="N510" s="32">
        <v>3113391008</v>
      </c>
      <c r="O510" s="51" t="s">
        <v>2560</v>
      </c>
      <c r="P510" s="38" t="s">
        <v>2561</v>
      </c>
    </row>
    <row r="511" spans="2:16" x14ac:dyDescent="0.25">
      <c r="B511" s="32">
        <v>499</v>
      </c>
      <c r="C511" s="229" t="s">
        <v>3610</v>
      </c>
      <c r="D511" s="229"/>
      <c r="E511" s="229"/>
      <c r="F511" s="229"/>
      <c r="G511" s="229"/>
      <c r="H511" s="229"/>
      <c r="I511" s="229"/>
      <c r="J511" s="59" t="s">
        <v>702</v>
      </c>
      <c r="K511" s="1">
        <v>9790000</v>
      </c>
      <c r="L511" s="2">
        <v>44895</v>
      </c>
      <c r="M511" s="32" t="s">
        <v>3923</v>
      </c>
      <c r="N511" s="32">
        <v>3104165783</v>
      </c>
      <c r="O511" s="51" t="s">
        <v>3242</v>
      </c>
      <c r="P511" s="38" t="s">
        <v>2761</v>
      </c>
    </row>
    <row r="512" spans="2:16" x14ac:dyDescent="0.25">
      <c r="B512" s="32">
        <v>500</v>
      </c>
      <c r="C512" s="229" t="s">
        <v>3625</v>
      </c>
      <c r="D512" s="229"/>
      <c r="E512" s="229"/>
      <c r="F512" s="229"/>
      <c r="G512" s="229"/>
      <c r="H512" s="229"/>
      <c r="I512" s="229"/>
      <c r="J512" s="59" t="s">
        <v>3549</v>
      </c>
      <c r="K512" s="1">
        <v>14420000</v>
      </c>
      <c r="L512" s="2">
        <v>44901</v>
      </c>
      <c r="M512" s="32"/>
      <c r="N512" s="32" t="s">
        <v>1897</v>
      </c>
      <c r="O512" s="51" t="s">
        <v>3624</v>
      </c>
      <c r="P512" s="38" t="s">
        <v>1899</v>
      </c>
    </row>
    <row r="513" spans="2:16" x14ac:dyDescent="0.25">
      <c r="B513" s="32">
        <v>501</v>
      </c>
      <c r="C513" s="229" t="s">
        <v>3626</v>
      </c>
      <c r="D513" s="229"/>
      <c r="E513" s="229"/>
      <c r="F513" s="229"/>
      <c r="G513" s="229"/>
      <c r="H513" s="229"/>
      <c r="I513" s="229"/>
      <c r="J513" s="59" t="s">
        <v>702</v>
      </c>
      <c r="K513" s="1">
        <v>24950000</v>
      </c>
      <c r="L513" s="2">
        <v>44901</v>
      </c>
      <c r="M513" s="32"/>
      <c r="N513" s="32">
        <v>3104165783</v>
      </c>
      <c r="O513" s="51" t="s">
        <v>3242</v>
      </c>
      <c r="P513" s="38" t="s">
        <v>2761</v>
      </c>
    </row>
    <row r="514" spans="2:16" x14ac:dyDescent="0.25">
      <c r="B514" s="32">
        <v>502</v>
      </c>
      <c r="C514" s="271" t="s">
        <v>3627</v>
      </c>
      <c r="D514" s="272"/>
      <c r="E514" s="272"/>
      <c r="F514" s="272"/>
      <c r="G514" s="272"/>
      <c r="H514" s="272"/>
      <c r="I514" s="272"/>
      <c r="J514" s="59" t="s">
        <v>3571</v>
      </c>
      <c r="K514" s="1">
        <v>7450000</v>
      </c>
      <c r="L514" s="2">
        <v>44900</v>
      </c>
      <c r="M514" s="32"/>
      <c r="N514" s="32" t="s">
        <v>2606</v>
      </c>
      <c r="O514" s="51" t="s">
        <v>2607</v>
      </c>
      <c r="P514" s="52" t="s">
        <v>2608</v>
      </c>
    </row>
    <row r="515" spans="2:16" x14ac:dyDescent="0.25">
      <c r="B515" s="32">
        <v>503</v>
      </c>
      <c r="C515" s="271" t="s">
        <v>3631</v>
      </c>
      <c r="D515" s="272"/>
      <c r="E515" s="272"/>
      <c r="F515" s="272"/>
      <c r="G515" s="272"/>
      <c r="H515" s="272"/>
      <c r="I515" s="272"/>
      <c r="J515" s="59" t="s">
        <v>3628</v>
      </c>
      <c r="K515" s="1">
        <v>7950000</v>
      </c>
      <c r="L515" s="2">
        <v>44900</v>
      </c>
      <c r="M515" s="32" t="s">
        <v>3923</v>
      </c>
      <c r="N515" s="32"/>
      <c r="O515" s="51" t="s">
        <v>3630</v>
      </c>
      <c r="P515" s="66" t="s">
        <v>3629</v>
      </c>
    </row>
    <row r="516" spans="2:16" x14ac:dyDescent="0.25">
      <c r="B516" s="32">
        <v>504</v>
      </c>
      <c r="C516" s="229" t="s">
        <v>3633</v>
      </c>
      <c r="D516" s="229"/>
      <c r="E516" s="229"/>
      <c r="F516" s="229"/>
      <c r="G516" s="229"/>
      <c r="H516" s="229"/>
      <c r="I516" s="229"/>
      <c r="J516" s="59" t="s">
        <v>3549</v>
      </c>
      <c r="K516" s="1">
        <v>1350000</v>
      </c>
      <c r="L516" s="2">
        <v>44901</v>
      </c>
      <c r="M516" s="32"/>
      <c r="N516" s="32" t="s">
        <v>1897</v>
      </c>
      <c r="O516" s="51" t="s">
        <v>3632</v>
      </c>
      <c r="P516" s="38" t="s">
        <v>1899</v>
      </c>
    </row>
    <row r="517" spans="2:16" x14ac:dyDescent="0.25">
      <c r="B517" s="32">
        <v>505</v>
      </c>
      <c r="C517" s="229" t="s">
        <v>3634</v>
      </c>
      <c r="D517" s="229"/>
      <c r="E517" s="229"/>
      <c r="F517" s="229"/>
      <c r="G517" s="229"/>
      <c r="H517" s="229"/>
      <c r="I517" s="229"/>
      <c r="J517" s="59" t="s">
        <v>2672</v>
      </c>
      <c r="K517" s="1">
        <v>1640000</v>
      </c>
      <c r="L517" s="2">
        <v>44901</v>
      </c>
      <c r="M517" s="32"/>
      <c r="N517" s="32"/>
      <c r="O517" s="51" t="s">
        <v>3635</v>
      </c>
      <c r="P517" s="38"/>
    </row>
    <row r="518" spans="2:16" x14ac:dyDescent="0.25">
      <c r="B518" s="32">
        <v>506</v>
      </c>
      <c r="C518" s="229" t="s">
        <v>3638</v>
      </c>
      <c r="D518" s="229"/>
      <c r="E518" s="229"/>
      <c r="F518" s="229"/>
      <c r="G518" s="229"/>
      <c r="H518" s="229"/>
      <c r="I518" s="229"/>
      <c r="J518" s="59" t="s">
        <v>702</v>
      </c>
      <c r="K518" s="1">
        <v>4950000</v>
      </c>
      <c r="L518" s="2">
        <v>44901</v>
      </c>
      <c r="M518" s="32"/>
      <c r="N518" s="32" t="s">
        <v>3637</v>
      </c>
      <c r="O518" s="51" t="s">
        <v>3636</v>
      </c>
      <c r="P518" s="38" t="s">
        <v>1238</v>
      </c>
    </row>
    <row r="519" spans="2:16" x14ac:dyDescent="0.25">
      <c r="B519" s="32">
        <v>507</v>
      </c>
      <c r="C519" s="229" t="s">
        <v>3639</v>
      </c>
      <c r="D519" s="229"/>
      <c r="E519" s="229"/>
      <c r="F519" s="229"/>
      <c r="G519" s="229"/>
      <c r="H519" s="229"/>
      <c r="I519" s="229"/>
      <c r="J519" s="59" t="s">
        <v>3640</v>
      </c>
      <c r="K519" s="1"/>
      <c r="L519" s="2">
        <v>44902</v>
      </c>
      <c r="M519" s="32"/>
      <c r="N519" s="32" t="s">
        <v>3642</v>
      </c>
      <c r="O519" s="51" t="s">
        <v>3641</v>
      </c>
      <c r="P519" s="52" t="s">
        <v>3643</v>
      </c>
    </row>
    <row r="520" spans="2:16" ht="15" customHeight="1" x14ac:dyDescent="0.25">
      <c r="B520" s="32">
        <v>508</v>
      </c>
      <c r="C520" s="271" t="s">
        <v>3646</v>
      </c>
      <c r="D520" s="272"/>
      <c r="E520" s="272"/>
      <c r="F520" s="272"/>
      <c r="G520" s="272"/>
      <c r="H520" s="272"/>
      <c r="I520" s="272"/>
      <c r="J520" s="59" t="s">
        <v>1139</v>
      </c>
      <c r="K520" s="1"/>
      <c r="L520" s="2">
        <v>44902</v>
      </c>
      <c r="M520" s="32" t="s">
        <v>3923</v>
      </c>
      <c r="N520" s="32">
        <v>3136106856</v>
      </c>
      <c r="O520" s="51" t="s">
        <v>3644</v>
      </c>
      <c r="P520" s="66" t="s">
        <v>3645</v>
      </c>
    </row>
    <row r="521" spans="2:16" x14ac:dyDescent="0.25">
      <c r="B521" s="32">
        <v>509</v>
      </c>
      <c r="C521" s="263" t="s">
        <v>3648</v>
      </c>
      <c r="D521" s="229"/>
      <c r="E521" s="229"/>
      <c r="F521" s="229"/>
      <c r="G521" s="229"/>
      <c r="H521" s="229"/>
      <c r="I521" s="229"/>
      <c r="J521" s="59" t="s">
        <v>702</v>
      </c>
      <c r="K521" s="1">
        <f>9950000+2510000</f>
        <v>12460000</v>
      </c>
      <c r="L521" s="2">
        <v>44909</v>
      </c>
      <c r="M521" s="2" t="s">
        <v>3923</v>
      </c>
      <c r="N521" s="32" t="s">
        <v>3637</v>
      </c>
      <c r="O521" s="32" t="s">
        <v>3647</v>
      </c>
      <c r="P521" s="86" t="s">
        <v>1238</v>
      </c>
    </row>
    <row r="522" spans="2:16" x14ac:dyDescent="0.25">
      <c r="B522" s="32">
        <v>510</v>
      </c>
      <c r="C522" s="229" t="s">
        <v>3649</v>
      </c>
      <c r="D522" s="229"/>
      <c r="E522" s="229"/>
      <c r="F522" s="229"/>
      <c r="G522" s="229"/>
      <c r="H522" s="229"/>
      <c r="I522" s="229"/>
      <c r="J522" s="59" t="s">
        <v>702</v>
      </c>
      <c r="K522" s="1">
        <v>1980000</v>
      </c>
      <c r="L522" s="2">
        <v>44910</v>
      </c>
      <c r="M522" s="32"/>
      <c r="N522" s="32">
        <v>3137546144</v>
      </c>
      <c r="O522" s="51" t="s">
        <v>229</v>
      </c>
      <c r="P522" s="66" t="s">
        <v>2504</v>
      </c>
    </row>
    <row r="523" spans="2:16" x14ac:dyDescent="0.25">
      <c r="B523" s="32">
        <v>511</v>
      </c>
      <c r="C523" s="229" t="s">
        <v>3652</v>
      </c>
      <c r="D523" s="229"/>
      <c r="E523" s="229"/>
      <c r="F523" s="229"/>
      <c r="G523" s="229"/>
      <c r="H523" s="229"/>
      <c r="I523" s="229"/>
      <c r="J523" s="59" t="s">
        <v>1860</v>
      </c>
      <c r="K523" s="1"/>
      <c r="L523" s="2">
        <v>44911</v>
      </c>
      <c r="M523" s="32"/>
      <c r="N523" s="32">
        <v>3502655263</v>
      </c>
      <c r="O523" s="51" t="s">
        <v>3651</v>
      </c>
      <c r="P523" s="38" t="s">
        <v>3650</v>
      </c>
    </row>
    <row r="524" spans="2:16" x14ac:dyDescent="0.25">
      <c r="B524" s="32">
        <v>512</v>
      </c>
      <c r="C524" s="229" t="s">
        <v>3653</v>
      </c>
      <c r="D524" s="229"/>
      <c r="E524" s="229"/>
      <c r="F524" s="229"/>
      <c r="G524" s="229"/>
      <c r="H524" s="229"/>
      <c r="I524" s="229"/>
      <c r="J524" s="59" t="s">
        <v>702</v>
      </c>
      <c r="K524" s="1">
        <v>1880000</v>
      </c>
      <c r="L524" s="2">
        <v>44912</v>
      </c>
      <c r="M524" s="32"/>
      <c r="N524" s="32">
        <v>3137546144</v>
      </c>
      <c r="O524" s="51" t="s">
        <v>229</v>
      </c>
      <c r="P524" s="66" t="s">
        <v>2504</v>
      </c>
    </row>
    <row r="525" spans="2:16" x14ac:dyDescent="0.25">
      <c r="B525" s="32">
        <v>513</v>
      </c>
      <c r="C525" s="229" t="s">
        <v>3654</v>
      </c>
      <c r="D525" s="229"/>
      <c r="E525" s="229"/>
      <c r="F525" s="229"/>
      <c r="G525" s="229"/>
      <c r="H525" s="229"/>
      <c r="I525" s="229"/>
      <c r="J525" s="59" t="s">
        <v>702</v>
      </c>
      <c r="K525" s="46"/>
      <c r="L525" s="2">
        <v>44914</v>
      </c>
      <c r="M525" s="32" t="s">
        <v>3923</v>
      </c>
      <c r="N525" s="32">
        <v>3104680508</v>
      </c>
      <c r="O525" s="51" t="s">
        <v>3190</v>
      </c>
      <c r="P525" s="52" t="s">
        <v>703</v>
      </c>
    </row>
    <row r="526" spans="2:16" x14ac:dyDescent="0.25">
      <c r="B526" s="32">
        <v>514</v>
      </c>
      <c r="C526" s="271" t="s">
        <v>3659</v>
      </c>
      <c r="D526" s="272"/>
      <c r="E526" s="272"/>
      <c r="F526" s="272"/>
      <c r="G526" s="272"/>
      <c r="H526" s="272"/>
      <c r="I526" s="272"/>
      <c r="J526" s="59" t="s">
        <v>3658</v>
      </c>
      <c r="K526" s="1"/>
      <c r="L526" s="2">
        <v>44915</v>
      </c>
      <c r="M526" s="32"/>
      <c r="N526" s="32" t="s">
        <v>3655</v>
      </c>
      <c r="O526" s="51" t="s">
        <v>3656</v>
      </c>
      <c r="P526" s="52" t="s">
        <v>3657</v>
      </c>
    </row>
    <row r="527" spans="2:16" x14ac:dyDescent="0.25">
      <c r="B527" s="32">
        <v>515</v>
      </c>
      <c r="C527" s="263" t="s">
        <v>3670</v>
      </c>
      <c r="D527" s="229"/>
      <c r="E527" s="229"/>
      <c r="F527" s="229"/>
      <c r="G527" s="229"/>
      <c r="H527" s="229"/>
      <c r="I527" s="229"/>
      <c r="J527" s="59" t="s">
        <v>1272</v>
      </c>
      <c r="K527" s="1">
        <v>22100000</v>
      </c>
      <c r="L527" s="2">
        <v>44915</v>
      </c>
      <c r="M527" s="32" t="s">
        <v>3923</v>
      </c>
      <c r="N527" s="32">
        <v>3127575897</v>
      </c>
      <c r="O527" s="51" t="s">
        <v>1273</v>
      </c>
      <c r="P527" s="38"/>
    </row>
    <row r="528" spans="2:16" x14ac:dyDescent="0.25">
      <c r="B528" s="32">
        <v>516</v>
      </c>
      <c r="C528" s="271" t="s">
        <v>3663</v>
      </c>
      <c r="D528" s="272"/>
      <c r="E528" s="272"/>
      <c r="F528" s="272"/>
      <c r="G528" s="272"/>
      <c r="H528" s="272"/>
      <c r="I528" s="272"/>
      <c r="J528" s="59" t="s">
        <v>3660</v>
      </c>
      <c r="K528" s="1"/>
      <c r="L528" s="2">
        <v>44915</v>
      </c>
      <c r="M528" s="32"/>
      <c r="N528" s="32" t="s">
        <v>3661</v>
      </c>
      <c r="O528" s="51" t="s">
        <v>3660</v>
      </c>
      <c r="P528" s="38" t="s">
        <v>3662</v>
      </c>
    </row>
    <row r="529" spans="2:16" x14ac:dyDescent="0.25">
      <c r="B529" s="32">
        <v>517</v>
      </c>
      <c r="C529" s="229" t="s">
        <v>3665</v>
      </c>
      <c r="D529" s="229"/>
      <c r="E529" s="229"/>
      <c r="F529" s="229"/>
      <c r="G529" s="229"/>
      <c r="H529" s="229"/>
      <c r="I529" s="229"/>
      <c r="J529" s="59" t="s">
        <v>3664</v>
      </c>
      <c r="K529" s="1">
        <v>1900000</v>
      </c>
      <c r="L529" s="2">
        <v>44915</v>
      </c>
      <c r="M529" s="32"/>
      <c r="N529" s="32">
        <v>3014487912</v>
      </c>
      <c r="O529" s="51" t="s">
        <v>706</v>
      </c>
      <c r="P529" s="38"/>
    </row>
    <row r="530" spans="2:16" x14ac:dyDescent="0.25">
      <c r="B530" s="32">
        <v>518</v>
      </c>
      <c r="C530" s="229" t="s">
        <v>3669</v>
      </c>
      <c r="D530" s="229"/>
      <c r="E530" s="229"/>
      <c r="F530" s="229"/>
      <c r="G530" s="229"/>
      <c r="H530" s="229"/>
      <c r="I530" s="229"/>
      <c r="J530" s="59" t="s">
        <v>857</v>
      </c>
      <c r="K530" s="1"/>
      <c r="L530" s="2">
        <v>44915</v>
      </c>
      <c r="M530" s="32"/>
      <c r="N530" s="32" t="s">
        <v>3667</v>
      </c>
      <c r="O530" s="51" t="s">
        <v>3666</v>
      </c>
      <c r="P530" s="38" t="s">
        <v>3668</v>
      </c>
    </row>
    <row r="531" spans="2:16" x14ac:dyDescent="0.25">
      <c r="B531" s="32">
        <v>519</v>
      </c>
      <c r="C531" s="229"/>
      <c r="D531" s="229"/>
      <c r="E531" s="229"/>
      <c r="F531" s="229"/>
      <c r="G531" s="229"/>
      <c r="H531" s="229"/>
      <c r="I531" s="229"/>
      <c r="J531" s="59"/>
      <c r="K531" s="1"/>
      <c r="L531" s="2"/>
      <c r="M531" s="32"/>
      <c r="N531" s="32"/>
      <c r="O531" s="51"/>
      <c r="P531" s="38"/>
    </row>
    <row r="532" spans="2:16" x14ac:dyDescent="0.25">
      <c r="B532" s="32">
        <v>520</v>
      </c>
      <c r="C532" s="229"/>
      <c r="D532" s="229"/>
      <c r="E532" s="229"/>
      <c r="F532" s="229"/>
      <c r="G532" s="229"/>
      <c r="H532" s="229"/>
      <c r="I532" s="229"/>
      <c r="J532" s="59"/>
      <c r="K532" s="1"/>
      <c r="L532" s="2"/>
      <c r="M532" s="32"/>
      <c r="N532" s="32"/>
      <c r="O532" s="51"/>
      <c r="P532" s="38"/>
    </row>
    <row r="533" spans="2:16" x14ac:dyDescent="0.25">
      <c r="B533" s="32">
        <v>521</v>
      </c>
      <c r="C533" s="229"/>
      <c r="D533" s="229"/>
      <c r="E533" s="229"/>
      <c r="F533" s="229"/>
      <c r="G533" s="229"/>
      <c r="H533" s="229"/>
      <c r="I533" s="229"/>
      <c r="J533" s="59"/>
      <c r="K533" s="1"/>
      <c r="L533" s="2"/>
      <c r="M533" s="32"/>
      <c r="N533" s="32"/>
      <c r="O533" s="51"/>
      <c r="P533" s="38"/>
    </row>
    <row r="534" spans="2:16" x14ac:dyDescent="0.25">
      <c r="B534" s="32">
        <v>522</v>
      </c>
      <c r="C534" s="229"/>
      <c r="D534" s="229"/>
      <c r="E534" s="229"/>
      <c r="F534" s="229"/>
      <c r="G534" s="229"/>
      <c r="H534" s="229"/>
      <c r="I534" s="229"/>
      <c r="J534" s="59"/>
      <c r="K534" s="1"/>
      <c r="L534" s="2"/>
      <c r="M534" s="32"/>
      <c r="N534" s="32"/>
      <c r="O534" s="51"/>
      <c r="P534" s="38"/>
    </row>
    <row r="535" spans="2:16" x14ac:dyDescent="0.25">
      <c r="B535" s="32">
        <v>523</v>
      </c>
      <c r="C535" s="229"/>
      <c r="D535" s="229"/>
      <c r="E535" s="229"/>
      <c r="F535" s="229"/>
      <c r="G535" s="229"/>
      <c r="H535" s="229"/>
      <c r="I535" s="229"/>
      <c r="J535" s="59"/>
      <c r="K535" s="1"/>
      <c r="L535" s="2"/>
      <c r="M535" s="32"/>
      <c r="N535" s="32"/>
      <c r="O535" s="51"/>
      <c r="P535" s="38"/>
    </row>
    <row r="536" spans="2:16" x14ac:dyDescent="0.25">
      <c r="B536" s="32">
        <v>524</v>
      </c>
      <c r="C536" s="229"/>
      <c r="D536" s="229"/>
      <c r="E536" s="229"/>
      <c r="F536" s="229"/>
      <c r="G536" s="229"/>
      <c r="H536" s="229"/>
      <c r="I536" s="229"/>
      <c r="J536" s="59"/>
      <c r="K536" s="1"/>
      <c r="L536" s="2"/>
      <c r="M536" s="32"/>
      <c r="N536" s="32"/>
      <c r="O536" s="51"/>
      <c r="P536" s="38"/>
    </row>
    <row r="537" spans="2:16" x14ac:dyDescent="0.25">
      <c r="B537" s="32">
        <v>525</v>
      </c>
      <c r="C537" s="229"/>
      <c r="D537" s="229"/>
      <c r="E537" s="229"/>
      <c r="F537" s="229"/>
      <c r="G537" s="229"/>
      <c r="H537" s="229"/>
      <c r="I537" s="229"/>
      <c r="J537" s="59"/>
      <c r="K537" s="1"/>
      <c r="L537" s="2"/>
      <c r="M537" s="32"/>
      <c r="N537" s="32"/>
      <c r="O537" s="51"/>
      <c r="P537" s="38"/>
    </row>
    <row r="538" spans="2:16" x14ac:dyDescent="0.25">
      <c r="B538" s="32">
        <v>526</v>
      </c>
      <c r="C538" s="229"/>
      <c r="D538" s="229"/>
      <c r="E538" s="229"/>
      <c r="F538" s="229"/>
      <c r="G538" s="229"/>
      <c r="H538" s="229"/>
      <c r="I538" s="229"/>
      <c r="J538" s="59"/>
      <c r="K538" s="1"/>
      <c r="L538" s="2"/>
      <c r="M538" s="32"/>
      <c r="N538" s="32"/>
      <c r="O538" s="51"/>
      <c r="P538" s="38"/>
    </row>
    <row r="539" spans="2:16" x14ac:dyDescent="0.25">
      <c r="B539" s="32">
        <v>527</v>
      </c>
      <c r="C539" s="229"/>
      <c r="D539" s="229"/>
      <c r="E539" s="229"/>
      <c r="F539" s="229"/>
      <c r="G539" s="229"/>
      <c r="H539" s="229"/>
      <c r="I539" s="229"/>
      <c r="J539" s="59"/>
      <c r="K539" s="1"/>
      <c r="L539" s="2"/>
      <c r="M539" s="32"/>
      <c r="N539" s="32"/>
      <c r="O539" s="51"/>
      <c r="P539" s="38"/>
    </row>
    <row r="540" spans="2:16" x14ac:dyDescent="0.25">
      <c r="B540" s="32">
        <v>528</v>
      </c>
      <c r="C540" s="229"/>
      <c r="D540" s="229"/>
      <c r="E540" s="229"/>
      <c r="F540" s="229"/>
      <c r="G540" s="229"/>
      <c r="H540" s="229"/>
      <c r="I540" s="229"/>
      <c r="J540" s="59"/>
      <c r="K540" s="1"/>
      <c r="L540" s="2"/>
      <c r="M540" s="32"/>
      <c r="N540" s="32"/>
      <c r="O540" s="51"/>
      <c r="P540" s="51"/>
    </row>
    <row r="541" spans="2:16" x14ac:dyDescent="0.25">
      <c r="B541" s="32">
        <v>529</v>
      </c>
      <c r="C541" s="229"/>
      <c r="D541" s="229"/>
      <c r="E541" s="229"/>
      <c r="F541" s="229"/>
      <c r="G541" s="229"/>
      <c r="H541" s="229"/>
      <c r="I541" s="229"/>
      <c r="J541" s="59"/>
      <c r="K541" s="1"/>
      <c r="L541" s="2"/>
      <c r="M541" s="32"/>
      <c r="N541" s="32"/>
      <c r="O541" s="51"/>
      <c r="P541" s="38"/>
    </row>
    <row r="542" spans="2:16" x14ac:dyDescent="0.25">
      <c r="B542" s="32">
        <v>530</v>
      </c>
      <c r="C542" s="229"/>
      <c r="D542" s="229"/>
      <c r="E542" s="229"/>
      <c r="F542" s="229"/>
      <c r="G542" s="229"/>
      <c r="H542" s="229"/>
      <c r="I542" s="229"/>
      <c r="J542" s="59"/>
      <c r="K542" s="1"/>
      <c r="L542" s="2"/>
      <c r="M542" s="32"/>
      <c r="N542" s="32"/>
      <c r="O542" s="51"/>
      <c r="P542" s="38"/>
    </row>
    <row r="543" spans="2:16" x14ac:dyDescent="0.25">
      <c r="B543" s="32">
        <v>531</v>
      </c>
      <c r="C543" s="229"/>
      <c r="D543" s="229"/>
      <c r="E543" s="229"/>
      <c r="F543" s="229"/>
      <c r="G543" s="229"/>
      <c r="H543" s="229"/>
      <c r="I543" s="229"/>
      <c r="J543" s="59"/>
      <c r="K543" s="1"/>
      <c r="L543" s="2"/>
      <c r="M543" s="32"/>
      <c r="N543" s="32"/>
      <c r="O543" s="51"/>
      <c r="P543" s="52"/>
    </row>
    <row r="544" spans="2:16" x14ac:dyDescent="0.25">
      <c r="B544" s="32">
        <v>532</v>
      </c>
      <c r="C544" s="229"/>
      <c r="D544" s="229"/>
      <c r="E544" s="229"/>
      <c r="F544" s="229"/>
      <c r="G544" s="229"/>
      <c r="H544" s="229"/>
      <c r="I544" s="229"/>
      <c r="J544" s="59"/>
      <c r="K544" s="1"/>
      <c r="L544" s="2"/>
      <c r="M544" s="32"/>
      <c r="N544" s="32"/>
      <c r="O544" s="51"/>
      <c r="P544" s="52"/>
    </row>
    <row r="545" spans="2:16" x14ac:dyDescent="0.25">
      <c r="B545" s="32">
        <v>533</v>
      </c>
      <c r="C545" s="229"/>
      <c r="D545" s="229"/>
      <c r="E545" s="229"/>
      <c r="F545" s="229"/>
      <c r="G545" s="229"/>
      <c r="H545" s="229"/>
      <c r="I545" s="229"/>
      <c r="J545" s="59"/>
      <c r="K545" s="1"/>
      <c r="L545" s="2"/>
      <c r="M545" s="32"/>
      <c r="N545" s="32"/>
      <c r="O545" s="51"/>
      <c r="P545" s="51"/>
    </row>
    <row r="546" spans="2:16" x14ac:dyDescent="0.25">
      <c r="B546" s="32">
        <v>534</v>
      </c>
      <c r="C546" s="271"/>
      <c r="D546" s="272"/>
      <c r="E546" s="272"/>
      <c r="F546" s="272"/>
      <c r="G546" s="272"/>
      <c r="H546" s="272"/>
      <c r="I546" s="272"/>
      <c r="J546" s="59"/>
      <c r="K546" s="1"/>
      <c r="L546" s="32"/>
      <c r="M546" s="2"/>
      <c r="N546" s="32"/>
      <c r="O546" s="51"/>
      <c r="P546" s="55"/>
    </row>
    <row r="547" spans="2:16" x14ac:dyDescent="0.25">
      <c r="B547" s="32">
        <v>535</v>
      </c>
      <c r="C547" s="229"/>
      <c r="D547" s="229"/>
      <c r="E547" s="229"/>
      <c r="F547" s="229"/>
      <c r="G547" s="229"/>
      <c r="H547" s="229"/>
      <c r="I547" s="229"/>
      <c r="J547" s="59"/>
      <c r="K547" s="1"/>
      <c r="L547" s="2"/>
      <c r="M547" s="32"/>
      <c r="N547" s="32"/>
      <c r="O547" s="51"/>
      <c r="P547" s="52"/>
    </row>
    <row r="548" spans="2:16" x14ac:dyDescent="0.25">
      <c r="B548" s="32">
        <v>536</v>
      </c>
      <c r="C548" s="229"/>
      <c r="D548" s="229"/>
      <c r="E548" s="229"/>
      <c r="F548" s="229"/>
      <c r="G548" s="229"/>
      <c r="H548" s="229"/>
      <c r="I548" s="229"/>
      <c r="J548" s="59"/>
      <c r="K548" s="1"/>
      <c r="L548" s="2"/>
      <c r="M548" s="32"/>
      <c r="N548" s="32"/>
      <c r="O548" s="51"/>
      <c r="P548" s="38"/>
    </row>
    <row r="549" spans="2:16" x14ac:dyDescent="0.25">
      <c r="B549" s="32">
        <v>537</v>
      </c>
      <c r="C549" s="229"/>
      <c r="D549" s="229"/>
      <c r="E549" s="229"/>
      <c r="F549" s="229"/>
      <c r="G549" s="229"/>
      <c r="H549" s="229"/>
      <c r="I549" s="229"/>
      <c r="J549" s="59"/>
      <c r="K549" s="1"/>
      <c r="L549" s="2"/>
      <c r="M549" s="2"/>
      <c r="N549" s="32"/>
      <c r="O549" s="51"/>
      <c r="P549" s="38"/>
    </row>
    <row r="550" spans="2:16" x14ac:dyDescent="0.25">
      <c r="B550" s="32">
        <v>538</v>
      </c>
      <c r="C550" s="229"/>
      <c r="D550" s="229"/>
      <c r="E550" s="229"/>
      <c r="F550" s="229"/>
      <c r="G550" s="229"/>
      <c r="H550" s="229"/>
      <c r="I550" s="229"/>
      <c r="J550" s="59"/>
      <c r="K550" s="1"/>
      <c r="L550" s="2"/>
      <c r="M550" s="32"/>
      <c r="N550" s="32"/>
      <c r="O550" s="51"/>
      <c r="P550" s="38"/>
    </row>
    <row r="551" spans="2:16" x14ac:dyDescent="0.25">
      <c r="B551" s="32">
        <v>539</v>
      </c>
      <c r="C551" s="229"/>
      <c r="D551" s="229"/>
      <c r="E551" s="229"/>
      <c r="F551" s="229"/>
      <c r="G551" s="229"/>
      <c r="H551" s="229"/>
      <c r="I551" s="229"/>
      <c r="J551" s="59"/>
      <c r="K551" s="1"/>
      <c r="L551" s="2"/>
      <c r="M551" s="32"/>
      <c r="N551" s="32"/>
      <c r="O551" s="51"/>
      <c r="P551" s="38"/>
    </row>
    <row r="552" spans="2:16" x14ac:dyDescent="0.25">
      <c r="B552" s="32">
        <v>540</v>
      </c>
      <c r="C552" s="229"/>
      <c r="D552" s="229"/>
      <c r="E552" s="229"/>
      <c r="F552" s="229"/>
      <c r="G552" s="229"/>
      <c r="H552" s="229"/>
      <c r="I552" s="229"/>
      <c r="J552" s="59"/>
      <c r="K552" s="1"/>
      <c r="L552" s="2"/>
      <c r="M552" s="32"/>
      <c r="N552" s="32"/>
      <c r="O552" s="51"/>
      <c r="P552" s="38"/>
    </row>
    <row r="553" spans="2:16" x14ac:dyDescent="0.25">
      <c r="B553" s="32">
        <v>541</v>
      </c>
      <c r="C553" s="229"/>
      <c r="D553" s="229"/>
      <c r="E553" s="229"/>
      <c r="F553" s="229"/>
      <c r="G553" s="229"/>
      <c r="H553" s="229"/>
      <c r="I553" s="229"/>
      <c r="J553" s="59"/>
      <c r="K553" s="1"/>
      <c r="L553" s="2"/>
      <c r="M553" s="32"/>
      <c r="N553" s="32"/>
      <c r="O553" s="51"/>
      <c r="P553" s="38"/>
    </row>
    <row r="554" spans="2:16" x14ac:dyDescent="0.25">
      <c r="B554" s="32">
        <v>542</v>
      </c>
      <c r="C554" s="229"/>
      <c r="D554" s="229"/>
      <c r="E554" s="229"/>
      <c r="F554" s="229"/>
      <c r="G554" s="229"/>
      <c r="H554" s="229"/>
      <c r="I554" s="229"/>
      <c r="J554" s="59"/>
      <c r="K554" s="1"/>
      <c r="L554" s="2"/>
      <c r="M554" s="32"/>
      <c r="N554" s="32"/>
      <c r="O554" s="51"/>
      <c r="P554" s="38"/>
    </row>
    <row r="555" spans="2:16" x14ac:dyDescent="0.25">
      <c r="B555" s="32">
        <v>543</v>
      </c>
      <c r="C555" s="229"/>
      <c r="D555" s="229"/>
      <c r="E555" s="229"/>
      <c r="F555" s="229"/>
      <c r="G555" s="229"/>
      <c r="H555" s="229"/>
      <c r="I555" s="229"/>
      <c r="J555" s="59"/>
      <c r="K555" s="1"/>
      <c r="L555" s="2"/>
      <c r="M555" s="32"/>
      <c r="N555" s="32"/>
      <c r="O555" s="51"/>
      <c r="P555" s="38"/>
    </row>
    <row r="556" spans="2:16" x14ac:dyDescent="0.25">
      <c r="B556" s="32">
        <v>544</v>
      </c>
      <c r="C556" s="229"/>
      <c r="D556" s="229"/>
      <c r="E556" s="229"/>
      <c r="F556" s="229"/>
      <c r="G556" s="229"/>
      <c r="H556" s="229"/>
      <c r="I556" s="229"/>
      <c r="J556" s="59"/>
      <c r="K556" s="1"/>
      <c r="L556" s="2"/>
      <c r="M556" s="32"/>
      <c r="N556" s="32"/>
      <c r="O556" s="51"/>
      <c r="P556" s="38"/>
    </row>
    <row r="557" spans="2:16" x14ac:dyDescent="0.25">
      <c r="B557" s="32">
        <v>545</v>
      </c>
      <c r="C557" s="263"/>
      <c r="D557" s="229"/>
      <c r="E557" s="229"/>
      <c r="F557" s="229"/>
      <c r="G557" s="229"/>
      <c r="H557" s="229"/>
      <c r="I557" s="229"/>
      <c r="J557" s="59"/>
      <c r="K557" s="1"/>
      <c r="L557" s="2"/>
      <c r="M557" s="32"/>
      <c r="N557" s="32"/>
      <c r="O557" s="51"/>
      <c r="P557" s="52"/>
    </row>
    <row r="558" spans="2:16" x14ac:dyDescent="0.25">
      <c r="B558" s="32">
        <v>546</v>
      </c>
      <c r="C558" s="229"/>
      <c r="D558" s="229"/>
      <c r="E558" s="229"/>
      <c r="F558" s="229"/>
      <c r="G558" s="229"/>
      <c r="H558" s="229"/>
      <c r="I558" s="229"/>
      <c r="J558" s="59"/>
      <c r="K558" s="1"/>
      <c r="L558" s="2"/>
      <c r="M558" s="32"/>
      <c r="N558" s="32"/>
      <c r="O558" s="51"/>
      <c r="P558" s="38"/>
    </row>
    <row r="559" spans="2:16" x14ac:dyDescent="0.25">
      <c r="B559" s="32">
        <v>547</v>
      </c>
      <c r="C559" s="229"/>
      <c r="D559" s="229"/>
      <c r="E559" s="229"/>
      <c r="F559" s="229"/>
      <c r="G559" s="229"/>
      <c r="H559" s="229"/>
      <c r="I559" s="229"/>
      <c r="J559" s="59"/>
      <c r="K559" s="1"/>
      <c r="L559" s="2"/>
      <c r="M559" s="32"/>
      <c r="N559" s="32"/>
      <c r="O559" s="51"/>
      <c r="P559" s="52"/>
    </row>
    <row r="560" spans="2:16" x14ac:dyDescent="0.25">
      <c r="B560" s="32">
        <v>548</v>
      </c>
      <c r="C560" s="263"/>
      <c r="D560" s="229"/>
      <c r="E560" s="229"/>
      <c r="F560" s="229"/>
      <c r="G560" s="229"/>
      <c r="H560" s="229"/>
      <c r="I560" s="229"/>
      <c r="J560" s="59"/>
      <c r="K560" s="1"/>
      <c r="L560" s="2"/>
      <c r="M560" s="32"/>
      <c r="N560" s="32"/>
      <c r="O560" s="51"/>
      <c r="P560" s="52"/>
    </row>
    <row r="561" spans="2:16" x14ac:dyDescent="0.25">
      <c r="B561" s="32">
        <v>549</v>
      </c>
      <c r="C561" s="229"/>
      <c r="D561" s="229"/>
      <c r="E561" s="229"/>
      <c r="F561" s="229"/>
      <c r="G561" s="229"/>
      <c r="H561" s="229"/>
      <c r="I561" s="229"/>
      <c r="J561" s="59"/>
      <c r="K561" s="1"/>
      <c r="L561" s="2"/>
      <c r="M561" s="32"/>
      <c r="N561" s="32"/>
      <c r="O561" s="51"/>
      <c r="P561" s="38"/>
    </row>
    <row r="562" spans="2:16" x14ac:dyDescent="0.25">
      <c r="B562" s="32">
        <v>550</v>
      </c>
      <c r="C562" s="229"/>
      <c r="D562" s="229"/>
      <c r="E562" s="229"/>
      <c r="F562" s="229"/>
      <c r="G562" s="229"/>
      <c r="H562" s="229"/>
      <c r="I562" s="229"/>
      <c r="J562" s="59"/>
      <c r="K562" s="1"/>
      <c r="L562" s="2"/>
      <c r="M562" s="32"/>
      <c r="N562" s="32"/>
      <c r="O562" s="51"/>
      <c r="P562" s="38"/>
    </row>
    <row r="563" spans="2:16" x14ac:dyDescent="0.25">
      <c r="B563" s="32">
        <v>551</v>
      </c>
      <c r="C563" s="229"/>
      <c r="D563" s="229"/>
      <c r="E563" s="229"/>
      <c r="F563" s="229"/>
      <c r="G563" s="229"/>
      <c r="H563" s="229"/>
      <c r="I563" s="229"/>
      <c r="J563" s="59"/>
      <c r="K563" s="1"/>
      <c r="L563" s="2"/>
      <c r="M563" s="32"/>
      <c r="N563" s="32"/>
      <c r="O563" s="51"/>
      <c r="P563" s="38"/>
    </row>
    <row r="564" spans="2:16" x14ac:dyDescent="0.25">
      <c r="B564" s="32">
        <v>552</v>
      </c>
      <c r="C564" s="229"/>
      <c r="D564" s="229"/>
      <c r="E564" s="229"/>
      <c r="F564" s="229"/>
      <c r="G564" s="229"/>
      <c r="H564" s="229"/>
      <c r="I564" s="229"/>
      <c r="J564" s="59"/>
      <c r="K564" s="73"/>
      <c r="L564" s="2"/>
      <c r="M564" s="32"/>
      <c r="N564" s="32"/>
      <c r="O564" s="51"/>
      <c r="P564" s="38"/>
    </row>
    <row r="565" spans="2:16" x14ac:dyDescent="0.25">
      <c r="B565" s="32">
        <v>553</v>
      </c>
      <c r="C565" s="229"/>
      <c r="D565" s="229"/>
      <c r="E565" s="229"/>
      <c r="F565" s="229"/>
      <c r="G565" s="229"/>
      <c r="H565" s="229"/>
      <c r="I565" s="229"/>
      <c r="J565" s="59"/>
      <c r="K565" s="1"/>
      <c r="L565" s="32"/>
      <c r="M565" s="32"/>
      <c r="N565" s="32"/>
      <c r="O565" s="51"/>
      <c r="P565" s="38"/>
    </row>
    <row r="566" spans="2:16" x14ac:dyDescent="0.25">
      <c r="B566" s="32">
        <v>554</v>
      </c>
      <c r="C566" s="229"/>
      <c r="D566" s="229"/>
      <c r="E566" s="229"/>
      <c r="F566" s="229"/>
      <c r="G566" s="229"/>
      <c r="H566" s="229"/>
      <c r="I566" s="229"/>
      <c r="J566" s="59"/>
      <c r="K566" s="1"/>
      <c r="L566" s="32"/>
      <c r="M566" s="32"/>
      <c r="N566" s="32"/>
      <c r="O566" s="51"/>
      <c r="P566" s="51"/>
    </row>
    <row r="567" spans="2:16" x14ac:dyDescent="0.25">
      <c r="B567" s="32">
        <v>555</v>
      </c>
      <c r="C567" s="229"/>
      <c r="D567" s="229"/>
      <c r="E567" s="229"/>
      <c r="F567" s="229"/>
      <c r="G567" s="229"/>
      <c r="H567" s="229"/>
      <c r="I567" s="229"/>
      <c r="J567" s="59"/>
      <c r="K567" s="1"/>
      <c r="L567" s="32"/>
      <c r="M567" s="32"/>
      <c r="N567" s="32"/>
      <c r="O567" s="51"/>
      <c r="P567" s="51"/>
    </row>
    <row r="568" spans="2:16" x14ac:dyDescent="0.25">
      <c r="B568" s="32">
        <v>556</v>
      </c>
      <c r="C568" s="229"/>
      <c r="D568" s="229"/>
      <c r="E568" s="229"/>
      <c r="F568" s="229"/>
      <c r="G568" s="229"/>
      <c r="H568" s="229"/>
      <c r="I568" s="229"/>
      <c r="J568" s="59"/>
      <c r="K568" s="1"/>
      <c r="L568" s="32"/>
      <c r="M568" s="32"/>
      <c r="N568" s="32"/>
      <c r="O568" s="51"/>
      <c r="P568" s="51"/>
    </row>
    <row r="569" spans="2:16" x14ac:dyDescent="0.25">
      <c r="B569" s="32">
        <v>557</v>
      </c>
      <c r="C569" s="229"/>
      <c r="D569" s="229"/>
      <c r="E569" s="229"/>
      <c r="F569" s="229"/>
      <c r="G569" s="229"/>
      <c r="H569" s="229"/>
      <c r="I569" s="229"/>
      <c r="J569" s="59"/>
      <c r="K569" s="1"/>
      <c r="L569" s="32"/>
      <c r="M569" s="32"/>
      <c r="N569" s="32"/>
      <c r="O569" s="51"/>
      <c r="P569" s="51"/>
    </row>
    <row r="570" spans="2:16" x14ac:dyDescent="0.25">
      <c r="B570" s="32">
        <v>558</v>
      </c>
      <c r="C570" s="229"/>
      <c r="D570" s="229"/>
      <c r="E570" s="229"/>
      <c r="F570" s="229"/>
      <c r="G570" s="229"/>
      <c r="H570" s="229"/>
      <c r="I570" s="229"/>
      <c r="J570" s="59"/>
      <c r="K570" s="1"/>
      <c r="L570" s="32"/>
      <c r="M570" s="32"/>
      <c r="N570" s="32"/>
      <c r="O570" s="51"/>
      <c r="P570" s="51"/>
    </row>
    <row r="571" spans="2:16" x14ac:dyDescent="0.25">
      <c r="B571" s="32">
        <v>559</v>
      </c>
      <c r="C571" s="229"/>
      <c r="D571" s="229"/>
      <c r="E571" s="229"/>
      <c r="F571" s="229"/>
      <c r="G571" s="229"/>
      <c r="H571" s="229"/>
      <c r="I571" s="229"/>
      <c r="J571" s="59"/>
      <c r="K571" s="1"/>
      <c r="L571" s="32"/>
      <c r="M571" s="32"/>
      <c r="N571" s="32"/>
      <c r="O571" s="51"/>
      <c r="P571" s="51"/>
    </row>
    <row r="572" spans="2:16" x14ac:dyDescent="0.25">
      <c r="B572" s="32">
        <v>560</v>
      </c>
      <c r="C572" s="229"/>
      <c r="D572" s="229"/>
      <c r="E572" s="229"/>
      <c r="F572" s="229"/>
      <c r="G572" s="229"/>
      <c r="H572" s="229"/>
      <c r="I572" s="229"/>
      <c r="J572" s="59"/>
      <c r="K572" s="1"/>
      <c r="L572" s="32"/>
      <c r="M572" s="32"/>
      <c r="N572" s="32"/>
      <c r="O572" s="51"/>
      <c r="P572" s="51"/>
    </row>
    <row r="573" spans="2:16" x14ac:dyDescent="0.25">
      <c r="B573" s="32">
        <v>561</v>
      </c>
      <c r="C573" s="229"/>
      <c r="D573" s="229"/>
      <c r="E573" s="229"/>
      <c r="F573" s="229"/>
      <c r="G573" s="229"/>
      <c r="H573" s="229"/>
      <c r="I573" s="229"/>
      <c r="J573" s="59"/>
      <c r="K573" s="1"/>
      <c r="L573" s="32"/>
      <c r="M573" s="32"/>
      <c r="N573" s="32"/>
      <c r="O573" s="51"/>
      <c r="P573" s="51"/>
    </row>
    <row r="574" spans="2:16" x14ac:dyDescent="0.25">
      <c r="B574" s="32"/>
      <c r="C574" s="229"/>
      <c r="D574" s="229"/>
      <c r="E574" s="229"/>
      <c r="F574" s="229"/>
      <c r="G574" s="229"/>
      <c r="H574" s="229"/>
      <c r="I574" s="229"/>
      <c r="J574" s="59"/>
      <c r="K574" s="1"/>
      <c r="L574" s="32"/>
      <c r="M574" s="32"/>
      <c r="N574" s="32"/>
      <c r="O574" s="51"/>
      <c r="P574" s="51"/>
    </row>
    <row r="575" spans="2:16" x14ac:dyDescent="0.25">
      <c r="B575" s="32"/>
      <c r="C575" s="229"/>
      <c r="D575" s="229"/>
      <c r="E575" s="229"/>
      <c r="F575" s="229"/>
      <c r="G575" s="229"/>
      <c r="H575" s="229"/>
      <c r="I575" s="229"/>
      <c r="J575" s="59"/>
      <c r="K575" s="1"/>
      <c r="L575" s="32"/>
      <c r="M575" s="32"/>
      <c r="N575" s="32"/>
      <c r="O575" s="51"/>
      <c r="P575" s="51"/>
    </row>
    <row r="576" spans="2:16" x14ac:dyDescent="0.25">
      <c r="B576" s="32"/>
      <c r="C576" s="229"/>
      <c r="D576" s="229"/>
      <c r="E576" s="229"/>
      <c r="F576" s="229"/>
      <c r="G576" s="229"/>
      <c r="H576" s="229"/>
      <c r="I576" s="229"/>
      <c r="J576" s="59"/>
      <c r="K576" s="1"/>
      <c r="L576" s="32"/>
      <c r="M576" s="32"/>
      <c r="N576" s="32"/>
      <c r="O576" s="51"/>
      <c r="P576" s="51"/>
    </row>
    <row r="577" spans="2:16" x14ac:dyDescent="0.25">
      <c r="B577" s="32"/>
      <c r="C577" s="229"/>
      <c r="D577" s="229"/>
      <c r="E577" s="229"/>
      <c r="F577" s="229"/>
      <c r="G577" s="229"/>
      <c r="H577" s="229"/>
      <c r="I577" s="229"/>
      <c r="J577" s="59"/>
      <c r="K577" s="1"/>
      <c r="L577" s="32"/>
      <c r="M577" s="32"/>
      <c r="N577" s="32"/>
      <c r="O577" s="51"/>
      <c r="P577" s="51"/>
    </row>
    <row r="578" spans="2:16" x14ac:dyDescent="0.25">
      <c r="B578" s="32"/>
      <c r="C578" s="229"/>
      <c r="D578" s="229"/>
      <c r="E578" s="229"/>
      <c r="F578" s="229"/>
      <c r="G578" s="229"/>
      <c r="H578" s="229"/>
      <c r="I578" s="229"/>
      <c r="J578" s="59"/>
      <c r="K578" s="1"/>
      <c r="L578" s="32"/>
      <c r="M578" s="32"/>
      <c r="N578" s="32"/>
      <c r="O578" s="51"/>
      <c r="P578" s="51"/>
    </row>
    <row r="579" spans="2:16" x14ac:dyDescent="0.25">
      <c r="B579" s="32"/>
      <c r="C579" s="229"/>
      <c r="D579" s="229"/>
      <c r="E579" s="229"/>
      <c r="F579" s="229"/>
      <c r="G579" s="229"/>
      <c r="H579" s="229"/>
      <c r="I579" s="229"/>
      <c r="J579" s="59"/>
      <c r="K579" s="1"/>
      <c r="L579" s="32"/>
      <c r="M579" s="32"/>
      <c r="N579" s="32"/>
      <c r="O579" s="51"/>
      <c r="P579" s="51"/>
    </row>
    <row r="580" spans="2:16" x14ac:dyDescent="0.25">
      <c r="B580" s="32"/>
      <c r="C580" s="229"/>
      <c r="D580" s="229"/>
      <c r="E580" s="229"/>
      <c r="F580" s="229"/>
      <c r="G580" s="229"/>
      <c r="H580" s="229"/>
      <c r="I580" s="229"/>
      <c r="J580" s="59"/>
      <c r="K580" s="1"/>
      <c r="L580" s="32"/>
      <c r="M580" s="32"/>
      <c r="N580" s="32"/>
      <c r="O580" s="51"/>
      <c r="P580" s="51"/>
    </row>
    <row r="581" spans="2:16" x14ac:dyDescent="0.25">
      <c r="B581" s="32"/>
      <c r="C581" s="229"/>
      <c r="D581" s="229"/>
      <c r="E581" s="229"/>
      <c r="F581" s="229"/>
      <c r="G581" s="229"/>
      <c r="H581" s="229"/>
      <c r="I581" s="229"/>
      <c r="J581" s="59"/>
      <c r="K581" s="1"/>
      <c r="L581" s="32"/>
      <c r="M581" s="32"/>
      <c r="N581" s="32"/>
      <c r="O581" s="51"/>
      <c r="P581" s="51"/>
    </row>
    <row r="582" spans="2:16" x14ac:dyDescent="0.25">
      <c r="B582" s="32"/>
      <c r="C582" s="229"/>
      <c r="D582" s="229"/>
      <c r="E582" s="229"/>
      <c r="F582" s="229"/>
      <c r="G582" s="229"/>
      <c r="H582" s="229"/>
      <c r="I582" s="229"/>
      <c r="J582" s="59"/>
      <c r="K582" s="1"/>
      <c r="L582" s="32"/>
      <c r="M582" s="32"/>
      <c r="N582" s="32"/>
      <c r="O582" s="51"/>
      <c r="P582" s="51"/>
    </row>
    <row r="583" spans="2:16" x14ac:dyDescent="0.25">
      <c r="B583" s="32"/>
      <c r="C583" s="229"/>
      <c r="D583" s="229"/>
      <c r="E583" s="229"/>
      <c r="F583" s="229"/>
      <c r="G583" s="229"/>
      <c r="H583" s="229"/>
      <c r="I583" s="229"/>
      <c r="J583" s="59"/>
      <c r="K583" s="1"/>
      <c r="L583" s="32"/>
      <c r="M583" s="32"/>
      <c r="N583" s="32"/>
      <c r="O583" s="51"/>
      <c r="P583" s="51"/>
    </row>
    <row r="584" spans="2:16" x14ac:dyDescent="0.25">
      <c r="B584" s="32"/>
      <c r="C584" s="229"/>
      <c r="D584" s="229"/>
      <c r="E584" s="229"/>
      <c r="F584" s="229"/>
      <c r="G584" s="229"/>
      <c r="H584" s="229"/>
      <c r="I584" s="229"/>
      <c r="J584" s="59"/>
      <c r="K584" s="1"/>
      <c r="L584" s="32"/>
      <c r="M584" s="32"/>
      <c r="N584" s="32"/>
      <c r="O584" s="51"/>
      <c r="P584" s="51"/>
    </row>
    <row r="585" spans="2:16" x14ac:dyDescent="0.25">
      <c r="B585" s="32"/>
      <c r="C585" s="229"/>
      <c r="D585" s="229"/>
      <c r="E585" s="229"/>
      <c r="F585" s="229"/>
      <c r="G585" s="229"/>
      <c r="H585" s="229"/>
      <c r="I585" s="229"/>
      <c r="J585" s="59"/>
      <c r="K585" s="1"/>
      <c r="L585" s="32"/>
      <c r="M585" s="32"/>
      <c r="N585" s="32"/>
      <c r="O585" s="51"/>
      <c r="P585" s="51"/>
    </row>
    <row r="586" spans="2:16" x14ac:dyDescent="0.25">
      <c r="B586" s="32"/>
      <c r="C586" s="229"/>
      <c r="D586" s="229"/>
      <c r="E586" s="229"/>
      <c r="F586" s="229"/>
      <c r="G586" s="229"/>
      <c r="H586" s="229"/>
      <c r="I586" s="229"/>
      <c r="J586" s="59"/>
      <c r="K586" s="1"/>
      <c r="L586" s="32"/>
      <c r="M586" s="32"/>
      <c r="N586" s="32"/>
      <c r="O586" s="51"/>
      <c r="P586" s="51"/>
    </row>
    <row r="587" spans="2:16" x14ac:dyDescent="0.25">
      <c r="B587" s="32"/>
      <c r="C587" s="229"/>
      <c r="D587" s="229"/>
      <c r="E587" s="229"/>
      <c r="F587" s="229"/>
      <c r="G587" s="229"/>
      <c r="H587" s="229"/>
      <c r="I587" s="229"/>
      <c r="J587" s="59"/>
      <c r="K587" s="1"/>
      <c r="L587" s="32"/>
      <c r="M587" s="32"/>
      <c r="N587" s="32"/>
      <c r="O587" s="51"/>
      <c r="P587" s="51"/>
    </row>
    <row r="588" spans="2:16" x14ac:dyDescent="0.25">
      <c r="B588" s="32"/>
      <c r="C588" s="229"/>
      <c r="D588" s="229"/>
      <c r="E588" s="229"/>
      <c r="F588" s="229"/>
      <c r="G588" s="229"/>
      <c r="H588" s="229"/>
      <c r="I588" s="229"/>
      <c r="J588" s="59"/>
      <c r="K588" s="1"/>
      <c r="L588" s="32"/>
      <c r="M588" s="32"/>
      <c r="N588" s="32"/>
      <c r="O588" s="51"/>
      <c r="P588" s="51"/>
    </row>
    <row r="589" spans="2:16" x14ac:dyDescent="0.25">
      <c r="B589" s="32"/>
      <c r="C589" s="229"/>
      <c r="D589" s="229"/>
      <c r="E589" s="229"/>
      <c r="F589" s="229"/>
      <c r="G589" s="229"/>
      <c r="H589" s="229"/>
      <c r="I589" s="229"/>
      <c r="J589" s="59"/>
      <c r="K589" s="1"/>
      <c r="L589" s="32"/>
      <c r="M589" s="32"/>
      <c r="N589" s="32"/>
      <c r="O589" s="51"/>
      <c r="P589" s="51"/>
    </row>
    <row r="590" spans="2:16" x14ac:dyDescent="0.25">
      <c r="B590" s="32"/>
      <c r="C590" s="229"/>
      <c r="D590" s="229"/>
      <c r="E590" s="229"/>
      <c r="F590" s="229"/>
      <c r="G590" s="229"/>
      <c r="H590" s="229"/>
      <c r="I590" s="229"/>
      <c r="J590" s="59"/>
      <c r="K590" s="1"/>
      <c r="L590" s="32"/>
      <c r="M590" s="32"/>
      <c r="N590" s="32"/>
      <c r="O590" s="51"/>
      <c r="P590" s="51"/>
    </row>
    <row r="591" spans="2:16" x14ac:dyDescent="0.25">
      <c r="B591" s="32"/>
      <c r="C591" s="229"/>
      <c r="D591" s="229"/>
      <c r="E591" s="229"/>
      <c r="F591" s="229"/>
      <c r="G591" s="229"/>
      <c r="H591" s="229"/>
      <c r="I591" s="229"/>
      <c r="J591" s="59"/>
      <c r="K591" s="1"/>
      <c r="L591" s="32"/>
      <c r="M591" s="32"/>
      <c r="N591" s="32"/>
      <c r="O591" s="51"/>
      <c r="P591" s="51"/>
    </row>
    <row r="592" spans="2:16" x14ac:dyDescent="0.25">
      <c r="B592" s="32"/>
      <c r="C592" s="229"/>
      <c r="D592" s="229"/>
      <c r="E592" s="229"/>
      <c r="F592" s="229"/>
      <c r="G592" s="229"/>
      <c r="H592" s="229"/>
      <c r="I592" s="229"/>
      <c r="J592" s="59"/>
      <c r="K592" s="1"/>
      <c r="L592" s="32"/>
      <c r="M592" s="32"/>
      <c r="N592" s="32"/>
      <c r="O592" s="51"/>
      <c r="P592" s="51"/>
    </row>
    <row r="593" spans="2:16" x14ac:dyDescent="0.25">
      <c r="B593" s="32"/>
      <c r="C593" s="229"/>
      <c r="D593" s="229"/>
      <c r="E593" s="229"/>
      <c r="F593" s="229"/>
      <c r="G593" s="229"/>
      <c r="H593" s="229"/>
      <c r="I593" s="229"/>
      <c r="J593" s="59"/>
      <c r="K593" s="1"/>
      <c r="L593" s="32"/>
      <c r="M593" s="32"/>
      <c r="N593" s="32"/>
      <c r="O593" s="51"/>
      <c r="P593" s="51"/>
    </row>
    <row r="594" spans="2:16" x14ac:dyDescent="0.25">
      <c r="B594" s="32"/>
      <c r="C594" s="229"/>
      <c r="D594" s="229"/>
      <c r="E594" s="229"/>
      <c r="F594" s="229"/>
      <c r="G594" s="229"/>
      <c r="H594" s="229"/>
      <c r="I594" s="229"/>
      <c r="J594" s="59"/>
      <c r="K594" s="1"/>
      <c r="L594" s="32"/>
      <c r="M594" s="32"/>
      <c r="N594" s="32"/>
      <c r="O594" s="51"/>
      <c r="P594" s="51"/>
    </row>
    <row r="595" spans="2:16" x14ac:dyDescent="0.25">
      <c r="B595" s="32"/>
      <c r="C595" s="229"/>
      <c r="D595" s="229"/>
      <c r="E595" s="229"/>
      <c r="F595" s="229"/>
      <c r="G595" s="229"/>
      <c r="H595" s="229"/>
      <c r="I595" s="229"/>
      <c r="J595" s="59"/>
      <c r="K595" s="1"/>
      <c r="L595" s="32"/>
      <c r="M595" s="32"/>
      <c r="N595" s="32"/>
      <c r="O595" s="51"/>
      <c r="P595" s="51"/>
    </row>
    <row r="596" spans="2:16" x14ac:dyDescent="0.25">
      <c r="B596" s="32"/>
      <c r="C596" s="229"/>
      <c r="D596" s="229"/>
      <c r="E596" s="229"/>
      <c r="F596" s="229"/>
      <c r="G596" s="229"/>
      <c r="H596" s="229"/>
      <c r="I596" s="229"/>
      <c r="J596" s="59"/>
      <c r="K596" s="1"/>
      <c r="L596" s="32"/>
      <c r="M596" s="32"/>
      <c r="N596" s="32"/>
      <c r="O596" s="51"/>
      <c r="P596" s="51"/>
    </row>
    <row r="597" spans="2:16" x14ac:dyDescent="0.25">
      <c r="B597" s="32"/>
      <c r="C597" s="229"/>
      <c r="D597" s="229"/>
      <c r="E597" s="229"/>
      <c r="F597" s="229"/>
      <c r="G597" s="229"/>
      <c r="H597" s="229"/>
      <c r="I597" s="229"/>
      <c r="J597" s="59"/>
      <c r="K597" s="1"/>
      <c r="L597" s="32"/>
      <c r="M597" s="32"/>
      <c r="N597" s="32"/>
      <c r="O597" s="51"/>
      <c r="P597" s="51"/>
    </row>
    <row r="598" spans="2:16" x14ac:dyDescent="0.25">
      <c r="B598" s="32"/>
      <c r="C598" s="229"/>
      <c r="D598" s="229"/>
      <c r="E598" s="229"/>
      <c r="F598" s="229"/>
      <c r="G598" s="229"/>
      <c r="H598" s="229"/>
      <c r="I598" s="229"/>
      <c r="J598" s="59"/>
      <c r="K598" s="1"/>
      <c r="L598" s="32"/>
      <c r="M598" s="32"/>
      <c r="N598" s="32"/>
      <c r="O598" s="51"/>
      <c r="P598" s="51"/>
    </row>
    <row r="599" spans="2:16" x14ac:dyDescent="0.25">
      <c r="B599" s="32"/>
      <c r="C599" s="229"/>
      <c r="D599" s="229"/>
      <c r="E599" s="229"/>
      <c r="F599" s="229"/>
      <c r="G599" s="229"/>
      <c r="H599" s="229"/>
      <c r="I599" s="229"/>
      <c r="J599" s="59"/>
      <c r="K599" s="1"/>
      <c r="L599" s="32"/>
      <c r="M599" s="32"/>
      <c r="N599" s="32"/>
      <c r="O599" s="51"/>
      <c r="P599" s="51"/>
    </row>
    <row r="600" spans="2:16" x14ac:dyDescent="0.25">
      <c r="B600" s="32"/>
      <c r="C600" s="229"/>
      <c r="D600" s="229"/>
      <c r="E600" s="229"/>
      <c r="F600" s="229"/>
      <c r="G600" s="229"/>
      <c r="H600" s="229"/>
      <c r="I600" s="229"/>
      <c r="J600" s="59"/>
      <c r="K600" s="1"/>
      <c r="L600" s="32"/>
      <c r="M600" s="32"/>
      <c r="N600" s="32"/>
      <c r="O600" s="51"/>
      <c r="P600" s="51"/>
    </row>
    <row r="601" spans="2:16" x14ac:dyDescent="0.25">
      <c r="B601" s="32"/>
      <c r="C601" s="229"/>
      <c r="D601" s="229"/>
      <c r="E601" s="229"/>
      <c r="F601" s="229"/>
      <c r="G601" s="229"/>
      <c r="H601" s="229"/>
      <c r="I601" s="229"/>
      <c r="J601" s="59"/>
      <c r="K601" s="1"/>
      <c r="L601" s="32"/>
      <c r="M601" s="32"/>
      <c r="N601" s="32"/>
      <c r="O601" s="51"/>
      <c r="P601" s="51"/>
    </row>
    <row r="602" spans="2:16" x14ac:dyDescent="0.25">
      <c r="B602" s="32"/>
      <c r="C602" s="229"/>
      <c r="D602" s="229"/>
      <c r="E602" s="229"/>
      <c r="F602" s="229"/>
      <c r="G602" s="229"/>
      <c r="H602" s="229"/>
      <c r="I602" s="229"/>
      <c r="J602" s="59"/>
      <c r="K602" s="1"/>
      <c r="L602" s="32"/>
      <c r="M602" s="32"/>
      <c r="N602" s="32"/>
      <c r="O602" s="51"/>
      <c r="P602" s="51"/>
    </row>
    <row r="603" spans="2:16" x14ac:dyDescent="0.25">
      <c r="B603" s="32"/>
      <c r="C603" s="229"/>
      <c r="D603" s="229"/>
      <c r="E603" s="229"/>
      <c r="F603" s="229"/>
      <c r="G603" s="229"/>
      <c r="H603" s="229"/>
      <c r="I603" s="229"/>
      <c r="J603" s="59"/>
      <c r="K603" s="1"/>
      <c r="L603" s="32"/>
      <c r="M603" s="32"/>
      <c r="N603" s="32"/>
      <c r="O603" s="51"/>
      <c r="P603" s="51"/>
    </row>
    <row r="604" spans="2:16" x14ac:dyDescent="0.25">
      <c r="B604" s="32"/>
      <c r="C604" s="229"/>
      <c r="D604" s="229"/>
      <c r="E604" s="229"/>
      <c r="F604" s="229"/>
      <c r="G604" s="229"/>
      <c r="H604" s="229"/>
      <c r="I604" s="229"/>
      <c r="J604" s="59"/>
      <c r="K604" s="1"/>
      <c r="L604" s="32"/>
      <c r="M604" s="32"/>
      <c r="N604" s="32"/>
      <c r="O604" s="51"/>
      <c r="P604" s="51"/>
    </row>
    <row r="605" spans="2:16" x14ac:dyDescent="0.25">
      <c r="B605" s="32"/>
      <c r="C605" s="229"/>
      <c r="D605" s="229"/>
      <c r="E605" s="229"/>
      <c r="F605" s="229"/>
      <c r="G605" s="229"/>
      <c r="H605" s="229"/>
      <c r="I605" s="229"/>
      <c r="J605" s="59"/>
      <c r="K605" s="1"/>
      <c r="L605" s="32"/>
      <c r="M605" s="32"/>
      <c r="N605" s="32"/>
      <c r="O605" s="51"/>
      <c r="P605" s="51"/>
    </row>
    <row r="606" spans="2:16" x14ac:dyDescent="0.25">
      <c r="B606" s="32"/>
      <c r="C606" s="229"/>
      <c r="D606" s="229"/>
      <c r="E606" s="229"/>
      <c r="F606" s="229"/>
      <c r="G606" s="229"/>
      <c r="H606" s="229"/>
      <c r="I606" s="229"/>
      <c r="J606" s="59"/>
      <c r="K606" s="1"/>
      <c r="L606" s="32"/>
      <c r="M606" s="32"/>
      <c r="N606" s="32"/>
      <c r="O606" s="51"/>
      <c r="P606" s="51"/>
    </row>
    <row r="607" spans="2:16" x14ac:dyDescent="0.25">
      <c r="B607" s="32"/>
      <c r="C607" s="229"/>
      <c r="D607" s="229"/>
      <c r="E607" s="229"/>
      <c r="F607" s="229"/>
      <c r="G607" s="229"/>
      <c r="H607" s="229"/>
      <c r="I607" s="229"/>
      <c r="J607" s="59"/>
      <c r="K607" s="1"/>
      <c r="L607" s="32"/>
      <c r="M607" s="32"/>
      <c r="N607" s="32"/>
      <c r="O607" s="51"/>
      <c r="P607" s="51"/>
    </row>
    <row r="608" spans="2:16" x14ac:dyDescent="0.25">
      <c r="B608" s="32"/>
      <c r="C608" s="229"/>
      <c r="D608" s="229"/>
      <c r="E608" s="229"/>
      <c r="F608" s="229"/>
      <c r="G608" s="229"/>
      <c r="H608" s="229"/>
      <c r="I608" s="229"/>
      <c r="J608" s="59"/>
      <c r="K608" s="1"/>
      <c r="L608" s="32"/>
      <c r="M608" s="32"/>
      <c r="N608" s="32"/>
      <c r="O608" s="51"/>
      <c r="P608" s="51"/>
    </row>
    <row r="609" spans="2:16" x14ac:dyDescent="0.25">
      <c r="B609" s="32"/>
      <c r="C609" s="229"/>
      <c r="D609" s="229"/>
      <c r="E609" s="229"/>
      <c r="F609" s="229"/>
      <c r="G609" s="229"/>
      <c r="H609" s="229"/>
      <c r="I609" s="229"/>
      <c r="J609" s="59"/>
      <c r="K609" s="1"/>
      <c r="L609" s="32"/>
      <c r="M609" s="32"/>
      <c r="N609" s="32"/>
      <c r="O609" s="51"/>
      <c r="P609" s="51"/>
    </row>
    <row r="610" spans="2:16" x14ac:dyDescent="0.25">
      <c r="B610" s="32"/>
      <c r="C610" s="229"/>
      <c r="D610" s="229"/>
      <c r="E610" s="229"/>
      <c r="F610" s="229"/>
      <c r="G610" s="229"/>
      <c r="H610" s="229"/>
      <c r="I610" s="229"/>
      <c r="J610" s="59"/>
      <c r="K610" s="1"/>
      <c r="L610" s="32"/>
      <c r="M610" s="32"/>
      <c r="N610" s="32"/>
      <c r="O610" s="51"/>
      <c r="P610" s="51"/>
    </row>
    <row r="611" spans="2:16" x14ac:dyDescent="0.25">
      <c r="B611" s="32"/>
      <c r="C611" s="229"/>
      <c r="D611" s="229"/>
      <c r="E611" s="229"/>
      <c r="F611" s="229"/>
      <c r="G611" s="229"/>
      <c r="H611" s="229"/>
      <c r="I611" s="229"/>
      <c r="J611" s="59"/>
      <c r="K611" s="1"/>
      <c r="L611" s="32"/>
      <c r="M611" s="32"/>
      <c r="N611" s="32"/>
      <c r="O611" s="51"/>
      <c r="P611" s="51"/>
    </row>
    <row r="612" spans="2:16" x14ac:dyDescent="0.25">
      <c r="B612" s="32"/>
      <c r="C612" s="229"/>
      <c r="D612" s="229"/>
      <c r="E612" s="229"/>
      <c r="F612" s="229"/>
      <c r="G612" s="229"/>
      <c r="H612" s="229"/>
      <c r="I612" s="229"/>
      <c r="J612" s="59"/>
      <c r="K612" s="1"/>
      <c r="L612" s="32"/>
      <c r="M612" s="32"/>
      <c r="N612" s="32"/>
      <c r="O612" s="51"/>
      <c r="P612" s="51"/>
    </row>
    <row r="613" spans="2:16" x14ac:dyDescent="0.25">
      <c r="B613" s="32"/>
      <c r="C613" s="229"/>
      <c r="D613" s="229"/>
      <c r="E613" s="229"/>
      <c r="F613" s="229"/>
      <c r="G613" s="229"/>
      <c r="H613" s="229"/>
      <c r="I613" s="229"/>
      <c r="J613" s="59"/>
      <c r="K613" s="1"/>
      <c r="L613" s="32"/>
      <c r="M613" s="32"/>
      <c r="N613" s="32"/>
      <c r="O613" s="51"/>
      <c r="P613" s="51"/>
    </row>
    <row r="614" spans="2:16" x14ac:dyDescent="0.25">
      <c r="B614" s="32"/>
      <c r="C614" s="229"/>
      <c r="D614" s="229"/>
      <c r="E614" s="229"/>
      <c r="F614" s="229"/>
      <c r="G614" s="229"/>
      <c r="H614" s="229"/>
      <c r="I614" s="229"/>
      <c r="J614" s="59"/>
      <c r="K614" s="1"/>
      <c r="L614" s="32"/>
      <c r="M614" s="32"/>
      <c r="N614" s="32"/>
      <c r="O614" s="51"/>
      <c r="P614" s="51"/>
    </row>
    <row r="615" spans="2:16" x14ac:dyDescent="0.25">
      <c r="B615" s="32"/>
      <c r="C615" s="229"/>
      <c r="D615" s="229"/>
      <c r="E615" s="229"/>
      <c r="F615" s="229"/>
      <c r="G615" s="229"/>
      <c r="H615" s="229"/>
      <c r="I615" s="229"/>
      <c r="J615" s="59"/>
      <c r="K615" s="1"/>
      <c r="L615" s="32"/>
      <c r="M615" s="32"/>
      <c r="N615" s="32"/>
      <c r="O615" s="51"/>
      <c r="P615" s="51"/>
    </row>
    <row r="616" spans="2:16" x14ac:dyDescent="0.25">
      <c r="B616" s="32"/>
      <c r="C616" s="229"/>
      <c r="D616" s="229"/>
      <c r="E616" s="229"/>
      <c r="F616" s="229"/>
      <c r="G616" s="229"/>
      <c r="H616" s="229"/>
      <c r="I616" s="229"/>
      <c r="J616" s="59"/>
      <c r="K616" s="1"/>
      <c r="L616" s="32"/>
      <c r="M616" s="32"/>
      <c r="N616" s="32"/>
      <c r="O616" s="51"/>
      <c r="P616" s="51"/>
    </row>
    <row r="617" spans="2:16" x14ac:dyDescent="0.25">
      <c r="B617" s="32"/>
      <c r="C617" s="229"/>
      <c r="D617" s="229"/>
      <c r="E617" s="229"/>
      <c r="F617" s="229"/>
      <c r="G617" s="229"/>
      <c r="H617" s="229"/>
      <c r="I617" s="229"/>
      <c r="J617" s="59"/>
      <c r="K617" s="1"/>
      <c r="L617" s="32"/>
      <c r="M617" s="32"/>
      <c r="N617" s="32"/>
      <c r="O617" s="51"/>
      <c r="P617" s="51"/>
    </row>
    <row r="618" spans="2:16" x14ac:dyDescent="0.25">
      <c r="B618" s="32"/>
      <c r="C618" s="229"/>
      <c r="D618" s="229"/>
      <c r="E618" s="229"/>
      <c r="F618" s="229"/>
      <c r="G618" s="229"/>
      <c r="H618" s="229"/>
      <c r="I618" s="229"/>
      <c r="J618" s="59"/>
      <c r="K618" s="1"/>
      <c r="L618" s="32"/>
      <c r="M618" s="32"/>
      <c r="N618" s="32"/>
      <c r="O618" s="51"/>
      <c r="P618" s="51"/>
    </row>
    <row r="619" spans="2:16" x14ac:dyDescent="0.25">
      <c r="B619" s="32"/>
      <c r="C619" s="229"/>
      <c r="D619" s="229"/>
      <c r="E619" s="229"/>
      <c r="F619" s="229"/>
      <c r="G619" s="229"/>
      <c r="H619" s="229"/>
      <c r="I619" s="229"/>
      <c r="J619" s="59"/>
      <c r="K619" s="1"/>
      <c r="L619" s="32"/>
      <c r="M619" s="32"/>
      <c r="N619" s="32"/>
      <c r="O619" s="51"/>
      <c r="P619" s="51"/>
    </row>
    <row r="620" spans="2:16" x14ac:dyDescent="0.25">
      <c r="B620" s="32"/>
      <c r="C620" s="229"/>
      <c r="D620" s="229"/>
      <c r="E620" s="229"/>
      <c r="F620" s="229"/>
      <c r="G620" s="229"/>
      <c r="H620" s="229"/>
      <c r="I620" s="229"/>
      <c r="J620" s="59"/>
      <c r="K620" s="1"/>
      <c r="L620" s="32"/>
      <c r="M620" s="32"/>
      <c r="N620" s="32"/>
      <c r="O620" s="51"/>
      <c r="P620" s="51"/>
    </row>
    <row r="621" spans="2:16" x14ac:dyDescent="0.25">
      <c r="B621" s="32"/>
      <c r="C621" s="229"/>
      <c r="D621" s="229"/>
      <c r="E621" s="229"/>
      <c r="F621" s="229"/>
      <c r="G621" s="229"/>
      <c r="H621" s="229"/>
      <c r="I621" s="229"/>
      <c r="J621" s="59"/>
      <c r="K621" s="1"/>
      <c r="L621" s="32"/>
      <c r="M621" s="32"/>
      <c r="N621" s="32"/>
      <c r="O621" s="51"/>
      <c r="P621" s="51"/>
    </row>
    <row r="622" spans="2:16" x14ac:dyDescent="0.25">
      <c r="B622" s="32"/>
      <c r="C622" s="229"/>
      <c r="D622" s="229"/>
      <c r="E622" s="229"/>
      <c r="F622" s="229"/>
      <c r="G622" s="229"/>
      <c r="H622" s="229"/>
      <c r="I622" s="229"/>
      <c r="J622" s="59"/>
      <c r="K622" s="1"/>
      <c r="L622" s="32"/>
      <c r="M622" s="32"/>
      <c r="N622" s="32"/>
      <c r="O622" s="51"/>
      <c r="P622" s="51"/>
    </row>
    <row r="623" spans="2:16" x14ac:dyDescent="0.25">
      <c r="B623" s="32"/>
      <c r="C623" s="229"/>
      <c r="D623" s="229"/>
      <c r="E623" s="229"/>
      <c r="F623" s="229"/>
      <c r="G623" s="229"/>
      <c r="H623" s="229"/>
      <c r="I623" s="229"/>
      <c r="J623" s="59"/>
      <c r="K623" s="1"/>
      <c r="L623" s="32"/>
      <c r="M623" s="32"/>
      <c r="N623" s="32"/>
      <c r="O623" s="51"/>
      <c r="P623" s="51"/>
    </row>
    <row r="624" spans="2:16" x14ac:dyDescent="0.25">
      <c r="B624" s="32"/>
      <c r="C624" s="229"/>
      <c r="D624" s="229"/>
      <c r="E624" s="229"/>
      <c r="F624" s="229"/>
      <c r="G624" s="229"/>
      <c r="H624" s="229"/>
      <c r="I624" s="229"/>
      <c r="J624" s="59"/>
      <c r="K624" s="1"/>
      <c r="L624" s="32"/>
      <c r="M624" s="32"/>
      <c r="N624" s="32"/>
      <c r="O624" s="51"/>
      <c r="P624" s="51"/>
    </row>
    <row r="625" spans="2:16" x14ac:dyDescent="0.25">
      <c r="B625" s="32"/>
      <c r="C625" s="229"/>
      <c r="D625" s="229"/>
      <c r="E625" s="229"/>
      <c r="F625" s="229"/>
      <c r="G625" s="229"/>
      <c r="H625" s="229"/>
      <c r="I625" s="229"/>
      <c r="J625" s="59"/>
      <c r="K625" s="1"/>
      <c r="L625" s="32"/>
      <c r="M625" s="32"/>
      <c r="N625" s="32"/>
      <c r="O625" s="51"/>
      <c r="P625" s="51"/>
    </row>
    <row r="626" spans="2:16" x14ac:dyDescent="0.25">
      <c r="B626" s="32"/>
      <c r="C626" s="229"/>
      <c r="D626" s="229"/>
      <c r="E626" s="229"/>
      <c r="F626" s="229"/>
      <c r="G626" s="229"/>
      <c r="H626" s="229"/>
      <c r="I626" s="229"/>
      <c r="J626" s="59"/>
      <c r="K626" s="1"/>
      <c r="L626" s="32"/>
      <c r="M626" s="32"/>
      <c r="N626" s="32"/>
      <c r="O626" s="51"/>
      <c r="P626" s="51"/>
    </row>
    <row r="627" spans="2:16" x14ac:dyDescent="0.25">
      <c r="B627" s="32"/>
      <c r="C627" s="229"/>
      <c r="D627" s="229"/>
      <c r="E627" s="229"/>
      <c r="F627" s="229"/>
      <c r="G627" s="229"/>
      <c r="H627" s="229"/>
      <c r="I627" s="229"/>
      <c r="J627" s="59"/>
      <c r="K627" s="1"/>
      <c r="L627" s="32"/>
      <c r="M627" s="32"/>
      <c r="N627" s="32"/>
      <c r="O627" s="51"/>
      <c r="P627" s="51"/>
    </row>
    <row r="628" spans="2:16" x14ac:dyDescent="0.25">
      <c r="B628" s="32"/>
      <c r="C628" s="229"/>
      <c r="D628" s="229"/>
      <c r="E628" s="229"/>
      <c r="F628" s="229"/>
      <c r="G628" s="229"/>
      <c r="H628" s="229"/>
      <c r="I628" s="229"/>
      <c r="J628" s="59"/>
      <c r="K628" s="1"/>
      <c r="L628" s="32"/>
      <c r="M628" s="32"/>
      <c r="N628" s="32"/>
      <c r="O628" s="51"/>
      <c r="P628" s="51"/>
    </row>
    <row r="629" spans="2:16" x14ac:dyDescent="0.25">
      <c r="B629" s="32"/>
      <c r="C629" s="229"/>
      <c r="D629" s="229"/>
      <c r="E629" s="229"/>
      <c r="F629" s="229"/>
      <c r="G629" s="229"/>
      <c r="H629" s="229"/>
      <c r="I629" s="229"/>
      <c r="J629" s="59"/>
      <c r="K629" s="1"/>
      <c r="L629" s="32"/>
      <c r="M629" s="32"/>
      <c r="N629" s="32"/>
      <c r="O629" s="51"/>
      <c r="P629" s="51"/>
    </row>
    <row r="630" spans="2:16" x14ac:dyDescent="0.25">
      <c r="B630" s="32"/>
      <c r="C630" s="229"/>
      <c r="D630" s="229"/>
      <c r="E630" s="229"/>
      <c r="F630" s="229"/>
      <c r="G630" s="229"/>
      <c r="H630" s="229"/>
      <c r="I630" s="229"/>
      <c r="J630" s="59"/>
      <c r="K630" s="1"/>
      <c r="L630" s="32"/>
      <c r="M630" s="32"/>
      <c r="N630" s="32"/>
      <c r="O630" s="51"/>
      <c r="P630" s="51"/>
    </row>
    <row r="631" spans="2:16" x14ac:dyDescent="0.25">
      <c r="B631" s="32"/>
      <c r="C631" s="229"/>
      <c r="D631" s="229"/>
      <c r="E631" s="229"/>
      <c r="F631" s="229"/>
      <c r="G631" s="229"/>
      <c r="H631" s="229"/>
      <c r="I631" s="229"/>
      <c r="J631" s="59"/>
      <c r="K631" s="1"/>
      <c r="L631" s="32"/>
      <c r="M631" s="32"/>
      <c r="N631" s="32"/>
      <c r="O631" s="51"/>
      <c r="P631" s="51"/>
    </row>
    <row r="632" spans="2:16" x14ac:dyDescent="0.25">
      <c r="B632" s="32"/>
      <c r="C632" s="229"/>
      <c r="D632" s="229"/>
      <c r="E632" s="229"/>
      <c r="F632" s="229"/>
      <c r="G632" s="229"/>
      <c r="H632" s="229"/>
      <c r="I632" s="229"/>
      <c r="J632" s="59"/>
      <c r="K632" s="1"/>
      <c r="L632" s="32"/>
      <c r="M632" s="32"/>
      <c r="N632" s="32"/>
      <c r="O632" s="51"/>
      <c r="P632" s="51"/>
    </row>
    <row r="633" spans="2:16" x14ac:dyDescent="0.25">
      <c r="B633" s="32"/>
      <c r="C633" s="229"/>
      <c r="D633" s="229"/>
      <c r="E633" s="229"/>
      <c r="F633" s="229"/>
      <c r="G633" s="229"/>
      <c r="H633" s="229"/>
      <c r="I633" s="229"/>
      <c r="J633" s="59"/>
      <c r="K633" s="1"/>
      <c r="L633" s="32"/>
      <c r="M633" s="32"/>
      <c r="N633" s="32"/>
      <c r="O633" s="51"/>
      <c r="P633" s="51"/>
    </row>
    <row r="634" spans="2:16" x14ac:dyDescent="0.25">
      <c r="B634" s="32"/>
      <c r="C634" s="229"/>
      <c r="D634" s="229"/>
      <c r="E634" s="229"/>
      <c r="F634" s="229"/>
      <c r="G634" s="229"/>
      <c r="H634" s="229"/>
      <c r="I634" s="229"/>
      <c r="J634" s="59"/>
      <c r="K634" s="1"/>
      <c r="L634" s="32"/>
      <c r="M634" s="32"/>
      <c r="N634" s="32"/>
      <c r="O634" s="51"/>
      <c r="P634" s="51"/>
    </row>
    <row r="635" spans="2:16" x14ac:dyDescent="0.25">
      <c r="B635" s="32"/>
      <c r="C635" s="229"/>
      <c r="D635" s="229"/>
      <c r="E635" s="229"/>
      <c r="F635" s="229"/>
      <c r="G635" s="229"/>
      <c r="H635" s="229"/>
      <c r="I635" s="229"/>
      <c r="J635" s="59"/>
      <c r="K635" s="1"/>
      <c r="L635" s="32"/>
      <c r="M635" s="32"/>
      <c r="N635" s="32"/>
      <c r="O635" s="51"/>
      <c r="P635" s="51"/>
    </row>
    <row r="636" spans="2:16" x14ac:dyDescent="0.25">
      <c r="B636" s="32"/>
      <c r="C636" s="229"/>
      <c r="D636" s="229"/>
      <c r="E636" s="229"/>
      <c r="F636" s="229"/>
      <c r="G636" s="229"/>
      <c r="H636" s="229"/>
      <c r="I636" s="229"/>
      <c r="J636" s="59"/>
      <c r="K636" s="1"/>
      <c r="L636" s="32"/>
      <c r="M636" s="32"/>
      <c r="N636" s="32"/>
      <c r="O636" s="51"/>
      <c r="P636" s="51"/>
    </row>
    <row r="637" spans="2:16" x14ac:dyDescent="0.25">
      <c r="B637" s="32"/>
      <c r="C637" s="229"/>
      <c r="D637" s="229"/>
      <c r="E637" s="229"/>
      <c r="F637" s="229"/>
      <c r="G637" s="229"/>
      <c r="H637" s="229"/>
      <c r="I637" s="229"/>
      <c r="J637" s="59"/>
      <c r="K637" s="1"/>
      <c r="L637" s="32"/>
      <c r="M637" s="32"/>
      <c r="N637" s="32"/>
      <c r="O637" s="51"/>
      <c r="P637" s="51"/>
    </row>
    <row r="638" spans="2:16" x14ac:dyDescent="0.25">
      <c r="B638" s="32"/>
      <c r="C638" s="229"/>
      <c r="D638" s="229"/>
      <c r="E638" s="229"/>
      <c r="F638" s="229"/>
      <c r="G638" s="229"/>
      <c r="H638" s="229"/>
      <c r="I638" s="229"/>
      <c r="J638" s="59"/>
      <c r="K638" s="1"/>
      <c r="L638" s="32"/>
      <c r="M638" s="32"/>
      <c r="N638" s="32"/>
      <c r="O638" s="51"/>
      <c r="P638" s="51"/>
    </row>
    <row r="639" spans="2:16" x14ac:dyDescent="0.25">
      <c r="B639" s="32"/>
      <c r="C639" s="229"/>
      <c r="D639" s="229"/>
      <c r="E639" s="229"/>
      <c r="F639" s="229"/>
      <c r="G639" s="229"/>
      <c r="H639" s="229"/>
      <c r="I639" s="229"/>
      <c r="J639" s="59"/>
      <c r="K639" s="1"/>
      <c r="L639" s="32"/>
      <c r="M639" s="32"/>
      <c r="N639" s="32"/>
      <c r="O639" s="51"/>
      <c r="P639" s="51"/>
    </row>
    <row r="640" spans="2:16" x14ac:dyDescent="0.25">
      <c r="B640" s="32"/>
      <c r="C640" s="229"/>
      <c r="D640" s="229"/>
      <c r="E640" s="229"/>
      <c r="F640" s="229"/>
      <c r="G640" s="229"/>
      <c r="H640" s="229"/>
      <c r="I640" s="229"/>
      <c r="J640" s="59"/>
      <c r="K640" s="1"/>
      <c r="L640" s="32"/>
      <c r="M640" s="32"/>
      <c r="N640" s="32"/>
      <c r="O640" s="51"/>
      <c r="P640" s="51"/>
    </row>
    <row r="641" spans="2:16" x14ac:dyDescent="0.25">
      <c r="B641" s="32"/>
      <c r="C641" s="229"/>
      <c r="D641" s="229"/>
      <c r="E641" s="229"/>
      <c r="F641" s="229"/>
      <c r="G641" s="229"/>
      <c r="H641" s="229"/>
      <c r="I641" s="229"/>
      <c r="J641" s="59"/>
      <c r="K641" s="1"/>
      <c r="L641" s="32"/>
      <c r="M641" s="32"/>
      <c r="N641" s="32"/>
      <c r="O641" s="51"/>
      <c r="P641" s="51"/>
    </row>
    <row r="642" spans="2:16" x14ac:dyDescent="0.25">
      <c r="B642" s="32"/>
      <c r="C642" s="229"/>
      <c r="D642" s="229"/>
      <c r="E642" s="229"/>
      <c r="F642" s="229"/>
      <c r="G642" s="229"/>
      <c r="H642" s="229"/>
      <c r="I642" s="229"/>
      <c r="J642" s="59"/>
      <c r="K642" s="1"/>
      <c r="L642" s="32"/>
      <c r="M642" s="32"/>
      <c r="N642" s="32"/>
      <c r="O642" s="51"/>
      <c r="P642" s="51"/>
    </row>
    <row r="643" spans="2:16" x14ac:dyDescent="0.25">
      <c r="B643" s="32"/>
      <c r="C643" s="229"/>
      <c r="D643" s="229"/>
      <c r="E643" s="229"/>
      <c r="F643" s="229"/>
      <c r="G643" s="229"/>
      <c r="H643" s="229"/>
      <c r="I643" s="229"/>
      <c r="J643" s="59"/>
      <c r="K643" s="1"/>
      <c r="L643" s="32"/>
      <c r="M643" s="32"/>
      <c r="N643" s="32"/>
      <c r="O643" s="51"/>
      <c r="P643" s="51"/>
    </row>
    <row r="644" spans="2:16" x14ac:dyDescent="0.25">
      <c r="B644" s="32"/>
      <c r="C644" s="229"/>
      <c r="D644" s="229"/>
      <c r="E644" s="229"/>
      <c r="F644" s="229"/>
      <c r="G644" s="229"/>
      <c r="H644" s="229"/>
      <c r="I644" s="229"/>
      <c r="J644" s="59"/>
      <c r="K644" s="1"/>
      <c r="L644" s="32"/>
      <c r="M644" s="32"/>
      <c r="N644" s="32"/>
      <c r="O644" s="51"/>
      <c r="P644" s="51"/>
    </row>
    <row r="645" spans="2:16" x14ac:dyDescent="0.25">
      <c r="B645" s="32"/>
      <c r="C645" s="229"/>
      <c r="D645" s="229"/>
      <c r="E645" s="229"/>
      <c r="F645" s="229"/>
      <c r="G645" s="229"/>
      <c r="H645" s="229"/>
      <c r="I645" s="229"/>
      <c r="J645" s="59"/>
      <c r="K645" s="1"/>
      <c r="L645" s="32"/>
      <c r="M645" s="32"/>
      <c r="N645" s="32"/>
      <c r="O645" s="51"/>
      <c r="P645" s="51"/>
    </row>
    <row r="646" spans="2:16" x14ac:dyDescent="0.25">
      <c r="B646" s="32"/>
      <c r="C646" s="229"/>
      <c r="D646" s="229"/>
      <c r="E646" s="229"/>
      <c r="F646" s="229"/>
      <c r="G646" s="229"/>
      <c r="H646" s="229"/>
      <c r="I646" s="229"/>
      <c r="J646" s="59"/>
      <c r="K646" s="1"/>
      <c r="L646" s="32"/>
      <c r="M646" s="32"/>
      <c r="N646" s="32"/>
      <c r="O646" s="51"/>
      <c r="P646" s="51"/>
    </row>
    <row r="647" spans="2:16" x14ac:dyDescent="0.25">
      <c r="B647" s="32"/>
      <c r="C647" s="229"/>
      <c r="D647" s="229"/>
      <c r="E647" s="229"/>
      <c r="F647" s="229"/>
      <c r="G647" s="229"/>
      <c r="H647" s="229"/>
      <c r="I647" s="229"/>
      <c r="J647" s="59"/>
      <c r="K647" s="1"/>
      <c r="L647" s="32"/>
      <c r="M647" s="32"/>
      <c r="N647" s="32"/>
      <c r="O647" s="51"/>
      <c r="P647" s="51"/>
    </row>
    <row r="648" spans="2:16" x14ac:dyDescent="0.25">
      <c r="B648" s="32"/>
      <c r="C648" s="229"/>
      <c r="D648" s="229"/>
      <c r="E648" s="229"/>
      <c r="F648" s="229"/>
      <c r="G648" s="229"/>
      <c r="H648" s="229"/>
      <c r="I648" s="229"/>
      <c r="J648" s="59"/>
      <c r="K648" s="1"/>
      <c r="L648" s="32"/>
      <c r="M648" s="32"/>
      <c r="N648" s="32"/>
      <c r="O648" s="51"/>
      <c r="P648" s="51"/>
    </row>
    <row r="649" spans="2:16" x14ac:dyDescent="0.25">
      <c r="B649" s="32"/>
      <c r="C649" s="229"/>
      <c r="D649" s="229"/>
      <c r="E649" s="229"/>
      <c r="F649" s="229"/>
      <c r="G649" s="229"/>
      <c r="H649" s="229"/>
      <c r="I649" s="229"/>
      <c r="J649" s="59"/>
      <c r="K649" s="1"/>
      <c r="L649" s="32"/>
      <c r="M649" s="32"/>
      <c r="N649" s="32"/>
      <c r="O649" s="51"/>
      <c r="P649" s="51"/>
    </row>
    <row r="650" spans="2:16" x14ac:dyDescent="0.25">
      <c r="B650" s="32"/>
      <c r="C650" s="229"/>
      <c r="D650" s="229"/>
      <c r="E650" s="229"/>
      <c r="F650" s="229"/>
      <c r="G650" s="229"/>
      <c r="H650" s="229"/>
      <c r="I650" s="229"/>
      <c r="J650" s="59"/>
      <c r="K650" s="1"/>
      <c r="L650" s="32"/>
      <c r="M650" s="32"/>
      <c r="N650" s="32"/>
      <c r="O650" s="51"/>
      <c r="P650" s="51"/>
    </row>
    <row r="651" spans="2:16" x14ac:dyDescent="0.25">
      <c r="B651" s="32"/>
      <c r="C651" s="229"/>
      <c r="D651" s="229"/>
      <c r="E651" s="229"/>
      <c r="F651" s="229"/>
      <c r="G651" s="229"/>
      <c r="H651" s="229"/>
      <c r="I651" s="229"/>
      <c r="J651" s="59"/>
      <c r="K651" s="1"/>
      <c r="L651" s="32"/>
      <c r="M651" s="32"/>
      <c r="N651" s="32"/>
      <c r="O651" s="51"/>
      <c r="P651" s="51"/>
    </row>
    <row r="652" spans="2:16" x14ac:dyDescent="0.25">
      <c r="B652" s="32"/>
      <c r="C652" s="229"/>
      <c r="D652" s="229"/>
      <c r="E652" s="229"/>
      <c r="F652" s="229"/>
      <c r="G652" s="229"/>
      <c r="H652" s="229"/>
      <c r="I652" s="229"/>
      <c r="J652" s="59"/>
      <c r="K652" s="1"/>
      <c r="L652" s="32"/>
      <c r="M652" s="32"/>
      <c r="N652" s="32"/>
      <c r="O652" s="51"/>
      <c r="P652" s="51"/>
    </row>
    <row r="653" spans="2:16" x14ac:dyDescent="0.25">
      <c r="B653" s="32"/>
      <c r="C653" s="229"/>
      <c r="D653" s="229"/>
      <c r="E653" s="229"/>
      <c r="F653" s="229"/>
      <c r="G653" s="229"/>
      <c r="H653" s="229"/>
      <c r="I653" s="229"/>
      <c r="J653" s="59"/>
      <c r="K653" s="1"/>
      <c r="L653" s="32"/>
      <c r="M653" s="32"/>
      <c r="N653" s="32"/>
      <c r="O653" s="51"/>
      <c r="P653" s="51"/>
    </row>
    <row r="654" spans="2:16" x14ac:dyDescent="0.25">
      <c r="B654" s="32"/>
      <c r="C654" s="229"/>
      <c r="D654" s="229"/>
      <c r="E654" s="229"/>
      <c r="F654" s="229"/>
      <c r="G654" s="229"/>
      <c r="H654" s="229"/>
      <c r="I654" s="229"/>
      <c r="J654" s="59"/>
      <c r="K654" s="1"/>
      <c r="L654" s="32"/>
      <c r="M654" s="32"/>
      <c r="N654" s="32"/>
      <c r="O654" s="51"/>
      <c r="P654" s="51"/>
    </row>
    <row r="655" spans="2:16" x14ac:dyDescent="0.25">
      <c r="B655" s="32"/>
      <c r="C655" s="229"/>
      <c r="D655" s="229"/>
      <c r="E655" s="229"/>
      <c r="F655" s="229"/>
      <c r="G655" s="229"/>
      <c r="H655" s="229"/>
      <c r="I655" s="229"/>
      <c r="J655" s="59"/>
      <c r="K655" s="1"/>
      <c r="L655" s="32"/>
      <c r="M655" s="32"/>
      <c r="N655" s="32"/>
      <c r="O655" s="51"/>
      <c r="P655" s="51"/>
    </row>
    <row r="656" spans="2:16" x14ac:dyDescent="0.25">
      <c r="B656" s="32"/>
      <c r="C656" s="229"/>
      <c r="D656" s="229"/>
      <c r="E656" s="229"/>
      <c r="F656" s="229"/>
      <c r="G656" s="229"/>
      <c r="H656" s="229"/>
      <c r="I656" s="229"/>
      <c r="J656" s="59"/>
      <c r="K656" s="1"/>
      <c r="L656" s="32"/>
      <c r="M656" s="32"/>
      <c r="N656" s="32"/>
      <c r="O656" s="51"/>
      <c r="P656" s="51"/>
    </row>
    <row r="657" spans="2:16" x14ac:dyDescent="0.25">
      <c r="B657" s="32"/>
      <c r="C657" s="229"/>
      <c r="D657" s="229"/>
      <c r="E657" s="229"/>
      <c r="F657" s="229"/>
      <c r="G657" s="229"/>
      <c r="H657" s="229"/>
      <c r="I657" s="229"/>
      <c r="J657" s="59"/>
      <c r="K657" s="1"/>
      <c r="L657" s="32"/>
      <c r="M657" s="32"/>
      <c r="N657" s="32"/>
      <c r="O657" s="51"/>
      <c r="P657" s="51"/>
    </row>
    <row r="658" spans="2:16" x14ac:dyDescent="0.25">
      <c r="B658" s="32"/>
      <c r="C658" s="229"/>
      <c r="D658" s="229"/>
      <c r="E658" s="229"/>
      <c r="F658" s="229"/>
      <c r="G658" s="229"/>
      <c r="H658" s="229"/>
      <c r="I658" s="229"/>
      <c r="J658" s="59"/>
      <c r="K658" s="1"/>
      <c r="L658" s="32"/>
      <c r="M658" s="32"/>
      <c r="N658" s="32"/>
      <c r="O658" s="51"/>
      <c r="P658" s="51"/>
    </row>
    <row r="659" spans="2:16" x14ac:dyDescent="0.25">
      <c r="B659" s="32"/>
      <c r="C659" s="229"/>
      <c r="D659" s="229"/>
      <c r="E659" s="229"/>
      <c r="F659" s="229"/>
      <c r="G659" s="229"/>
      <c r="H659" s="229"/>
      <c r="I659" s="229"/>
      <c r="J659" s="59"/>
      <c r="K659" s="1"/>
      <c r="L659" s="32"/>
      <c r="M659" s="32"/>
      <c r="N659" s="32"/>
      <c r="O659" s="51"/>
      <c r="P659" s="51"/>
    </row>
    <row r="660" spans="2:16" x14ac:dyDescent="0.25">
      <c r="B660" s="32"/>
      <c r="C660" s="229"/>
      <c r="D660" s="229"/>
      <c r="E660" s="229"/>
      <c r="F660" s="229"/>
      <c r="G660" s="229"/>
      <c r="H660" s="229"/>
      <c r="I660" s="229"/>
      <c r="J660" s="59"/>
      <c r="K660" s="1"/>
      <c r="L660" s="32"/>
      <c r="M660" s="32"/>
      <c r="N660" s="32"/>
      <c r="O660" s="51"/>
      <c r="P660" s="51"/>
    </row>
    <row r="661" spans="2:16" x14ac:dyDescent="0.25">
      <c r="B661" s="32"/>
      <c r="C661" s="229"/>
      <c r="D661" s="229"/>
      <c r="E661" s="229"/>
      <c r="F661" s="229"/>
      <c r="G661" s="229"/>
      <c r="H661" s="229"/>
      <c r="I661" s="229"/>
      <c r="J661" s="59"/>
      <c r="K661" s="1"/>
      <c r="L661" s="32"/>
      <c r="M661" s="32"/>
      <c r="N661" s="32"/>
      <c r="O661" s="51"/>
      <c r="P661" s="51"/>
    </row>
    <row r="662" spans="2:16" x14ac:dyDescent="0.25">
      <c r="B662" s="32"/>
      <c r="C662" s="229"/>
      <c r="D662" s="229"/>
      <c r="E662" s="229"/>
      <c r="F662" s="229"/>
      <c r="G662" s="229"/>
      <c r="H662" s="229"/>
      <c r="I662" s="229"/>
      <c r="J662" s="59"/>
      <c r="K662" s="1"/>
      <c r="L662" s="32"/>
      <c r="M662" s="32"/>
      <c r="N662" s="32"/>
      <c r="O662" s="51"/>
      <c r="P662" s="51"/>
    </row>
    <row r="663" spans="2:16" x14ac:dyDescent="0.25">
      <c r="B663" s="32"/>
      <c r="C663" s="229"/>
      <c r="D663" s="229"/>
      <c r="E663" s="229"/>
      <c r="F663" s="229"/>
      <c r="G663" s="229"/>
      <c r="H663" s="229"/>
      <c r="I663" s="229"/>
      <c r="J663" s="59"/>
      <c r="K663" s="1"/>
      <c r="L663" s="32"/>
      <c r="M663" s="32"/>
      <c r="N663" s="32"/>
      <c r="O663" s="51"/>
      <c r="P663" s="51"/>
    </row>
    <row r="664" spans="2:16" x14ac:dyDescent="0.25">
      <c r="B664" s="32"/>
      <c r="C664" s="229"/>
      <c r="D664" s="229"/>
      <c r="E664" s="229"/>
      <c r="F664" s="229"/>
      <c r="G664" s="229"/>
      <c r="H664" s="229"/>
      <c r="I664" s="229"/>
      <c r="J664" s="59"/>
      <c r="K664" s="1"/>
      <c r="L664" s="32"/>
      <c r="M664" s="32"/>
      <c r="N664" s="32"/>
      <c r="O664" s="51"/>
      <c r="P664" s="51"/>
    </row>
    <row r="665" spans="2:16" x14ac:dyDescent="0.25">
      <c r="B665" s="32"/>
      <c r="C665" s="229"/>
      <c r="D665" s="229"/>
      <c r="E665" s="229"/>
      <c r="F665" s="229"/>
      <c r="G665" s="229"/>
      <c r="H665" s="229"/>
      <c r="I665" s="229"/>
      <c r="J665" s="59"/>
      <c r="K665" s="1"/>
      <c r="L665" s="32"/>
      <c r="M665" s="32"/>
      <c r="N665" s="32"/>
      <c r="O665" s="51"/>
      <c r="P665" s="51"/>
    </row>
    <row r="666" spans="2:16" x14ac:dyDescent="0.25">
      <c r="B666" s="32"/>
      <c r="C666" s="229"/>
      <c r="D666" s="229"/>
      <c r="E666" s="229"/>
      <c r="F666" s="229"/>
      <c r="G666" s="229"/>
      <c r="H666" s="229"/>
      <c r="I666" s="229"/>
      <c r="J666" s="59"/>
      <c r="K666" s="1"/>
      <c r="L666" s="32"/>
      <c r="M666" s="32"/>
      <c r="N666" s="32"/>
      <c r="O666" s="51"/>
      <c r="P666" s="51"/>
    </row>
    <row r="667" spans="2:16" x14ac:dyDescent="0.25">
      <c r="B667" s="32"/>
      <c r="C667" s="229"/>
      <c r="D667" s="229"/>
      <c r="E667" s="229"/>
      <c r="F667" s="229"/>
      <c r="G667" s="229"/>
      <c r="H667" s="229"/>
      <c r="I667" s="229"/>
      <c r="J667" s="59"/>
      <c r="K667" s="1"/>
      <c r="L667" s="32"/>
      <c r="M667" s="32"/>
      <c r="N667" s="32"/>
      <c r="O667" s="51"/>
      <c r="P667" s="51"/>
    </row>
    <row r="668" spans="2:16" x14ac:dyDescent="0.25">
      <c r="B668" s="32"/>
      <c r="C668" s="229"/>
      <c r="D668" s="229"/>
      <c r="E668" s="229"/>
      <c r="F668" s="229"/>
      <c r="G668" s="229"/>
      <c r="H668" s="229"/>
      <c r="I668" s="229"/>
      <c r="J668" s="59"/>
      <c r="K668" s="1"/>
      <c r="L668" s="32"/>
      <c r="M668" s="32"/>
      <c r="N668" s="32"/>
      <c r="O668" s="51"/>
      <c r="P668" s="51"/>
    </row>
    <row r="669" spans="2:16" x14ac:dyDescent="0.25">
      <c r="B669" s="32"/>
      <c r="C669" s="229"/>
      <c r="D669" s="229"/>
      <c r="E669" s="229"/>
      <c r="F669" s="229"/>
      <c r="G669" s="229"/>
      <c r="H669" s="229"/>
      <c r="I669" s="229"/>
      <c r="J669" s="59"/>
      <c r="K669" s="1"/>
      <c r="L669" s="32"/>
      <c r="M669" s="32"/>
      <c r="N669" s="32"/>
      <c r="O669" s="51"/>
      <c r="P669" s="51"/>
    </row>
    <row r="670" spans="2:16" x14ac:dyDescent="0.25">
      <c r="B670" s="32"/>
      <c r="C670" s="229"/>
      <c r="D670" s="229"/>
      <c r="E670" s="229"/>
      <c r="F670" s="229"/>
      <c r="G670" s="229"/>
      <c r="H670" s="229"/>
      <c r="I670" s="229"/>
      <c r="J670" s="59"/>
      <c r="K670" s="1"/>
      <c r="L670" s="32"/>
      <c r="M670" s="32"/>
      <c r="N670" s="32"/>
      <c r="O670" s="51"/>
      <c r="P670" s="51"/>
    </row>
    <row r="671" spans="2:16" x14ac:dyDescent="0.25">
      <c r="B671" s="32"/>
      <c r="C671" s="229"/>
      <c r="D671" s="229"/>
      <c r="E671" s="229"/>
      <c r="F671" s="229"/>
      <c r="G671" s="229"/>
      <c r="H671" s="229"/>
      <c r="I671" s="229"/>
      <c r="J671" s="59"/>
      <c r="K671" s="1"/>
      <c r="L671" s="32"/>
      <c r="M671" s="32"/>
      <c r="N671" s="32"/>
      <c r="O671" s="51"/>
      <c r="P671" s="51"/>
    </row>
    <row r="672" spans="2:16" x14ac:dyDescent="0.25">
      <c r="B672" s="32"/>
      <c r="C672" s="229"/>
      <c r="D672" s="229"/>
      <c r="E672" s="229"/>
      <c r="F672" s="229"/>
      <c r="G672" s="229"/>
      <c r="H672" s="229"/>
      <c r="I672" s="229"/>
      <c r="J672" s="59"/>
      <c r="K672" s="1"/>
      <c r="L672" s="32"/>
      <c r="M672" s="32"/>
      <c r="N672" s="32"/>
      <c r="O672" s="51"/>
      <c r="P672" s="51"/>
    </row>
    <row r="673" spans="2:16" x14ac:dyDescent="0.25">
      <c r="B673" s="32"/>
      <c r="C673" s="229"/>
      <c r="D673" s="229"/>
      <c r="E673" s="229"/>
      <c r="F673" s="229"/>
      <c r="G673" s="229"/>
      <c r="H673" s="229"/>
      <c r="I673" s="229"/>
      <c r="J673" s="59"/>
      <c r="K673" s="1"/>
      <c r="L673" s="32"/>
      <c r="M673" s="32"/>
      <c r="N673" s="32"/>
      <c r="O673" s="51"/>
      <c r="P673" s="51"/>
    </row>
    <row r="674" spans="2:16" x14ac:dyDescent="0.25">
      <c r="B674" s="32"/>
      <c r="C674" s="229"/>
      <c r="D674" s="229"/>
      <c r="E674" s="229"/>
      <c r="F674" s="229"/>
      <c r="G674" s="229"/>
      <c r="H674" s="229"/>
      <c r="I674" s="229"/>
      <c r="J674" s="59"/>
      <c r="K674" s="1"/>
      <c r="L674" s="32"/>
      <c r="M674" s="32"/>
      <c r="N674" s="32"/>
      <c r="O674" s="51"/>
      <c r="P674" s="51"/>
    </row>
    <row r="675" spans="2:16" x14ac:dyDescent="0.25">
      <c r="B675" s="32"/>
      <c r="C675" s="229"/>
      <c r="D675" s="229"/>
      <c r="E675" s="229"/>
      <c r="F675" s="229"/>
      <c r="G675" s="229"/>
      <c r="H675" s="229"/>
      <c r="I675" s="229"/>
      <c r="J675" s="59"/>
      <c r="K675" s="1"/>
      <c r="L675" s="32"/>
      <c r="M675" s="32"/>
      <c r="N675" s="32"/>
      <c r="O675" s="51"/>
      <c r="P675" s="51"/>
    </row>
    <row r="676" spans="2:16" x14ac:dyDescent="0.25">
      <c r="B676" s="32"/>
      <c r="C676" s="229"/>
      <c r="D676" s="229"/>
      <c r="E676" s="229"/>
      <c r="F676" s="229"/>
      <c r="G676" s="229"/>
      <c r="H676" s="229"/>
      <c r="I676" s="229"/>
      <c r="J676" s="59"/>
      <c r="K676" s="1"/>
      <c r="L676" s="32"/>
      <c r="M676" s="32"/>
      <c r="N676" s="32"/>
      <c r="O676" s="51"/>
      <c r="P676" s="51"/>
    </row>
    <row r="677" spans="2:16" x14ac:dyDescent="0.25">
      <c r="B677" s="32"/>
      <c r="C677" s="229"/>
      <c r="D677" s="229"/>
      <c r="E677" s="229"/>
      <c r="F677" s="229"/>
      <c r="G677" s="229"/>
      <c r="H677" s="229"/>
      <c r="I677" s="229"/>
      <c r="J677" s="59"/>
      <c r="K677" s="1"/>
      <c r="L677" s="32"/>
      <c r="M677" s="32"/>
      <c r="N677" s="32"/>
      <c r="O677" s="51"/>
      <c r="P677" s="51"/>
    </row>
    <row r="678" spans="2:16" x14ac:dyDescent="0.25">
      <c r="B678" s="32"/>
      <c r="C678" s="229"/>
      <c r="D678" s="229"/>
      <c r="E678" s="229"/>
      <c r="F678" s="229"/>
      <c r="G678" s="229"/>
      <c r="H678" s="229"/>
      <c r="I678" s="229"/>
      <c r="J678" s="59"/>
      <c r="K678" s="1"/>
      <c r="L678" s="32"/>
      <c r="M678" s="32"/>
      <c r="N678" s="32"/>
      <c r="O678" s="51"/>
      <c r="P678" s="51"/>
    </row>
    <row r="679" spans="2:16" x14ac:dyDescent="0.25">
      <c r="B679" s="32"/>
      <c r="C679" s="229"/>
      <c r="D679" s="229"/>
      <c r="E679" s="229"/>
      <c r="F679" s="229"/>
      <c r="G679" s="229"/>
      <c r="H679" s="229"/>
      <c r="I679" s="229"/>
      <c r="J679" s="59"/>
      <c r="K679" s="1"/>
      <c r="L679" s="32"/>
      <c r="M679" s="32"/>
      <c r="N679" s="32"/>
      <c r="O679" s="51"/>
      <c r="P679" s="51"/>
    </row>
    <row r="680" spans="2:16" x14ac:dyDescent="0.25">
      <c r="B680" s="32"/>
      <c r="C680" s="229"/>
      <c r="D680" s="229"/>
      <c r="E680" s="229"/>
      <c r="F680" s="229"/>
      <c r="G680" s="229"/>
      <c r="H680" s="229"/>
      <c r="I680" s="229"/>
      <c r="J680" s="59"/>
      <c r="K680" s="1"/>
      <c r="L680" s="32"/>
      <c r="M680" s="32"/>
      <c r="N680" s="32"/>
      <c r="O680" s="51"/>
      <c r="P680" s="51"/>
    </row>
    <row r="681" spans="2:16" x14ac:dyDescent="0.25">
      <c r="B681" s="32"/>
      <c r="C681" s="229"/>
      <c r="D681" s="229"/>
      <c r="E681" s="229"/>
      <c r="F681" s="229"/>
      <c r="G681" s="229"/>
      <c r="H681" s="229"/>
      <c r="I681" s="229"/>
      <c r="J681" s="59"/>
      <c r="K681" s="1"/>
      <c r="L681" s="32"/>
      <c r="M681" s="32"/>
      <c r="N681" s="32"/>
      <c r="O681" s="51"/>
      <c r="P681" s="51"/>
    </row>
    <row r="682" spans="2:16" x14ac:dyDescent="0.25">
      <c r="B682" s="32"/>
      <c r="C682" s="229"/>
      <c r="D682" s="229"/>
      <c r="E682" s="229"/>
      <c r="F682" s="229"/>
      <c r="G682" s="229"/>
      <c r="H682" s="229"/>
      <c r="I682" s="229"/>
      <c r="J682" s="59"/>
      <c r="K682" s="1"/>
      <c r="L682" s="32"/>
      <c r="M682" s="32"/>
      <c r="N682" s="32"/>
      <c r="O682" s="51"/>
      <c r="P682" s="51"/>
    </row>
    <row r="683" spans="2:16" x14ac:dyDescent="0.25">
      <c r="B683" s="32"/>
      <c r="C683" s="229"/>
      <c r="D683" s="229"/>
      <c r="E683" s="229"/>
      <c r="F683" s="229"/>
      <c r="G683" s="229"/>
      <c r="H683" s="229"/>
      <c r="I683" s="229"/>
      <c r="J683" s="59"/>
      <c r="K683" s="1"/>
      <c r="L683" s="32"/>
      <c r="M683" s="32"/>
      <c r="N683" s="32"/>
      <c r="O683" s="51"/>
      <c r="P683" s="51"/>
    </row>
    <row r="684" spans="2:16" x14ac:dyDescent="0.25">
      <c r="B684" s="32"/>
      <c r="C684" s="229"/>
      <c r="D684" s="229"/>
      <c r="E684" s="229"/>
      <c r="F684" s="229"/>
      <c r="G684" s="229"/>
      <c r="H684" s="229"/>
      <c r="I684" s="229"/>
      <c r="J684" s="59"/>
      <c r="K684" s="1"/>
      <c r="L684" s="32"/>
      <c r="M684" s="32"/>
      <c r="N684" s="32"/>
      <c r="O684" s="51"/>
      <c r="P684" s="51"/>
    </row>
    <row r="685" spans="2:16" x14ac:dyDescent="0.25">
      <c r="B685" s="32"/>
      <c r="C685" s="229"/>
      <c r="D685" s="229"/>
      <c r="E685" s="229"/>
      <c r="F685" s="229"/>
      <c r="G685" s="229"/>
      <c r="H685" s="229"/>
      <c r="I685" s="229"/>
      <c r="J685" s="59"/>
      <c r="K685" s="1"/>
      <c r="L685" s="32"/>
      <c r="M685" s="32"/>
      <c r="N685" s="32"/>
      <c r="O685" s="51"/>
      <c r="P685" s="51"/>
    </row>
    <row r="686" spans="2:16" x14ac:dyDescent="0.25">
      <c r="B686" s="32"/>
      <c r="C686" s="229"/>
      <c r="D686" s="229"/>
      <c r="E686" s="229"/>
      <c r="F686" s="229"/>
      <c r="G686" s="229"/>
      <c r="H686" s="229"/>
      <c r="I686" s="229"/>
      <c r="J686" s="59"/>
      <c r="K686" s="1"/>
      <c r="L686" s="32"/>
      <c r="M686" s="32"/>
      <c r="N686" s="32"/>
      <c r="O686" s="51"/>
      <c r="P686" s="51"/>
    </row>
    <row r="687" spans="2:16" x14ac:dyDescent="0.25">
      <c r="B687" s="32"/>
      <c r="C687" s="229"/>
      <c r="D687" s="229"/>
      <c r="E687" s="229"/>
      <c r="F687" s="229"/>
      <c r="G687" s="229"/>
      <c r="H687" s="229"/>
      <c r="I687" s="229"/>
      <c r="J687" s="59"/>
      <c r="K687" s="1"/>
      <c r="L687" s="32"/>
      <c r="M687" s="32"/>
      <c r="N687" s="32"/>
      <c r="O687" s="51"/>
      <c r="P687" s="51"/>
    </row>
    <row r="688" spans="2:16" x14ac:dyDescent="0.25">
      <c r="B688" s="32"/>
      <c r="C688" s="229"/>
      <c r="D688" s="229"/>
      <c r="E688" s="229"/>
      <c r="F688" s="229"/>
      <c r="G688" s="229"/>
      <c r="H688" s="229"/>
      <c r="I688" s="229"/>
      <c r="J688" s="59"/>
      <c r="K688" s="1"/>
      <c r="L688" s="32"/>
      <c r="M688" s="32"/>
      <c r="N688" s="32"/>
      <c r="O688" s="51"/>
      <c r="P688" s="51"/>
    </row>
    <row r="689" spans="2:16" x14ac:dyDescent="0.25">
      <c r="B689" s="32"/>
      <c r="C689" s="229"/>
      <c r="D689" s="229"/>
      <c r="E689" s="229"/>
      <c r="F689" s="229"/>
      <c r="G689" s="229"/>
      <c r="H689" s="229"/>
      <c r="I689" s="229"/>
      <c r="J689" s="59"/>
      <c r="K689" s="1"/>
      <c r="L689" s="32"/>
      <c r="M689" s="32"/>
      <c r="N689" s="32"/>
      <c r="O689" s="51"/>
      <c r="P689" s="51"/>
    </row>
    <row r="690" spans="2:16" x14ac:dyDescent="0.25">
      <c r="B690" s="32"/>
      <c r="C690" s="229"/>
      <c r="D690" s="229"/>
      <c r="E690" s="229"/>
      <c r="F690" s="229"/>
      <c r="G690" s="229"/>
      <c r="H690" s="229"/>
      <c r="I690" s="229"/>
      <c r="J690" s="59"/>
      <c r="K690" s="1"/>
      <c r="L690" s="32"/>
      <c r="M690" s="32"/>
      <c r="N690" s="32"/>
      <c r="O690" s="51"/>
      <c r="P690" s="51"/>
    </row>
    <row r="691" spans="2:16" x14ac:dyDescent="0.25">
      <c r="B691" s="32"/>
      <c r="C691" s="229"/>
      <c r="D691" s="229"/>
      <c r="E691" s="229"/>
      <c r="F691" s="229"/>
      <c r="G691" s="229"/>
      <c r="H691" s="229"/>
      <c r="I691" s="229"/>
      <c r="J691" s="59"/>
      <c r="K691" s="1"/>
      <c r="L691" s="32"/>
      <c r="M691" s="32"/>
      <c r="N691" s="32"/>
      <c r="O691" s="51"/>
      <c r="P691" s="51"/>
    </row>
    <row r="692" spans="2:16" x14ac:dyDescent="0.25">
      <c r="B692" s="32"/>
      <c r="C692" s="229"/>
      <c r="D692" s="229"/>
      <c r="E692" s="229"/>
      <c r="F692" s="229"/>
      <c r="G692" s="229"/>
      <c r="H692" s="229"/>
      <c r="I692" s="229"/>
      <c r="J692" s="59"/>
      <c r="K692" s="1"/>
      <c r="L692" s="32"/>
      <c r="M692" s="32"/>
      <c r="N692" s="32"/>
      <c r="O692" s="51"/>
      <c r="P692" s="51"/>
    </row>
    <row r="693" spans="2:16" x14ac:dyDescent="0.25">
      <c r="B693" s="32"/>
      <c r="C693" s="229"/>
      <c r="D693" s="229"/>
      <c r="E693" s="229"/>
      <c r="F693" s="229"/>
      <c r="G693" s="229"/>
      <c r="H693" s="229"/>
      <c r="I693" s="229"/>
      <c r="J693" s="59"/>
      <c r="K693" s="1"/>
      <c r="L693" s="32"/>
      <c r="M693" s="32"/>
      <c r="N693" s="32"/>
      <c r="O693" s="51"/>
      <c r="P693" s="51"/>
    </row>
    <row r="694" spans="2:16" x14ac:dyDescent="0.25">
      <c r="B694" s="32"/>
      <c r="C694" s="229"/>
      <c r="D694" s="229"/>
      <c r="E694" s="229"/>
      <c r="F694" s="229"/>
      <c r="G694" s="229"/>
      <c r="H694" s="229"/>
      <c r="I694" s="229"/>
      <c r="J694" s="59"/>
      <c r="K694" s="1"/>
      <c r="L694" s="32"/>
      <c r="M694" s="32"/>
      <c r="N694" s="32"/>
      <c r="O694" s="51"/>
      <c r="P694" s="51"/>
    </row>
    <row r="695" spans="2:16" x14ac:dyDescent="0.25">
      <c r="B695" s="32"/>
      <c r="C695" s="229"/>
      <c r="D695" s="229"/>
      <c r="E695" s="229"/>
      <c r="F695" s="229"/>
      <c r="G695" s="229"/>
      <c r="H695" s="229"/>
      <c r="I695" s="229"/>
      <c r="J695" s="59"/>
      <c r="K695" s="1"/>
      <c r="L695" s="32"/>
      <c r="M695" s="32"/>
      <c r="N695" s="32"/>
      <c r="O695" s="51"/>
      <c r="P695" s="51"/>
    </row>
    <row r="696" spans="2:16" x14ac:dyDescent="0.25">
      <c r="B696" s="32"/>
      <c r="C696" s="229"/>
      <c r="D696" s="229"/>
      <c r="E696" s="229"/>
      <c r="F696" s="229"/>
      <c r="G696" s="229"/>
      <c r="H696" s="229"/>
      <c r="I696" s="229"/>
      <c r="J696" s="59"/>
      <c r="K696" s="1"/>
      <c r="L696" s="32"/>
      <c r="M696" s="32"/>
      <c r="N696" s="32"/>
      <c r="O696" s="51"/>
      <c r="P696" s="51"/>
    </row>
    <row r="697" spans="2:16" x14ac:dyDescent="0.25">
      <c r="B697" s="32"/>
      <c r="C697" s="229"/>
      <c r="D697" s="229"/>
      <c r="E697" s="229"/>
      <c r="F697" s="229"/>
      <c r="G697" s="229"/>
      <c r="H697" s="229"/>
      <c r="I697" s="229"/>
      <c r="J697" s="59"/>
      <c r="K697" s="1"/>
      <c r="L697" s="32"/>
      <c r="M697" s="32"/>
      <c r="N697" s="32"/>
      <c r="O697" s="51"/>
      <c r="P697" s="51"/>
    </row>
    <row r="698" spans="2:16" x14ac:dyDescent="0.25">
      <c r="B698" s="32"/>
      <c r="C698" s="229"/>
      <c r="D698" s="229"/>
      <c r="E698" s="229"/>
      <c r="F698" s="229"/>
      <c r="G698" s="229"/>
      <c r="H698" s="229"/>
      <c r="I698" s="229"/>
      <c r="J698" s="59"/>
      <c r="K698" s="1"/>
      <c r="L698" s="32"/>
      <c r="M698" s="32"/>
      <c r="N698" s="32"/>
      <c r="O698" s="51"/>
      <c r="P698" s="51"/>
    </row>
    <row r="699" spans="2:16" x14ac:dyDescent="0.25">
      <c r="B699" s="32"/>
      <c r="C699" s="229"/>
      <c r="D699" s="229"/>
      <c r="E699" s="229"/>
      <c r="F699" s="229"/>
      <c r="G699" s="229"/>
      <c r="H699" s="229"/>
      <c r="I699" s="229"/>
      <c r="J699" s="59"/>
      <c r="K699" s="1"/>
      <c r="L699" s="32"/>
      <c r="M699" s="32"/>
      <c r="N699" s="32"/>
      <c r="O699" s="51"/>
      <c r="P699" s="51"/>
    </row>
    <row r="700" spans="2:16" x14ac:dyDescent="0.25">
      <c r="B700" s="32"/>
      <c r="C700" s="229"/>
      <c r="D700" s="229"/>
      <c r="E700" s="229"/>
      <c r="F700" s="229"/>
      <c r="G700" s="229"/>
      <c r="H700" s="229"/>
      <c r="I700" s="229"/>
      <c r="J700" s="59"/>
      <c r="K700" s="1"/>
      <c r="L700" s="32"/>
      <c r="M700" s="32"/>
      <c r="N700" s="32"/>
      <c r="O700" s="51"/>
      <c r="P700" s="51"/>
    </row>
    <row r="701" spans="2:16" x14ac:dyDescent="0.25">
      <c r="B701" s="32"/>
      <c r="C701" s="229"/>
      <c r="D701" s="229"/>
      <c r="E701" s="229"/>
      <c r="F701" s="229"/>
      <c r="G701" s="229"/>
      <c r="H701" s="229"/>
      <c r="I701" s="229"/>
      <c r="J701" s="59"/>
      <c r="K701" s="1"/>
      <c r="L701" s="32"/>
      <c r="M701" s="32"/>
      <c r="N701" s="32"/>
      <c r="O701" s="51"/>
      <c r="P701" s="51"/>
    </row>
    <row r="702" spans="2:16" x14ac:dyDescent="0.25">
      <c r="B702" s="32"/>
      <c r="C702" s="229"/>
      <c r="D702" s="229"/>
      <c r="E702" s="229"/>
      <c r="F702" s="229"/>
      <c r="G702" s="229"/>
      <c r="H702" s="229"/>
      <c r="I702" s="229"/>
      <c r="J702" s="59"/>
      <c r="K702" s="1"/>
      <c r="L702" s="32"/>
      <c r="M702" s="32"/>
      <c r="N702" s="32"/>
      <c r="O702" s="51"/>
      <c r="P702" s="51"/>
    </row>
    <row r="703" spans="2:16" x14ac:dyDescent="0.25">
      <c r="B703" s="32"/>
      <c r="C703" s="229"/>
      <c r="D703" s="229"/>
      <c r="E703" s="229"/>
      <c r="F703" s="229"/>
      <c r="G703" s="229"/>
      <c r="H703" s="229"/>
      <c r="I703" s="229"/>
      <c r="J703" s="59"/>
      <c r="K703" s="1"/>
      <c r="L703" s="32"/>
      <c r="M703" s="32"/>
      <c r="N703" s="32"/>
      <c r="O703" s="51"/>
      <c r="P703" s="51"/>
    </row>
    <row r="704" spans="2:16" x14ac:dyDescent="0.25">
      <c r="B704" s="32"/>
      <c r="C704" s="229"/>
      <c r="D704" s="229"/>
      <c r="E704" s="229"/>
      <c r="F704" s="229"/>
      <c r="G704" s="229"/>
      <c r="H704" s="229"/>
      <c r="I704" s="229"/>
      <c r="J704" s="59"/>
      <c r="K704" s="1"/>
      <c r="L704" s="32"/>
      <c r="M704" s="32"/>
      <c r="N704" s="32"/>
      <c r="O704" s="51"/>
      <c r="P704" s="51"/>
    </row>
    <row r="705" spans="2:16" x14ac:dyDescent="0.25">
      <c r="B705" s="32"/>
      <c r="C705" s="229"/>
      <c r="D705" s="229"/>
      <c r="E705" s="229"/>
      <c r="F705" s="229"/>
      <c r="G705" s="229"/>
      <c r="H705" s="229"/>
      <c r="I705" s="229"/>
      <c r="J705" s="59"/>
      <c r="K705" s="1"/>
      <c r="L705" s="32"/>
      <c r="M705" s="32"/>
      <c r="N705" s="32"/>
      <c r="O705" s="51"/>
      <c r="P705" s="51"/>
    </row>
    <row r="706" spans="2:16" x14ac:dyDescent="0.25">
      <c r="B706" s="32"/>
      <c r="C706" s="229"/>
      <c r="D706" s="229"/>
      <c r="E706" s="229"/>
      <c r="F706" s="229"/>
      <c r="G706" s="229"/>
      <c r="H706" s="229"/>
      <c r="I706" s="229"/>
      <c r="J706" s="59"/>
      <c r="K706" s="1"/>
      <c r="L706" s="32"/>
      <c r="M706" s="32"/>
      <c r="N706" s="32"/>
      <c r="O706" s="51"/>
      <c r="P706" s="51"/>
    </row>
    <row r="707" spans="2:16" x14ac:dyDescent="0.25">
      <c r="B707" s="32"/>
      <c r="C707" s="229"/>
      <c r="D707" s="229"/>
      <c r="E707" s="229"/>
      <c r="F707" s="229"/>
      <c r="G707" s="229"/>
      <c r="H707" s="229"/>
      <c r="I707" s="229"/>
      <c r="J707" s="59"/>
      <c r="K707" s="1"/>
      <c r="L707" s="32"/>
      <c r="M707" s="32"/>
      <c r="N707" s="32"/>
      <c r="O707" s="51"/>
      <c r="P707" s="51"/>
    </row>
    <row r="708" spans="2:16" x14ac:dyDescent="0.25">
      <c r="B708" s="32"/>
      <c r="C708" s="229"/>
      <c r="D708" s="229"/>
      <c r="E708" s="229"/>
      <c r="F708" s="229"/>
      <c r="G708" s="229"/>
      <c r="H708" s="229"/>
      <c r="I708" s="229"/>
      <c r="J708" s="59"/>
      <c r="K708" s="1"/>
      <c r="L708" s="32"/>
      <c r="M708" s="32"/>
      <c r="N708" s="32"/>
      <c r="O708" s="51"/>
      <c r="P708" s="51"/>
    </row>
    <row r="709" spans="2:16" x14ac:dyDescent="0.25">
      <c r="B709" s="32"/>
      <c r="C709" s="229"/>
      <c r="D709" s="229"/>
      <c r="E709" s="229"/>
      <c r="F709" s="229"/>
      <c r="G709" s="229"/>
      <c r="H709" s="229"/>
      <c r="I709" s="229"/>
      <c r="J709" s="59"/>
      <c r="K709" s="1"/>
      <c r="L709" s="32"/>
      <c r="M709" s="32"/>
      <c r="N709" s="32"/>
      <c r="O709" s="51"/>
      <c r="P709" s="51"/>
    </row>
    <row r="710" spans="2:16" x14ac:dyDescent="0.25">
      <c r="B710" s="32"/>
      <c r="C710" s="229"/>
      <c r="D710" s="229"/>
      <c r="E710" s="229"/>
      <c r="F710" s="229"/>
      <c r="G710" s="229"/>
      <c r="H710" s="229"/>
      <c r="I710" s="229"/>
      <c r="J710" s="59"/>
      <c r="K710" s="1"/>
      <c r="L710" s="32"/>
      <c r="M710" s="32"/>
      <c r="N710" s="32"/>
      <c r="O710" s="51"/>
      <c r="P710" s="51"/>
    </row>
    <row r="711" spans="2:16" x14ac:dyDescent="0.25">
      <c r="B711" s="32"/>
      <c r="C711" s="229"/>
      <c r="D711" s="229"/>
      <c r="E711" s="229"/>
      <c r="F711" s="229"/>
      <c r="G711" s="229"/>
      <c r="H711" s="229"/>
      <c r="I711" s="229"/>
      <c r="J711" s="59"/>
      <c r="K711" s="1"/>
      <c r="L711" s="32"/>
      <c r="M711" s="32"/>
      <c r="N711" s="32"/>
      <c r="O711" s="51"/>
      <c r="P711" s="51"/>
    </row>
    <row r="712" spans="2:16" x14ac:dyDescent="0.25">
      <c r="B712" s="32"/>
      <c r="C712" s="229"/>
      <c r="D712" s="229"/>
      <c r="E712" s="229"/>
      <c r="F712" s="229"/>
      <c r="G712" s="229"/>
      <c r="H712" s="229"/>
      <c r="I712" s="229"/>
      <c r="J712" s="59"/>
      <c r="K712" s="1"/>
      <c r="L712" s="32"/>
      <c r="M712" s="32"/>
      <c r="N712" s="32"/>
      <c r="O712" s="51"/>
      <c r="P712" s="51"/>
    </row>
    <row r="713" spans="2:16" x14ac:dyDescent="0.25">
      <c r="B713" s="32"/>
      <c r="C713" s="229"/>
      <c r="D713" s="229"/>
      <c r="E713" s="229"/>
      <c r="F713" s="229"/>
      <c r="G713" s="229"/>
      <c r="H713" s="229"/>
      <c r="I713" s="229"/>
      <c r="J713" s="59"/>
      <c r="K713" s="1"/>
      <c r="L713" s="32"/>
      <c r="M713" s="32"/>
      <c r="N713" s="32"/>
      <c r="O713" s="51"/>
      <c r="P713" s="51"/>
    </row>
    <row r="714" spans="2:16" x14ac:dyDescent="0.25">
      <c r="B714" s="32"/>
      <c r="C714" s="229"/>
      <c r="D714" s="229"/>
      <c r="E714" s="229"/>
      <c r="F714" s="229"/>
      <c r="G714" s="229"/>
      <c r="H714" s="229"/>
      <c r="I714" s="229"/>
      <c r="J714" s="59"/>
      <c r="K714" s="1"/>
      <c r="L714" s="32"/>
      <c r="M714" s="32"/>
      <c r="N714" s="32"/>
      <c r="O714" s="51"/>
      <c r="P714" s="51"/>
    </row>
    <row r="715" spans="2:16" x14ac:dyDescent="0.25">
      <c r="B715" s="32"/>
      <c r="C715" s="229"/>
      <c r="D715" s="229"/>
      <c r="E715" s="229"/>
      <c r="F715" s="229"/>
      <c r="G715" s="229"/>
      <c r="H715" s="229"/>
      <c r="I715" s="229"/>
      <c r="J715" s="59"/>
      <c r="K715" s="1"/>
      <c r="L715" s="32"/>
      <c r="M715" s="32"/>
      <c r="N715" s="32"/>
      <c r="O715" s="51"/>
      <c r="P715" s="51"/>
    </row>
    <row r="716" spans="2:16" x14ac:dyDescent="0.25">
      <c r="B716" s="32"/>
      <c r="C716" s="229"/>
      <c r="D716" s="229"/>
      <c r="E716" s="229"/>
      <c r="F716" s="229"/>
      <c r="G716" s="229"/>
      <c r="H716" s="229"/>
      <c r="I716" s="229"/>
      <c r="J716" s="59"/>
      <c r="K716" s="1"/>
      <c r="L716" s="32"/>
      <c r="M716" s="32"/>
      <c r="N716" s="32"/>
      <c r="O716" s="51"/>
      <c r="P716" s="51"/>
    </row>
    <row r="717" spans="2:16" x14ac:dyDescent="0.25">
      <c r="B717" s="32"/>
      <c r="C717" s="229"/>
      <c r="D717" s="229"/>
      <c r="E717" s="229"/>
      <c r="F717" s="229"/>
      <c r="G717" s="229"/>
      <c r="H717" s="229"/>
      <c r="I717" s="229"/>
      <c r="J717" s="59"/>
      <c r="K717" s="1"/>
      <c r="L717" s="32"/>
      <c r="M717" s="32"/>
      <c r="N717" s="32"/>
      <c r="O717" s="51"/>
      <c r="P717" s="51"/>
    </row>
    <row r="718" spans="2:16" x14ac:dyDescent="0.25">
      <c r="B718" s="32"/>
      <c r="C718" s="229"/>
      <c r="D718" s="229"/>
      <c r="E718" s="229"/>
      <c r="F718" s="229"/>
      <c r="G718" s="229"/>
      <c r="H718" s="229"/>
      <c r="I718" s="229"/>
      <c r="J718" s="59"/>
      <c r="K718" s="1"/>
      <c r="L718" s="32"/>
      <c r="M718" s="32"/>
      <c r="N718" s="32"/>
      <c r="O718" s="51"/>
      <c r="P718" s="51"/>
    </row>
    <row r="719" spans="2:16" x14ac:dyDescent="0.25">
      <c r="B719" s="32"/>
      <c r="C719" s="229"/>
      <c r="D719" s="229"/>
      <c r="E719" s="229"/>
      <c r="F719" s="229"/>
      <c r="G719" s="229"/>
      <c r="H719" s="229"/>
      <c r="I719" s="229"/>
      <c r="J719" s="59"/>
      <c r="K719" s="1"/>
      <c r="L719" s="32"/>
      <c r="M719" s="32"/>
      <c r="N719" s="32"/>
      <c r="O719" s="51"/>
      <c r="P719" s="51"/>
    </row>
    <row r="720" spans="2:16" x14ac:dyDescent="0.25">
      <c r="B720" s="32"/>
      <c r="C720" s="229"/>
      <c r="D720" s="229"/>
      <c r="E720" s="229"/>
      <c r="F720" s="229"/>
      <c r="G720" s="229"/>
      <c r="H720" s="229"/>
      <c r="I720" s="229"/>
      <c r="J720" s="59"/>
      <c r="K720" s="1"/>
      <c r="L720" s="32"/>
      <c r="M720" s="32"/>
      <c r="N720" s="32"/>
      <c r="O720" s="51"/>
      <c r="P720" s="51"/>
    </row>
    <row r="721" spans="2:16" x14ac:dyDescent="0.25">
      <c r="B721" s="32"/>
      <c r="C721" s="229"/>
      <c r="D721" s="229"/>
      <c r="E721" s="229"/>
      <c r="F721" s="229"/>
      <c r="G721" s="229"/>
      <c r="H721" s="229"/>
      <c r="I721" s="229"/>
      <c r="J721" s="59"/>
      <c r="K721" s="1"/>
      <c r="L721" s="32"/>
      <c r="M721" s="32"/>
      <c r="N721" s="32"/>
      <c r="O721" s="51"/>
      <c r="P721" s="51"/>
    </row>
    <row r="722" spans="2:16" x14ac:dyDescent="0.25">
      <c r="B722" s="32"/>
      <c r="C722" s="229"/>
      <c r="D722" s="229"/>
      <c r="E722" s="229"/>
      <c r="F722" s="229"/>
      <c r="G722" s="229"/>
      <c r="H722" s="229"/>
      <c r="I722" s="229"/>
      <c r="J722" s="59"/>
      <c r="K722" s="1"/>
      <c r="L722" s="32"/>
      <c r="M722" s="32"/>
      <c r="N722" s="32"/>
      <c r="O722" s="51"/>
      <c r="P722" s="51"/>
    </row>
    <row r="723" spans="2:16" x14ac:dyDescent="0.25">
      <c r="B723" s="32"/>
      <c r="C723" s="229"/>
      <c r="D723" s="229"/>
      <c r="E723" s="229"/>
      <c r="F723" s="229"/>
      <c r="G723" s="229"/>
      <c r="H723" s="229"/>
      <c r="I723" s="229"/>
      <c r="J723" s="59"/>
      <c r="K723" s="1"/>
      <c r="L723" s="32"/>
      <c r="M723" s="32"/>
      <c r="N723" s="32"/>
      <c r="O723" s="51"/>
      <c r="P723" s="51"/>
    </row>
    <row r="724" spans="2:16" x14ac:dyDescent="0.25">
      <c r="B724" s="32"/>
      <c r="C724" s="229"/>
      <c r="D724" s="229"/>
      <c r="E724" s="229"/>
      <c r="F724" s="229"/>
      <c r="G724" s="229"/>
      <c r="H724" s="229"/>
      <c r="I724" s="229"/>
      <c r="J724" s="59"/>
      <c r="K724" s="1"/>
      <c r="L724" s="32"/>
      <c r="M724" s="32"/>
      <c r="N724" s="32"/>
      <c r="O724" s="51"/>
      <c r="P724" s="51"/>
    </row>
    <row r="725" spans="2:16" x14ac:dyDescent="0.25">
      <c r="B725" s="32"/>
      <c r="C725" s="229"/>
      <c r="D725" s="229"/>
      <c r="E725" s="229"/>
      <c r="F725" s="229"/>
      <c r="G725" s="229"/>
      <c r="H725" s="229"/>
      <c r="I725" s="229"/>
      <c r="J725" s="59"/>
      <c r="K725" s="1"/>
      <c r="L725" s="32"/>
      <c r="M725" s="32"/>
      <c r="N725" s="32"/>
      <c r="O725" s="51"/>
      <c r="P725" s="51"/>
    </row>
    <row r="726" spans="2:16" x14ac:dyDescent="0.25">
      <c r="B726" s="32"/>
      <c r="C726" s="229"/>
      <c r="D726" s="229"/>
      <c r="E726" s="229"/>
      <c r="F726" s="229"/>
      <c r="G726" s="229"/>
      <c r="H726" s="229"/>
      <c r="I726" s="229"/>
      <c r="J726" s="59"/>
      <c r="K726" s="1"/>
      <c r="L726" s="32"/>
      <c r="M726" s="32"/>
      <c r="N726" s="32"/>
      <c r="O726" s="51"/>
      <c r="P726" s="51"/>
    </row>
    <row r="727" spans="2:16" x14ac:dyDescent="0.25">
      <c r="B727" s="32"/>
      <c r="C727" s="229"/>
      <c r="D727" s="229"/>
      <c r="E727" s="229"/>
      <c r="F727" s="229"/>
      <c r="G727" s="229"/>
      <c r="H727" s="229"/>
      <c r="I727" s="229"/>
      <c r="J727" s="59"/>
      <c r="K727" s="1"/>
      <c r="L727" s="32"/>
      <c r="M727" s="32"/>
      <c r="N727" s="32"/>
      <c r="O727" s="51"/>
      <c r="P727" s="51"/>
    </row>
    <row r="728" spans="2:16" x14ac:dyDescent="0.25">
      <c r="B728" s="32"/>
      <c r="C728" s="229"/>
      <c r="D728" s="229"/>
      <c r="E728" s="229"/>
      <c r="F728" s="229"/>
      <c r="G728" s="229"/>
      <c r="H728" s="229"/>
      <c r="I728" s="229"/>
      <c r="J728" s="59"/>
      <c r="K728" s="1"/>
      <c r="L728" s="32"/>
      <c r="M728" s="32"/>
      <c r="N728" s="32"/>
      <c r="O728" s="51"/>
      <c r="P728" s="51"/>
    </row>
    <row r="729" spans="2:16" x14ac:dyDescent="0.25">
      <c r="B729" s="32"/>
      <c r="C729" s="229"/>
      <c r="D729" s="229"/>
      <c r="E729" s="229"/>
      <c r="F729" s="229"/>
      <c r="G729" s="229"/>
      <c r="H729" s="229"/>
      <c r="I729" s="229"/>
      <c r="J729" s="59"/>
      <c r="K729" s="1"/>
      <c r="L729" s="32"/>
      <c r="M729" s="32"/>
      <c r="N729" s="32"/>
      <c r="O729" s="51"/>
      <c r="P729" s="51"/>
    </row>
    <row r="730" spans="2:16" x14ac:dyDescent="0.25">
      <c r="B730" s="32"/>
      <c r="C730" s="229"/>
      <c r="D730" s="229"/>
      <c r="E730" s="229"/>
      <c r="F730" s="229"/>
      <c r="G730" s="229"/>
      <c r="H730" s="229"/>
      <c r="I730" s="229"/>
      <c r="J730" s="59"/>
      <c r="K730" s="1"/>
      <c r="L730" s="32"/>
      <c r="M730" s="32"/>
      <c r="N730" s="32"/>
      <c r="O730" s="51"/>
      <c r="P730" s="51"/>
    </row>
    <row r="731" spans="2:16" x14ac:dyDescent="0.25">
      <c r="B731" s="32"/>
      <c r="C731" s="229"/>
      <c r="D731" s="229"/>
      <c r="E731" s="229"/>
      <c r="F731" s="229"/>
      <c r="G731" s="229"/>
      <c r="H731" s="229"/>
      <c r="I731" s="229"/>
      <c r="J731" s="59"/>
      <c r="K731" s="1"/>
      <c r="L731" s="32"/>
      <c r="M731" s="32"/>
      <c r="N731" s="32"/>
      <c r="O731" s="51"/>
      <c r="P731" s="51"/>
    </row>
    <row r="732" spans="2:16" x14ac:dyDescent="0.25">
      <c r="B732" s="32"/>
      <c r="C732" s="229"/>
      <c r="D732" s="229"/>
      <c r="E732" s="229"/>
      <c r="F732" s="229"/>
      <c r="G732" s="229"/>
      <c r="H732" s="229"/>
      <c r="I732" s="229"/>
      <c r="J732" s="59"/>
      <c r="K732" s="1"/>
      <c r="L732" s="32"/>
      <c r="M732" s="32"/>
      <c r="N732" s="32"/>
      <c r="O732" s="51"/>
      <c r="P732" s="51"/>
    </row>
    <row r="733" spans="2:16" x14ac:dyDescent="0.25">
      <c r="B733" s="32"/>
      <c r="C733" s="229"/>
      <c r="D733" s="229"/>
      <c r="E733" s="229"/>
      <c r="F733" s="229"/>
      <c r="G733" s="229"/>
      <c r="H733" s="229"/>
      <c r="I733" s="229"/>
      <c r="J733" s="59"/>
      <c r="K733" s="1"/>
      <c r="L733" s="32"/>
      <c r="M733" s="32"/>
      <c r="N733" s="32"/>
      <c r="O733" s="51"/>
      <c r="P733" s="51"/>
    </row>
    <row r="734" spans="2:16" x14ac:dyDescent="0.25">
      <c r="B734" s="32"/>
      <c r="C734" s="229"/>
      <c r="D734" s="229"/>
      <c r="E734" s="229"/>
      <c r="F734" s="229"/>
      <c r="G734" s="229"/>
      <c r="H734" s="229"/>
      <c r="I734" s="229"/>
      <c r="J734" s="59"/>
      <c r="K734" s="1"/>
      <c r="L734" s="32"/>
      <c r="M734" s="32"/>
      <c r="N734" s="32"/>
      <c r="O734" s="51"/>
      <c r="P734" s="51"/>
    </row>
    <row r="735" spans="2:16" x14ac:dyDescent="0.25">
      <c r="B735" s="32"/>
      <c r="C735" s="229"/>
      <c r="D735" s="229"/>
      <c r="E735" s="229"/>
      <c r="F735" s="229"/>
      <c r="G735" s="229"/>
      <c r="H735" s="229"/>
      <c r="I735" s="229"/>
      <c r="J735" s="59"/>
      <c r="K735" s="1"/>
      <c r="L735" s="32"/>
      <c r="M735" s="32"/>
      <c r="N735" s="32"/>
      <c r="O735" s="51"/>
      <c r="P735" s="51"/>
    </row>
    <row r="736" spans="2:16" x14ac:dyDescent="0.25">
      <c r="B736" s="32"/>
      <c r="C736" s="229"/>
      <c r="D736" s="229"/>
      <c r="E736" s="229"/>
      <c r="F736" s="229"/>
      <c r="G736" s="229"/>
      <c r="H736" s="229"/>
      <c r="I736" s="229"/>
      <c r="J736" s="59"/>
      <c r="K736" s="1"/>
      <c r="L736" s="32"/>
      <c r="M736" s="32"/>
      <c r="N736" s="32"/>
      <c r="O736" s="51"/>
      <c r="P736" s="51"/>
    </row>
    <row r="737" spans="2:16" x14ac:dyDescent="0.25">
      <c r="B737" s="32"/>
      <c r="C737" s="229"/>
      <c r="D737" s="229"/>
      <c r="E737" s="229"/>
      <c r="F737" s="229"/>
      <c r="G737" s="229"/>
      <c r="H737" s="229"/>
      <c r="I737" s="229"/>
      <c r="J737" s="59"/>
      <c r="K737" s="1"/>
      <c r="L737" s="32"/>
      <c r="M737" s="32"/>
      <c r="N737" s="32"/>
      <c r="O737" s="51"/>
      <c r="P737" s="51"/>
    </row>
    <row r="738" spans="2:16" x14ac:dyDescent="0.25">
      <c r="B738" s="32"/>
      <c r="C738" s="229"/>
      <c r="D738" s="229"/>
      <c r="E738" s="229"/>
      <c r="F738" s="229"/>
      <c r="G738" s="229"/>
      <c r="H738" s="229"/>
      <c r="I738" s="229"/>
      <c r="J738" s="59"/>
      <c r="K738" s="1"/>
      <c r="L738" s="32"/>
      <c r="M738" s="32"/>
      <c r="N738" s="32"/>
      <c r="O738" s="51"/>
      <c r="P738" s="51"/>
    </row>
    <row r="739" spans="2:16" x14ac:dyDescent="0.25">
      <c r="B739" s="32"/>
      <c r="C739" s="229"/>
      <c r="D739" s="229"/>
      <c r="E739" s="229"/>
      <c r="F739" s="229"/>
      <c r="G739" s="229"/>
      <c r="H739" s="229"/>
      <c r="I739" s="229"/>
      <c r="J739" s="59"/>
      <c r="K739" s="1"/>
      <c r="L739" s="32"/>
      <c r="M739" s="32"/>
      <c r="N739" s="32"/>
      <c r="O739" s="51"/>
      <c r="P739" s="51"/>
    </row>
    <row r="740" spans="2:16" x14ac:dyDescent="0.25">
      <c r="B740" s="32"/>
      <c r="C740" s="229"/>
      <c r="D740" s="229"/>
      <c r="E740" s="229"/>
      <c r="F740" s="229"/>
      <c r="G740" s="229"/>
      <c r="H740" s="229"/>
      <c r="I740" s="229"/>
      <c r="J740" s="59"/>
      <c r="K740" s="1"/>
      <c r="L740" s="32"/>
      <c r="M740" s="32"/>
      <c r="N740" s="32"/>
      <c r="O740" s="51"/>
      <c r="P740" s="51"/>
    </row>
    <row r="741" spans="2:16" x14ac:dyDescent="0.25">
      <c r="B741" s="32"/>
      <c r="C741" s="229"/>
      <c r="D741" s="229"/>
      <c r="E741" s="229"/>
      <c r="F741" s="229"/>
      <c r="G741" s="229"/>
      <c r="H741" s="229"/>
      <c r="I741" s="229"/>
      <c r="J741" s="59"/>
      <c r="K741" s="1"/>
      <c r="L741" s="32"/>
      <c r="M741" s="32"/>
      <c r="N741" s="32"/>
      <c r="O741" s="51"/>
      <c r="P741" s="51"/>
    </row>
    <row r="742" spans="2:16" x14ac:dyDescent="0.25">
      <c r="B742" s="32"/>
      <c r="C742" s="229"/>
      <c r="D742" s="229"/>
      <c r="E742" s="229"/>
      <c r="F742" s="229"/>
      <c r="G742" s="229"/>
      <c r="H742" s="229"/>
      <c r="I742" s="229"/>
      <c r="J742" s="59"/>
      <c r="K742" s="1"/>
      <c r="L742" s="32"/>
      <c r="M742" s="32"/>
      <c r="N742" s="32"/>
      <c r="O742" s="51"/>
      <c r="P742" s="51"/>
    </row>
    <row r="743" spans="2:16" x14ac:dyDescent="0.25">
      <c r="B743" s="32"/>
      <c r="C743" s="229"/>
      <c r="D743" s="229"/>
      <c r="E743" s="229"/>
      <c r="F743" s="229"/>
      <c r="G743" s="229"/>
      <c r="H743" s="229"/>
      <c r="I743" s="229"/>
      <c r="J743" s="59"/>
      <c r="K743" s="1"/>
      <c r="L743" s="32"/>
      <c r="M743" s="32"/>
      <c r="N743" s="32"/>
      <c r="O743" s="51"/>
      <c r="P743" s="51"/>
    </row>
    <row r="744" spans="2:16" x14ac:dyDescent="0.25">
      <c r="B744" s="32"/>
      <c r="C744" s="229"/>
      <c r="D744" s="229"/>
      <c r="E744" s="229"/>
      <c r="F744" s="229"/>
      <c r="G744" s="229"/>
      <c r="H744" s="229"/>
      <c r="I744" s="229"/>
      <c r="J744" s="59"/>
      <c r="K744" s="1"/>
      <c r="L744" s="32"/>
      <c r="M744" s="32"/>
      <c r="N744" s="32"/>
      <c r="O744" s="51"/>
      <c r="P744" s="51"/>
    </row>
    <row r="745" spans="2:16" x14ac:dyDescent="0.25">
      <c r="B745" s="32"/>
      <c r="C745" s="229"/>
      <c r="D745" s="229"/>
      <c r="E745" s="229"/>
      <c r="F745" s="229"/>
      <c r="G745" s="229"/>
      <c r="H745" s="229"/>
      <c r="I745" s="229"/>
      <c r="J745" s="59"/>
      <c r="K745" s="1"/>
      <c r="L745" s="32"/>
      <c r="M745" s="32"/>
      <c r="N745" s="32"/>
      <c r="O745" s="51"/>
      <c r="P745" s="51"/>
    </row>
    <row r="746" spans="2:16" x14ac:dyDescent="0.25">
      <c r="B746" s="32"/>
      <c r="C746" s="229"/>
      <c r="D746" s="229"/>
      <c r="E746" s="229"/>
      <c r="F746" s="229"/>
      <c r="G746" s="229"/>
      <c r="H746" s="229"/>
      <c r="I746" s="229"/>
      <c r="J746" s="59"/>
      <c r="K746" s="1"/>
      <c r="L746" s="32"/>
      <c r="M746" s="32"/>
      <c r="N746" s="32"/>
      <c r="O746" s="51"/>
      <c r="P746" s="51"/>
    </row>
    <row r="747" spans="2:16" x14ac:dyDescent="0.25">
      <c r="B747" s="32"/>
      <c r="C747" s="229"/>
      <c r="D747" s="229"/>
      <c r="E747" s="229"/>
      <c r="F747" s="229"/>
      <c r="G747" s="229"/>
      <c r="H747" s="229"/>
      <c r="I747" s="229"/>
      <c r="J747" s="59"/>
      <c r="K747" s="1"/>
      <c r="L747" s="32"/>
      <c r="M747" s="32"/>
      <c r="N747" s="32"/>
      <c r="O747" s="51"/>
      <c r="P747" s="51"/>
    </row>
    <row r="748" spans="2:16" x14ac:dyDescent="0.25">
      <c r="B748" s="32"/>
      <c r="C748" s="229"/>
      <c r="D748" s="229"/>
      <c r="E748" s="229"/>
      <c r="F748" s="229"/>
      <c r="G748" s="229"/>
      <c r="H748" s="229"/>
      <c r="I748" s="229"/>
      <c r="J748" s="59"/>
      <c r="K748" s="1"/>
      <c r="L748" s="32"/>
      <c r="M748" s="32"/>
      <c r="N748" s="32"/>
      <c r="O748" s="51"/>
      <c r="P748" s="51"/>
    </row>
    <row r="749" spans="2:16" x14ac:dyDescent="0.25">
      <c r="B749" s="32"/>
      <c r="C749" s="229"/>
      <c r="D749" s="229"/>
      <c r="E749" s="229"/>
      <c r="F749" s="229"/>
      <c r="G749" s="229"/>
      <c r="H749" s="229"/>
      <c r="I749" s="229"/>
      <c r="J749" s="59"/>
      <c r="K749" s="1"/>
      <c r="L749" s="32"/>
      <c r="M749" s="32"/>
      <c r="N749" s="32"/>
      <c r="O749" s="51"/>
      <c r="P749" s="51"/>
    </row>
    <row r="750" spans="2:16" x14ac:dyDescent="0.25">
      <c r="B750" s="32"/>
      <c r="C750" s="229"/>
      <c r="D750" s="229"/>
      <c r="E750" s="229"/>
      <c r="F750" s="229"/>
      <c r="G750" s="229"/>
      <c r="H750" s="229"/>
      <c r="I750" s="229"/>
      <c r="J750" s="59"/>
      <c r="K750" s="1"/>
      <c r="L750" s="32"/>
      <c r="M750" s="32"/>
      <c r="N750" s="32"/>
      <c r="O750" s="51"/>
      <c r="P750" s="51"/>
    </row>
    <row r="751" spans="2:16" x14ac:dyDescent="0.25">
      <c r="B751" s="32"/>
      <c r="C751" s="229"/>
      <c r="D751" s="229"/>
      <c r="E751" s="229"/>
      <c r="F751" s="229"/>
      <c r="G751" s="229"/>
      <c r="H751" s="229"/>
      <c r="I751" s="229"/>
      <c r="J751" s="59"/>
      <c r="K751" s="1"/>
      <c r="L751" s="32"/>
      <c r="M751" s="32"/>
      <c r="N751" s="32"/>
      <c r="O751" s="51"/>
      <c r="P751" s="51"/>
    </row>
    <row r="752" spans="2:16" x14ac:dyDescent="0.25">
      <c r="B752" s="32"/>
      <c r="C752" s="229"/>
      <c r="D752" s="229"/>
      <c r="E752" s="229"/>
      <c r="F752" s="229"/>
      <c r="G752" s="229"/>
      <c r="H752" s="229"/>
      <c r="I752" s="229"/>
      <c r="J752" s="59"/>
      <c r="K752" s="1"/>
      <c r="L752" s="32"/>
      <c r="M752" s="32"/>
      <c r="N752" s="32"/>
      <c r="O752" s="51"/>
      <c r="P752" s="51"/>
    </row>
    <row r="753" spans="2:16" x14ac:dyDescent="0.25">
      <c r="B753" s="32"/>
      <c r="C753" s="229"/>
      <c r="D753" s="229"/>
      <c r="E753" s="229"/>
      <c r="F753" s="229"/>
      <c r="G753" s="229"/>
      <c r="H753" s="229"/>
      <c r="I753" s="229"/>
      <c r="J753" s="59"/>
      <c r="K753" s="1"/>
      <c r="L753" s="32"/>
      <c r="M753" s="32"/>
      <c r="N753" s="32"/>
      <c r="O753" s="51"/>
      <c r="P753" s="51"/>
    </row>
    <row r="754" spans="2:16" x14ac:dyDescent="0.25">
      <c r="B754" s="32"/>
      <c r="C754" s="229"/>
      <c r="D754" s="229"/>
      <c r="E754" s="229"/>
      <c r="F754" s="229"/>
      <c r="G754" s="229"/>
      <c r="H754" s="229"/>
      <c r="I754" s="229"/>
      <c r="J754" s="59"/>
      <c r="K754" s="1"/>
      <c r="L754" s="32"/>
      <c r="M754" s="32"/>
      <c r="N754" s="32"/>
      <c r="O754" s="51"/>
      <c r="P754" s="51"/>
    </row>
    <row r="755" spans="2:16" x14ac:dyDescent="0.25">
      <c r="B755" s="32"/>
      <c r="C755" s="229"/>
      <c r="D755" s="229"/>
      <c r="E755" s="229"/>
      <c r="F755" s="229"/>
      <c r="G755" s="229"/>
      <c r="H755" s="229"/>
      <c r="I755" s="229"/>
      <c r="J755" s="59"/>
      <c r="K755" s="1"/>
      <c r="L755" s="32"/>
      <c r="M755" s="32"/>
      <c r="N755" s="32"/>
      <c r="O755" s="51"/>
      <c r="P755" s="51"/>
    </row>
    <row r="756" spans="2:16" x14ac:dyDescent="0.25">
      <c r="B756" s="32"/>
      <c r="C756" s="229"/>
      <c r="D756" s="229"/>
      <c r="E756" s="229"/>
      <c r="F756" s="229"/>
      <c r="G756" s="229"/>
      <c r="H756" s="229"/>
      <c r="I756" s="229"/>
      <c r="J756" s="59"/>
      <c r="K756" s="1"/>
      <c r="L756" s="32"/>
      <c r="M756" s="32"/>
      <c r="N756" s="32"/>
      <c r="O756" s="51"/>
      <c r="P756" s="51"/>
    </row>
    <row r="757" spans="2:16" x14ac:dyDescent="0.25">
      <c r="B757" s="32"/>
      <c r="C757" s="229"/>
      <c r="D757" s="229"/>
      <c r="E757" s="229"/>
      <c r="F757" s="229"/>
      <c r="G757" s="229"/>
      <c r="H757" s="229"/>
      <c r="I757" s="229"/>
      <c r="J757" s="59"/>
      <c r="K757" s="1"/>
      <c r="L757" s="32"/>
      <c r="M757" s="32"/>
      <c r="N757" s="32"/>
      <c r="O757" s="51"/>
      <c r="P757" s="51"/>
    </row>
    <row r="758" spans="2:16" x14ac:dyDescent="0.25">
      <c r="B758" s="32"/>
      <c r="C758" s="229"/>
      <c r="D758" s="229"/>
      <c r="E758" s="229"/>
      <c r="F758" s="229"/>
      <c r="G758" s="229"/>
      <c r="H758" s="229"/>
      <c r="I758" s="229"/>
      <c r="J758" s="59"/>
      <c r="K758" s="1"/>
      <c r="L758" s="32"/>
      <c r="M758" s="32"/>
      <c r="N758" s="32"/>
      <c r="O758" s="51"/>
      <c r="P758" s="51"/>
    </row>
    <row r="759" spans="2:16" x14ac:dyDescent="0.25">
      <c r="B759" s="32"/>
      <c r="C759" s="229"/>
      <c r="D759" s="229"/>
      <c r="E759" s="229"/>
      <c r="F759" s="229"/>
      <c r="G759" s="229"/>
      <c r="H759" s="229"/>
      <c r="I759" s="229"/>
      <c r="J759" s="59"/>
      <c r="K759" s="1"/>
      <c r="L759" s="32"/>
      <c r="M759" s="32"/>
      <c r="N759" s="32"/>
      <c r="O759" s="51"/>
      <c r="P759" s="51"/>
    </row>
    <row r="760" spans="2:16" x14ac:dyDescent="0.25">
      <c r="B760" s="32"/>
      <c r="C760" s="229"/>
      <c r="D760" s="229"/>
      <c r="E760" s="229"/>
      <c r="F760" s="229"/>
      <c r="G760" s="229"/>
      <c r="H760" s="229"/>
      <c r="I760" s="229"/>
      <c r="J760" s="59"/>
      <c r="K760" s="1"/>
      <c r="L760" s="32"/>
      <c r="M760" s="32"/>
      <c r="N760" s="32"/>
      <c r="O760" s="51"/>
      <c r="P760" s="51"/>
    </row>
    <row r="761" spans="2:16" x14ac:dyDescent="0.25">
      <c r="B761" s="32"/>
      <c r="C761" s="229"/>
      <c r="D761" s="229"/>
      <c r="E761" s="229"/>
      <c r="F761" s="229"/>
      <c r="G761" s="229"/>
      <c r="H761" s="229"/>
      <c r="I761" s="229"/>
      <c r="J761" s="59"/>
      <c r="K761" s="1"/>
      <c r="L761" s="32"/>
      <c r="M761" s="32"/>
      <c r="N761" s="32"/>
      <c r="O761" s="51"/>
      <c r="P761" s="51"/>
    </row>
    <row r="762" spans="2:16" x14ac:dyDescent="0.25">
      <c r="N762" s="32"/>
      <c r="O762" s="51"/>
      <c r="P762" s="51"/>
    </row>
  </sheetData>
  <autoFilter ref="B11:P573" xr:uid="{00000000-0001-0000-0400-000000000000}"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751">
    <mergeCell ref="C12:I12"/>
    <mergeCell ref="C13:I13"/>
    <mergeCell ref="C14:I14"/>
    <mergeCell ref="C15:I15"/>
    <mergeCell ref="B3:D10"/>
    <mergeCell ref="E3:P10"/>
    <mergeCell ref="C11:I11"/>
    <mergeCell ref="C22:I22"/>
    <mergeCell ref="C23:I23"/>
    <mergeCell ref="C24:I24"/>
    <mergeCell ref="C25:I25"/>
    <mergeCell ref="C26:I26"/>
    <mergeCell ref="C27:I27"/>
    <mergeCell ref="C16:I16"/>
    <mergeCell ref="C17:I17"/>
    <mergeCell ref="C18:I18"/>
    <mergeCell ref="C19:I19"/>
    <mergeCell ref="C20:I20"/>
    <mergeCell ref="C21:I21"/>
    <mergeCell ref="C34:I34"/>
    <mergeCell ref="C35:I35"/>
    <mergeCell ref="C36:I36"/>
    <mergeCell ref="C37:I37"/>
    <mergeCell ref="C38:I38"/>
    <mergeCell ref="C39:I39"/>
    <mergeCell ref="C28:I28"/>
    <mergeCell ref="C29:I29"/>
    <mergeCell ref="C30:I30"/>
    <mergeCell ref="C31:I31"/>
    <mergeCell ref="C32:I32"/>
    <mergeCell ref="C33:I33"/>
    <mergeCell ref="C46:I46"/>
    <mergeCell ref="C47:I47"/>
    <mergeCell ref="C48:I48"/>
    <mergeCell ref="C49:I49"/>
    <mergeCell ref="C50:I50"/>
    <mergeCell ref="C51:I51"/>
    <mergeCell ref="C40:I40"/>
    <mergeCell ref="C41:I41"/>
    <mergeCell ref="C42:I42"/>
    <mergeCell ref="C43:I43"/>
    <mergeCell ref="C44:I44"/>
    <mergeCell ref="C45:I45"/>
    <mergeCell ref="C58:I58"/>
    <mergeCell ref="C59:I59"/>
    <mergeCell ref="C60:I60"/>
    <mergeCell ref="C61:I61"/>
    <mergeCell ref="C62:I62"/>
    <mergeCell ref="C63:I63"/>
    <mergeCell ref="C52:I52"/>
    <mergeCell ref="C53:I53"/>
    <mergeCell ref="C54:I54"/>
    <mergeCell ref="C55:I55"/>
    <mergeCell ref="C56:I56"/>
    <mergeCell ref="C57:I57"/>
    <mergeCell ref="C70:I70"/>
    <mergeCell ref="C71:I71"/>
    <mergeCell ref="C72:I72"/>
    <mergeCell ref="C73:I73"/>
    <mergeCell ref="C74:I74"/>
    <mergeCell ref="C75:I75"/>
    <mergeCell ref="C64:I64"/>
    <mergeCell ref="C65:I65"/>
    <mergeCell ref="C66:I66"/>
    <mergeCell ref="C67:I67"/>
    <mergeCell ref="C68:I68"/>
    <mergeCell ref="C69:I69"/>
    <mergeCell ref="C82:I82"/>
    <mergeCell ref="C83:I83"/>
    <mergeCell ref="C84:I84"/>
    <mergeCell ref="C85:I85"/>
    <mergeCell ref="C86:I86"/>
    <mergeCell ref="C87:I87"/>
    <mergeCell ref="C76:I76"/>
    <mergeCell ref="C77:I77"/>
    <mergeCell ref="C78:I78"/>
    <mergeCell ref="C79:I79"/>
    <mergeCell ref="C80:I80"/>
    <mergeCell ref="C81:I81"/>
    <mergeCell ref="C94:I94"/>
    <mergeCell ref="C95:I95"/>
    <mergeCell ref="C96:I96"/>
    <mergeCell ref="C97:I97"/>
    <mergeCell ref="C98:I98"/>
    <mergeCell ref="C99:I99"/>
    <mergeCell ref="C88:I88"/>
    <mergeCell ref="C89:I89"/>
    <mergeCell ref="C90:I90"/>
    <mergeCell ref="C91:I91"/>
    <mergeCell ref="C92:I92"/>
    <mergeCell ref="C93:I93"/>
    <mergeCell ref="C106:I106"/>
    <mergeCell ref="C107:I107"/>
    <mergeCell ref="C108:I108"/>
    <mergeCell ref="C109:I109"/>
    <mergeCell ref="C110:I110"/>
    <mergeCell ref="C111:I111"/>
    <mergeCell ref="C100:I100"/>
    <mergeCell ref="C101:I101"/>
    <mergeCell ref="C102:I102"/>
    <mergeCell ref="C103:I103"/>
    <mergeCell ref="C104:I104"/>
    <mergeCell ref="C105:I105"/>
    <mergeCell ref="C118:I118"/>
    <mergeCell ref="C119:I119"/>
    <mergeCell ref="C120:I120"/>
    <mergeCell ref="C121:I121"/>
    <mergeCell ref="C122:I122"/>
    <mergeCell ref="C123:I123"/>
    <mergeCell ref="C112:I112"/>
    <mergeCell ref="C113:I113"/>
    <mergeCell ref="C114:I114"/>
    <mergeCell ref="C115:I115"/>
    <mergeCell ref="C116:I116"/>
    <mergeCell ref="C117:I117"/>
    <mergeCell ref="C130:I130"/>
    <mergeCell ref="C131:I131"/>
    <mergeCell ref="C132:I132"/>
    <mergeCell ref="C133:I133"/>
    <mergeCell ref="C134:I134"/>
    <mergeCell ref="C135:I135"/>
    <mergeCell ref="C124:I124"/>
    <mergeCell ref="C125:I125"/>
    <mergeCell ref="C126:I126"/>
    <mergeCell ref="C127:I127"/>
    <mergeCell ref="C128:I128"/>
    <mergeCell ref="C129:I129"/>
    <mergeCell ref="C142:I142"/>
    <mergeCell ref="C143:I143"/>
    <mergeCell ref="C144:I144"/>
    <mergeCell ref="C145:I145"/>
    <mergeCell ref="C146:I146"/>
    <mergeCell ref="C147:I147"/>
    <mergeCell ref="C136:I136"/>
    <mergeCell ref="C137:I137"/>
    <mergeCell ref="C138:I138"/>
    <mergeCell ref="C139:I139"/>
    <mergeCell ref="C140:I140"/>
    <mergeCell ref="C141:I141"/>
    <mergeCell ref="C154:I154"/>
    <mergeCell ref="C156:I156"/>
    <mergeCell ref="C157:I157"/>
    <mergeCell ref="C158:I158"/>
    <mergeCell ref="C159:I159"/>
    <mergeCell ref="C160:I160"/>
    <mergeCell ref="C148:I148"/>
    <mergeCell ref="C149:I149"/>
    <mergeCell ref="C150:I150"/>
    <mergeCell ref="C151:I151"/>
    <mergeCell ref="C152:I152"/>
    <mergeCell ref="C153:I153"/>
    <mergeCell ref="C155:I155"/>
    <mergeCell ref="C168:I168"/>
    <mergeCell ref="C169:I169"/>
    <mergeCell ref="C170:I170"/>
    <mergeCell ref="C171:I171"/>
    <mergeCell ref="C172:I172"/>
    <mergeCell ref="C161:I161"/>
    <mergeCell ref="C163:I163"/>
    <mergeCell ref="C164:I164"/>
    <mergeCell ref="C165:I165"/>
    <mergeCell ref="C166:I166"/>
    <mergeCell ref="C167:I167"/>
    <mergeCell ref="C162:I162"/>
    <mergeCell ref="C180:I180"/>
    <mergeCell ref="C181:I181"/>
    <mergeCell ref="C182:I182"/>
    <mergeCell ref="C183:I183"/>
    <mergeCell ref="C184:I184"/>
    <mergeCell ref="C185:I185"/>
    <mergeCell ref="C175:I175"/>
    <mergeCell ref="C176:I176"/>
    <mergeCell ref="C177:I177"/>
    <mergeCell ref="C178:I178"/>
    <mergeCell ref="C179:I179"/>
    <mergeCell ref="C192:I192"/>
    <mergeCell ref="C193:I193"/>
    <mergeCell ref="C194:I194"/>
    <mergeCell ref="C195:I195"/>
    <mergeCell ref="C196:I196"/>
    <mergeCell ref="C197:I197"/>
    <mergeCell ref="C186:I186"/>
    <mergeCell ref="C187:I187"/>
    <mergeCell ref="C188:I188"/>
    <mergeCell ref="C189:I189"/>
    <mergeCell ref="C190:I190"/>
    <mergeCell ref="C191:I191"/>
    <mergeCell ref="C204:I204"/>
    <mergeCell ref="C205:I205"/>
    <mergeCell ref="C206:I206"/>
    <mergeCell ref="C207:I207"/>
    <mergeCell ref="C208:I208"/>
    <mergeCell ref="C209:I209"/>
    <mergeCell ref="C198:I198"/>
    <mergeCell ref="C199:I199"/>
    <mergeCell ref="C200:I200"/>
    <mergeCell ref="C201:I201"/>
    <mergeCell ref="C202:I202"/>
    <mergeCell ref="C203:I203"/>
    <mergeCell ref="C216:I216"/>
    <mergeCell ref="C217:I217"/>
    <mergeCell ref="C218:I218"/>
    <mergeCell ref="C219:I219"/>
    <mergeCell ref="C220:I220"/>
    <mergeCell ref="C221:I221"/>
    <mergeCell ref="C210:I210"/>
    <mergeCell ref="C211:I211"/>
    <mergeCell ref="C212:I212"/>
    <mergeCell ref="C213:I213"/>
    <mergeCell ref="C214:I214"/>
    <mergeCell ref="C215:I215"/>
    <mergeCell ref="C228:I228"/>
    <mergeCell ref="C229:I229"/>
    <mergeCell ref="C230:I230"/>
    <mergeCell ref="C231:I231"/>
    <mergeCell ref="C232:I232"/>
    <mergeCell ref="C233:I233"/>
    <mergeCell ref="C222:I222"/>
    <mergeCell ref="C223:I223"/>
    <mergeCell ref="C224:I224"/>
    <mergeCell ref="C225:I225"/>
    <mergeCell ref="C226:I226"/>
    <mergeCell ref="C227:I227"/>
    <mergeCell ref="C240:I240"/>
    <mergeCell ref="C241:I241"/>
    <mergeCell ref="C242:I242"/>
    <mergeCell ref="C243:I243"/>
    <mergeCell ref="C244:I244"/>
    <mergeCell ref="C245:I245"/>
    <mergeCell ref="C234:I234"/>
    <mergeCell ref="C235:I235"/>
    <mergeCell ref="C236:I236"/>
    <mergeCell ref="C237:I237"/>
    <mergeCell ref="C238:I238"/>
    <mergeCell ref="C239:I239"/>
    <mergeCell ref="C252:I252"/>
    <mergeCell ref="C253:I253"/>
    <mergeCell ref="C254:I254"/>
    <mergeCell ref="C255:I255"/>
    <mergeCell ref="C256:I256"/>
    <mergeCell ref="C257:I257"/>
    <mergeCell ref="C246:I246"/>
    <mergeCell ref="C251:I251"/>
    <mergeCell ref="C248:I248"/>
    <mergeCell ref="C249:I249"/>
    <mergeCell ref="C250:I250"/>
    <mergeCell ref="C247:I247"/>
    <mergeCell ref="C264:I264"/>
    <mergeCell ref="C265:I265"/>
    <mergeCell ref="C266:I266"/>
    <mergeCell ref="C267:I267"/>
    <mergeCell ref="C268:I268"/>
    <mergeCell ref="C269:I269"/>
    <mergeCell ref="C258:I258"/>
    <mergeCell ref="C259:I259"/>
    <mergeCell ref="C260:I260"/>
    <mergeCell ref="C261:I261"/>
    <mergeCell ref="C262:I262"/>
    <mergeCell ref="C263:I263"/>
    <mergeCell ref="C276:I276"/>
    <mergeCell ref="C277:I277"/>
    <mergeCell ref="C278:I278"/>
    <mergeCell ref="C279:I279"/>
    <mergeCell ref="C280:I280"/>
    <mergeCell ref="C281:I281"/>
    <mergeCell ref="C270:I270"/>
    <mergeCell ref="C271:I271"/>
    <mergeCell ref="C272:I272"/>
    <mergeCell ref="C273:I273"/>
    <mergeCell ref="C274:I274"/>
    <mergeCell ref="C275:I275"/>
    <mergeCell ref="C288:I288"/>
    <mergeCell ref="C289:I289"/>
    <mergeCell ref="C290:I290"/>
    <mergeCell ref="C291:I291"/>
    <mergeCell ref="C292:I292"/>
    <mergeCell ref="C293:I293"/>
    <mergeCell ref="C282:I282"/>
    <mergeCell ref="C283:I283"/>
    <mergeCell ref="C284:I284"/>
    <mergeCell ref="C285:I285"/>
    <mergeCell ref="C286:I286"/>
    <mergeCell ref="C287:I287"/>
    <mergeCell ref="C300:I300"/>
    <mergeCell ref="C301:I301"/>
    <mergeCell ref="C302:I302"/>
    <mergeCell ref="C303:I303"/>
    <mergeCell ref="C304:I304"/>
    <mergeCell ref="C305:I305"/>
    <mergeCell ref="C294:I294"/>
    <mergeCell ref="C295:I295"/>
    <mergeCell ref="C296:I296"/>
    <mergeCell ref="C297:I297"/>
    <mergeCell ref="C298:I298"/>
    <mergeCell ref="C299:I299"/>
    <mergeCell ref="C312:I312"/>
    <mergeCell ref="C313:I313"/>
    <mergeCell ref="C314:I314"/>
    <mergeCell ref="C315:I315"/>
    <mergeCell ref="C316:I316"/>
    <mergeCell ref="C317:I317"/>
    <mergeCell ref="C306:I306"/>
    <mergeCell ref="C307:I307"/>
    <mergeCell ref="C308:I308"/>
    <mergeCell ref="C309:I309"/>
    <mergeCell ref="C310:I310"/>
    <mergeCell ref="C311:I311"/>
    <mergeCell ref="C324:I324"/>
    <mergeCell ref="C325:I325"/>
    <mergeCell ref="C326:I326"/>
    <mergeCell ref="C327:I327"/>
    <mergeCell ref="C328:I328"/>
    <mergeCell ref="C329:I329"/>
    <mergeCell ref="C318:I318"/>
    <mergeCell ref="C319:I319"/>
    <mergeCell ref="C320:I320"/>
    <mergeCell ref="C321:I321"/>
    <mergeCell ref="C322:I322"/>
    <mergeCell ref="C323:I323"/>
    <mergeCell ref="C336:I336"/>
    <mergeCell ref="C337:I337"/>
    <mergeCell ref="C338:I338"/>
    <mergeCell ref="C339:I339"/>
    <mergeCell ref="C340:I340"/>
    <mergeCell ref="C341:I341"/>
    <mergeCell ref="C330:I330"/>
    <mergeCell ref="C331:I331"/>
    <mergeCell ref="C332:I332"/>
    <mergeCell ref="C333:I333"/>
    <mergeCell ref="C334:I334"/>
    <mergeCell ref="C335:I335"/>
    <mergeCell ref="C348:I348"/>
    <mergeCell ref="C349:I349"/>
    <mergeCell ref="C350:I350"/>
    <mergeCell ref="C351:I351"/>
    <mergeCell ref="C352:I352"/>
    <mergeCell ref="C353:I353"/>
    <mergeCell ref="C342:I342"/>
    <mergeCell ref="C343:I343"/>
    <mergeCell ref="C344:I344"/>
    <mergeCell ref="C345:I345"/>
    <mergeCell ref="C346:I346"/>
    <mergeCell ref="C347:I347"/>
    <mergeCell ref="C360:I360"/>
    <mergeCell ref="C361:I361"/>
    <mergeCell ref="C362:I362"/>
    <mergeCell ref="C363:I363"/>
    <mergeCell ref="C364:I364"/>
    <mergeCell ref="C365:I365"/>
    <mergeCell ref="C354:I354"/>
    <mergeCell ref="C355:I355"/>
    <mergeCell ref="C356:I356"/>
    <mergeCell ref="C357:I357"/>
    <mergeCell ref="C358:I358"/>
    <mergeCell ref="C359:I359"/>
    <mergeCell ref="C372:I372"/>
    <mergeCell ref="C373:I373"/>
    <mergeCell ref="C374:I374"/>
    <mergeCell ref="C375:I375"/>
    <mergeCell ref="C376:I376"/>
    <mergeCell ref="C377:I377"/>
    <mergeCell ref="C366:I366"/>
    <mergeCell ref="C367:I367"/>
    <mergeCell ref="C368:I368"/>
    <mergeCell ref="C369:I369"/>
    <mergeCell ref="C370:I370"/>
    <mergeCell ref="C371:I371"/>
    <mergeCell ref="C384:I384"/>
    <mergeCell ref="C385:I385"/>
    <mergeCell ref="C386:I386"/>
    <mergeCell ref="C387:I387"/>
    <mergeCell ref="C388:I388"/>
    <mergeCell ref="C389:I389"/>
    <mergeCell ref="C378:I378"/>
    <mergeCell ref="C379:I379"/>
    <mergeCell ref="C380:I380"/>
    <mergeCell ref="C381:I381"/>
    <mergeCell ref="C382:I382"/>
    <mergeCell ref="C383:I383"/>
    <mergeCell ref="C396:I396"/>
    <mergeCell ref="C397:I397"/>
    <mergeCell ref="C398:I398"/>
    <mergeCell ref="C399:I399"/>
    <mergeCell ref="C400:I400"/>
    <mergeCell ref="C401:I401"/>
    <mergeCell ref="C390:I390"/>
    <mergeCell ref="C391:I391"/>
    <mergeCell ref="C392:I392"/>
    <mergeCell ref="C393:I393"/>
    <mergeCell ref="C394:I394"/>
    <mergeCell ref="C395:I395"/>
    <mergeCell ref="C408:I408"/>
    <mergeCell ref="C409:I409"/>
    <mergeCell ref="C410:I410"/>
    <mergeCell ref="C411:I411"/>
    <mergeCell ref="C412:I412"/>
    <mergeCell ref="C413:I413"/>
    <mergeCell ref="C402:I402"/>
    <mergeCell ref="C403:I403"/>
    <mergeCell ref="C404:I404"/>
    <mergeCell ref="C405:I405"/>
    <mergeCell ref="C406:I406"/>
    <mergeCell ref="C407:I407"/>
    <mergeCell ref="C420:I420"/>
    <mergeCell ref="C421:I421"/>
    <mergeCell ref="C422:I422"/>
    <mergeCell ref="C423:I423"/>
    <mergeCell ref="C424:I424"/>
    <mergeCell ref="C425:I425"/>
    <mergeCell ref="C414:I414"/>
    <mergeCell ref="C415:I415"/>
    <mergeCell ref="C416:I416"/>
    <mergeCell ref="C417:I417"/>
    <mergeCell ref="C418:I418"/>
    <mergeCell ref="C419:I419"/>
    <mergeCell ref="C432:I432"/>
    <mergeCell ref="C433:I433"/>
    <mergeCell ref="C434:I434"/>
    <mergeCell ref="C435:I435"/>
    <mergeCell ref="C436:I436"/>
    <mergeCell ref="C437:I437"/>
    <mergeCell ref="C426:I426"/>
    <mergeCell ref="C427:I427"/>
    <mergeCell ref="C428:I428"/>
    <mergeCell ref="C429:I429"/>
    <mergeCell ref="C430:I430"/>
    <mergeCell ref="C431:I431"/>
    <mergeCell ref="C444:I444"/>
    <mergeCell ref="C445:I445"/>
    <mergeCell ref="C446:I446"/>
    <mergeCell ref="C447:I447"/>
    <mergeCell ref="C448:I448"/>
    <mergeCell ref="C449:I449"/>
    <mergeCell ref="C438:I438"/>
    <mergeCell ref="C439:I439"/>
    <mergeCell ref="C440:I440"/>
    <mergeCell ref="C441:I441"/>
    <mergeCell ref="C442:I442"/>
    <mergeCell ref="C443:I443"/>
    <mergeCell ref="C456:I456"/>
    <mergeCell ref="C457:I457"/>
    <mergeCell ref="C458:I458"/>
    <mergeCell ref="C459:I459"/>
    <mergeCell ref="C460:I460"/>
    <mergeCell ref="C461:I461"/>
    <mergeCell ref="C450:I450"/>
    <mergeCell ref="C451:I451"/>
    <mergeCell ref="C452:I452"/>
    <mergeCell ref="C453:I453"/>
    <mergeCell ref="C454:I454"/>
    <mergeCell ref="C455:I455"/>
    <mergeCell ref="C468:I468"/>
    <mergeCell ref="C469:I469"/>
    <mergeCell ref="C470:I470"/>
    <mergeCell ref="C471:I471"/>
    <mergeCell ref="C472:I472"/>
    <mergeCell ref="C473:I473"/>
    <mergeCell ref="C462:I462"/>
    <mergeCell ref="C463:I463"/>
    <mergeCell ref="C464:I464"/>
    <mergeCell ref="C465:I465"/>
    <mergeCell ref="C466:I466"/>
    <mergeCell ref="C467:I467"/>
    <mergeCell ref="C480:I480"/>
    <mergeCell ref="C481:I481"/>
    <mergeCell ref="C482:I482"/>
    <mergeCell ref="C483:I483"/>
    <mergeCell ref="C484:I484"/>
    <mergeCell ref="C485:I485"/>
    <mergeCell ref="C474:I474"/>
    <mergeCell ref="C475:I475"/>
    <mergeCell ref="C476:I476"/>
    <mergeCell ref="C477:I477"/>
    <mergeCell ref="C478:I478"/>
    <mergeCell ref="C479:I479"/>
    <mergeCell ref="C492:I492"/>
    <mergeCell ref="C493:I493"/>
    <mergeCell ref="C494:I494"/>
    <mergeCell ref="C495:I495"/>
    <mergeCell ref="C496:I496"/>
    <mergeCell ref="C497:I497"/>
    <mergeCell ref="C486:I486"/>
    <mergeCell ref="C487:I487"/>
    <mergeCell ref="C488:I488"/>
    <mergeCell ref="C489:I489"/>
    <mergeCell ref="C490:I490"/>
    <mergeCell ref="C491:I491"/>
    <mergeCell ref="C504:I504"/>
    <mergeCell ref="C505:I505"/>
    <mergeCell ref="C506:I506"/>
    <mergeCell ref="C507:I507"/>
    <mergeCell ref="C508:I508"/>
    <mergeCell ref="C509:I509"/>
    <mergeCell ref="C498:I498"/>
    <mergeCell ref="C499:I499"/>
    <mergeCell ref="C500:I500"/>
    <mergeCell ref="C501:I501"/>
    <mergeCell ref="C502:I502"/>
    <mergeCell ref="C503:I503"/>
    <mergeCell ref="C516:I516"/>
    <mergeCell ref="C517:I517"/>
    <mergeCell ref="C518:I518"/>
    <mergeCell ref="C519:I519"/>
    <mergeCell ref="C520:I520"/>
    <mergeCell ref="C521:I521"/>
    <mergeCell ref="C510:I510"/>
    <mergeCell ref="C511:I511"/>
    <mergeCell ref="C512:I512"/>
    <mergeCell ref="C513:I513"/>
    <mergeCell ref="C514:I514"/>
    <mergeCell ref="C515:I515"/>
    <mergeCell ref="C528:I528"/>
    <mergeCell ref="C529:I529"/>
    <mergeCell ref="C530:I530"/>
    <mergeCell ref="C531:I531"/>
    <mergeCell ref="C532:I532"/>
    <mergeCell ref="C533:I533"/>
    <mergeCell ref="C522:I522"/>
    <mergeCell ref="C523:I523"/>
    <mergeCell ref="C524:I524"/>
    <mergeCell ref="C525:I525"/>
    <mergeCell ref="C526:I526"/>
    <mergeCell ref="C527:I527"/>
    <mergeCell ref="C540:I540"/>
    <mergeCell ref="C541:I541"/>
    <mergeCell ref="C542:I542"/>
    <mergeCell ref="C543:I543"/>
    <mergeCell ref="C544:I544"/>
    <mergeCell ref="C545:I545"/>
    <mergeCell ref="C534:I534"/>
    <mergeCell ref="C535:I535"/>
    <mergeCell ref="C536:I536"/>
    <mergeCell ref="C537:I537"/>
    <mergeCell ref="C538:I538"/>
    <mergeCell ref="C539:I539"/>
    <mergeCell ref="C552:I552"/>
    <mergeCell ref="C553:I553"/>
    <mergeCell ref="C554:I554"/>
    <mergeCell ref="C555:I555"/>
    <mergeCell ref="C556:I556"/>
    <mergeCell ref="C557:I557"/>
    <mergeCell ref="C546:I546"/>
    <mergeCell ref="C547:I547"/>
    <mergeCell ref="C548:I548"/>
    <mergeCell ref="C549:I549"/>
    <mergeCell ref="C550:I550"/>
    <mergeCell ref="C551:I551"/>
    <mergeCell ref="C564:I564"/>
    <mergeCell ref="C565:I565"/>
    <mergeCell ref="C566:I566"/>
    <mergeCell ref="C567:I567"/>
    <mergeCell ref="C568:I568"/>
    <mergeCell ref="C569:I569"/>
    <mergeCell ref="C558:I558"/>
    <mergeCell ref="C559:I559"/>
    <mergeCell ref="C560:I560"/>
    <mergeCell ref="C561:I561"/>
    <mergeCell ref="C562:I562"/>
    <mergeCell ref="C563:I563"/>
    <mergeCell ref="C576:I576"/>
    <mergeCell ref="C577:I577"/>
    <mergeCell ref="C578:I578"/>
    <mergeCell ref="C579:I579"/>
    <mergeCell ref="C580:I580"/>
    <mergeCell ref="C581:I581"/>
    <mergeCell ref="C570:I570"/>
    <mergeCell ref="C571:I571"/>
    <mergeCell ref="C572:I572"/>
    <mergeCell ref="C573:I573"/>
    <mergeCell ref="C574:I574"/>
    <mergeCell ref="C575:I575"/>
    <mergeCell ref="C588:I588"/>
    <mergeCell ref="C589:I589"/>
    <mergeCell ref="C590:I590"/>
    <mergeCell ref="C591:I591"/>
    <mergeCell ref="C592:I592"/>
    <mergeCell ref="C593:I593"/>
    <mergeCell ref="C582:I582"/>
    <mergeCell ref="C583:I583"/>
    <mergeCell ref="C584:I584"/>
    <mergeCell ref="C585:I585"/>
    <mergeCell ref="C586:I586"/>
    <mergeCell ref="C587:I587"/>
    <mergeCell ref="C600:I600"/>
    <mergeCell ref="C601:I601"/>
    <mergeCell ref="C602:I602"/>
    <mergeCell ref="C603:I603"/>
    <mergeCell ref="C604:I604"/>
    <mergeCell ref="C605:I605"/>
    <mergeCell ref="C594:I594"/>
    <mergeCell ref="C595:I595"/>
    <mergeCell ref="C596:I596"/>
    <mergeCell ref="C597:I597"/>
    <mergeCell ref="C598:I598"/>
    <mergeCell ref="C599:I599"/>
    <mergeCell ref="C612:I612"/>
    <mergeCell ref="C613:I613"/>
    <mergeCell ref="C614:I614"/>
    <mergeCell ref="C615:I615"/>
    <mergeCell ref="C616:I616"/>
    <mergeCell ref="C617:I617"/>
    <mergeCell ref="C606:I606"/>
    <mergeCell ref="C607:I607"/>
    <mergeCell ref="C608:I608"/>
    <mergeCell ref="C609:I609"/>
    <mergeCell ref="C610:I610"/>
    <mergeCell ref="C611:I611"/>
    <mergeCell ref="C624:I624"/>
    <mergeCell ref="C625:I625"/>
    <mergeCell ref="C626:I626"/>
    <mergeCell ref="C627:I627"/>
    <mergeCell ref="C628:I628"/>
    <mergeCell ref="C629:I629"/>
    <mergeCell ref="C618:I618"/>
    <mergeCell ref="C619:I619"/>
    <mergeCell ref="C620:I620"/>
    <mergeCell ref="C621:I621"/>
    <mergeCell ref="C622:I622"/>
    <mergeCell ref="C623:I623"/>
    <mergeCell ref="C636:I636"/>
    <mergeCell ref="C637:I637"/>
    <mergeCell ref="C638:I638"/>
    <mergeCell ref="C639:I639"/>
    <mergeCell ref="C640:I640"/>
    <mergeCell ref="C641:I641"/>
    <mergeCell ref="C630:I630"/>
    <mergeCell ref="C631:I631"/>
    <mergeCell ref="C632:I632"/>
    <mergeCell ref="C633:I633"/>
    <mergeCell ref="C634:I634"/>
    <mergeCell ref="C635:I635"/>
    <mergeCell ref="C648:I648"/>
    <mergeCell ref="C649:I649"/>
    <mergeCell ref="C650:I650"/>
    <mergeCell ref="C651:I651"/>
    <mergeCell ref="C652:I652"/>
    <mergeCell ref="C653:I653"/>
    <mergeCell ref="C642:I642"/>
    <mergeCell ref="C643:I643"/>
    <mergeCell ref="C644:I644"/>
    <mergeCell ref="C645:I645"/>
    <mergeCell ref="C646:I646"/>
    <mergeCell ref="C647:I647"/>
    <mergeCell ref="C660:I660"/>
    <mergeCell ref="C661:I661"/>
    <mergeCell ref="C662:I662"/>
    <mergeCell ref="C663:I663"/>
    <mergeCell ref="C664:I664"/>
    <mergeCell ref="C665:I665"/>
    <mergeCell ref="C654:I654"/>
    <mergeCell ref="C655:I655"/>
    <mergeCell ref="C656:I656"/>
    <mergeCell ref="C657:I657"/>
    <mergeCell ref="C658:I658"/>
    <mergeCell ref="C659:I659"/>
    <mergeCell ref="C672:I672"/>
    <mergeCell ref="C673:I673"/>
    <mergeCell ref="C674:I674"/>
    <mergeCell ref="C675:I675"/>
    <mergeCell ref="C676:I676"/>
    <mergeCell ref="C677:I677"/>
    <mergeCell ref="C666:I666"/>
    <mergeCell ref="C667:I667"/>
    <mergeCell ref="C668:I668"/>
    <mergeCell ref="C669:I669"/>
    <mergeCell ref="C670:I670"/>
    <mergeCell ref="C671:I671"/>
    <mergeCell ref="C684:I684"/>
    <mergeCell ref="C685:I685"/>
    <mergeCell ref="C686:I686"/>
    <mergeCell ref="C687:I687"/>
    <mergeCell ref="C688:I688"/>
    <mergeCell ref="C689:I689"/>
    <mergeCell ref="C678:I678"/>
    <mergeCell ref="C679:I679"/>
    <mergeCell ref="C680:I680"/>
    <mergeCell ref="C681:I681"/>
    <mergeCell ref="C682:I682"/>
    <mergeCell ref="C683:I683"/>
    <mergeCell ref="C696:I696"/>
    <mergeCell ref="C697:I697"/>
    <mergeCell ref="C698:I698"/>
    <mergeCell ref="C699:I699"/>
    <mergeCell ref="C700:I700"/>
    <mergeCell ref="C701:I701"/>
    <mergeCell ref="C690:I690"/>
    <mergeCell ref="C691:I691"/>
    <mergeCell ref="C692:I692"/>
    <mergeCell ref="C693:I693"/>
    <mergeCell ref="C694:I694"/>
    <mergeCell ref="C695:I695"/>
    <mergeCell ref="C708:I708"/>
    <mergeCell ref="C709:I709"/>
    <mergeCell ref="C710:I710"/>
    <mergeCell ref="C711:I711"/>
    <mergeCell ref="C712:I712"/>
    <mergeCell ref="C713:I713"/>
    <mergeCell ref="C702:I702"/>
    <mergeCell ref="C703:I703"/>
    <mergeCell ref="C704:I704"/>
    <mergeCell ref="C705:I705"/>
    <mergeCell ref="C706:I706"/>
    <mergeCell ref="C707:I707"/>
    <mergeCell ref="C720:I720"/>
    <mergeCell ref="C721:I721"/>
    <mergeCell ref="C722:I722"/>
    <mergeCell ref="C723:I723"/>
    <mergeCell ref="C724:I724"/>
    <mergeCell ref="C725:I725"/>
    <mergeCell ref="C714:I714"/>
    <mergeCell ref="C715:I715"/>
    <mergeCell ref="C716:I716"/>
    <mergeCell ref="C717:I717"/>
    <mergeCell ref="C718:I718"/>
    <mergeCell ref="C719:I719"/>
    <mergeCell ref="C732:I732"/>
    <mergeCell ref="C733:I733"/>
    <mergeCell ref="C734:I734"/>
    <mergeCell ref="C735:I735"/>
    <mergeCell ref="C736:I736"/>
    <mergeCell ref="C737:I737"/>
    <mergeCell ref="C726:I726"/>
    <mergeCell ref="C727:I727"/>
    <mergeCell ref="C728:I728"/>
    <mergeCell ref="C729:I729"/>
    <mergeCell ref="C730:I730"/>
    <mergeCell ref="C731:I731"/>
    <mergeCell ref="C744:I744"/>
    <mergeCell ref="C745:I745"/>
    <mergeCell ref="C746:I746"/>
    <mergeCell ref="C747:I747"/>
    <mergeCell ref="C748:I748"/>
    <mergeCell ref="C749:I749"/>
    <mergeCell ref="C738:I738"/>
    <mergeCell ref="C739:I739"/>
    <mergeCell ref="C740:I740"/>
    <mergeCell ref="C741:I741"/>
    <mergeCell ref="C742:I742"/>
    <mergeCell ref="C743:I743"/>
    <mergeCell ref="C756:I756"/>
    <mergeCell ref="C757:I757"/>
    <mergeCell ref="C758:I758"/>
    <mergeCell ref="C759:I759"/>
    <mergeCell ref="C760:I760"/>
    <mergeCell ref="C761:I761"/>
    <mergeCell ref="C750:I750"/>
    <mergeCell ref="C751:I751"/>
    <mergeCell ref="C752:I752"/>
    <mergeCell ref="C753:I753"/>
    <mergeCell ref="C754:I754"/>
    <mergeCell ref="C755:I755"/>
  </mergeCells>
  <phoneticPr fontId="10" type="noConversion"/>
  <hyperlinks>
    <hyperlink ref="P12" r:id="rId1" xr:uid="{00000000-0004-0000-0400-000000000000}"/>
    <hyperlink ref="P13" r:id="rId2" xr:uid="{00000000-0004-0000-0400-000001000000}"/>
    <hyperlink ref="P14" r:id="rId3" xr:uid="{00000000-0004-0000-0400-000002000000}"/>
    <hyperlink ref="P15" r:id="rId4" xr:uid="{00000000-0004-0000-0400-000003000000}"/>
    <hyperlink ref="P16" r:id="rId5" xr:uid="{00000000-0004-0000-0400-000004000000}"/>
    <hyperlink ref="P17" r:id="rId6" xr:uid="{00000000-0004-0000-0400-000005000000}"/>
    <hyperlink ref="P18" r:id="rId7" xr:uid="{00000000-0004-0000-0400-000006000000}"/>
    <hyperlink ref="P19" r:id="rId8" xr:uid="{00000000-0004-0000-0400-000007000000}"/>
    <hyperlink ref="P20" r:id="rId9" xr:uid="{00000000-0004-0000-0400-000008000000}"/>
    <hyperlink ref="P21" r:id="rId10" xr:uid="{00000000-0004-0000-0400-000009000000}"/>
    <hyperlink ref="P22" r:id="rId11" xr:uid="{00000000-0004-0000-0400-00000A000000}"/>
    <hyperlink ref="P23" r:id="rId12" xr:uid="{00000000-0004-0000-0400-00000B000000}"/>
    <hyperlink ref="P24" r:id="rId13" xr:uid="{00000000-0004-0000-0400-00000C000000}"/>
    <hyperlink ref="P25" r:id="rId14" xr:uid="{00000000-0004-0000-0400-00000D000000}"/>
    <hyperlink ref="P26" r:id="rId15" xr:uid="{00000000-0004-0000-0400-00000E000000}"/>
    <hyperlink ref="P27" r:id="rId16" xr:uid="{00000000-0004-0000-0400-00000F000000}"/>
    <hyperlink ref="P29" r:id="rId17" xr:uid="{00000000-0004-0000-0400-000010000000}"/>
    <hyperlink ref="P28" r:id="rId18" xr:uid="{00000000-0004-0000-0400-000011000000}"/>
    <hyperlink ref="P30" r:id="rId19" xr:uid="{00000000-0004-0000-0400-000012000000}"/>
    <hyperlink ref="P31" r:id="rId20" xr:uid="{00000000-0004-0000-0400-000013000000}"/>
    <hyperlink ref="P32" r:id="rId21" xr:uid="{00000000-0004-0000-0400-000014000000}"/>
    <hyperlink ref="P33" r:id="rId22" xr:uid="{00000000-0004-0000-0400-000015000000}"/>
    <hyperlink ref="P34" r:id="rId23" xr:uid="{00000000-0004-0000-0400-000016000000}"/>
    <hyperlink ref="P35" r:id="rId24" xr:uid="{00000000-0004-0000-0400-000017000000}"/>
    <hyperlink ref="P36" r:id="rId25" xr:uid="{00000000-0004-0000-0400-000018000000}"/>
    <hyperlink ref="P37" r:id="rId26" xr:uid="{00000000-0004-0000-0400-000019000000}"/>
    <hyperlink ref="P38" r:id="rId27" xr:uid="{00000000-0004-0000-0400-00001A000000}"/>
    <hyperlink ref="P39" r:id="rId28" xr:uid="{00000000-0004-0000-0400-00001B000000}"/>
    <hyperlink ref="P40" r:id="rId29" xr:uid="{00000000-0004-0000-0400-00001C000000}"/>
    <hyperlink ref="P41" r:id="rId30" xr:uid="{00000000-0004-0000-0400-00001D000000}"/>
    <hyperlink ref="P42" r:id="rId31" xr:uid="{00000000-0004-0000-0400-00001E000000}"/>
    <hyperlink ref="P43" r:id="rId32" xr:uid="{00000000-0004-0000-0400-00001F000000}"/>
    <hyperlink ref="P44" r:id="rId33" xr:uid="{00000000-0004-0000-0400-000020000000}"/>
    <hyperlink ref="P45" r:id="rId34" xr:uid="{00000000-0004-0000-0400-000021000000}"/>
    <hyperlink ref="P46" r:id="rId35" xr:uid="{00000000-0004-0000-0400-000022000000}"/>
    <hyperlink ref="P47" r:id="rId36" xr:uid="{00000000-0004-0000-0400-000023000000}"/>
    <hyperlink ref="P48" r:id="rId37" xr:uid="{00000000-0004-0000-0400-000024000000}"/>
    <hyperlink ref="P49" r:id="rId38" xr:uid="{00000000-0004-0000-0400-000025000000}"/>
    <hyperlink ref="P50" r:id="rId39" xr:uid="{00000000-0004-0000-0400-000026000000}"/>
    <hyperlink ref="P51" r:id="rId40" xr:uid="{00000000-0004-0000-0400-000027000000}"/>
    <hyperlink ref="P53" r:id="rId41" xr:uid="{00000000-0004-0000-0400-000028000000}"/>
    <hyperlink ref="P54" r:id="rId42" xr:uid="{00000000-0004-0000-0400-000029000000}"/>
    <hyperlink ref="P55" r:id="rId43" xr:uid="{00000000-0004-0000-0400-00002A000000}"/>
    <hyperlink ref="P56" r:id="rId44" xr:uid="{00000000-0004-0000-0400-00002B000000}"/>
    <hyperlink ref="P57" r:id="rId45" xr:uid="{00000000-0004-0000-0400-00002C000000}"/>
    <hyperlink ref="P58" r:id="rId46" xr:uid="{00000000-0004-0000-0400-00002D000000}"/>
    <hyperlink ref="P59" r:id="rId47" xr:uid="{00000000-0004-0000-0400-00002E000000}"/>
    <hyperlink ref="P60" r:id="rId48" xr:uid="{00000000-0004-0000-0400-00002F000000}"/>
    <hyperlink ref="P61" r:id="rId49" xr:uid="{00000000-0004-0000-0400-000030000000}"/>
    <hyperlink ref="P62" r:id="rId50" xr:uid="{00000000-0004-0000-0400-000031000000}"/>
    <hyperlink ref="P63" r:id="rId51" xr:uid="{00000000-0004-0000-0400-000032000000}"/>
    <hyperlink ref="P64" r:id="rId52" xr:uid="{00000000-0004-0000-0400-000033000000}"/>
    <hyperlink ref="P65" r:id="rId53" xr:uid="{00000000-0004-0000-0400-000034000000}"/>
    <hyperlink ref="P66" r:id="rId54" xr:uid="{00000000-0004-0000-0400-000035000000}"/>
    <hyperlink ref="P67" r:id="rId55" xr:uid="{00000000-0004-0000-0400-000036000000}"/>
    <hyperlink ref="P69" r:id="rId56" xr:uid="{00000000-0004-0000-0400-000037000000}"/>
    <hyperlink ref="P70" r:id="rId57" xr:uid="{00000000-0004-0000-0400-000038000000}"/>
    <hyperlink ref="P72" r:id="rId58" xr:uid="{00000000-0004-0000-0400-000039000000}"/>
    <hyperlink ref="P68" r:id="rId59" xr:uid="{00000000-0004-0000-0400-00003A000000}"/>
    <hyperlink ref="P73" r:id="rId60" xr:uid="{00000000-0004-0000-0400-00003B000000}"/>
    <hyperlink ref="P75" r:id="rId61" xr:uid="{00000000-0004-0000-0400-00003C000000}"/>
    <hyperlink ref="P76" r:id="rId62" xr:uid="{00000000-0004-0000-0400-00003D000000}"/>
    <hyperlink ref="P77" r:id="rId63" xr:uid="{00000000-0004-0000-0400-00003E000000}"/>
    <hyperlink ref="P79" r:id="rId64" xr:uid="{00000000-0004-0000-0400-00003F000000}"/>
    <hyperlink ref="P80" r:id="rId65" xr:uid="{00000000-0004-0000-0400-000040000000}"/>
    <hyperlink ref="P81" r:id="rId66" xr:uid="{00000000-0004-0000-0400-000041000000}"/>
    <hyperlink ref="P82" r:id="rId67" xr:uid="{00000000-0004-0000-0400-000042000000}"/>
    <hyperlink ref="P83" r:id="rId68" xr:uid="{00000000-0004-0000-0400-000043000000}"/>
    <hyperlink ref="P84" r:id="rId69" xr:uid="{00000000-0004-0000-0400-000044000000}"/>
    <hyperlink ref="P85" r:id="rId70" xr:uid="{00000000-0004-0000-0400-000045000000}"/>
    <hyperlink ref="P86" r:id="rId71" xr:uid="{00000000-0004-0000-0400-000046000000}"/>
    <hyperlink ref="P87" r:id="rId72" xr:uid="{00000000-0004-0000-0400-000047000000}"/>
    <hyperlink ref="P89" r:id="rId73" xr:uid="{00000000-0004-0000-0400-000048000000}"/>
    <hyperlink ref="P90" r:id="rId74" xr:uid="{00000000-0004-0000-0400-000049000000}"/>
    <hyperlink ref="P91" r:id="rId75" xr:uid="{00000000-0004-0000-0400-00004A000000}"/>
    <hyperlink ref="P92" r:id="rId76" xr:uid="{00000000-0004-0000-0400-00004B000000}"/>
    <hyperlink ref="P93" r:id="rId77" xr:uid="{00000000-0004-0000-0400-00004C000000}"/>
    <hyperlink ref="P94" r:id="rId78" xr:uid="{00000000-0004-0000-0400-00004D000000}"/>
    <hyperlink ref="P95" r:id="rId79" xr:uid="{00000000-0004-0000-0400-00004E000000}"/>
    <hyperlink ref="P96" r:id="rId80" xr:uid="{00000000-0004-0000-0400-00004F000000}"/>
    <hyperlink ref="P97" r:id="rId81" xr:uid="{00000000-0004-0000-0400-000050000000}"/>
    <hyperlink ref="P98" r:id="rId82" xr:uid="{00000000-0004-0000-0400-000051000000}"/>
    <hyperlink ref="P99" r:id="rId83" xr:uid="{00000000-0004-0000-0400-000052000000}"/>
    <hyperlink ref="P101" r:id="rId84" xr:uid="{00000000-0004-0000-0400-000053000000}"/>
    <hyperlink ref="P102" r:id="rId85" xr:uid="{00000000-0004-0000-0400-000054000000}"/>
    <hyperlink ref="P103" r:id="rId86" xr:uid="{00000000-0004-0000-0400-000055000000}"/>
    <hyperlink ref="P104" r:id="rId87" xr:uid="{00000000-0004-0000-0400-000056000000}"/>
    <hyperlink ref="P107" r:id="rId88" xr:uid="{00000000-0004-0000-0400-000057000000}"/>
    <hyperlink ref="P108" r:id="rId89" xr:uid="{00000000-0004-0000-0400-000058000000}"/>
    <hyperlink ref="P109" r:id="rId90" xr:uid="{00000000-0004-0000-0400-000059000000}"/>
    <hyperlink ref="P110" r:id="rId91" xr:uid="{00000000-0004-0000-0400-00005A000000}"/>
    <hyperlink ref="P111" r:id="rId92" xr:uid="{00000000-0004-0000-0400-00005B000000}"/>
    <hyperlink ref="P112" r:id="rId93" xr:uid="{00000000-0004-0000-0400-00005C000000}"/>
    <hyperlink ref="P113" r:id="rId94" xr:uid="{00000000-0004-0000-0400-00005D000000}"/>
    <hyperlink ref="P114" r:id="rId95" xr:uid="{00000000-0004-0000-0400-00005E000000}"/>
    <hyperlink ref="P115" r:id="rId96" xr:uid="{00000000-0004-0000-0400-00005F000000}"/>
    <hyperlink ref="P117" r:id="rId97" xr:uid="{00000000-0004-0000-0400-000060000000}"/>
    <hyperlink ref="P119" r:id="rId98" xr:uid="{00000000-0004-0000-0400-000061000000}"/>
    <hyperlink ref="P120" r:id="rId99" xr:uid="{00000000-0004-0000-0400-000062000000}"/>
    <hyperlink ref="P121" r:id="rId100" xr:uid="{00000000-0004-0000-0400-000063000000}"/>
    <hyperlink ref="P122" r:id="rId101" xr:uid="{00000000-0004-0000-0400-000064000000}"/>
    <hyperlink ref="P123" r:id="rId102" xr:uid="{00000000-0004-0000-0400-000065000000}"/>
    <hyperlink ref="P124" r:id="rId103" xr:uid="{00000000-0004-0000-0400-000066000000}"/>
    <hyperlink ref="P126" r:id="rId104" xr:uid="{00000000-0004-0000-0400-000067000000}"/>
    <hyperlink ref="P127" r:id="rId105" xr:uid="{00000000-0004-0000-0400-000068000000}"/>
    <hyperlink ref="P128" r:id="rId106" xr:uid="{00000000-0004-0000-0400-000069000000}"/>
    <hyperlink ref="P129" r:id="rId107" xr:uid="{00000000-0004-0000-0400-00006A000000}"/>
    <hyperlink ref="P130" r:id="rId108" xr:uid="{00000000-0004-0000-0400-00006B000000}"/>
    <hyperlink ref="P132" r:id="rId109" xr:uid="{00000000-0004-0000-0400-00006C000000}"/>
    <hyperlink ref="P133" r:id="rId110" xr:uid="{00000000-0004-0000-0400-00006D000000}"/>
    <hyperlink ref="P138" r:id="rId111" xr:uid="{00000000-0004-0000-0400-00006E000000}"/>
    <hyperlink ref="P139" r:id="rId112" xr:uid="{00000000-0004-0000-0400-00006F000000}"/>
    <hyperlink ref="P141" r:id="rId113" xr:uid="{00000000-0004-0000-0400-000070000000}"/>
    <hyperlink ref="P142" r:id="rId114" xr:uid="{00000000-0004-0000-0400-000071000000}"/>
    <hyperlink ref="P143" r:id="rId115" xr:uid="{00000000-0004-0000-0400-000072000000}"/>
    <hyperlink ref="P144" r:id="rId116" xr:uid="{00000000-0004-0000-0400-000073000000}"/>
    <hyperlink ref="P145" r:id="rId117" xr:uid="{00000000-0004-0000-0400-000074000000}"/>
    <hyperlink ref="P146" r:id="rId118" xr:uid="{00000000-0004-0000-0400-000075000000}"/>
    <hyperlink ref="P147" r:id="rId119" xr:uid="{00000000-0004-0000-0400-000076000000}"/>
    <hyperlink ref="P150" r:id="rId120" xr:uid="{00000000-0004-0000-0400-000077000000}"/>
    <hyperlink ref="P151" r:id="rId121" xr:uid="{00000000-0004-0000-0400-000078000000}"/>
    <hyperlink ref="P154" r:id="rId122" xr:uid="{00000000-0004-0000-0400-000079000000}"/>
    <hyperlink ref="P156" r:id="rId123" xr:uid="{00000000-0004-0000-0400-00007A000000}"/>
    <hyperlink ref="P157" r:id="rId124" xr:uid="{00000000-0004-0000-0400-00007B000000}"/>
    <hyperlink ref="P161" r:id="rId125" xr:uid="{00000000-0004-0000-0400-00007C000000}"/>
    <hyperlink ref="P162" r:id="rId126" xr:uid="{00000000-0004-0000-0400-00007D000000}"/>
    <hyperlink ref="P163" r:id="rId127" xr:uid="{1AFC580F-39CB-46A5-9E24-B41512381924}"/>
    <hyperlink ref="P164" r:id="rId128" xr:uid="{505B1210-2946-430E-B01A-C56ADB61565E}"/>
    <hyperlink ref="P152" r:id="rId129" xr:uid="{8A2AFEC2-FAC5-44A9-BF18-2BFA380350BE}"/>
    <hyperlink ref="P165" r:id="rId130" xr:uid="{20C8F8BA-5D47-4F81-AE8F-3405C7FCA9C4}"/>
    <hyperlink ref="P166" r:id="rId131" xr:uid="{CDB6FBC7-76E5-4C25-AC23-B62CDDDE3A5A}"/>
    <hyperlink ref="P167" r:id="rId132" xr:uid="{BC782D9A-B40A-47AC-9527-C07E1BDD3593}"/>
    <hyperlink ref="P169" r:id="rId133" xr:uid="{495D96B9-9791-4EE5-8E24-FA4754CD5BD1}"/>
    <hyperlink ref="P170" r:id="rId134" xr:uid="{9DB0F607-6A88-431E-A233-7CA3B475AB67}"/>
    <hyperlink ref="P171" r:id="rId135" xr:uid="{6801109B-C5AA-4BB6-B39C-BDFDF7529081}"/>
    <hyperlink ref="P172" r:id="rId136" xr:uid="{C132499D-06E8-452F-AC28-10B22B954C73}"/>
    <hyperlink ref="P173" r:id="rId137" xr:uid="{A1DDEA9E-858F-46AC-BD69-885407D8D6AD}"/>
    <hyperlink ref="P174" r:id="rId138" xr:uid="{0486F5DB-B5DD-46B0-A8DC-E477C5A4F885}"/>
    <hyperlink ref="P175" r:id="rId139" xr:uid="{97F4A871-4D18-4C27-A853-FE7A07ED5EFA}"/>
    <hyperlink ref="P177" r:id="rId140" xr:uid="{888C09A4-42AA-4156-82CE-1CA6067D0DDD}"/>
    <hyperlink ref="P178" r:id="rId141" xr:uid="{843DFC4B-A824-4269-819A-F57B0BEE0CAB}"/>
    <hyperlink ref="P179" r:id="rId142" xr:uid="{3AC34B16-8D18-44B3-99AB-477050E30B0C}"/>
    <hyperlink ref="P180" r:id="rId143" xr:uid="{D6163A44-36BC-4852-BCC8-3EFB9858D372}"/>
    <hyperlink ref="P181" r:id="rId144" xr:uid="{C6F60684-ED90-4750-A06C-30765A25198F}"/>
    <hyperlink ref="P182" r:id="rId145" xr:uid="{1E6B3626-4C33-47B9-91FA-597DF1BB7E01}"/>
    <hyperlink ref="P183" r:id="rId146" xr:uid="{A6EF0B8F-A8BE-4952-A12C-DF34392A0201}"/>
    <hyperlink ref="P184" r:id="rId147" xr:uid="{10390CC8-DC4A-467B-9D72-414EED6855AF}"/>
    <hyperlink ref="P185" r:id="rId148" xr:uid="{45D5632D-A83E-4769-AE99-096159D9652D}"/>
    <hyperlink ref="P186" r:id="rId149" xr:uid="{C3EC94D6-653D-4319-A8CE-CDDC4230920F}"/>
    <hyperlink ref="P187" r:id="rId150" xr:uid="{DF56C302-318F-4A73-BFF6-EEB808AC0DBD}"/>
    <hyperlink ref="P188" r:id="rId151" xr:uid="{3664CECA-C8F0-4704-8BDF-A9176721CD2B}"/>
    <hyperlink ref="P189" r:id="rId152" xr:uid="{79C39A71-33A7-4D17-AF5A-47476278BB51}"/>
    <hyperlink ref="P190" r:id="rId153" xr:uid="{1E32A53E-53D0-4F73-AC96-4C596F489E31}"/>
    <hyperlink ref="P191" r:id="rId154" xr:uid="{69BBA13A-AC98-4101-9F28-21726D285863}"/>
    <hyperlink ref="P192" r:id="rId155" xr:uid="{47C7F3E8-2345-4267-BA59-FFFACCD73B0F}"/>
    <hyperlink ref="P193" r:id="rId156" xr:uid="{26AA74BD-0D4A-404A-AE3B-7DE2102F82AB}"/>
    <hyperlink ref="P194" r:id="rId157" xr:uid="{8C16B27F-F32B-4E35-8882-E83137565CB2}"/>
    <hyperlink ref="P195" r:id="rId158" xr:uid="{FAC84796-726E-491E-AFBB-6EA39485BE4C}"/>
    <hyperlink ref="P196" r:id="rId159" xr:uid="{688BF6B7-4932-48D1-A320-B1CCEB35525B}"/>
    <hyperlink ref="P205" r:id="rId160" xr:uid="{806E7BC3-1658-4100-8E66-24E94EE3898D}"/>
    <hyperlink ref="C204" r:id="rId161" display="villaterrat2@gmail.com" xr:uid="{CF0ABE7D-1D43-4E36-B7BC-38B479067020}"/>
    <hyperlink ref="P204" r:id="rId162" xr:uid="{5C4F724F-1A9C-4972-A86A-7CE27D0E4863}"/>
    <hyperlink ref="P206" r:id="rId163" xr:uid="{0223821B-F4F0-4710-A249-A65638ECAB10}"/>
    <hyperlink ref="P207" r:id="rId164" display="mailto:Vanessazapata.fcr@gmail.com" xr:uid="{4848D672-5382-451C-B1B1-C73517B2B275}"/>
    <hyperlink ref="P197" r:id="rId165" xr:uid="{BD06D541-F474-4778-B8B5-0D52445D2CAC}"/>
    <hyperlink ref="P198" r:id="rId166" xr:uid="{076ABB6A-8FD4-4C35-B193-F48EEF1587B5}"/>
    <hyperlink ref="P199" r:id="rId167" xr:uid="{4314073D-AD73-4F71-B710-A0848E1466D9}"/>
    <hyperlink ref="P200" r:id="rId168" xr:uid="{E760F4FB-E610-46E9-A62B-D1F1559F86B5}"/>
    <hyperlink ref="P140" r:id="rId169" xr:uid="{F54D9098-C4FB-4CC5-A55C-D76E657ABDB8}"/>
    <hyperlink ref="P148" r:id="rId170" xr:uid="{F6FBB82B-50F6-43F2-9FE9-DE56564CB90E}"/>
    <hyperlink ref="P149" r:id="rId171" xr:uid="{3E69F79D-FE40-48E3-BBAB-A7B1925F7166}"/>
    <hyperlink ref="P209" r:id="rId172" xr:uid="{68045D16-412A-4F34-AECE-2BAD8219F34A}"/>
    <hyperlink ref="P210" r:id="rId173" xr:uid="{C424178A-97A5-4B68-9BA0-BAC84C249257}"/>
    <hyperlink ref="P211" r:id="rId174" xr:uid="{059C8CE6-D447-4214-9A94-2DF80D98BCCB}"/>
    <hyperlink ref="P212" r:id="rId175" xr:uid="{C408EF4F-F68F-4C75-8B80-AC29855E4E29}"/>
    <hyperlink ref="P213" r:id="rId176" xr:uid="{84F019DB-9B2F-40F1-B626-CA2B57F21F59}"/>
    <hyperlink ref="P214" r:id="rId177" xr:uid="{AB167C2B-4285-467F-AD3B-02B8A56043B7}"/>
    <hyperlink ref="P215" r:id="rId178" xr:uid="{C6E6AE1D-93FE-46BB-AD1C-656417525A6B}"/>
    <hyperlink ref="P216" r:id="rId179" xr:uid="{1741CC5F-9C2D-4750-83D1-A2CAC6632B86}"/>
    <hyperlink ref="P203" r:id="rId180" xr:uid="{A1E3C53A-4169-4FBE-90CF-8856EB2E229C}"/>
    <hyperlink ref="P105" r:id="rId181" xr:uid="{B685A7CE-62AF-41C0-903E-F2BE1663CC1F}"/>
    <hyperlink ref="P106" r:id="rId182" xr:uid="{323D6EA8-B687-4554-B956-E67699D47FF2}"/>
    <hyperlink ref="P136" r:id="rId183" xr:uid="{1EEA4A1C-6E6F-46CA-AA60-16E3B5791416}"/>
    <hyperlink ref="P134" r:id="rId184" xr:uid="{530A6C22-1EA1-4D8D-BF8F-9C225AB25CCE}"/>
    <hyperlink ref="P201" r:id="rId185" xr:uid="{3D6DA6DD-9506-47FE-B137-E59D060E2D55}"/>
    <hyperlink ref="P218" r:id="rId186" xr:uid="{7DD00AD8-2870-4551-ACFD-F0BF2B463545}"/>
    <hyperlink ref="P219" r:id="rId187" xr:uid="{B8866512-10AA-4BB3-AC61-ACA1B44B3022}"/>
    <hyperlink ref="P220" r:id="rId188" xr:uid="{863F8416-E3ED-4BBF-A301-5BA6B3CF9A2D}"/>
    <hyperlink ref="P221" r:id="rId189" display="mailto:simon.agudelo@labinmobiliario.com" xr:uid="{CACC9A3B-6007-4E55-BE23-65275690A3EB}"/>
    <hyperlink ref="P222" r:id="rId190" xr:uid="{2EDFADB9-6351-4ECD-8C2D-BB25CE380EF1}"/>
    <hyperlink ref="P223" r:id="rId191" xr:uid="{B65B5EC6-CB9E-492D-BBE4-A98CADEFDBD9}"/>
    <hyperlink ref="P224" r:id="rId192" xr:uid="{3057887E-746E-4B5A-8562-073E3D8E6077}"/>
    <hyperlink ref="P225" r:id="rId193" xr:uid="{5C7A0E08-E718-4AF1-A429-29CBCA069F4A}"/>
    <hyperlink ref="P226" r:id="rId194" xr:uid="{2A578EA7-AE8B-47BA-914B-4DBCBBC391E3}"/>
    <hyperlink ref="P227" r:id="rId195" xr:uid="{C99433DD-751C-45A1-A216-376F3627D90B}"/>
    <hyperlink ref="P228" r:id="rId196" xr:uid="{CA029A57-E96F-4E2F-9E18-65517D14C8C7}"/>
    <hyperlink ref="P229" r:id="rId197" xr:uid="{85F5313A-CD5C-4E93-8B81-781046B22A1E}"/>
    <hyperlink ref="P208" r:id="rId198" xr:uid="{CCA3F439-97B7-4FA6-A684-8C48F7B908AA}"/>
    <hyperlink ref="P230" r:id="rId199" display="mailto:ce.prana26@gmail.com" xr:uid="{D6CD8820-A5FD-43E4-8A12-D09BF51A1482}"/>
    <hyperlink ref="P231" r:id="rId200" xr:uid="{87F1FD06-FC2A-4141-9EA0-BD16668E940A}"/>
    <hyperlink ref="P232" r:id="rId201" xr:uid="{4EBD0C57-B9B6-458D-9F3A-0A13A7BFEB8C}"/>
    <hyperlink ref="P233" r:id="rId202" xr:uid="{DCF93C4D-C82B-4450-B0EA-161DCB4DFEF0}"/>
    <hyperlink ref="P234" r:id="rId203" xr:uid="{00BFD74E-B42D-46E3-860F-92341E1D783A}"/>
    <hyperlink ref="P235" r:id="rId204" xr:uid="{9C6ADBFA-293E-43A2-9423-0EC7A06E686E}"/>
    <hyperlink ref="P236" r:id="rId205" xr:uid="{D4BA5044-1D66-43AB-A223-B0A3CC19CF67}"/>
    <hyperlink ref="P237" r:id="rId206" xr:uid="{9699C6A0-52A1-4B6D-925B-AF93C80B7912}"/>
    <hyperlink ref="P238" r:id="rId207" xr:uid="{7DA3FF9C-595F-4174-A7E0-141632DBF546}"/>
    <hyperlink ref="P240" r:id="rId208" xr:uid="{8A802008-AF12-4DB3-8F20-8BABE6164B79}"/>
    <hyperlink ref="P241" r:id="rId209" xr:uid="{1780BDDE-060B-43C3-86A3-3CF3D29D1283}"/>
    <hyperlink ref="P242" r:id="rId210" xr:uid="{B5591C2D-08BA-4A99-AC3E-8FA9E950F66E}"/>
    <hyperlink ref="P243" r:id="rId211" xr:uid="{DC17607F-545D-460B-9D4D-93BAA20931C6}"/>
    <hyperlink ref="P244" r:id="rId212" xr:uid="{D080E713-48B9-48F2-B2C3-84C22265CB6B}"/>
    <hyperlink ref="P245" r:id="rId213" xr:uid="{344BDC9E-683C-4D32-A721-40E61CF446A0}"/>
    <hyperlink ref="P246" r:id="rId214" xr:uid="{E547A2D7-9AE0-4E4C-B0FB-31C1B075D9D7}"/>
    <hyperlink ref="P251" r:id="rId215" xr:uid="{28990BB9-D443-4FEC-9BDE-F8F1A92758C5}"/>
    <hyperlink ref="P248" r:id="rId216" xr:uid="{0F049A4D-F42D-40B5-A5C8-036F61B6D6A5}"/>
    <hyperlink ref="P250" r:id="rId217" xr:uid="{C80ABE46-1977-44C9-94F1-5FAC8D03B3F4}"/>
    <hyperlink ref="P247" r:id="rId218" xr:uid="{8B869D6C-DA48-42BE-8CB5-C682D5A93EC3}"/>
    <hyperlink ref="P252" r:id="rId219" xr:uid="{A00BD364-1F8F-4449-83F3-406114F5BB9B}"/>
    <hyperlink ref="P253" r:id="rId220" xr:uid="{415A59EA-041B-4C08-BAD5-B1293C646E17}"/>
    <hyperlink ref="P254" r:id="rId221" xr:uid="{7AD748F1-2873-42BB-9CA8-187A1D7295D7}"/>
    <hyperlink ref="P255" r:id="rId222" xr:uid="{5F70342F-513A-4C7D-91E3-82E341D4DCC5}"/>
    <hyperlink ref="P257" r:id="rId223" xr:uid="{BA49AD35-BBAF-45EE-9266-1D9C1C7D56F4}"/>
    <hyperlink ref="P258" r:id="rId224" xr:uid="{C193316D-CB59-4FD8-A13E-E5C3C89D3CEC}"/>
    <hyperlink ref="P259" r:id="rId225" xr:uid="{7DB825F4-DD1A-4744-951B-EE8A4CF06245}"/>
    <hyperlink ref="P260" r:id="rId226" xr:uid="{BF78C336-9079-4FE8-BA7C-9F52CD6E3EFA}"/>
    <hyperlink ref="P261" r:id="rId227" xr:uid="{0EEA8FE7-4530-4B45-9295-D518B9E307CE}"/>
    <hyperlink ref="P262" r:id="rId228" xr:uid="{C6A8B005-AD94-4F94-9DBB-0A98DBCA2B02}"/>
    <hyperlink ref="P263" r:id="rId229" xr:uid="{167EEA25-A7D6-4AD0-8BAE-A548C6D24101}"/>
    <hyperlink ref="P265" r:id="rId230" xr:uid="{DF6C3A5D-088C-46D1-9F5E-D9387AC5BF45}"/>
    <hyperlink ref="P267" r:id="rId231" xr:uid="{A3EE46D1-0595-408E-9B83-7BFD0A5DEB61}"/>
    <hyperlink ref="P268" r:id="rId232" xr:uid="{17CF3711-BA9A-4B86-B271-5B329B6F9299}"/>
    <hyperlink ref="P269" r:id="rId233" xr:uid="{A4F486DE-11D3-4426-8685-BB9ACBA329AF}"/>
    <hyperlink ref="P270" r:id="rId234" xr:uid="{9A4D04B8-96FF-4332-9572-2216F74AD0F9}"/>
    <hyperlink ref="P271" r:id="rId235" xr:uid="{702EA10E-980B-47BA-902A-4E3FF8825B11}"/>
    <hyperlink ref="P272" r:id="rId236" xr:uid="{5455B774-4737-40B9-A2F4-4DB18D56D32D}"/>
    <hyperlink ref="P273" r:id="rId237" xr:uid="{4AFCFF5B-91F7-4953-8A77-408E4EF93467}"/>
    <hyperlink ref="P274" r:id="rId238" xr:uid="{7132053E-4C5F-4299-A6DC-BA90F9261A2D}"/>
    <hyperlink ref="P275" r:id="rId239" xr:uid="{9A25EA96-7F9E-4706-B8A7-28FBF1469F2A}"/>
    <hyperlink ref="P276" r:id="rId240" xr:uid="{4EDF3FD6-464D-4CD0-B818-A68B88FFDB2F}"/>
    <hyperlink ref="P277" r:id="rId241" xr:uid="{42CBA098-121F-4401-89E4-BFD251D48E9D}"/>
    <hyperlink ref="P278" r:id="rId242" xr:uid="{D3131ECF-153C-46F2-ADFA-FA1EC1C5FA4A}"/>
    <hyperlink ref="P279" r:id="rId243" xr:uid="{53660D08-03FA-48FF-BFFD-E89DD4A0ED39}"/>
    <hyperlink ref="P280" r:id="rId244" xr:uid="{18A7C590-E96B-4F37-AE10-3EA8239BD4DD}"/>
    <hyperlink ref="P282" r:id="rId245" xr:uid="{E569BE82-BF0D-461B-A120-FFD47DD5749B}"/>
    <hyperlink ref="P281" r:id="rId246" xr:uid="{A11F78CC-F61F-498D-891D-3FF64B4FA374}"/>
    <hyperlink ref="P283" r:id="rId247" display="mailto:jllamas@hidromaq-gt.com" xr:uid="{C3BA5D93-3842-43FE-AB63-F78361BF6175}"/>
    <hyperlink ref="P284" r:id="rId248" xr:uid="{FB170661-0F1F-40A8-803A-F53ECEE2BA24}"/>
    <hyperlink ref="P285" r:id="rId249" xr:uid="{4C16BC1F-FC3E-4C94-9752-3DCE978A2914}"/>
    <hyperlink ref="P288" r:id="rId250" xr:uid="{EB6EC7C4-E633-47AE-A5BE-B0096B6016EE}"/>
    <hyperlink ref="P289" r:id="rId251" xr:uid="{47ABEF14-D3BF-4F88-948A-639B128021D8}"/>
    <hyperlink ref="P290" r:id="rId252" xr:uid="{8F59F02C-70EE-4DE6-8600-80BADE883BD8}"/>
    <hyperlink ref="P291" r:id="rId253" xr:uid="{5248D2AB-56A9-44F0-82FF-2BC448B965F9}"/>
    <hyperlink ref="P292" r:id="rId254" xr:uid="{BC5766BA-4A6B-407D-A36C-86FDE46D466F}"/>
    <hyperlink ref="P293" r:id="rId255" xr:uid="{AD9BF33F-C9CB-451A-8495-6201CA73661F}"/>
    <hyperlink ref="P294" r:id="rId256" xr:uid="{C89FE326-3495-44E1-83D6-DA732D55E153}"/>
    <hyperlink ref="P295" r:id="rId257" xr:uid="{31D890AA-560C-44E2-A968-B886F8860360}"/>
    <hyperlink ref="P296" r:id="rId258" xr:uid="{C12720FA-D2E0-4FAF-A99D-50E0AF0F054E}"/>
    <hyperlink ref="P297" r:id="rId259" xr:uid="{C57FCAD3-99E8-4E64-9FE4-D949F864929B}"/>
    <hyperlink ref="P298" r:id="rId260" xr:uid="{3FC011BE-284B-43A3-BC17-683504134ACA}"/>
    <hyperlink ref="P299" r:id="rId261" xr:uid="{8B97CACA-5754-4C43-B979-926D4398133B}"/>
    <hyperlink ref="P300" r:id="rId262" xr:uid="{C57B0010-20C1-4186-8E60-652AB0F16FFC}"/>
    <hyperlink ref="P301" r:id="rId263" xr:uid="{163C061C-9781-411E-8EC3-EC0A97BCF171}"/>
    <hyperlink ref="P302" r:id="rId264" xr:uid="{5AAF8EC3-0391-4AFC-8D57-4FCE699080BE}"/>
    <hyperlink ref="O303" r:id="rId265" display="l.cuartas@verticeing.com " xr:uid="{E6BC98A6-54F6-4C8A-9D3D-8DA3F3EB3733}"/>
    <hyperlink ref="P303" r:id="rId266" xr:uid="{96015593-F8E2-436B-8E56-C5F38D10C5C6}"/>
    <hyperlink ref="P304" r:id="rId267" xr:uid="{EBECCD50-61FD-4D1C-BF04-DDB0257D3881}"/>
    <hyperlink ref="P305" r:id="rId268" xr:uid="{F0D5B63F-A194-48FC-A4E9-A2D4E8ED412D}"/>
    <hyperlink ref="P306" r:id="rId269" xr:uid="{BFDCBAC2-B4CE-427E-ADA5-18A60E181ABF}"/>
    <hyperlink ref="P307" r:id="rId270" xr:uid="{1057DD42-C017-4F34-9478-7C94F4E9F4C4}"/>
    <hyperlink ref="P308" r:id="rId271" xr:uid="{0503A4A4-BFF6-4130-AD13-216B108649CE}"/>
    <hyperlink ref="P309" r:id="rId272" xr:uid="{A064BBDB-4C1E-4016-B55B-69F2E7275B2A}"/>
    <hyperlink ref="P310" r:id="rId273" xr:uid="{1250C147-E8C3-4785-81B4-8E2A1A778E95}"/>
    <hyperlink ref="P287" r:id="rId274" display="mailto:cristinapalacio@mensulaingenieros.com" xr:uid="{267AC197-60BA-4BA9-9DB5-2D5CE8A0B5D7}"/>
    <hyperlink ref="P311" r:id="rId275" xr:uid="{D753ECB8-490E-4FF4-8008-792E314D728C}"/>
    <hyperlink ref="P313" r:id="rId276" xr:uid="{7A4E5550-B21C-48A6-9DDA-5BEC6DEDAA63}"/>
    <hyperlink ref="P314" r:id="rId277" xr:uid="{D4CCE0CC-A971-432F-9843-69AC09645E1B}"/>
    <hyperlink ref="P315" r:id="rId278" xr:uid="{13338394-1EF3-4D9E-B114-DD3156641195}"/>
    <hyperlink ref="P316" r:id="rId279" xr:uid="{80D8D2F6-C801-4F63-8408-E72B9D704FB1}"/>
    <hyperlink ref="P317" r:id="rId280" xr:uid="{9C18CF79-52C1-4ABD-AEA6-35B324AF289C}"/>
    <hyperlink ref="P318" r:id="rId281" xr:uid="{6080A904-A371-42E4-BB7A-A6D8F4755B4E}"/>
    <hyperlink ref="P320" r:id="rId282" xr:uid="{B088E547-ABDF-4D84-8CBD-B235C5C65904}"/>
    <hyperlink ref="P321" r:id="rId283" xr:uid="{AF221E76-7B2D-47E4-A065-C1894BA2EFA4}"/>
    <hyperlink ref="P322" r:id="rId284" xr:uid="{38C1F0DD-A1CA-4B43-AE51-350891E8370A}"/>
    <hyperlink ref="P323" r:id="rId285" xr:uid="{CD72DE31-A7A8-4B82-A704-459C1CF9A842}"/>
    <hyperlink ref="P324" r:id="rId286" xr:uid="{10BC89E6-6BB9-4C5C-B1FB-DED241C83419}"/>
    <hyperlink ref="P325" r:id="rId287" xr:uid="{FBECB8F9-71C9-4D85-91FB-9776F59D6038}"/>
    <hyperlink ref="P326" r:id="rId288" xr:uid="{6060F729-2967-4DE7-A129-513B7713C5A4}"/>
    <hyperlink ref="P327" r:id="rId289" xr:uid="{A74EC07E-3309-4E1E-A777-377F072FF493}"/>
    <hyperlink ref="P329" r:id="rId290" xr:uid="{14D4FE31-447D-49A1-AE3F-084601F652E5}"/>
    <hyperlink ref="P331" r:id="rId291" xr:uid="{300EAFE4-881C-454D-8A44-61DF462906CA}"/>
    <hyperlink ref="P332" r:id="rId292" xr:uid="{99013FD9-B4FF-4832-AA82-AC8D4B439C76}"/>
    <hyperlink ref="P333" r:id="rId293" xr:uid="{977B8464-3BAF-4547-B123-8A5D3DF5AA97}"/>
    <hyperlink ref="P334" r:id="rId294" xr:uid="{92BD5181-DE41-41BF-AAD2-E5A2A13C595E}"/>
    <hyperlink ref="P336" r:id="rId295" xr:uid="{97080450-7660-486C-A3AF-5036169AC02D}"/>
    <hyperlink ref="P337" r:id="rId296" xr:uid="{3F325FF4-7A7A-4A60-98FF-956CCF118C17}"/>
    <hyperlink ref="P338" r:id="rId297" xr:uid="{A952CD6E-78DC-46A3-BCBB-7F97ED460903}"/>
    <hyperlink ref="P339" r:id="rId298" xr:uid="{03BBA45F-1286-4DCC-B395-508F07D9AC46}"/>
    <hyperlink ref="P340" r:id="rId299" xr:uid="{FD138206-FB51-412B-BEA2-0B6190ED0F77}"/>
    <hyperlink ref="P341" r:id="rId300" xr:uid="{08092B2C-2491-4278-84BF-43060658D9D5}"/>
    <hyperlink ref="P342" r:id="rId301" xr:uid="{CD4B72EB-B7EC-47B1-9E99-D4F686B1CBB8}"/>
    <hyperlink ref="P343" r:id="rId302" xr:uid="{DCAFD81E-8498-4393-8534-14FAC9BA867B}"/>
    <hyperlink ref="P344" r:id="rId303" xr:uid="{F61B0B1B-CDF1-4074-ABAF-EE86FC700D83}"/>
    <hyperlink ref="P345" r:id="rId304" xr:uid="{11D5BE04-8C93-4921-A6E4-A8054E29F9B7}"/>
    <hyperlink ref="P346" r:id="rId305" xr:uid="{4C930A6E-0ADF-45C2-AA33-D85FFA32FDD2}"/>
    <hyperlink ref="P347" r:id="rId306" xr:uid="{D5593714-9BA5-4B80-A1EB-7E589691BFC2}"/>
    <hyperlink ref="P348" r:id="rId307" xr:uid="{BCAB123B-A476-4152-9BFC-EA8D485FFAED}"/>
    <hyperlink ref="P350" r:id="rId308" xr:uid="{964E366A-0F6F-4549-9E79-E4F4DB2DBFB7}"/>
    <hyperlink ref="P351" r:id="rId309" xr:uid="{5C3BD38B-63D7-4A40-9F95-552AFB8DAF58}"/>
    <hyperlink ref="P352" r:id="rId310" xr:uid="{0EA17FC6-BAEB-4E54-BE22-43C9B48FFCDE}"/>
    <hyperlink ref="P354" r:id="rId311" xr:uid="{2B4BD493-F8C2-438D-9A50-C0315D4501EE}"/>
    <hyperlink ref="P355" r:id="rId312" xr:uid="{B70EEC95-EBDC-4D07-B3BE-DE188D7CA1A6}"/>
    <hyperlink ref="P356" r:id="rId313" xr:uid="{0CC1D77C-AEE7-4E78-977F-1610498B8F1A}"/>
    <hyperlink ref="P357" r:id="rId314" xr:uid="{BDE011FE-63C1-4EA6-8847-A083CB3B4E04}"/>
    <hyperlink ref="P358" r:id="rId315" xr:uid="{7BD54E62-F570-4019-9C98-642CBAD5F8F4}"/>
    <hyperlink ref="P359" r:id="rId316" xr:uid="{FCB7A1A2-948A-47B7-B6D8-B0D727999628}"/>
    <hyperlink ref="P360" r:id="rId317" xr:uid="{FD02C13F-1515-4EE2-9B35-F7A5F1C56106}"/>
    <hyperlink ref="P361" r:id="rId318" xr:uid="{E73DBAA0-5302-4837-9287-06FD13090DAE}"/>
    <hyperlink ref="P362" r:id="rId319" xr:uid="{D5DFD878-32DC-4117-803A-DC38C0C026F2}"/>
    <hyperlink ref="P363" r:id="rId320" xr:uid="{0FA0A351-E368-49DC-AE9C-4D188F624B2D}"/>
    <hyperlink ref="P364" r:id="rId321" xr:uid="{99E258BE-F690-4735-A578-6F40F6ECAC18}"/>
    <hyperlink ref="P365" r:id="rId322" xr:uid="{D5D36960-1FC6-4CC7-9EFE-2A48D7A27451}"/>
    <hyperlink ref="P366" r:id="rId323" xr:uid="{72177F18-06E8-4BFF-B3E4-CBDE1A217704}"/>
    <hyperlink ref="P367" r:id="rId324" xr:uid="{39AE8711-F780-435C-B9E2-D9D8DE2918ED}"/>
    <hyperlink ref="P368" r:id="rId325" xr:uid="{823EA3D0-A691-4CFD-87C3-4F3EFF544271}"/>
    <hyperlink ref="P369" r:id="rId326" xr:uid="{A7778FEE-4AF2-4F97-BB04-B9B512BBBD8E}"/>
    <hyperlink ref="P370" r:id="rId327" xr:uid="{B80F5601-8349-4C00-94EC-7567557884FF}"/>
    <hyperlink ref="P371" r:id="rId328" xr:uid="{31286966-1CC1-4118-A156-DC5256F728F7}"/>
    <hyperlink ref="P372" r:id="rId329" xr:uid="{742C70F7-CAF7-42D5-BD72-895EE7C548C2}"/>
    <hyperlink ref="P373" r:id="rId330" xr:uid="{5168EE60-F28F-4229-9CAB-5325B01955CE}"/>
    <hyperlink ref="P374" r:id="rId331" xr:uid="{319B5BB3-5241-41A2-947F-DA74EB7D9617}"/>
    <hyperlink ref="P375" r:id="rId332" xr:uid="{931E43F1-6F59-40E5-B10C-1CC229F75B3F}"/>
    <hyperlink ref="P377" r:id="rId333" xr:uid="{DB2655B7-E498-4F50-A355-556F0138A2F9}"/>
    <hyperlink ref="P378" r:id="rId334" xr:uid="{F410FB7D-64F9-4A7D-A38C-46DD4BDB3C02}"/>
    <hyperlink ref="P379" r:id="rId335" xr:uid="{7E5AF429-BDB1-4892-95E0-E5FD68C53E89}"/>
    <hyperlink ref="P380" r:id="rId336" xr:uid="{3F3399F2-B0C9-4A31-B294-B611D7B0C5FA}"/>
    <hyperlink ref="P382" r:id="rId337" xr:uid="{459A6F0C-C2CD-4B6F-AA1C-B4517457B813}"/>
    <hyperlink ref="P383" r:id="rId338" xr:uid="{C89025B3-AC23-48E6-9265-F15B4B527F41}"/>
    <hyperlink ref="P384" r:id="rId339" xr:uid="{E2A8C056-5800-4C1C-B6E2-C9C1926905BF}"/>
    <hyperlink ref="P386" r:id="rId340" xr:uid="{525B5B35-FB1B-422B-9BF0-C4914A420313}"/>
    <hyperlink ref="P387" r:id="rId341" xr:uid="{9D6F5D4E-C37F-46AE-9916-588A078AFE27}"/>
    <hyperlink ref="P389" r:id="rId342" xr:uid="{89FFCD4C-EE1D-4522-A21C-34FA484E43AD}"/>
    <hyperlink ref="P390" r:id="rId343" xr:uid="{32CF5DB2-3FC0-48C9-84FC-78553E83AF98}"/>
    <hyperlink ref="P391" r:id="rId344" xr:uid="{78D757AF-F177-4BBD-BC0A-7559F4D0743D}"/>
    <hyperlink ref="P392" r:id="rId345" xr:uid="{AF08B21C-D392-433D-B42D-0C537CB067C9}"/>
    <hyperlink ref="P393" r:id="rId346" xr:uid="{2E459855-AAD3-440F-8B19-C65EA85E07F6}"/>
    <hyperlink ref="P394" r:id="rId347" xr:uid="{00677436-67B1-4988-A990-1F33C897E755}"/>
    <hyperlink ref="P395" r:id="rId348" xr:uid="{87385811-E47C-4788-B783-E441ED62D47E}"/>
    <hyperlink ref="P396" r:id="rId349" xr:uid="{03BD399E-013C-4237-A010-E5CDCCB7DD02}"/>
    <hyperlink ref="P397" r:id="rId350" xr:uid="{139097A3-E598-4344-92F9-9F618318F684}"/>
    <hyperlink ref="P398" r:id="rId351" xr:uid="{54A172F3-82F0-47DE-975D-94FB0B53A105}"/>
    <hyperlink ref="P399" r:id="rId352" xr:uid="{2420C95B-8CB7-4819-A221-4D059E817867}"/>
    <hyperlink ref="P400" r:id="rId353" xr:uid="{25DD1284-6ACF-4F8A-B835-EF25FDDC06F4}"/>
    <hyperlink ref="P401" r:id="rId354" xr:uid="{6CDAA01E-D0E0-4CEE-96E9-A90571CCCAD5}"/>
    <hyperlink ref="P402" r:id="rId355" xr:uid="{54621E48-125D-46DC-AB37-D80A5D0D6E1E}"/>
    <hyperlink ref="P403" r:id="rId356" xr:uid="{0874DD8D-8FFF-49E0-B745-6649186D3375}"/>
    <hyperlink ref="P405" r:id="rId357" xr:uid="{A8D94109-527A-4877-AF38-B48117A7C558}"/>
    <hyperlink ref="P406" r:id="rId358" xr:uid="{5216B1DC-F5DA-49DC-9CB9-8CC58127B3D0}"/>
    <hyperlink ref="P407" r:id="rId359" xr:uid="{F889A65F-F974-46C6-AC47-BF730076597A}"/>
    <hyperlink ref="P408" r:id="rId360" xr:uid="{928ABB8E-4A42-4F3E-BE9D-09B0AA494945}"/>
    <hyperlink ref="P409" r:id="rId361" xr:uid="{15E1EFCF-F018-4021-AB56-36FAD1495AA6}"/>
    <hyperlink ref="P410" r:id="rId362" xr:uid="{D66A3A36-713A-4A53-B544-E7B3F398B92A}"/>
    <hyperlink ref="P411" r:id="rId363" xr:uid="{1F46CD44-554C-40DE-A878-B9D9B6E00508}"/>
    <hyperlink ref="P412" r:id="rId364" xr:uid="{2BDBEE35-5499-4FBF-A0F7-D344D3E5934C}"/>
    <hyperlink ref="P413" r:id="rId365" xr:uid="{E7839283-C741-4053-B851-FC215314E582}"/>
    <hyperlink ref="P414" r:id="rId366" xr:uid="{06FE23C7-3762-40F6-9103-7197C982D7C2}"/>
    <hyperlink ref="P415" r:id="rId367" xr:uid="{69B53EC0-6FCC-4809-BFF5-36375F9DA041}"/>
    <hyperlink ref="P416" r:id="rId368" xr:uid="{5B782F93-260D-406C-9C01-E7F20DCC022D}"/>
    <hyperlink ref="P417" r:id="rId369" xr:uid="{565DF8AE-908A-43B7-9F3C-96CFF28A3A96}"/>
    <hyperlink ref="P418" r:id="rId370" xr:uid="{634735BE-09C6-4D77-B0A5-64A2942A9C17}"/>
    <hyperlink ref="P419" r:id="rId371" xr:uid="{356774BF-F1E9-40A4-AD71-22846EA89ED6}"/>
    <hyperlink ref="P420" r:id="rId372" xr:uid="{4C7CD75D-DCBE-4D7E-A41E-C324B7BED8A5}"/>
    <hyperlink ref="P421" r:id="rId373" xr:uid="{D8A27B22-02D9-4419-ACF5-65C2618B40C3}"/>
    <hyperlink ref="P422" r:id="rId374" xr:uid="{D359F0C4-F1AB-44B6-BF3D-FBB9D9FC263D}"/>
    <hyperlink ref="P423" r:id="rId375" xr:uid="{F647B8E6-FE17-4128-84B1-F02FE40F1794}"/>
    <hyperlink ref="P424" r:id="rId376" xr:uid="{00F51990-FA4D-442D-AAE6-CF3D33495C27}"/>
    <hyperlink ref="P425" r:id="rId377" xr:uid="{BEE88E7E-A50B-47F5-AA5D-0F9A5EB68B2E}"/>
    <hyperlink ref="P428" r:id="rId378" xr:uid="{20ECB64F-81B7-49DF-9C0E-DF2980BCB36B}"/>
    <hyperlink ref="P427" r:id="rId379" xr:uid="{E3531CD4-BDFA-4E8D-AE3B-BCBA29064667}"/>
    <hyperlink ref="P426" r:id="rId380" xr:uid="{986C5ABD-ECDF-4519-BCEC-34D934B30D93}"/>
    <hyperlink ref="P430" r:id="rId381" xr:uid="{F501444A-C2E7-4CD7-84A0-1F0B63D54997}"/>
    <hyperlink ref="P432" r:id="rId382" xr:uid="{5AC7BC20-E234-4B70-9527-DC9906BB004D}"/>
    <hyperlink ref="P433" r:id="rId383" xr:uid="{111F9E5C-7ABD-4433-9BAD-AC9C2F66CED2}"/>
    <hyperlink ref="P434" r:id="rId384" xr:uid="{E27206D1-1379-4553-A03A-4F3099F58475}"/>
    <hyperlink ref="P435" r:id="rId385" xr:uid="{DC5F6C4A-8FCA-4CA6-B2C8-00906387EDAD}"/>
    <hyperlink ref="P436" r:id="rId386" xr:uid="{4E4379A1-20DF-417B-ACCD-14F2A2828AF9}"/>
    <hyperlink ref="P439" r:id="rId387" xr:uid="{C5036030-321D-47EB-ADD2-F8591E268DDA}"/>
    <hyperlink ref="P440" r:id="rId388" xr:uid="{0D8426FB-536F-479D-9D6E-BF7ED24BE97D}"/>
    <hyperlink ref="P441" r:id="rId389" xr:uid="{EE4E6684-4D45-47DB-AC2A-46DAA726E5A1}"/>
    <hyperlink ref="P442" r:id="rId390" xr:uid="{2A4EABCF-620E-42D6-80C5-DC4D5106754D}"/>
    <hyperlink ref="P443" r:id="rId391" xr:uid="{1ADCFECB-2761-441C-BDC1-BF2D52E9A17D}"/>
    <hyperlink ref="P444" r:id="rId392" xr:uid="{D2DE9393-1A4A-454D-ADA0-F091EB2F36F8}"/>
    <hyperlink ref="P445" r:id="rId393" xr:uid="{BEFD941F-63BB-4714-9471-AF42E42CA957}"/>
    <hyperlink ref="P446" r:id="rId394" xr:uid="{95264FB0-F422-48AE-A421-BEC8A20895A2}"/>
    <hyperlink ref="P447" r:id="rId395" xr:uid="{1788F30C-7F34-407F-BECC-E28285203FAB}"/>
    <hyperlink ref="P448" r:id="rId396" xr:uid="{C4163BA0-C8C0-4F50-8A8A-33C9E7A06891}"/>
    <hyperlink ref="P449" r:id="rId397" xr:uid="{CE398057-42EB-437B-B7E7-ED163D5E0147}"/>
    <hyperlink ref="P429" r:id="rId398" xr:uid="{83226639-A6C1-4825-B6C9-B402AFDC1717}"/>
    <hyperlink ref="P450" r:id="rId399" xr:uid="{BEC4D6B5-B545-478C-AED0-C486BE893B3B}"/>
    <hyperlink ref="P451" r:id="rId400" xr:uid="{11B5ED1B-DAF6-4B10-B53A-E97A45A15EA2}"/>
    <hyperlink ref="P452" r:id="rId401" xr:uid="{9B277818-02C3-487E-95AB-2B8D7FAB4C07}"/>
    <hyperlink ref="P453" r:id="rId402" xr:uid="{98B792F0-7CB1-42AA-B91C-B5192F1F7A2C}"/>
    <hyperlink ref="P454" r:id="rId403" xr:uid="{5A505DED-B7CB-431A-9DD4-4C4946AA8363}"/>
    <hyperlink ref="P455" r:id="rId404" xr:uid="{ECB2FFA0-352B-4C32-BD66-989E09817574}"/>
    <hyperlink ref="P456" r:id="rId405" xr:uid="{4C9146BE-BC4E-4391-91A4-9527AFECE4E5}"/>
    <hyperlink ref="P457" r:id="rId406" xr:uid="{CE569277-5756-47D7-98B4-C672834BCEEA}"/>
    <hyperlink ref="P458" r:id="rId407" xr:uid="{A9AA2214-733F-4F3B-938C-1D556420182A}"/>
    <hyperlink ref="P459" r:id="rId408" xr:uid="{7EBD7BFA-D654-4E79-A336-3710970D5ACF}"/>
    <hyperlink ref="P460" r:id="rId409" xr:uid="{BF3C381E-65CD-4982-B93C-BB90DDB04440}"/>
    <hyperlink ref="P461" r:id="rId410" xr:uid="{BE36F270-EE49-4EE1-9E46-1444A30E9463}"/>
    <hyperlink ref="P462" r:id="rId411" xr:uid="{0CB7EAC2-AF0D-4009-A8FA-11A509E2A12F}"/>
    <hyperlink ref="P463" r:id="rId412" xr:uid="{819D01EE-1DEA-475B-AABD-3276275EF45D}"/>
    <hyperlink ref="P464" r:id="rId413" xr:uid="{C599D4FF-B930-49B4-A353-946724280417}"/>
    <hyperlink ref="P465" r:id="rId414" xr:uid="{434FD4B7-2A38-478E-9791-15A095F0B627}"/>
    <hyperlink ref="P466" r:id="rId415" xr:uid="{2AFAE2B8-1722-41B5-94A6-012FF47D3B51}"/>
    <hyperlink ref="P467" r:id="rId416" xr:uid="{6133BDE5-C66D-4151-85B1-C83D256C4DBD}"/>
    <hyperlink ref="P468" r:id="rId417" xr:uid="{318F36A9-CB0C-48D4-B630-549F30A64830}"/>
    <hyperlink ref="P469" r:id="rId418" xr:uid="{A2BD0F49-7A4E-40D7-83DB-BFF7015840B5}"/>
    <hyperlink ref="P470" r:id="rId419" xr:uid="{F5B1844A-B956-4676-8387-DCC559F39434}"/>
    <hyperlink ref="P471" r:id="rId420" xr:uid="{570CDD8B-E83F-4C62-8AE3-50619B187E27}"/>
    <hyperlink ref="P472" r:id="rId421" xr:uid="{F26802C2-F0A9-4DF9-8A4F-D6017174A01E}"/>
    <hyperlink ref="P473" r:id="rId422" xr:uid="{E4E91431-A043-4136-88DB-ADCAE391EDC4}"/>
    <hyperlink ref="P475" r:id="rId423" xr:uid="{126D4BF1-E975-44A5-A887-2AAE68825FAA}"/>
    <hyperlink ref="P476" r:id="rId424" xr:uid="{C4EC0E04-4A21-4215-9F3E-68625F8A1CFA}"/>
    <hyperlink ref="P477" r:id="rId425" xr:uid="{21B7BD0B-58CA-4CD0-A49B-FC710C51A6ED}"/>
    <hyperlink ref="P478" r:id="rId426" xr:uid="{CDCDE59C-635A-4FCD-91A9-187195974F11}"/>
    <hyperlink ref="P479" r:id="rId427" xr:uid="{C5B17269-48C6-47A1-BAC1-FF713FF16310}"/>
    <hyperlink ref="P480" r:id="rId428" xr:uid="{AE531ECF-1210-479D-AE4B-72C24F37BB6D}"/>
    <hyperlink ref="P481" r:id="rId429" xr:uid="{4262BBA4-A258-40D0-95A6-49C4E9F45FF9}"/>
    <hyperlink ref="P482" r:id="rId430" xr:uid="{9A415E28-2657-481B-A066-A02D24EF9CDE}"/>
    <hyperlink ref="P483" r:id="rId431" xr:uid="{A75A9B94-1D5E-468D-A032-F665E6D9D26F}"/>
    <hyperlink ref="P474" r:id="rId432" xr:uid="{E8A92862-76EC-40B9-AF62-F1D75BD71682}"/>
    <hyperlink ref="P484" r:id="rId433" xr:uid="{87C4F4C9-131B-46D7-9B3A-B6CE6BE4B002}"/>
    <hyperlink ref="P486" r:id="rId434" xr:uid="{DB43B18C-E40B-4290-9F5D-872B86046AB3}"/>
    <hyperlink ref="P487" r:id="rId435" xr:uid="{E570DD9E-1F33-4E97-B9CB-1985D550913E}"/>
    <hyperlink ref="P488" r:id="rId436" xr:uid="{F5AE75AD-D8C5-443E-82D2-5ECBB9A35EB5}"/>
    <hyperlink ref="P489" r:id="rId437" xr:uid="{03748CE0-560A-4A3A-9EDE-B73331DDC27F}"/>
    <hyperlink ref="P490" r:id="rId438" xr:uid="{5350D4DD-DD4B-4666-AE5A-12A8312CF074}"/>
    <hyperlink ref="P491" r:id="rId439" xr:uid="{4F4A152F-C8FD-4EB4-AD66-62C9147A8ABA}"/>
    <hyperlink ref="P492" r:id="rId440" xr:uid="{D90251CF-5EF8-4930-A8E3-9492D81741C5}"/>
    <hyperlink ref="P493" r:id="rId441" xr:uid="{8B358AFD-BA0E-453F-8E8E-F03E7AD60377}"/>
    <hyperlink ref="P494" r:id="rId442" xr:uid="{818917E5-725A-4073-928A-5D575AEF8198}"/>
    <hyperlink ref="P495" r:id="rId443" xr:uid="{1ADFBA4F-3F8E-4CF3-93AD-C05751781853}"/>
    <hyperlink ref="P496" r:id="rId444" xr:uid="{8F840BC6-159A-4398-B7E8-67C43E08E96B}"/>
    <hyperlink ref="P497" r:id="rId445" xr:uid="{C75295C6-08D2-4FAD-A101-856B77D89308}"/>
    <hyperlink ref="P498" r:id="rId446" xr:uid="{6CFACC26-9FDC-4625-9040-6CE1C15D5047}"/>
    <hyperlink ref="P499" r:id="rId447" xr:uid="{D4049246-503C-48BC-9420-DC6E84B2FCD4}"/>
    <hyperlink ref="P500" r:id="rId448" display="mailto:l.cuartas@verticeing.com" xr:uid="{52758DB6-83E2-4FA2-AF78-91EE8D72E694}"/>
    <hyperlink ref="P501" r:id="rId449" xr:uid="{8F9D8B01-B5B7-4EFA-9BF2-77DBD630001F}"/>
    <hyperlink ref="P502" r:id="rId450" xr:uid="{16EA1294-A586-4F80-B1CA-7DE9958CA05B}"/>
    <hyperlink ref="P503" r:id="rId451" xr:uid="{53B189D3-C4CC-429F-B4C2-D2FED99EF8D5}"/>
    <hyperlink ref="P504" r:id="rId452" xr:uid="{5D8EBA1F-B577-43FA-8125-64E7019D6F4F}"/>
    <hyperlink ref="P505" r:id="rId453" xr:uid="{EDCAE73B-40FF-4558-B821-5333B52BA37E}"/>
    <hyperlink ref="P506" r:id="rId454" xr:uid="{D89349F8-65C4-4A54-935E-F0AEBF9E7ED0}"/>
    <hyperlink ref="P507" r:id="rId455" xr:uid="{835F49EF-88F4-4996-925A-9DB446D2F669}"/>
    <hyperlink ref="P508" r:id="rId456" xr:uid="{2D38DA21-C639-4E8E-9F97-7FC7126AAA7C}"/>
    <hyperlink ref="P509" r:id="rId457" xr:uid="{2F7FE8D7-7FF3-43D7-98BE-6DD8C397EF48}"/>
    <hyperlink ref="P510" r:id="rId458" xr:uid="{7B2CDA34-0521-4461-A0DD-09F22657BC24}"/>
    <hyperlink ref="P511" r:id="rId459" xr:uid="{5B984B47-0ACD-478F-B491-8750A67EA875}"/>
    <hyperlink ref="P512" r:id="rId460" xr:uid="{DDED75C4-4265-4AE2-9E67-28C7E46B1153}"/>
    <hyperlink ref="P513" r:id="rId461" xr:uid="{BC6B498C-731B-499B-A02B-1EE88423DB33}"/>
    <hyperlink ref="P514" r:id="rId462" xr:uid="{E21511CC-87FD-4DA7-AFE7-995A8F0BB78C}"/>
    <hyperlink ref="P515" r:id="rId463" display="mailto:maria1998gonzalez@hotmail.com" xr:uid="{D3AD84FE-4B97-4260-89D3-0A7E557DF405}"/>
    <hyperlink ref="P516" r:id="rId464" xr:uid="{2160009A-D39C-4CE8-9300-6D2FF758DACF}"/>
    <hyperlink ref="O518" r:id="rId465" display="mauricio.gutierrez@spci.com.co" xr:uid="{B9BE7034-5B04-4700-A6CC-B697C13C841B}"/>
    <hyperlink ref="P518" r:id="rId466" xr:uid="{A7BA550E-6064-4CAF-9B31-5686CC594C45}"/>
    <hyperlink ref="P519" r:id="rId467" xr:uid="{FCE9FB0A-77C3-48A2-9A92-9AB9ABF3793A}"/>
    <hyperlink ref="P520" r:id="rId468" xr:uid="{DE27C441-ADE7-41BB-8364-5088CCC022FE}"/>
    <hyperlink ref="P521" r:id="rId469" xr:uid="{502FFA01-A327-4ACB-ACCB-054E6B752FD6}"/>
    <hyperlink ref="P522" r:id="rId470" xr:uid="{90E34411-49E7-4B8C-84FE-FEA07D0C984C}"/>
    <hyperlink ref="P523" r:id="rId471" xr:uid="{5ED6FFD6-EEB4-4D0F-83A3-6B46733A1586}"/>
    <hyperlink ref="P524" r:id="rId472" xr:uid="{6F55C3F8-7F3B-4A7A-AA36-B6BBFF4D9162}"/>
    <hyperlink ref="P525" r:id="rId473" xr:uid="{43C28DC2-9AEE-40FB-8D76-C515A33900CD}"/>
    <hyperlink ref="P526" r:id="rId474" xr:uid="{F3FF0D57-8B8E-4B88-901C-3D4B4D0C814B}"/>
    <hyperlink ref="P528" r:id="rId475" xr:uid="{3D6942E8-12EE-4D09-9C9C-A17B1516E13E}"/>
    <hyperlink ref="P530" r:id="rId476" xr:uid="{2A523376-DCA9-4926-AF2E-1F4BD4A86765}"/>
    <hyperlink ref="P385" r:id="rId477" xr:uid="{6C1D9231-CA60-4573-932B-EB310BB52687}"/>
  </hyperlinks>
  <pageMargins left="0.7" right="0.7" top="0.75" bottom="0.75" header="0.3" footer="0.3"/>
  <pageSetup orientation="portrait" horizontalDpi="4294967293" r:id="rId478"/>
  <drawing r:id="rId479"/>
  <legacyDrawing r:id="rId48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D793E-41C6-4E5E-839B-5D82507A0299}">
  <dimension ref="B2:P765"/>
  <sheetViews>
    <sheetView topLeftCell="A353" zoomScale="85" zoomScaleNormal="85" workbookViewId="0">
      <selection activeCell="J365" sqref="J365"/>
    </sheetView>
  </sheetViews>
  <sheetFormatPr baseColWidth="10" defaultColWidth="11.42578125" defaultRowHeight="15" x14ac:dyDescent="0.25"/>
  <cols>
    <col min="1" max="1" width="3.140625" customWidth="1"/>
    <col min="2" max="2" width="12.42578125" customWidth="1"/>
    <col min="9" max="9" width="48.5703125" customWidth="1"/>
    <col min="10" max="10" width="26.5703125" customWidth="1"/>
    <col min="11" max="11" width="18.85546875" customWidth="1"/>
    <col min="12" max="12" width="11.42578125" customWidth="1"/>
    <col min="13" max="13" width="22" bestFit="1" customWidth="1"/>
    <col min="14" max="14" width="15.5703125" customWidth="1"/>
    <col min="15" max="15" width="33.140625" bestFit="1" customWidth="1"/>
    <col min="16" max="16" width="37.140625" customWidth="1"/>
  </cols>
  <sheetData>
    <row r="2" spans="2:16" ht="15.75" thickBot="1" x14ac:dyDescent="0.3">
      <c r="B2" s="30"/>
      <c r="C2" s="7"/>
      <c r="D2" s="7"/>
      <c r="E2" s="7"/>
      <c r="F2" s="7"/>
      <c r="G2" s="7"/>
      <c r="H2" s="7"/>
      <c r="I2" s="7"/>
      <c r="J2" s="7"/>
      <c r="K2" s="30"/>
      <c r="L2" s="30"/>
      <c r="M2" s="30"/>
      <c r="N2" s="30"/>
      <c r="O2" s="30"/>
      <c r="P2" s="30"/>
    </row>
    <row r="3" spans="2:16" x14ac:dyDescent="0.25">
      <c r="B3" s="234"/>
      <c r="C3" s="235"/>
      <c r="D3" s="235"/>
      <c r="E3" s="169" t="s">
        <v>0</v>
      </c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1"/>
    </row>
    <row r="4" spans="2:16" x14ac:dyDescent="0.25">
      <c r="B4" s="236"/>
      <c r="C4" s="237"/>
      <c r="D4" s="237"/>
      <c r="E4" s="172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4"/>
    </row>
    <row r="5" spans="2:16" x14ac:dyDescent="0.25">
      <c r="B5" s="236"/>
      <c r="C5" s="237"/>
      <c r="D5" s="237"/>
      <c r="E5" s="172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4"/>
    </row>
    <row r="6" spans="2:16" x14ac:dyDescent="0.25">
      <c r="B6" s="236"/>
      <c r="C6" s="237"/>
      <c r="D6" s="237"/>
      <c r="E6" s="172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4"/>
    </row>
    <row r="7" spans="2:16" x14ac:dyDescent="0.25">
      <c r="B7" s="236"/>
      <c r="C7" s="237"/>
      <c r="D7" s="237"/>
      <c r="E7" s="172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4"/>
    </row>
    <row r="8" spans="2:16" x14ac:dyDescent="0.25">
      <c r="B8" s="236"/>
      <c r="C8" s="237"/>
      <c r="D8" s="237"/>
      <c r="E8" s="172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4"/>
    </row>
    <row r="9" spans="2:16" x14ac:dyDescent="0.25">
      <c r="B9" s="236"/>
      <c r="C9" s="237"/>
      <c r="D9" s="237"/>
      <c r="E9" s="172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4"/>
    </row>
    <row r="10" spans="2:16" ht="15.75" thickBot="1" x14ac:dyDescent="0.3">
      <c r="B10" s="238"/>
      <c r="C10" s="239"/>
      <c r="D10" s="239"/>
      <c r="E10" s="175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7"/>
    </row>
    <row r="11" spans="2:16" ht="28.5" x14ac:dyDescent="0.25">
      <c r="B11" s="120" t="s">
        <v>1</v>
      </c>
      <c r="C11" s="178" t="s">
        <v>2</v>
      </c>
      <c r="D11" s="179"/>
      <c r="E11" s="179"/>
      <c r="F11" s="179"/>
      <c r="G11" s="180"/>
      <c r="H11" s="181"/>
      <c r="I11" s="182"/>
      <c r="J11" s="119" t="s">
        <v>696</v>
      </c>
      <c r="K11" s="121" t="s">
        <v>3</v>
      </c>
      <c r="L11" s="122" t="s">
        <v>4</v>
      </c>
      <c r="M11" s="122" t="s">
        <v>3924</v>
      </c>
      <c r="N11" s="123" t="s">
        <v>6</v>
      </c>
      <c r="O11" s="123" t="s">
        <v>7</v>
      </c>
      <c r="P11" s="123" t="s">
        <v>8</v>
      </c>
    </row>
    <row r="12" spans="2:16" x14ac:dyDescent="0.25">
      <c r="B12" s="32">
        <v>1</v>
      </c>
      <c r="C12" s="229" t="s">
        <v>3671</v>
      </c>
      <c r="D12" s="229"/>
      <c r="E12" s="229"/>
      <c r="F12" s="229"/>
      <c r="G12" s="229"/>
      <c r="H12" s="229"/>
      <c r="I12" s="229"/>
      <c r="J12" s="59" t="s">
        <v>2611</v>
      </c>
      <c r="K12" s="46"/>
      <c r="L12" s="2">
        <v>44929</v>
      </c>
      <c r="M12" s="32"/>
      <c r="N12" s="32" t="s">
        <v>3677</v>
      </c>
      <c r="O12" s="51" t="s">
        <v>1064</v>
      </c>
      <c r="P12" s="52" t="s">
        <v>2310</v>
      </c>
    </row>
    <row r="13" spans="2:16" x14ac:dyDescent="0.25">
      <c r="B13" s="32">
        <v>2</v>
      </c>
      <c r="C13" s="229" t="s">
        <v>3672</v>
      </c>
      <c r="D13" s="229"/>
      <c r="E13" s="229"/>
      <c r="F13" s="229"/>
      <c r="G13" s="229"/>
      <c r="H13" s="229"/>
      <c r="I13" s="229"/>
      <c r="J13" s="59" t="s">
        <v>3674</v>
      </c>
      <c r="K13" s="46">
        <v>5500000</v>
      </c>
      <c r="L13" s="2">
        <v>44930</v>
      </c>
      <c r="M13" s="32"/>
      <c r="N13" s="32">
        <v>3044003430</v>
      </c>
      <c r="O13" s="51" t="s">
        <v>989</v>
      </c>
      <c r="P13" s="38" t="s">
        <v>990</v>
      </c>
    </row>
    <row r="14" spans="2:16" x14ac:dyDescent="0.25">
      <c r="B14" s="32">
        <v>3</v>
      </c>
      <c r="C14" s="229" t="s">
        <v>3673</v>
      </c>
      <c r="D14" s="229"/>
      <c r="E14" s="229"/>
      <c r="F14" s="229"/>
      <c r="G14" s="229"/>
      <c r="H14" s="229"/>
      <c r="I14" s="229"/>
      <c r="J14" s="59" t="s">
        <v>3674</v>
      </c>
      <c r="K14" s="46">
        <v>2500000</v>
      </c>
      <c r="L14" s="2">
        <v>44930</v>
      </c>
      <c r="M14" s="32"/>
      <c r="N14" s="32">
        <v>3044003430</v>
      </c>
      <c r="O14" s="51" t="s">
        <v>989</v>
      </c>
      <c r="P14" s="38" t="s">
        <v>990</v>
      </c>
    </row>
    <row r="15" spans="2:16" x14ac:dyDescent="0.25">
      <c r="B15" s="32">
        <v>4</v>
      </c>
      <c r="C15" s="229" t="s">
        <v>3675</v>
      </c>
      <c r="D15" s="229"/>
      <c r="E15" s="229"/>
      <c r="F15" s="229"/>
      <c r="G15" s="229"/>
      <c r="H15" s="229"/>
      <c r="I15" s="229"/>
      <c r="J15" s="59" t="s">
        <v>3676</v>
      </c>
      <c r="K15" s="46">
        <v>500000</v>
      </c>
      <c r="L15" s="2">
        <v>44930</v>
      </c>
      <c r="M15" s="32"/>
      <c r="N15" s="32" t="s">
        <v>3678</v>
      </c>
      <c r="O15" s="51" t="s">
        <v>1027</v>
      </c>
      <c r="P15" s="52" t="s">
        <v>3769</v>
      </c>
    </row>
    <row r="16" spans="2:16" x14ac:dyDescent="0.25">
      <c r="B16" s="32">
        <v>5</v>
      </c>
      <c r="C16" s="263" t="s">
        <v>3682</v>
      </c>
      <c r="D16" s="229"/>
      <c r="E16" s="229"/>
      <c r="F16" s="229"/>
      <c r="G16" s="229"/>
      <c r="H16" s="229"/>
      <c r="I16" s="229"/>
      <c r="J16" s="59" t="s">
        <v>1086</v>
      </c>
      <c r="K16" s="46">
        <v>9910000</v>
      </c>
      <c r="L16" s="2">
        <v>44938</v>
      </c>
      <c r="M16" s="32"/>
      <c r="N16" s="32">
        <v>3044830834</v>
      </c>
      <c r="O16" s="51" t="s">
        <v>3680</v>
      </c>
      <c r="P16" s="52" t="s">
        <v>3679</v>
      </c>
    </row>
    <row r="17" spans="2:16" x14ac:dyDescent="0.25">
      <c r="B17" s="32">
        <v>6</v>
      </c>
      <c r="C17" s="229" t="s">
        <v>3683</v>
      </c>
      <c r="D17" s="229"/>
      <c r="E17" s="229"/>
      <c r="F17" s="229"/>
      <c r="G17" s="229"/>
      <c r="H17" s="229"/>
      <c r="I17" s="229"/>
      <c r="J17" s="59" t="s">
        <v>3684</v>
      </c>
      <c r="K17" s="46">
        <v>29970000</v>
      </c>
      <c r="L17" s="2">
        <v>44942</v>
      </c>
      <c r="M17" s="32"/>
      <c r="N17" s="32">
        <v>3133195098</v>
      </c>
      <c r="O17" s="51" t="s">
        <v>3686</v>
      </c>
      <c r="P17" s="52" t="s">
        <v>3687</v>
      </c>
    </row>
    <row r="18" spans="2:16" x14ac:dyDescent="0.25">
      <c r="B18" s="32">
        <v>7</v>
      </c>
      <c r="C18" s="229" t="s">
        <v>3688</v>
      </c>
      <c r="D18" s="229"/>
      <c r="E18" s="229"/>
      <c r="F18" s="229"/>
      <c r="G18" s="229"/>
      <c r="H18" s="229"/>
      <c r="I18" s="229"/>
      <c r="J18" s="59" t="s">
        <v>702</v>
      </c>
      <c r="K18" s="46">
        <v>6270000</v>
      </c>
      <c r="L18" s="2">
        <v>44942</v>
      </c>
      <c r="M18" s="2" t="s">
        <v>3923</v>
      </c>
      <c r="N18" s="32" t="s">
        <v>1758</v>
      </c>
      <c r="O18" s="51" t="s">
        <v>1330</v>
      </c>
      <c r="P18" s="52" t="s">
        <v>3685</v>
      </c>
    </row>
    <row r="19" spans="2:16" x14ac:dyDescent="0.25">
      <c r="B19" s="32">
        <v>8</v>
      </c>
      <c r="C19" s="229" t="s">
        <v>3689</v>
      </c>
      <c r="D19" s="229"/>
      <c r="E19" s="229"/>
      <c r="F19" s="229"/>
      <c r="G19" s="229"/>
      <c r="H19" s="229"/>
      <c r="I19" s="229"/>
      <c r="J19" s="59" t="s">
        <v>702</v>
      </c>
      <c r="K19" s="46">
        <v>5890000</v>
      </c>
      <c r="L19" s="2">
        <v>44942</v>
      </c>
      <c r="M19" s="32" t="s">
        <v>3923</v>
      </c>
      <c r="N19" s="32" t="s">
        <v>1758</v>
      </c>
      <c r="O19" s="51" t="s">
        <v>1330</v>
      </c>
      <c r="P19" s="52" t="s">
        <v>3685</v>
      </c>
    </row>
    <row r="20" spans="2:16" x14ac:dyDescent="0.25">
      <c r="B20" s="32">
        <v>9</v>
      </c>
      <c r="C20" s="229" t="s">
        <v>3690</v>
      </c>
      <c r="D20" s="229"/>
      <c r="E20" s="229"/>
      <c r="F20" s="229"/>
      <c r="G20" s="229"/>
      <c r="H20" s="229"/>
      <c r="I20" s="229"/>
      <c r="J20" s="59" t="s">
        <v>2602</v>
      </c>
      <c r="K20" s="46">
        <v>5070000</v>
      </c>
      <c r="L20" s="2">
        <v>44942</v>
      </c>
      <c r="M20" s="35" t="s">
        <v>3923</v>
      </c>
      <c r="N20" s="32" t="s">
        <v>3692</v>
      </c>
      <c r="O20" s="51" t="s">
        <v>3691</v>
      </c>
      <c r="P20" s="52" t="s">
        <v>3693</v>
      </c>
    </row>
    <row r="21" spans="2:16" x14ac:dyDescent="0.25">
      <c r="B21" s="32">
        <v>10</v>
      </c>
      <c r="C21" s="271" t="s">
        <v>3694</v>
      </c>
      <c r="D21" s="272"/>
      <c r="E21" s="272"/>
      <c r="F21" s="272"/>
      <c r="G21" s="272"/>
      <c r="H21" s="272"/>
      <c r="I21" s="272"/>
      <c r="J21" s="59" t="s">
        <v>702</v>
      </c>
      <c r="K21" s="46">
        <v>2250000</v>
      </c>
      <c r="L21" s="2">
        <v>44945</v>
      </c>
      <c r="M21" s="32"/>
      <c r="N21" s="32">
        <v>3214826168</v>
      </c>
      <c r="O21" s="51" t="s">
        <v>2599</v>
      </c>
      <c r="P21" s="52" t="s">
        <v>2600</v>
      </c>
    </row>
    <row r="22" spans="2:16" x14ac:dyDescent="0.25">
      <c r="B22" s="32">
        <v>11</v>
      </c>
      <c r="C22" s="229" t="s">
        <v>3695</v>
      </c>
      <c r="D22" s="229"/>
      <c r="E22" s="229"/>
      <c r="F22" s="229"/>
      <c r="G22" s="229"/>
      <c r="H22" s="229"/>
      <c r="I22" s="229"/>
      <c r="J22" s="59" t="s">
        <v>712</v>
      </c>
      <c r="K22" s="46">
        <v>2990000</v>
      </c>
      <c r="L22" s="2">
        <v>44945</v>
      </c>
      <c r="M22" s="32"/>
      <c r="N22" s="32">
        <v>3137851941</v>
      </c>
      <c r="O22" s="51" t="s">
        <v>2055</v>
      </c>
      <c r="P22" s="52" t="s">
        <v>713</v>
      </c>
    </row>
    <row r="23" spans="2:16" x14ac:dyDescent="0.25">
      <c r="B23" s="32">
        <v>12</v>
      </c>
      <c r="C23" s="229" t="s">
        <v>3696</v>
      </c>
      <c r="D23" s="229"/>
      <c r="E23" s="229"/>
      <c r="F23" s="229"/>
      <c r="G23" s="229"/>
      <c r="H23" s="229"/>
      <c r="I23" s="229"/>
      <c r="J23" s="59" t="s">
        <v>712</v>
      </c>
      <c r="K23" s="46">
        <v>6270000</v>
      </c>
      <c r="L23" s="2">
        <v>44945</v>
      </c>
      <c r="M23" s="32"/>
      <c r="N23" s="32">
        <v>3137851941</v>
      </c>
      <c r="O23" s="51" t="s">
        <v>2055</v>
      </c>
      <c r="P23" s="52" t="s">
        <v>713</v>
      </c>
    </row>
    <row r="24" spans="2:16" x14ac:dyDescent="0.25">
      <c r="B24" s="32">
        <v>13</v>
      </c>
      <c r="C24" s="229" t="s">
        <v>3697</v>
      </c>
      <c r="D24" s="229"/>
      <c r="E24" s="229"/>
      <c r="F24" s="229"/>
      <c r="G24" s="229"/>
      <c r="H24" s="229"/>
      <c r="I24" s="229"/>
      <c r="J24" s="59" t="s">
        <v>2895</v>
      </c>
      <c r="K24" s="46">
        <v>7470000</v>
      </c>
      <c r="L24" s="2">
        <v>44944</v>
      </c>
      <c r="M24" s="2" t="s">
        <v>3923</v>
      </c>
      <c r="N24" s="32">
        <v>4480648</v>
      </c>
      <c r="O24" s="51" t="s">
        <v>2897</v>
      </c>
      <c r="P24" s="38" t="s">
        <v>2898</v>
      </c>
    </row>
    <row r="25" spans="2:16" x14ac:dyDescent="0.25">
      <c r="B25" s="32">
        <v>14</v>
      </c>
      <c r="C25" s="229" t="s">
        <v>3698</v>
      </c>
      <c r="D25" s="229"/>
      <c r="E25" s="229"/>
      <c r="F25" s="229"/>
      <c r="G25" s="229"/>
      <c r="H25" s="229"/>
      <c r="I25" s="229"/>
      <c r="J25" s="59" t="s">
        <v>3699</v>
      </c>
      <c r="K25" s="46">
        <v>7900000</v>
      </c>
      <c r="L25" s="2">
        <v>44946</v>
      </c>
      <c r="M25" s="2"/>
      <c r="N25" s="2" t="s">
        <v>3701</v>
      </c>
      <c r="O25" s="51" t="s">
        <v>3700</v>
      </c>
      <c r="P25" s="52" t="s">
        <v>3702</v>
      </c>
    </row>
    <row r="26" spans="2:16" x14ac:dyDescent="0.25">
      <c r="B26" s="32">
        <v>15</v>
      </c>
      <c r="C26" s="271" t="s">
        <v>3706</v>
      </c>
      <c r="D26" s="272"/>
      <c r="E26" s="272"/>
      <c r="F26" s="272"/>
      <c r="G26" s="272"/>
      <c r="H26" s="272"/>
      <c r="I26" s="272"/>
      <c r="J26" s="59" t="s">
        <v>2200</v>
      </c>
      <c r="K26" s="46">
        <v>2500000</v>
      </c>
      <c r="L26" s="2">
        <v>44946</v>
      </c>
      <c r="M26" s="2"/>
      <c r="N26" s="32" t="s">
        <v>3704</v>
      </c>
      <c r="O26" s="51" t="s">
        <v>3703</v>
      </c>
      <c r="P26" s="52" t="s">
        <v>3705</v>
      </c>
    </row>
    <row r="27" spans="2:16" x14ac:dyDescent="0.25">
      <c r="B27" s="32">
        <v>16</v>
      </c>
      <c r="C27" s="229" t="s">
        <v>3710</v>
      </c>
      <c r="D27" s="229"/>
      <c r="E27" s="229"/>
      <c r="F27" s="229"/>
      <c r="G27" s="229"/>
      <c r="H27" s="229"/>
      <c r="I27" s="229"/>
      <c r="J27" s="59" t="s">
        <v>3709</v>
      </c>
      <c r="K27" s="46">
        <v>31520000</v>
      </c>
      <c r="L27" s="2">
        <v>44953</v>
      </c>
      <c r="M27" s="32"/>
      <c r="N27" s="32">
        <v>3128882282</v>
      </c>
      <c r="O27" s="51" t="s">
        <v>3707</v>
      </c>
      <c r="P27" s="52" t="s">
        <v>3708</v>
      </c>
    </row>
    <row r="28" spans="2:16" x14ac:dyDescent="0.25">
      <c r="B28" s="32">
        <v>17</v>
      </c>
      <c r="C28" s="229" t="s">
        <v>3711</v>
      </c>
      <c r="D28" s="229"/>
      <c r="E28" s="229"/>
      <c r="F28" s="229"/>
      <c r="G28" s="229"/>
      <c r="H28" s="229"/>
      <c r="I28" s="229"/>
      <c r="J28" s="59" t="s">
        <v>702</v>
      </c>
      <c r="K28" s="46">
        <v>3600000</v>
      </c>
      <c r="L28" s="2">
        <v>44949</v>
      </c>
      <c r="M28" s="32" t="s">
        <v>3923</v>
      </c>
      <c r="N28" s="32" t="s">
        <v>2619</v>
      </c>
      <c r="O28" s="32" t="s">
        <v>2620</v>
      </c>
      <c r="P28" s="52" t="s">
        <v>2621</v>
      </c>
    </row>
    <row r="29" spans="2:16" x14ac:dyDescent="0.25">
      <c r="B29" s="32">
        <v>17</v>
      </c>
      <c r="C29" s="59" t="s">
        <v>3751</v>
      </c>
      <c r="D29" s="59"/>
      <c r="E29" s="59"/>
      <c r="F29" s="59"/>
      <c r="G29" s="59"/>
      <c r="H29" s="59"/>
      <c r="I29" s="59"/>
      <c r="J29" s="59" t="s">
        <v>3750</v>
      </c>
      <c r="K29" s="46">
        <v>3450000</v>
      </c>
      <c r="L29" s="2">
        <v>44950</v>
      </c>
      <c r="M29" s="32" t="s">
        <v>3923</v>
      </c>
      <c r="N29" s="32" t="s">
        <v>3752</v>
      </c>
      <c r="O29" s="32" t="s">
        <v>3749</v>
      </c>
      <c r="P29" s="52" t="s">
        <v>3748</v>
      </c>
    </row>
    <row r="30" spans="2:16" x14ac:dyDescent="0.25">
      <c r="B30" s="32">
        <v>18</v>
      </c>
      <c r="C30" s="229" t="s">
        <v>3716</v>
      </c>
      <c r="D30" s="229"/>
      <c r="E30" s="229"/>
      <c r="F30" s="229"/>
      <c r="G30" s="229"/>
      <c r="H30" s="229"/>
      <c r="I30" s="229"/>
      <c r="J30" s="59" t="s">
        <v>3715</v>
      </c>
      <c r="K30" s="46">
        <v>1950000</v>
      </c>
      <c r="L30" s="2">
        <v>44951</v>
      </c>
      <c r="M30" s="2" t="s">
        <v>3923</v>
      </c>
      <c r="N30" s="32" t="s">
        <v>3714</v>
      </c>
      <c r="O30" s="32" t="s">
        <v>3713</v>
      </c>
      <c r="P30" s="52" t="s">
        <v>3712</v>
      </c>
    </row>
    <row r="31" spans="2:16" x14ac:dyDescent="0.25">
      <c r="B31" s="32">
        <v>19</v>
      </c>
      <c r="C31" s="229" t="s">
        <v>3717</v>
      </c>
      <c r="D31" s="229"/>
      <c r="E31" s="229"/>
      <c r="F31" s="229"/>
      <c r="G31" s="229"/>
      <c r="H31" s="229"/>
      <c r="I31" s="229"/>
      <c r="J31" s="59" t="s">
        <v>702</v>
      </c>
      <c r="K31" s="46">
        <v>2510000</v>
      </c>
      <c r="L31" s="2">
        <v>44952</v>
      </c>
      <c r="M31" s="2"/>
      <c r="N31" s="32">
        <v>3214826168</v>
      </c>
      <c r="O31" s="32" t="s">
        <v>2599</v>
      </c>
      <c r="P31" s="52" t="s">
        <v>3730</v>
      </c>
    </row>
    <row r="32" spans="2:16" x14ac:dyDescent="0.25">
      <c r="B32" s="32">
        <v>20</v>
      </c>
      <c r="C32" s="229" t="s">
        <v>3721</v>
      </c>
      <c r="D32" s="229"/>
      <c r="E32" s="229"/>
      <c r="F32" s="229"/>
      <c r="G32" s="229"/>
      <c r="H32" s="229"/>
      <c r="I32" s="229"/>
      <c r="J32" s="59" t="s">
        <v>3720</v>
      </c>
      <c r="K32" s="46">
        <v>23650000</v>
      </c>
      <c r="L32" s="2">
        <v>44952</v>
      </c>
      <c r="M32" s="32"/>
      <c r="N32" s="32"/>
      <c r="O32" s="32" t="s">
        <v>3718</v>
      </c>
      <c r="P32" s="52" t="s">
        <v>3719</v>
      </c>
    </row>
    <row r="33" spans="2:16" x14ac:dyDescent="0.25">
      <c r="B33" s="32">
        <v>21</v>
      </c>
      <c r="C33" s="263" t="s">
        <v>3984</v>
      </c>
      <c r="D33" s="229"/>
      <c r="E33" s="229"/>
      <c r="F33" s="229"/>
      <c r="G33" s="229"/>
      <c r="H33" s="229"/>
      <c r="I33" s="229"/>
      <c r="J33" s="59" t="s">
        <v>851</v>
      </c>
      <c r="K33" s="46">
        <v>23650000</v>
      </c>
      <c r="L33" s="2">
        <v>44952</v>
      </c>
      <c r="M33" s="32"/>
      <c r="N33" s="32"/>
      <c r="O33" s="32" t="s">
        <v>3722</v>
      </c>
      <c r="P33" s="52" t="s">
        <v>2806</v>
      </c>
    </row>
    <row r="34" spans="2:16" x14ac:dyDescent="0.25">
      <c r="B34" s="32">
        <v>22</v>
      </c>
      <c r="C34" s="229" t="s">
        <v>3723</v>
      </c>
      <c r="D34" s="229"/>
      <c r="E34" s="229"/>
      <c r="F34" s="229"/>
      <c r="G34" s="229"/>
      <c r="H34" s="229"/>
      <c r="I34" s="229"/>
      <c r="J34" s="59" t="s">
        <v>1439</v>
      </c>
      <c r="K34" s="46">
        <v>2350000</v>
      </c>
      <c r="L34" s="2">
        <v>44952</v>
      </c>
      <c r="M34" s="32" t="s">
        <v>3923</v>
      </c>
      <c r="N34" s="32" t="s">
        <v>3724</v>
      </c>
      <c r="O34" s="32" t="s">
        <v>3725</v>
      </c>
      <c r="P34" s="52" t="s">
        <v>2495</v>
      </c>
    </row>
    <row r="35" spans="2:16" ht="15" customHeight="1" x14ac:dyDescent="0.25">
      <c r="B35" s="32">
        <v>23</v>
      </c>
      <c r="C35" s="229" t="s">
        <v>3726</v>
      </c>
      <c r="D35" s="229"/>
      <c r="E35" s="229"/>
      <c r="F35" s="229"/>
      <c r="G35" s="229"/>
      <c r="H35" s="229"/>
      <c r="I35" s="229"/>
      <c r="J35" s="59" t="s">
        <v>2611</v>
      </c>
      <c r="K35" s="46">
        <v>12550000</v>
      </c>
      <c r="L35" s="2">
        <v>44953</v>
      </c>
      <c r="M35" s="32"/>
      <c r="N35" s="32">
        <v>3108227462</v>
      </c>
      <c r="O35" s="51" t="s">
        <v>2309</v>
      </c>
      <c r="P35" s="52" t="s">
        <v>2310</v>
      </c>
    </row>
    <row r="36" spans="2:16" x14ac:dyDescent="0.25">
      <c r="B36" s="32">
        <v>24</v>
      </c>
      <c r="C36" s="263" t="s">
        <v>3729</v>
      </c>
      <c r="D36" s="229"/>
      <c r="E36" s="229"/>
      <c r="F36" s="229"/>
      <c r="G36" s="229"/>
      <c r="H36" s="229"/>
      <c r="I36" s="229"/>
      <c r="J36" s="59" t="s">
        <v>747</v>
      </c>
      <c r="K36" s="46"/>
      <c r="L36" s="2">
        <v>44953</v>
      </c>
      <c r="M36" s="32"/>
      <c r="N36" s="32">
        <v>3175594091</v>
      </c>
      <c r="O36" s="32" t="s">
        <v>496</v>
      </c>
      <c r="P36" s="38" t="s">
        <v>748</v>
      </c>
    </row>
    <row r="37" spans="2:16" x14ac:dyDescent="0.25">
      <c r="B37" s="32">
        <v>25</v>
      </c>
      <c r="C37" s="263" t="s">
        <v>3728</v>
      </c>
      <c r="D37" s="229"/>
      <c r="E37" s="229"/>
      <c r="F37" s="229"/>
      <c r="G37" s="229"/>
      <c r="H37" s="229"/>
      <c r="I37" s="229"/>
      <c r="J37" s="59" t="s">
        <v>880</v>
      </c>
      <c r="K37" s="46">
        <v>3550000</v>
      </c>
      <c r="L37" s="2">
        <v>44953</v>
      </c>
      <c r="M37" s="32" t="s">
        <v>3923</v>
      </c>
      <c r="N37" s="32"/>
      <c r="O37" s="32"/>
      <c r="P37" s="52" t="s">
        <v>3727</v>
      </c>
    </row>
    <row r="38" spans="2:16" x14ac:dyDescent="0.25">
      <c r="B38" s="32">
        <v>26</v>
      </c>
      <c r="C38" s="229" t="s">
        <v>3738</v>
      </c>
      <c r="D38" s="229"/>
      <c r="E38" s="229"/>
      <c r="F38" s="229"/>
      <c r="G38" s="229"/>
      <c r="H38" s="229"/>
      <c r="I38" s="229"/>
      <c r="J38" s="59" t="s">
        <v>3731</v>
      </c>
      <c r="K38" s="46">
        <v>14300000</v>
      </c>
      <c r="L38" s="2">
        <v>44957</v>
      </c>
      <c r="M38" s="32"/>
      <c r="N38" s="32">
        <v>3205535416</v>
      </c>
      <c r="O38" s="32" t="s">
        <v>3556</v>
      </c>
      <c r="P38" s="52" t="s">
        <v>3557</v>
      </c>
    </row>
    <row r="39" spans="2:16" x14ac:dyDescent="0.25">
      <c r="B39" s="32">
        <v>27</v>
      </c>
      <c r="C39" s="229" t="s">
        <v>3732</v>
      </c>
      <c r="D39" s="229"/>
      <c r="E39" s="229"/>
      <c r="F39" s="229"/>
      <c r="G39" s="229"/>
      <c r="H39" s="229"/>
      <c r="I39" s="229"/>
      <c r="J39" s="59" t="s">
        <v>702</v>
      </c>
      <c r="K39" s="46">
        <v>6900000</v>
      </c>
      <c r="L39" s="2">
        <v>44957</v>
      </c>
      <c r="M39" s="32"/>
      <c r="N39" s="32" t="s">
        <v>3843</v>
      </c>
      <c r="O39" s="32" t="s">
        <v>3242</v>
      </c>
      <c r="P39" s="52" t="s">
        <v>2761</v>
      </c>
    </row>
    <row r="40" spans="2:16" x14ac:dyDescent="0.25">
      <c r="B40" s="32">
        <v>28</v>
      </c>
      <c r="C40" s="229" t="s">
        <v>3733</v>
      </c>
      <c r="D40" s="229"/>
      <c r="E40" s="229"/>
      <c r="F40" s="229"/>
      <c r="G40" s="229"/>
      <c r="H40" s="229"/>
      <c r="I40" s="229"/>
      <c r="J40" s="59" t="s">
        <v>702</v>
      </c>
      <c r="K40" s="46">
        <v>39950000</v>
      </c>
      <c r="L40" s="2">
        <v>44957</v>
      </c>
      <c r="M40" s="32"/>
      <c r="N40" s="32" t="s">
        <v>3843</v>
      </c>
      <c r="O40" s="32" t="s">
        <v>3242</v>
      </c>
      <c r="P40" s="52" t="s">
        <v>2761</v>
      </c>
    </row>
    <row r="41" spans="2:16" x14ac:dyDescent="0.25">
      <c r="B41" s="32">
        <v>29</v>
      </c>
      <c r="C41" s="263" t="s">
        <v>3985</v>
      </c>
      <c r="D41" s="229"/>
      <c r="E41" s="229"/>
      <c r="F41" s="229"/>
      <c r="G41" s="229"/>
      <c r="H41" s="229"/>
      <c r="I41" s="229"/>
      <c r="J41" s="59" t="s">
        <v>1139</v>
      </c>
      <c r="K41" s="46">
        <v>3950000</v>
      </c>
      <c r="L41" s="2">
        <v>44957</v>
      </c>
      <c r="M41" s="32" t="s">
        <v>3923</v>
      </c>
      <c r="N41" s="32"/>
      <c r="O41" s="32" t="s">
        <v>3737</v>
      </c>
      <c r="P41" s="52"/>
    </row>
    <row r="42" spans="2:16" x14ac:dyDescent="0.25">
      <c r="B42" s="32">
        <v>30</v>
      </c>
      <c r="C42" s="229" t="s">
        <v>3736</v>
      </c>
      <c r="D42" s="229"/>
      <c r="E42" s="229"/>
      <c r="F42" s="229"/>
      <c r="G42" s="229"/>
      <c r="H42" s="229"/>
      <c r="I42" s="229"/>
      <c r="J42" s="59" t="s">
        <v>3735</v>
      </c>
      <c r="K42" s="46">
        <v>13540000</v>
      </c>
      <c r="L42" s="2">
        <v>44957</v>
      </c>
      <c r="M42" s="32"/>
      <c r="N42" s="32">
        <v>3023105548</v>
      </c>
      <c r="O42" s="32" t="s">
        <v>3735</v>
      </c>
      <c r="P42" s="52" t="s">
        <v>3734</v>
      </c>
    </row>
    <row r="43" spans="2:16" x14ac:dyDescent="0.25">
      <c r="B43" s="32">
        <v>31</v>
      </c>
      <c r="C43" s="229" t="s">
        <v>3739</v>
      </c>
      <c r="D43" s="229"/>
      <c r="E43" s="229"/>
      <c r="F43" s="229"/>
      <c r="G43" s="229"/>
      <c r="H43" s="229"/>
      <c r="I43" s="229"/>
      <c r="J43" s="59" t="s">
        <v>702</v>
      </c>
      <c r="K43" s="46">
        <v>690000</v>
      </c>
      <c r="L43" s="2">
        <v>44958</v>
      </c>
      <c r="M43" s="32"/>
      <c r="N43" s="32">
        <v>3146920966</v>
      </c>
      <c r="O43" s="32" t="s">
        <v>578</v>
      </c>
      <c r="P43" s="52" t="s">
        <v>2661</v>
      </c>
    </row>
    <row r="44" spans="2:16" x14ac:dyDescent="0.25">
      <c r="B44" s="32">
        <v>32</v>
      </c>
      <c r="C44" s="263" t="s">
        <v>3744</v>
      </c>
      <c r="D44" s="229"/>
      <c r="E44" s="229"/>
      <c r="F44" s="229"/>
      <c r="G44" s="229"/>
      <c r="H44" s="229"/>
      <c r="I44" s="229"/>
      <c r="J44" s="59" t="s">
        <v>3741</v>
      </c>
      <c r="K44" s="46">
        <v>11790000</v>
      </c>
      <c r="L44" s="2">
        <v>44959</v>
      </c>
      <c r="M44" s="32"/>
      <c r="N44" s="32" t="s">
        <v>3743</v>
      </c>
      <c r="O44" s="32" t="s">
        <v>3742</v>
      </c>
      <c r="P44" s="87" t="s">
        <v>3740</v>
      </c>
    </row>
    <row r="45" spans="2:16" x14ac:dyDescent="0.25">
      <c r="B45" s="32">
        <v>33</v>
      </c>
      <c r="C45" s="229" t="s">
        <v>3747</v>
      </c>
      <c r="D45" s="229"/>
      <c r="E45" s="229"/>
      <c r="F45" s="229"/>
      <c r="G45" s="229"/>
      <c r="H45" s="229"/>
      <c r="I45" s="229"/>
      <c r="J45" s="59" t="s">
        <v>3609</v>
      </c>
      <c r="K45" s="46">
        <v>10970000</v>
      </c>
      <c r="L45" s="2">
        <v>44959</v>
      </c>
      <c r="M45" s="2"/>
      <c r="N45" s="32">
        <v>3156648484</v>
      </c>
      <c r="O45" s="32" t="s">
        <v>3745</v>
      </c>
      <c r="P45" s="87" t="s">
        <v>3746</v>
      </c>
    </row>
    <row r="46" spans="2:16" x14ac:dyDescent="0.25">
      <c r="B46" s="49">
        <v>34</v>
      </c>
      <c r="C46" s="229"/>
      <c r="D46" s="229"/>
      <c r="E46" s="229"/>
      <c r="F46" s="229"/>
      <c r="G46" s="229"/>
      <c r="H46" s="229"/>
      <c r="I46" s="229"/>
      <c r="J46" s="59"/>
      <c r="K46" s="46"/>
      <c r="L46" s="2"/>
      <c r="M46" s="32"/>
      <c r="N46" s="32"/>
      <c r="O46" s="32"/>
      <c r="P46" s="52"/>
    </row>
    <row r="47" spans="2:16" x14ac:dyDescent="0.25">
      <c r="B47" s="32">
        <v>35</v>
      </c>
      <c r="C47" s="229" t="s">
        <v>3754</v>
      </c>
      <c r="D47" s="229"/>
      <c r="E47" s="229"/>
      <c r="F47" s="229"/>
      <c r="G47" s="229"/>
      <c r="H47" s="229"/>
      <c r="I47" s="229"/>
      <c r="J47" s="59" t="s">
        <v>3750</v>
      </c>
      <c r="K47" s="46">
        <v>7450000</v>
      </c>
      <c r="L47" s="2">
        <v>44959</v>
      </c>
      <c r="M47" s="2" t="s">
        <v>3923</v>
      </c>
      <c r="N47" s="32" t="s">
        <v>3752</v>
      </c>
      <c r="O47" s="32" t="s">
        <v>3749</v>
      </c>
      <c r="P47" s="52" t="s">
        <v>3748</v>
      </c>
    </row>
    <row r="48" spans="2:16" x14ac:dyDescent="0.25">
      <c r="B48" s="32">
        <v>36</v>
      </c>
      <c r="C48" s="229" t="s">
        <v>3757</v>
      </c>
      <c r="D48" s="229"/>
      <c r="E48" s="229"/>
      <c r="F48" s="229"/>
      <c r="G48" s="229"/>
      <c r="H48" s="229"/>
      <c r="I48" s="229"/>
      <c r="J48" s="59" t="s">
        <v>3755</v>
      </c>
      <c r="K48" s="46">
        <v>7450000</v>
      </c>
      <c r="L48" s="2">
        <v>44959</v>
      </c>
      <c r="M48" s="2" t="s">
        <v>3923</v>
      </c>
      <c r="N48" s="32" t="s">
        <v>2887</v>
      </c>
      <c r="O48" s="32" t="s">
        <v>3753</v>
      </c>
      <c r="P48" s="52" t="s">
        <v>3756</v>
      </c>
    </row>
    <row r="49" spans="2:16" x14ac:dyDescent="0.25">
      <c r="B49" s="32">
        <v>37</v>
      </c>
      <c r="C49" s="229" t="s">
        <v>3760</v>
      </c>
      <c r="D49" s="229"/>
      <c r="E49" s="229"/>
      <c r="F49" s="229"/>
      <c r="G49" s="229"/>
      <c r="H49" s="229"/>
      <c r="I49" s="229"/>
      <c r="J49" s="59" t="s">
        <v>3761</v>
      </c>
      <c r="K49" s="46">
        <v>4500000</v>
      </c>
      <c r="L49" s="2">
        <v>44960</v>
      </c>
      <c r="M49" s="2"/>
      <c r="N49" s="32" t="s">
        <v>3762</v>
      </c>
      <c r="O49" s="32" t="s">
        <v>3758</v>
      </c>
      <c r="P49" s="52" t="s">
        <v>3759</v>
      </c>
    </row>
    <row r="50" spans="2:16" x14ac:dyDescent="0.25">
      <c r="B50" s="32">
        <v>38</v>
      </c>
      <c r="C50" s="229" t="s">
        <v>3763</v>
      </c>
      <c r="D50" s="229"/>
      <c r="E50" s="229"/>
      <c r="F50" s="229"/>
      <c r="G50" s="229"/>
      <c r="H50" s="229"/>
      <c r="I50" s="229"/>
      <c r="J50" s="59" t="s">
        <v>3002</v>
      </c>
      <c r="K50" s="46">
        <v>14450000</v>
      </c>
      <c r="L50" s="2">
        <v>44960</v>
      </c>
      <c r="M50" s="32"/>
      <c r="N50" s="32"/>
      <c r="O50" s="32" t="s">
        <v>3764</v>
      </c>
      <c r="P50" s="52"/>
    </row>
    <row r="51" spans="2:16" x14ac:dyDescent="0.25">
      <c r="B51" s="32">
        <v>39</v>
      </c>
      <c r="C51" s="263" t="s">
        <v>3765</v>
      </c>
      <c r="D51" s="263"/>
      <c r="E51" s="263"/>
      <c r="F51" s="263"/>
      <c r="G51" s="263"/>
      <c r="H51" s="263"/>
      <c r="I51" s="263"/>
      <c r="J51" s="59" t="s">
        <v>702</v>
      </c>
      <c r="K51" s="46">
        <v>19980000</v>
      </c>
      <c r="L51" s="2">
        <v>44960</v>
      </c>
      <c r="M51" s="2"/>
      <c r="N51" s="32">
        <v>3146920966</v>
      </c>
      <c r="O51" s="84" t="s">
        <v>2660</v>
      </c>
      <c r="P51" s="65" t="s">
        <v>2661</v>
      </c>
    </row>
    <row r="52" spans="2:16" x14ac:dyDescent="0.25">
      <c r="B52" s="32">
        <v>40</v>
      </c>
      <c r="C52" s="229" t="s">
        <v>3767</v>
      </c>
      <c r="D52" s="229"/>
      <c r="E52" s="229"/>
      <c r="F52" s="229"/>
      <c r="G52" s="229"/>
      <c r="H52" s="229"/>
      <c r="I52" s="229"/>
      <c r="J52" s="59" t="s">
        <v>3766</v>
      </c>
      <c r="K52" s="46">
        <v>23990000</v>
      </c>
      <c r="L52" s="2">
        <v>44960</v>
      </c>
      <c r="M52" s="2"/>
      <c r="N52" s="32" t="s">
        <v>3554</v>
      </c>
      <c r="O52" s="32" t="s">
        <v>3552</v>
      </c>
      <c r="P52" s="52" t="s">
        <v>3553</v>
      </c>
    </row>
    <row r="53" spans="2:16" x14ac:dyDescent="0.25">
      <c r="B53" s="32">
        <v>41</v>
      </c>
      <c r="C53" s="229" t="s">
        <v>3768</v>
      </c>
      <c r="D53" s="229"/>
      <c r="E53" s="229"/>
      <c r="F53" s="229"/>
      <c r="G53" s="229"/>
      <c r="H53" s="229"/>
      <c r="I53" s="229"/>
      <c r="J53" s="59" t="s">
        <v>3676</v>
      </c>
      <c r="K53" s="46">
        <v>630000</v>
      </c>
      <c r="L53" s="2">
        <v>44961</v>
      </c>
      <c r="M53" s="32"/>
      <c r="N53" s="32" t="s">
        <v>3678</v>
      </c>
      <c r="O53" s="51" t="s">
        <v>1027</v>
      </c>
      <c r="P53" s="52" t="s">
        <v>3769</v>
      </c>
    </row>
    <row r="54" spans="2:16" x14ac:dyDescent="0.25">
      <c r="B54" s="32">
        <v>42</v>
      </c>
      <c r="C54" s="263" t="s">
        <v>3771</v>
      </c>
      <c r="D54" s="229"/>
      <c r="E54" s="229"/>
      <c r="F54" s="229"/>
      <c r="G54" s="229"/>
      <c r="H54" s="229"/>
      <c r="I54" s="229"/>
      <c r="J54" s="59" t="s">
        <v>712</v>
      </c>
      <c r="K54" s="46">
        <v>13790000</v>
      </c>
      <c r="L54" s="2">
        <v>44964</v>
      </c>
      <c r="M54" s="32"/>
      <c r="N54" s="32">
        <v>3137851941</v>
      </c>
      <c r="O54" s="32" t="s">
        <v>3770</v>
      </c>
      <c r="P54" s="52" t="s">
        <v>713</v>
      </c>
    </row>
    <row r="55" spans="2:16" x14ac:dyDescent="0.25">
      <c r="B55" s="32">
        <v>43</v>
      </c>
      <c r="C55" s="229" t="s">
        <v>3772</v>
      </c>
      <c r="D55" s="229"/>
      <c r="E55" s="229"/>
      <c r="F55" s="229"/>
      <c r="G55" s="229"/>
      <c r="H55" s="229"/>
      <c r="I55" s="229"/>
      <c r="J55" s="59" t="s">
        <v>702</v>
      </c>
      <c r="K55" s="46">
        <v>9970000</v>
      </c>
      <c r="L55" s="2">
        <v>44964</v>
      </c>
      <c r="M55" s="32"/>
      <c r="N55" s="32" t="s">
        <v>3843</v>
      </c>
      <c r="O55" s="32" t="s">
        <v>3242</v>
      </c>
      <c r="P55" s="52" t="s">
        <v>2761</v>
      </c>
    </row>
    <row r="56" spans="2:16" x14ac:dyDescent="0.25">
      <c r="B56" s="32">
        <v>44</v>
      </c>
      <c r="C56" s="271" t="s">
        <v>3773</v>
      </c>
      <c r="D56" s="272"/>
      <c r="E56" s="272"/>
      <c r="F56" s="272"/>
      <c r="G56" s="272"/>
      <c r="H56" s="272"/>
      <c r="I56" s="272"/>
      <c r="J56" s="59" t="s">
        <v>3674</v>
      </c>
      <c r="K56" s="46">
        <v>1950000</v>
      </c>
      <c r="L56" s="2">
        <v>44964</v>
      </c>
      <c r="M56" s="32"/>
      <c r="N56" s="32">
        <v>3044003430</v>
      </c>
      <c r="O56" s="51" t="s">
        <v>989</v>
      </c>
      <c r="P56" s="38" t="s">
        <v>990</v>
      </c>
    </row>
    <row r="57" spans="2:16" x14ac:dyDescent="0.25">
      <c r="B57" s="32">
        <v>45</v>
      </c>
      <c r="C57" s="263" t="s">
        <v>3775</v>
      </c>
      <c r="D57" s="229"/>
      <c r="E57" s="229"/>
      <c r="F57" s="229"/>
      <c r="G57" s="229"/>
      <c r="H57" s="229"/>
      <c r="I57" s="229"/>
      <c r="J57" s="59" t="s">
        <v>702</v>
      </c>
      <c r="K57" s="46">
        <v>950000</v>
      </c>
      <c r="L57" s="2">
        <v>44965</v>
      </c>
      <c r="M57" s="2"/>
      <c r="N57" s="32" t="s">
        <v>2052</v>
      </c>
      <c r="O57" s="32" t="s">
        <v>188</v>
      </c>
      <c r="P57" s="52" t="s">
        <v>3774</v>
      </c>
    </row>
    <row r="58" spans="2:16" x14ac:dyDescent="0.25">
      <c r="B58" s="32">
        <v>46</v>
      </c>
      <c r="C58" s="229" t="s">
        <v>3778</v>
      </c>
      <c r="D58" s="229"/>
      <c r="E58" s="229"/>
      <c r="F58" s="229"/>
      <c r="G58" s="229"/>
      <c r="H58" s="229"/>
      <c r="I58" s="229"/>
      <c r="J58" s="79" t="s">
        <v>1553</v>
      </c>
      <c r="K58" s="56">
        <v>5890000</v>
      </c>
      <c r="L58" s="2">
        <v>44965</v>
      </c>
      <c r="N58">
        <v>3022806727</v>
      </c>
      <c r="O58" s="92" t="s">
        <v>3779</v>
      </c>
      <c r="P58" s="66" t="s">
        <v>3780</v>
      </c>
    </row>
    <row r="59" spans="2:16" x14ac:dyDescent="0.25">
      <c r="B59" s="32">
        <v>47</v>
      </c>
      <c r="C59" s="229" t="s">
        <v>3776</v>
      </c>
      <c r="D59" s="229"/>
      <c r="E59" s="229"/>
      <c r="F59" s="229"/>
      <c r="G59" s="229"/>
      <c r="H59" s="229"/>
      <c r="I59" s="229"/>
      <c r="J59" s="59" t="s">
        <v>2611</v>
      </c>
      <c r="K59" s="46">
        <v>7550000</v>
      </c>
      <c r="L59" s="2">
        <v>44965</v>
      </c>
      <c r="M59" s="32"/>
      <c r="N59" s="32">
        <v>3108227462</v>
      </c>
      <c r="O59" s="51" t="s">
        <v>2309</v>
      </c>
      <c r="P59" s="52" t="s">
        <v>2310</v>
      </c>
    </row>
    <row r="60" spans="2:16" x14ac:dyDescent="0.25">
      <c r="B60" s="32">
        <v>48</v>
      </c>
      <c r="C60" s="59" t="s">
        <v>3777</v>
      </c>
      <c r="D60" s="59"/>
      <c r="E60" s="59"/>
      <c r="F60" s="59"/>
      <c r="G60" s="59"/>
      <c r="H60" s="59"/>
      <c r="I60" s="59"/>
      <c r="J60" s="59" t="s">
        <v>2611</v>
      </c>
      <c r="K60" s="46">
        <v>6950000</v>
      </c>
      <c r="L60" s="2">
        <v>44965</v>
      </c>
      <c r="M60" s="32"/>
      <c r="N60" s="32">
        <v>3108227462</v>
      </c>
      <c r="O60" s="51" t="s">
        <v>2309</v>
      </c>
      <c r="P60" s="52" t="s">
        <v>2310</v>
      </c>
    </row>
    <row r="61" spans="2:16" x14ac:dyDescent="0.25">
      <c r="B61" s="32">
        <v>49</v>
      </c>
      <c r="C61" s="229" t="s">
        <v>3781</v>
      </c>
      <c r="D61" s="229"/>
      <c r="E61" s="229"/>
      <c r="F61" s="229"/>
      <c r="G61" s="229"/>
      <c r="H61" s="229"/>
      <c r="I61" s="229"/>
      <c r="J61" s="59" t="s">
        <v>702</v>
      </c>
      <c r="K61" s="46">
        <v>19950000</v>
      </c>
      <c r="L61" s="2">
        <v>44966</v>
      </c>
      <c r="M61" s="32"/>
      <c r="N61" s="32" t="s">
        <v>2745</v>
      </c>
      <c r="O61" s="32" t="s">
        <v>2746</v>
      </c>
      <c r="P61" s="52" t="s">
        <v>703</v>
      </c>
    </row>
    <row r="62" spans="2:16" x14ac:dyDescent="0.25">
      <c r="B62" s="32">
        <v>50</v>
      </c>
      <c r="C62" s="229" t="s">
        <v>3797</v>
      </c>
      <c r="D62" s="229"/>
      <c r="E62" s="229"/>
      <c r="F62" s="229"/>
      <c r="G62" s="229"/>
      <c r="H62" s="229"/>
      <c r="I62" s="229"/>
      <c r="J62" s="59" t="s">
        <v>1535</v>
      </c>
      <c r="K62" s="46">
        <v>5640000</v>
      </c>
      <c r="L62" s="2">
        <v>44966</v>
      </c>
      <c r="M62" s="2"/>
      <c r="N62" s="32" t="s">
        <v>2464</v>
      </c>
      <c r="O62" s="32" t="s">
        <v>3783</v>
      </c>
      <c r="P62" s="52"/>
    </row>
    <row r="63" spans="2:16" x14ac:dyDescent="0.25">
      <c r="B63" s="32">
        <v>51</v>
      </c>
      <c r="C63" s="230" t="s">
        <v>3782</v>
      </c>
      <c r="D63" s="231"/>
      <c r="E63" s="231"/>
      <c r="F63" s="231"/>
      <c r="G63" s="231"/>
      <c r="H63" s="231"/>
      <c r="I63" s="232"/>
      <c r="J63" s="59" t="s">
        <v>702</v>
      </c>
      <c r="K63" s="46">
        <v>6960000</v>
      </c>
      <c r="L63" s="2">
        <v>44967</v>
      </c>
      <c r="M63" s="32" t="s">
        <v>3923</v>
      </c>
      <c r="N63" s="32" t="s">
        <v>2619</v>
      </c>
      <c r="O63" s="32" t="s">
        <v>2620</v>
      </c>
      <c r="P63" s="52" t="s">
        <v>2621</v>
      </c>
    </row>
    <row r="64" spans="2:16" x14ac:dyDescent="0.25">
      <c r="B64" s="32">
        <v>52</v>
      </c>
      <c r="C64" s="271" t="s">
        <v>3785</v>
      </c>
      <c r="D64" s="272"/>
      <c r="E64" s="272"/>
      <c r="F64" s="272"/>
      <c r="G64" s="272"/>
      <c r="H64" s="272"/>
      <c r="I64" s="272"/>
      <c r="J64" s="59" t="s">
        <v>3784</v>
      </c>
      <c r="K64" s="46">
        <v>12550000</v>
      </c>
      <c r="L64" s="2">
        <v>44970</v>
      </c>
      <c r="M64" s="2"/>
      <c r="N64" s="32"/>
      <c r="O64" s="32" t="s">
        <v>3786</v>
      </c>
      <c r="P64" s="52" t="s">
        <v>3787</v>
      </c>
    </row>
    <row r="65" spans="2:16" x14ac:dyDescent="0.25">
      <c r="B65" s="32">
        <v>53</v>
      </c>
      <c r="C65" s="229" t="s">
        <v>3788</v>
      </c>
      <c r="D65" s="229"/>
      <c r="E65" s="229"/>
      <c r="F65" s="229"/>
      <c r="G65" s="229"/>
      <c r="H65" s="229"/>
      <c r="I65" s="229"/>
      <c r="J65" s="59" t="s">
        <v>3789</v>
      </c>
      <c r="K65" s="46">
        <v>4350000</v>
      </c>
      <c r="L65" s="2">
        <v>44970</v>
      </c>
      <c r="M65" s="32" t="s">
        <v>3923</v>
      </c>
      <c r="N65" s="32"/>
      <c r="O65" s="32" t="s">
        <v>3790</v>
      </c>
      <c r="P65" s="52" t="s">
        <v>3791</v>
      </c>
    </row>
    <row r="66" spans="2:16" x14ac:dyDescent="0.25">
      <c r="B66" s="32">
        <v>54</v>
      </c>
      <c r="C66" s="229" t="s">
        <v>3793</v>
      </c>
      <c r="D66" s="229"/>
      <c r="E66" s="229"/>
      <c r="F66" s="229"/>
      <c r="G66" s="229"/>
      <c r="H66" s="229"/>
      <c r="I66" s="229"/>
      <c r="J66" s="59" t="s">
        <v>851</v>
      </c>
      <c r="K66" s="46">
        <v>5650000</v>
      </c>
      <c r="L66" s="2">
        <v>44970</v>
      </c>
      <c r="M66" s="2"/>
      <c r="N66" s="32"/>
      <c r="O66" s="32" t="s">
        <v>3792</v>
      </c>
      <c r="P66" s="52" t="s">
        <v>2235</v>
      </c>
    </row>
    <row r="67" spans="2:16" x14ac:dyDescent="0.25">
      <c r="B67" s="32">
        <v>55</v>
      </c>
      <c r="C67" s="229" t="s">
        <v>3794</v>
      </c>
      <c r="D67" s="229"/>
      <c r="E67" s="229"/>
      <c r="F67" s="229"/>
      <c r="G67" s="229"/>
      <c r="H67" s="229"/>
      <c r="I67" s="229"/>
      <c r="J67" s="59" t="s">
        <v>712</v>
      </c>
      <c r="K67" s="46">
        <v>1660000</v>
      </c>
      <c r="L67" s="2">
        <v>44970</v>
      </c>
      <c r="M67" s="2"/>
      <c r="N67" s="32">
        <v>3137851941</v>
      </c>
      <c r="O67" s="32" t="s">
        <v>3770</v>
      </c>
      <c r="P67" s="52" t="s">
        <v>713</v>
      </c>
    </row>
    <row r="68" spans="2:16" x14ac:dyDescent="0.25">
      <c r="B68" s="32">
        <v>56</v>
      </c>
      <c r="C68" s="229" t="s">
        <v>3795</v>
      </c>
      <c r="D68" s="229"/>
      <c r="E68" s="229"/>
      <c r="F68" s="229"/>
      <c r="G68" s="229"/>
      <c r="H68" s="229"/>
      <c r="I68" s="229"/>
      <c r="J68" s="59" t="s">
        <v>1439</v>
      </c>
      <c r="K68" s="46">
        <v>5000000</v>
      </c>
      <c r="L68" s="2">
        <v>44970</v>
      </c>
      <c r="M68" s="32" t="s">
        <v>3923</v>
      </c>
      <c r="N68" s="32">
        <v>3104145629</v>
      </c>
      <c r="O68" s="32" t="s">
        <v>3796</v>
      </c>
      <c r="P68" s="52" t="s">
        <v>2021</v>
      </c>
    </row>
    <row r="69" spans="2:16" ht="15" customHeight="1" x14ac:dyDescent="0.25">
      <c r="B69" s="32">
        <v>57</v>
      </c>
      <c r="C69" s="229" t="s">
        <v>3798</v>
      </c>
      <c r="D69" s="229"/>
      <c r="E69" s="229"/>
      <c r="F69" s="229"/>
      <c r="G69" s="229"/>
      <c r="H69" s="229"/>
      <c r="I69" s="229"/>
      <c r="J69" s="59" t="s">
        <v>702</v>
      </c>
      <c r="K69" s="46">
        <v>19940000</v>
      </c>
      <c r="L69" s="2">
        <v>44970</v>
      </c>
      <c r="M69" s="32"/>
      <c r="N69" s="32" t="s">
        <v>2745</v>
      </c>
      <c r="O69" s="32" t="s">
        <v>2746</v>
      </c>
      <c r="P69" s="52" t="s">
        <v>703</v>
      </c>
    </row>
    <row r="70" spans="2:16" x14ac:dyDescent="0.25">
      <c r="B70" s="32">
        <v>58</v>
      </c>
      <c r="C70" s="229" t="s">
        <v>3800</v>
      </c>
      <c r="D70" s="229"/>
      <c r="E70" s="229"/>
      <c r="F70" s="229"/>
      <c r="G70" s="229"/>
      <c r="H70" s="229"/>
      <c r="I70" s="229"/>
      <c r="J70" s="59" t="s">
        <v>3799</v>
      </c>
      <c r="K70" s="46">
        <v>3150000</v>
      </c>
      <c r="L70" s="2">
        <v>44970</v>
      </c>
      <c r="M70" s="32" t="s">
        <v>3923</v>
      </c>
      <c r="N70" s="32" t="s">
        <v>3827</v>
      </c>
      <c r="O70" s="32" t="s">
        <v>3801</v>
      </c>
      <c r="P70" s="52" t="s">
        <v>1854</v>
      </c>
    </row>
    <row r="71" spans="2:16" x14ac:dyDescent="0.25">
      <c r="B71" s="32">
        <v>59</v>
      </c>
      <c r="C71" s="263" t="s">
        <v>3802</v>
      </c>
      <c r="D71" s="229"/>
      <c r="E71" s="229"/>
      <c r="F71" s="229"/>
      <c r="G71" s="229"/>
      <c r="H71" s="229"/>
      <c r="I71" s="229"/>
      <c r="J71" s="59" t="s">
        <v>1875</v>
      </c>
      <c r="K71" s="46">
        <v>28220000</v>
      </c>
      <c r="L71" s="2">
        <v>44972</v>
      </c>
      <c r="M71" s="32"/>
      <c r="N71" s="32" t="s">
        <v>2987</v>
      </c>
      <c r="O71" s="32" t="s">
        <v>372</v>
      </c>
      <c r="P71" s="52" t="s">
        <v>2561</v>
      </c>
    </row>
    <row r="72" spans="2:16" x14ac:dyDescent="0.25">
      <c r="B72" s="32">
        <v>60</v>
      </c>
      <c r="C72" s="271" t="s">
        <v>3803</v>
      </c>
      <c r="D72" s="272"/>
      <c r="E72" s="272"/>
      <c r="F72" s="272"/>
      <c r="G72" s="272"/>
      <c r="H72" s="272"/>
      <c r="I72" s="272"/>
      <c r="J72" s="59" t="s">
        <v>3806</v>
      </c>
      <c r="K72" s="46">
        <v>9950000</v>
      </c>
      <c r="L72" s="2">
        <v>44972</v>
      </c>
      <c r="M72" s="2"/>
      <c r="N72" s="32" t="s">
        <v>3823</v>
      </c>
      <c r="O72" s="32" t="s">
        <v>3804</v>
      </c>
      <c r="P72" s="52" t="s">
        <v>3805</v>
      </c>
    </row>
    <row r="73" spans="2:16" x14ac:dyDescent="0.25">
      <c r="B73" s="32">
        <v>61</v>
      </c>
      <c r="C73" s="229" t="s">
        <v>3807</v>
      </c>
      <c r="D73" s="229"/>
      <c r="E73" s="229"/>
      <c r="F73" s="229"/>
      <c r="G73" s="229"/>
      <c r="H73" s="229"/>
      <c r="I73" s="229"/>
      <c r="J73" s="59" t="s">
        <v>851</v>
      </c>
      <c r="K73" s="46">
        <v>8700000</v>
      </c>
      <c r="L73" s="2">
        <v>44972</v>
      </c>
      <c r="M73" s="32"/>
      <c r="N73" s="32">
        <v>3206678830</v>
      </c>
      <c r="O73" s="32" t="s">
        <v>284</v>
      </c>
      <c r="P73" s="52" t="s">
        <v>948</v>
      </c>
    </row>
    <row r="74" spans="2:16" x14ac:dyDescent="0.25">
      <c r="B74" s="32">
        <v>62</v>
      </c>
      <c r="C74" s="229" t="s">
        <v>3810</v>
      </c>
      <c r="D74" s="229"/>
      <c r="E74" s="229"/>
      <c r="F74" s="229"/>
      <c r="G74" s="229"/>
      <c r="H74" s="229"/>
      <c r="I74" s="229"/>
      <c r="J74" s="59" t="s">
        <v>702</v>
      </c>
      <c r="K74" s="46">
        <v>2510000</v>
      </c>
      <c r="L74" s="2">
        <v>44973</v>
      </c>
      <c r="M74" s="2"/>
      <c r="N74" s="32" t="s">
        <v>3843</v>
      </c>
      <c r="O74" s="32" t="s">
        <v>3242</v>
      </c>
      <c r="P74" s="52" t="s">
        <v>2761</v>
      </c>
    </row>
    <row r="75" spans="2:16" x14ac:dyDescent="0.25">
      <c r="B75" s="32">
        <v>63</v>
      </c>
      <c r="C75" s="229" t="s">
        <v>3808</v>
      </c>
      <c r="D75" s="229"/>
      <c r="E75" s="229"/>
      <c r="F75" s="229"/>
      <c r="G75" s="229"/>
      <c r="H75" s="229"/>
      <c r="I75" s="229"/>
      <c r="J75" s="59" t="s">
        <v>1480</v>
      </c>
      <c r="K75" s="46">
        <v>19550000</v>
      </c>
      <c r="L75" s="2">
        <v>44973</v>
      </c>
      <c r="M75" s="32"/>
      <c r="N75" s="32" t="s">
        <v>3826</v>
      </c>
      <c r="O75" s="32" t="s">
        <v>3809</v>
      </c>
      <c r="P75" s="52" t="s">
        <v>3339</v>
      </c>
    </row>
    <row r="76" spans="2:16" x14ac:dyDescent="0.25">
      <c r="B76" s="32">
        <v>64</v>
      </c>
      <c r="C76" s="229" t="s">
        <v>3811</v>
      </c>
      <c r="D76" s="229"/>
      <c r="E76" s="229"/>
      <c r="F76" s="229"/>
      <c r="G76" s="229"/>
      <c r="H76" s="229"/>
      <c r="I76" s="229"/>
      <c r="J76" s="59" t="s">
        <v>702</v>
      </c>
      <c r="K76" s="46">
        <v>630000</v>
      </c>
      <c r="L76" s="2">
        <v>44973</v>
      </c>
      <c r="M76" s="2" t="s">
        <v>3923</v>
      </c>
      <c r="N76" s="32">
        <v>3214826168</v>
      </c>
      <c r="O76" s="51" t="s">
        <v>2599</v>
      </c>
      <c r="P76" s="52" t="s">
        <v>2600</v>
      </c>
    </row>
    <row r="77" spans="2:16" x14ac:dyDescent="0.25">
      <c r="B77" s="32">
        <v>65</v>
      </c>
      <c r="C77" s="229" t="s">
        <v>3772</v>
      </c>
      <c r="D77" s="229"/>
      <c r="E77" s="229"/>
      <c r="F77" s="229"/>
      <c r="G77" s="229"/>
      <c r="H77" s="229"/>
      <c r="I77" s="229"/>
      <c r="J77" s="59" t="s">
        <v>3813</v>
      </c>
      <c r="K77" s="46">
        <v>19940000</v>
      </c>
      <c r="L77" s="2">
        <v>44973</v>
      </c>
      <c r="M77" s="2"/>
      <c r="N77" s="32" t="s">
        <v>3825</v>
      </c>
      <c r="O77" s="32" t="s">
        <v>3812</v>
      </c>
      <c r="P77" s="52" t="s">
        <v>3274</v>
      </c>
    </row>
    <row r="78" spans="2:16" x14ac:dyDescent="0.25">
      <c r="B78" s="32">
        <v>66</v>
      </c>
      <c r="C78" s="229" t="s">
        <v>3814</v>
      </c>
      <c r="D78" s="229"/>
      <c r="E78" s="229"/>
      <c r="F78" s="229"/>
      <c r="G78" s="229"/>
      <c r="H78" s="229"/>
      <c r="I78" s="229"/>
      <c r="J78" s="59" t="s">
        <v>3750</v>
      </c>
      <c r="K78" s="46">
        <v>7550000</v>
      </c>
      <c r="L78" s="2">
        <v>44973</v>
      </c>
      <c r="M78" s="2"/>
      <c r="N78" s="32" t="s">
        <v>3752</v>
      </c>
      <c r="O78" s="32" t="s">
        <v>3749</v>
      </c>
      <c r="P78" s="52" t="s">
        <v>3748</v>
      </c>
    </row>
    <row r="79" spans="2:16" x14ac:dyDescent="0.25">
      <c r="B79" s="32">
        <v>67</v>
      </c>
      <c r="C79" s="263" t="s">
        <v>3815</v>
      </c>
      <c r="D79" s="229"/>
      <c r="E79" s="229"/>
      <c r="F79" s="229"/>
      <c r="G79" s="229"/>
      <c r="H79" s="229"/>
      <c r="I79" s="229"/>
      <c r="J79" s="59" t="s">
        <v>758</v>
      </c>
      <c r="K79" s="46">
        <v>1950000</v>
      </c>
      <c r="L79" s="2">
        <v>44974</v>
      </c>
      <c r="M79" s="32" t="s">
        <v>3923</v>
      </c>
      <c r="N79" s="32" t="s">
        <v>2253</v>
      </c>
      <c r="O79" s="32" t="s">
        <v>3816</v>
      </c>
      <c r="P79" s="52" t="s">
        <v>1075</v>
      </c>
    </row>
    <row r="80" spans="2:16" x14ac:dyDescent="0.25">
      <c r="B80" s="32">
        <v>68</v>
      </c>
      <c r="C80" s="229" t="s">
        <v>3817</v>
      </c>
      <c r="D80" s="229"/>
      <c r="E80" s="229"/>
      <c r="F80" s="229"/>
      <c r="G80" s="229"/>
      <c r="H80" s="229"/>
      <c r="I80" s="229"/>
      <c r="J80" s="59" t="s">
        <v>831</v>
      </c>
      <c r="K80" s="46">
        <v>10200000</v>
      </c>
      <c r="L80" s="2">
        <v>44974</v>
      </c>
      <c r="M80" s="2"/>
      <c r="N80" s="32" t="s">
        <v>3824</v>
      </c>
      <c r="O80" s="32" t="s">
        <v>3818</v>
      </c>
      <c r="P80" s="52" t="s">
        <v>2270</v>
      </c>
    </row>
    <row r="81" spans="2:16" ht="15" customHeight="1" x14ac:dyDescent="0.25">
      <c r="B81" s="32">
        <v>69</v>
      </c>
      <c r="C81" s="229" t="s">
        <v>3840</v>
      </c>
      <c r="D81" s="229"/>
      <c r="E81" s="229"/>
      <c r="F81" s="229"/>
      <c r="G81" s="229"/>
      <c r="H81" s="229"/>
      <c r="I81" s="229"/>
      <c r="J81" s="59" t="s">
        <v>747</v>
      </c>
      <c r="K81" s="46">
        <v>19950000</v>
      </c>
      <c r="L81" s="2">
        <v>44974</v>
      </c>
      <c r="M81" s="2"/>
      <c r="N81" s="32">
        <v>3175594091</v>
      </c>
      <c r="O81" s="32" t="s">
        <v>2045</v>
      </c>
      <c r="P81" s="52" t="s">
        <v>748</v>
      </c>
    </row>
    <row r="82" spans="2:16" x14ac:dyDescent="0.25">
      <c r="B82" s="32">
        <v>70</v>
      </c>
      <c r="C82" s="229" t="s">
        <v>3819</v>
      </c>
      <c r="D82" s="229"/>
      <c r="E82" s="229"/>
      <c r="F82" s="229"/>
      <c r="G82" s="229"/>
      <c r="H82" s="229"/>
      <c r="I82" s="229"/>
      <c r="J82" s="59" t="s">
        <v>2072</v>
      </c>
      <c r="K82" s="46">
        <v>7530000</v>
      </c>
      <c r="L82" s="2">
        <v>44978</v>
      </c>
      <c r="M82" s="32"/>
      <c r="N82" s="32" t="s">
        <v>3820</v>
      </c>
      <c r="O82" s="32" t="s">
        <v>706</v>
      </c>
      <c r="P82" s="52" t="s">
        <v>707</v>
      </c>
    </row>
    <row r="83" spans="2:16" x14ac:dyDescent="0.25">
      <c r="B83" s="32">
        <v>71</v>
      </c>
      <c r="C83" s="229" t="s">
        <v>3760</v>
      </c>
      <c r="D83" s="229"/>
      <c r="E83" s="229"/>
      <c r="F83" s="229"/>
      <c r="G83" s="229"/>
      <c r="H83" s="229"/>
      <c r="I83" s="229"/>
      <c r="J83" s="59" t="s">
        <v>712</v>
      </c>
      <c r="K83" s="46">
        <v>4500000</v>
      </c>
      <c r="L83" s="2">
        <v>44974</v>
      </c>
      <c r="M83" s="2"/>
      <c r="N83" s="32" t="s">
        <v>3841</v>
      </c>
      <c r="O83" s="32" t="s">
        <v>3770</v>
      </c>
      <c r="P83" s="52" t="s">
        <v>713</v>
      </c>
    </row>
    <row r="84" spans="2:16" x14ac:dyDescent="0.25">
      <c r="B84" s="32">
        <v>72</v>
      </c>
      <c r="C84" s="263" t="s">
        <v>3821</v>
      </c>
      <c r="D84" s="229"/>
      <c r="E84" s="229"/>
      <c r="F84" s="229"/>
      <c r="G84" s="229"/>
      <c r="H84" s="229"/>
      <c r="I84" s="229"/>
      <c r="J84" s="59" t="s">
        <v>3806</v>
      </c>
      <c r="K84" s="46">
        <v>16250000</v>
      </c>
      <c r="L84" s="2">
        <v>44974</v>
      </c>
      <c r="M84" s="32" t="s">
        <v>3923</v>
      </c>
      <c r="N84" s="32" t="s">
        <v>3823</v>
      </c>
      <c r="O84" s="32" t="s">
        <v>3804</v>
      </c>
      <c r="P84" s="52" t="s">
        <v>3805</v>
      </c>
    </row>
    <row r="85" spans="2:16" x14ac:dyDescent="0.25">
      <c r="B85" s="32">
        <v>73</v>
      </c>
      <c r="C85" s="229" t="s">
        <v>3822</v>
      </c>
      <c r="D85" s="229"/>
      <c r="E85" s="229"/>
      <c r="F85" s="229"/>
      <c r="G85" s="229"/>
      <c r="H85" s="229"/>
      <c r="I85" s="229"/>
      <c r="J85" s="59" t="s">
        <v>3806</v>
      </c>
      <c r="K85" s="46">
        <v>19950000</v>
      </c>
      <c r="L85" s="2">
        <v>44974</v>
      </c>
      <c r="M85" s="32"/>
      <c r="N85" s="32" t="s">
        <v>3823</v>
      </c>
      <c r="O85" s="32" t="s">
        <v>3804</v>
      </c>
      <c r="P85" s="52" t="s">
        <v>3805</v>
      </c>
    </row>
    <row r="86" spans="2:16" x14ac:dyDescent="0.25">
      <c r="B86" s="32">
        <v>74</v>
      </c>
      <c r="C86" s="263" t="s">
        <v>3828</v>
      </c>
      <c r="D86" s="229"/>
      <c r="E86" s="229"/>
      <c r="F86" s="229"/>
      <c r="G86" s="229"/>
      <c r="H86" s="229"/>
      <c r="I86" s="229"/>
      <c r="J86" s="59" t="s">
        <v>747</v>
      </c>
      <c r="K86" s="46">
        <v>4640000</v>
      </c>
      <c r="L86" s="2">
        <v>44977</v>
      </c>
      <c r="M86" s="32"/>
      <c r="N86" s="32">
        <v>3175594091</v>
      </c>
      <c r="O86" s="32" t="s">
        <v>2045</v>
      </c>
      <c r="P86" s="52" t="s">
        <v>748</v>
      </c>
    </row>
    <row r="87" spans="2:16" x14ac:dyDescent="0.25">
      <c r="B87" s="32">
        <v>75</v>
      </c>
      <c r="C87" s="229" t="s">
        <v>3830</v>
      </c>
      <c r="D87" s="229"/>
      <c r="E87" s="229"/>
      <c r="F87" s="229"/>
      <c r="G87" s="229"/>
      <c r="H87" s="229"/>
      <c r="I87" s="229"/>
      <c r="J87" s="59" t="s">
        <v>1139</v>
      </c>
      <c r="K87" s="46">
        <v>3150000</v>
      </c>
      <c r="L87" s="2">
        <v>44977</v>
      </c>
      <c r="M87" s="32"/>
      <c r="N87" s="32">
        <v>3003404902</v>
      </c>
      <c r="O87" s="32" t="s">
        <v>3829</v>
      </c>
      <c r="P87" s="52" t="s">
        <v>2881</v>
      </c>
    </row>
    <row r="88" spans="2:16" x14ac:dyDescent="0.25">
      <c r="B88" s="32">
        <v>76</v>
      </c>
      <c r="C88" s="271" t="s">
        <v>3833</v>
      </c>
      <c r="D88" s="272"/>
      <c r="E88" s="272"/>
      <c r="F88" s="272"/>
      <c r="G88" s="272"/>
      <c r="H88" s="272"/>
      <c r="I88" s="272"/>
      <c r="J88" s="59" t="s">
        <v>3834</v>
      </c>
      <c r="K88" s="46">
        <v>1950000</v>
      </c>
      <c r="L88" s="2">
        <v>44977</v>
      </c>
      <c r="M88" s="32" t="s">
        <v>3923</v>
      </c>
      <c r="N88" s="32" t="s">
        <v>3842</v>
      </c>
      <c r="O88" s="32" t="s">
        <v>3832</v>
      </c>
      <c r="P88" s="52" t="s">
        <v>3831</v>
      </c>
    </row>
    <row r="89" spans="2:16" x14ac:dyDescent="0.25">
      <c r="B89" s="32">
        <v>77</v>
      </c>
      <c r="C89" s="271" t="s">
        <v>3838</v>
      </c>
      <c r="D89" s="272"/>
      <c r="E89" s="272"/>
      <c r="F89" s="272"/>
      <c r="G89" s="272"/>
      <c r="H89" s="272"/>
      <c r="I89" s="272"/>
      <c r="J89" s="59" t="s">
        <v>3839</v>
      </c>
      <c r="K89" s="46">
        <v>1250000</v>
      </c>
      <c r="L89" s="2">
        <v>44977</v>
      </c>
      <c r="M89" s="32"/>
      <c r="N89" s="32" t="s">
        <v>3837</v>
      </c>
      <c r="O89" s="32" t="s">
        <v>3836</v>
      </c>
      <c r="P89" s="87" t="s">
        <v>3835</v>
      </c>
    </row>
    <row r="90" spans="2:16" x14ac:dyDescent="0.25">
      <c r="B90" s="32">
        <v>78</v>
      </c>
      <c r="C90" s="229" t="s">
        <v>3844</v>
      </c>
      <c r="D90" s="229"/>
      <c r="E90" s="229"/>
      <c r="F90" s="229"/>
      <c r="G90" s="229"/>
      <c r="H90" s="229"/>
      <c r="I90" s="229"/>
      <c r="J90" s="59" t="s">
        <v>3674</v>
      </c>
      <c r="K90" s="46">
        <v>7500000</v>
      </c>
      <c r="L90" s="2">
        <v>44980</v>
      </c>
      <c r="M90" s="32"/>
      <c r="N90" s="32">
        <v>3044003430</v>
      </c>
      <c r="O90" s="32" t="s">
        <v>989</v>
      </c>
      <c r="P90" s="52" t="s">
        <v>990</v>
      </c>
    </row>
    <row r="91" spans="2:16" x14ac:dyDescent="0.25">
      <c r="B91" s="32">
        <v>79</v>
      </c>
      <c r="C91" s="229" t="s">
        <v>3848</v>
      </c>
      <c r="D91" s="229"/>
      <c r="E91" s="229"/>
      <c r="F91" s="229"/>
      <c r="G91" s="229"/>
      <c r="H91" s="229"/>
      <c r="I91" s="229"/>
      <c r="J91" s="59" t="s">
        <v>3845</v>
      </c>
      <c r="K91" s="46" t="s">
        <v>150</v>
      </c>
      <c r="L91" s="2">
        <v>44981</v>
      </c>
      <c r="M91" s="32"/>
      <c r="N91" s="32">
        <v>3136603779</v>
      </c>
      <c r="O91" s="32" t="s">
        <v>3847</v>
      </c>
      <c r="P91" s="52" t="s">
        <v>3846</v>
      </c>
    </row>
    <row r="92" spans="2:16" x14ac:dyDescent="0.25">
      <c r="B92" s="32">
        <v>80</v>
      </c>
      <c r="C92" s="229" t="s">
        <v>3856</v>
      </c>
      <c r="D92" s="229"/>
      <c r="E92" s="229"/>
      <c r="F92" s="229"/>
      <c r="G92" s="229"/>
      <c r="H92" s="229"/>
      <c r="I92" s="229"/>
      <c r="J92" s="59" t="s">
        <v>702</v>
      </c>
      <c r="K92" s="46">
        <v>3950000</v>
      </c>
      <c r="L92" s="2">
        <v>44984</v>
      </c>
      <c r="M92" s="32"/>
      <c r="N92" s="32">
        <v>3146082856</v>
      </c>
      <c r="O92" s="32" t="s">
        <v>3849</v>
      </c>
      <c r="P92" s="52" t="s">
        <v>3774</v>
      </c>
    </row>
    <row r="93" spans="2:16" x14ac:dyDescent="0.25">
      <c r="B93" s="32">
        <v>81</v>
      </c>
      <c r="C93" s="229" t="s">
        <v>3850</v>
      </c>
      <c r="D93" s="229"/>
      <c r="E93" s="229"/>
      <c r="F93" s="229"/>
      <c r="G93" s="229"/>
      <c r="H93" s="229"/>
      <c r="I93" s="229"/>
      <c r="J93" s="59" t="s">
        <v>2204</v>
      </c>
      <c r="K93" s="46">
        <v>24950000</v>
      </c>
      <c r="L93" s="2">
        <v>44984</v>
      </c>
      <c r="M93" s="32"/>
      <c r="N93" s="32">
        <v>3126658022</v>
      </c>
      <c r="O93" s="32" t="s">
        <v>2240</v>
      </c>
      <c r="P93" s="52" t="s">
        <v>2241</v>
      </c>
    </row>
    <row r="94" spans="2:16" x14ac:dyDescent="0.25">
      <c r="B94" s="32">
        <v>82</v>
      </c>
      <c r="C94" s="263" t="s">
        <v>3851</v>
      </c>
      <c r="D94" s="229"/>
      <c r="E94" s="229"/>
      <c r="F94" s="229"/>
      <c r="G94" s="229"/>
      <c r="H94" s="229"/>
      <c r="I94" s="229"/>
      <c r="J94" s="59" t="s">
        <v>702</v>
      </c>
      <c r="K94" s="46">
        <v>23830000</v>
      </c>
      <c r="L94" s="2">
        <v>44984</v>
      </c>
      <c r="M94" s="32"/>
      <c r="N94" s="32">
        <v>3104680508</v>
      </c>
      <c r="O94" s="32" t="s">
        <v>3190</v>
      </c>
      <c r="P94" s="52" t="s">
        <v>703</v>
      </c>
    </row>
    <row r="95" spans="2:16" x14ac:dyDescent="0.25">
      <c r="B95" s="32">
        <v>83</v>
      </c>
      <c r="C95" s="229" t="s">
        <v>3855</v>
      </c>
      <c r="D95" s="229"/>
      <c r="E95" s="229"/>
      <c r="F95" s="229"/>
      <c r="G95" s="229"/>
      <c r="H95" s="229"/>
      <c r="I95" s="229"/>
      <c r="J95" s="59" t="s">
        <v>702</v>
      </c>
      <c r="K95" s="46">
        <v>1650000</v>
      </c>
      <c r="L95" s="2">
        <v>44986</v>
      </c>
      <c r="M95" s="35"/>
      <c r="N95" s="32" t="s">
        <v>3853</v>
      </c>
      <c r="O95" s="32" t="s">
        <v>3852</v>
      </c>
      <c r="P95" s="52" t="s">
        <v>3854</v>
      </c>
    </row>
    <row r="96" spans="2:16" x14ac:dyDescent="0.25">
      <c r="B96" s="32">
        <v>84</v>
      </c>
      <c r="C96" s="263" t="s">
        <v>3857</v>
      </c>
      <c r="D96" s="229"/>
      <c r="E96" s="229"/>
      <c r="F96" s="229"/>
      <c r="G96" s="229"/>
      <c r="H96" s="229"/>
      <c r="I96" s="229"/>
      <c r="J96" s="59" t="s">
        <v>702</v>
      </c>
      <c r="K96" s="46">
        <v>8780000</v>
      </c>
      <c r="L96" s="2">
        <v>44984</v>
      </c>
      <c r="M96" s="32"/>
      <c r="N96" s="32">
        <v>3146082856</v>
      </c>
      <c r="O96" s="32" t="s">
        <v>3849</v>
      </c>
      <c r="P96" s="52" t="s">
        <v>3774</v>
      </c>
    </row>
    <row r="97" spans="2:16" x14ac:dyDescent="0.25">
      <c r="B97" s="32">
        <v>85</v>
      </c>
      <c r="C97" s="229" t="s">
        <v>3858</v>
      </c>
      <c r="D97" s="229"/>
      <c r="E97" s="229"/>
      <c r="F97" s="229"/>
      <c r="G97" s="229"/>
      <c r="H97" s="229"/>
      <c r="I97" s="229"/>
      <c r="J97" s="59" t="s">
        <v>1875</v>
      </c>
      <c r="K97" s="46">
        <v>3950000</v>
      </c>
      <c r="L97" s="2">
        <v>44984</v>
      </c>
      <c r="M97" s="2"/>
      <c r="N97" s="32" t="s">
        <v>2987</v>
      </c>
      <c r="O97" s="32" t="s">
        <v>372</v>
      </c>
      <c r="P97" s="52" t="s">
        <v>2561</v>
      </c>
    </row>
    <row r="98" spans="2:16" x14ac:dyDescent="0.25">
      <c r="B98" s="32">
        <v>86</v>
      </c>
      <c r="C98" s="229" t="s">
        <v>3859</v>
      </c>
      <c r="D98" s="229"/>
      <c r="E98" s="229"/>
      <c r="F98" s="229"/>
      <c r="G98" s="229"/>
      <c r="H98" s="229"/>
      <c r="I98" s="229"/>
      <c r="J98" s="59" t="s">
        <v>1875</v>
      </c>
      <c r="K98" s="46">
        <v>2950000</v>
      </c>
      <c r="L98" s="2">
        <v>44984</v>
      </c>
      <c r="M98" s="32"/>
      <c r="N98" s="32" t="s">
        <v>2987</v>
      </c>
      <c r="O98" s="32" t="s">
        <v>372</v>
      </c>
      <c r="P98" s="52" t="s">
        <v>2561</v>
      </c>
    </row>
    <row r="99" spans="2:16" x14ac:dyDescent="0.25">
      <c r="B99" s="32">
        <v>87</v>
      </c>
      <c r="C99" s="229" t="s">
        <v>3860</v>
      </c>
      <c r="D99" s="229"/>
      <c r="E99" s="229"/>
      <c r="F99" s="229"/>
      <c r="G99" s="229"/>
      <c r="H99" s="229"/>
      <c r="I99" s="229"/>
      <c r="J99" s="59" t="s">
        <v>3789</v>
      </c>
      <c r="K99" s="46">
        <v>19950000</v>
      </c>
      <c r="L99" s="2">
        <v>44984</v>
      </c>
      <c r="M99" s="32" t="s">
        <v>3923</v>
      </c>
      <c r="N99" s="32">
        <v>3154558533</v>
      </c>
      <c r="O99" s="32" t="s">
        <v>3790</v>
      </c>
      <c r="P99" s="52" t="s">
        <v>3791</v>
      </c>
    </row>
    <row r="100" spans="2:16" x14ac:dyDescent="0.25">
      <c r="B100" s="32">
        <v>88</v>
      </c>
      <c r="C100" s="229" t="s">
        <v>3865</v>
      </c>
      <c r="D100" s="229"/>
      <c r="E100" s="229"/>
      <c r="F100" s="229"/>
      <c r="G100" s="229"/>
      <c r="H100" s="229"/>
      <c r="I100" s="229"/>
      <c r="J100" s="59" t="s">
        <v>3863</v>
      </c>
      <c r="K100" s="46">
        <v>32270000</v>
      </c>
      <c r="L100" s="2">
        <v>44992</v>
      </c>
      <c r="M100" s="32"/>
      <c r="N100" s="32" t="s">
        <v>3864</v>
      </c>
      <c r="O100" s="32" t="s">
        <v>3862</v>
      </c>
      <c r="P100" s="52" t="s">
        <v>3861</v>
      </c>
    </row>
    <row r="101" spans="2:16" x14ac:dyDescent="0.25">
      <c r="B101" s="32">
        <v>89</v>
      </c>
      <c r="C101" s="229" t="s">
        <v>3866</v>
      </c>
      <c r="D101" s="229"/>
      <c r="E101" s="229"/>
      <c r="F101" s="229"/>
      <c r="G101" s="229"/>
      <c r="H101" s="229"/>
      <c r="I101" s="229"/>
      <c r="J101" s="59" t="s">
        <v>702</v>
      </c>
      <c r="K101" s="46">
        <v>2000000</v>
      </c>
      <c r="L101" s="2">
        <v>44986</v>
      </c>
      <c r="M101" s="32"/>
      <c r="N101" s="32" t="s">
        <v>3843</v>
      </c>
      <c r="O101" s="32" t="s">
        <v>3242</v>
      </c>
      <c r="P101" s="52" t="s">
        <v>2761</v>
      </c>
    </row>
    <row r="102" spans="2:16" x14ac:dyDescent="0.25">
      <c r="B102" s="32">
        <v>90</v>
      </c>
      <c r="C102" s="271" t="s">
        <v>3867</v>
      </c>
      <c r="D102" s="272"/>
      <c r="E102" s="272"/>
      <c r="F102" s="272"/>
      <c r="G102" s="272"/>
      <c r="H102" s="272"/>
      <c r="I102" s="272"/>
      <c r="J102" s="59" t="s">
        <v>702</v>
      </c>
      <c r="K102" s="46">
        <v>2000000</v>
      </c>
      <c r="L102" s="2">
        <v>44986</v>
      </c>
      <c r="M102" s="32" t="s">
        <v>3923</v>
      </c>
      <c r="N102" s="32" t="s">
        <v>3843</v>
      </c>
      <c r="O102" s="32" t="s">
        <v>3242</v>
      </c>
      <c r="P102" s="52" t="s">
        <v>2761</v>
      </c>
    </row>
    <row r="103" spans="2:16" x14ac:dyDescent="0.25">
      <c r="B103" s="32">
        <v>91</v>
      </c>
      <c r="C103" s="229" t="s">
        <v>3868</v>
      </c>
      <c r="D103" s="229"/>
      <c r="E103" s="229"/>
      <c r="F103" s="229"/>
      <c r="G103" s="229"/>
      <c r="H103" s="229"/>
      <c r="I103" s="229"/>
      <c r="J103" s="59" t="s">
        <v>1470</v>
      </c>
      <c r="K103" s="46">
        <v>27950000</v>
      </c>
      <c r="L103" s="2">
        <v>44988</v>
      </c>
      <c r="M103" s="32"/>
      <c r="N103" s="32">
        <v>3005861916</v>
      </c>
      <c r="O103" s="39" t="s">
        <v>3869</v>
      </c>
      <c r="P103" s="52" t="s">
        <v>1472</v>
      </c>
    </row>
    <row r="104" spans="2:16" ht="15" customHeight="1" x14ac:dyDescent="0.25">
      <c r="B104" s="32">
        <v>92</v>
      </c>
      <c r="C104" s="229" t="s">
        <v>3872</v>
      </c>
      <c r="D104" s="229"/>
      <c r="E104" s="229"/>
      <c r="F104" s="229"/>
      <c r="G104" s="229"/>
      <c r="H104" s="229"/>
      <c r="I104" s="229"/>
      <c r="J104" s="59" t="s">
        <v>3871</v>
      </c>
      <c r="K104" s="46">
        <v>9950000</v>
      </c>
      <c r="L104" s="2">
        <v>44988</v>
      </c>
      <c r="M104" s="32"/>
      <c r="N104" s="32">
        <v>3207091752</v>
      </c>
      <c r="O104" s="39" t="s">
        <v>3870</v>
      </c>
      <c r="P104" s="52" t="s">
        <v>1356</v>
      </c>
    </row>
    <row r="105" spans="2:16" x14ac:dyDescent="0.25">
      <c r="B105" s="32">
        <v>93</v>
      </c>
      <c r="C105" s="263" t="s">
        <v>3879</v>
      </c>
      <c r="D105" s="229"/>
      <c r="E105" s="229"/>
      <c r="F105" s="229"/>
      <c r="G105" s="229"/>
      <c r="H105" s="229"/>
      <c r="I105" s="229"/>
      <c r="J105" s="59" t="s">
        <v>747</v>
      </c>
      <c r="K105" s="46">
        <v>13920000</v>
      </c>
      <c r="L105" s="2">
        <v>44991</v>
      </c>
      <c r="M105" s="32"/>
      <c r="N105" s="32">
        <v>3175594091</v>
      </c>
      <c r="O105" s="78" t="s">
        <v>3873</v>
      </c>
      <c r="P105" s="52" t="s">
        <v>748</v>
      </c>
    </row>
    <row r="106" spans="2:16" x14ac:dyDescent="0.25">
      <c r="B106" s="32">
        <v>94</v>
      </c>
      <c r="C106" s="263" t="s">
        <v>3874</v>
      </c>
      <c r="D106" s="229"/>
      <c r="E106" s="229"/>
      <c r="F106" s="229"/>
      <c r="G106" s="229"/>
      <c r="H106" s="229"/>
      <c r="I106" s="229"/>
      <c r="J106" s="59" t="s">
        <v>1875</v>
      </c>
      <c r="K106" s="46">
        <v>21950000</v>
      </c>
      <c r="L106" s="2">
        <v>44994</v>
      </c>
      <c r="M106" s="2"/>
      <c r="N106" s="32">
        <v>3113391008</v>
      </c>
      <c r="O106" s="32" t="s">
        <v>372</v>
      </c>
      <c r="P106" s="52" t="s">
        <v>2561</v>
      </c>
    </row>
    <row r="107" spans="2:16" x14ac:dyDescent="0.25">
      <c r="B107" s="32">
        <v>95</v>
      </c>
      <c r="C107" s="229" t="s">
        <v>3876</v>
      </c>
      <c r="D107" s="229"/>
      <c r="E107" s="229"/>
      <c r="F107" s="229"/>
      <c r="G107" s="229"/>
      <c r="H107" s="229"/>
      <c r="I107" s="229"/>
      <c r="J107" s="59" t="s">
        <v>1415</v>
      </c>
      <c r="K107" s="46">
        <v>1250000</v>
      </c>
      <c r="L107" s="2">
        <v>44991</v>
      </c>
      <c r="M107" s="32" t="s">
        <v>3923</v>
      </c>
      <c r="N107" s="32">
        <v>3176461961</v>
      </c>
      <c r="O107" s="32" t="s">
        <v>374</v>
      </c>
      <c r="P107" s="52" t="s">
        <v>3875</v>
      </c>
    </row>
    <row r="108" spans="2:16" x14ac:dyDescent="0.25">
      <c r="B108" s="32">
        <v>96</v>
      </c>
      <c r="C108" s="229" t="s">
        <v>3878</v>
      </c>
      <c r="D108" s="229"/>
      <c r="E108" s="229"/>
      <c r="F108" s="229"/>
      <c r="G108" s="229"/>
      <c r="H108" s="229"/>
      <c r="I108" s="229"/>
      <c r="J108" s="59" t="s">
        <v>851</v>
      </c>
      <c r="K108" s="46">
        <v>16950000</v>
      </c>
      <c r="L108" s="2">
        <v>44991</v>
      </c>
      <c r="M108" s="32"/>
      <c r="N108" s="32"/>
      <c r="O108" s="32" t="s">
        <v>3877</v>
      </c>
      <c r="P108" s="52"/>
    </row>
    <row r="109" spans="2:16" x14ac:dyDescent="0.25">
      <c r="B109" s="32">
        <v>97</v>
      </c>
      <c r="C109" s="229" t="s">
        <v>3880</v>
      </c>
      <c r="D109" s="229"/>
      <c r="E109" s="229"/>
      <c r="F109" s="229"/>
      <c r="G109" s="229"/>
      <c r="H109" s="229"/>
      <c r="I109" s="229"/>
      <c r="J109" s="59" t="s">
        <v>1799</v>
      </c>
      <c r="K109" s="46">
        <v>7530000</v>
      </c>
      <c r="L109" s="2">
        <v>44991</v>
      </c>
      <c r="M109" s="32"/>
      <c r="N109" s="32" t="s">
        <v>1800</v>
      </c>
      <c r="O109" s="32" t="s">
        <v>1801</v>
      </c>
      <c r="P109" s="52" t="s">
        <v>1802</v>
      </c>
    </row>
    <row r="110" spans="2:16" x14ac:dyDescent="0.25">
      <c r="B110" s="32">
        <v>98</v>
      </c>
      <c r="C110" s="229" t="s">
        <v>3881</v>
      </c>
      <c r="D110" s="229"/>
      <c r="E110" s="229"/>
      <c r="F110" s="229"/>
      <c r="G110" s="229"/>
      <c r="H110" s="229"/>
      <c r="I110" s="229"/>
      <c r="J110" s="59" t="s">
        <v>1875</v>
      </c>
      <c r="K110" s="46">
        <v>12990000</v>
      </c>
      <c r="L110" s="2">
        <v>44991</v>
      </c>
      <c r="M110" s="32"/>
      <c r="N110" s="32" t="s">
        <v>2987</v>
      </c>
      <c r="O110" s="32" t="s">
        <v>372</v>
      </c>
      <c r="P110" s="52" t="s">
        <v>2561</v>
      </c>
    </row>
    <row r="111" spans="2:16" x14ac:dyDescent="0.25">
      <c r="B111" s="32">
        <v>99</v>
      </c>
      <c r="C111" s="229" t="s">
        <v>3882</v>
      </c>
      <c r="D111" s="229"/>
      <c r="E111" s="229"/>
      <c r="F111" s="229"/>
      <c r="G111" s="229"/>
      <c r="H111" s="229"/>
      <c r="I111" s="229"/>
      <c r="J111" s="59" t="s">
        <v>702</v>
      </c>
      <c r="K111" s="46">
        <v>37500000</v>
      </c>
      <c r="L111" s="2">
        <v>44992</v>
      </c>
      <c r="M111" s="2"/>
      <c r="N111" s="32" t="s">
        <v>2745</v>
      </c>
      <c r="O111" s="32" t="s">
        <v>2746</v>
      </c>
      <c r="P111" s="52" t="s">
        <v>703</v>
      </c>
    </row>
    <row r="112" spans="2:16" x14ac:dyDescent="0.25">
      <c r="B112" s="32">
        <v>100</v>
      </c>
      <c r="C112" s="229" t="s">
        <v>3874</v>
      </c>
      <c r="D112" s="229"/>
      <c r="E112" s="229"/>
      <c r="F112" s="229"/>
      <c r="G112" s="229"/>
      <c r="H112" s="229"/>
      <c r="I112" s="229"/>
      <c r="J112" s="59" t="s">
        <v>702</v>
      </c>
      <c r="K112" s="46">
        <v>21950000</v>
      </c>
      <c r="L112" s="2">
        <v>44993</v>
      </c>
      <c r="M112" s="32"/>
      <c r="N112" s="32" t="s">
        <v>3843</v>
      </c>
      <c r="O112" s="32" t="s">
        <v>3242</v>
      </c>
      <c r="P112" s="52" t="s">
        <v>2761</v>
      </c>
    </row>
    <row r="113" spans="2:16" x14ac:dyDescent="0.25">
      <c r="B113" s="32">
        <v>101</v>
      </c>
      <c r="C113" s="229" t="s">
        <v>3883</v>
      </c>
      <c r="D113" s="229"/>
      <c r="E113" s="229"/>
      <c r="F113" s="229"/>
      <c r="G113" s="229"/>
      <c r="H113" s="229"/>
      <c r="I113" s="229"/>
      <c r="J113" s="59" t="s">
        <v>3884</v>
      </c>
      <c r="K113" s="46">
        <v>18550000</v>
      </c>
      <c r="L113" s="2">
        <v>44993</v>
      </c>
      <c r="M113" s="32"/>
      <c r="N113" s="32"/>
      <c r="O113" s="32" t="s">
        <v>3885</v>
      </c>
      <c r="P113" s="52"/>
    </row>
    <row r="114" spans="2:16" x14ac:dyDescent="0.25">
      <c r="B114" s="32">
        <v>102</v>
      </c>
      <c r="C114" s="263" t="s">
        <v>3886</v>
      </c>
      <c r="D114" s="229"/>
      <c r="E114" s="229"/>
      <c r="F114" s="229"/>
      <c r="G114" s="229"/>
      <c r="H114" s="229"/>
      <c r="I114" s="229"/>
      <c r="J114" s="59" t="s">
        <v>702</v>
      </c>
      <c r="K114" s="46">
        <v>870000</v>
      </c>
      <c r="L114" s="2">
        <v>44995</v>
      </c>
      <c r="M114" s="32"/>
      <c r="N114" s="32">
        <v>3214826168</v>
      </c>
      <c r="O114" s="51" t="s">
        <v>2599</v>
      </c>
      <c r="P114" s="52" t="s">
        <v>2600</v>
      </c>
    </row>
    <row r="115" spans="2:16" x14ac:dyDescent="0.25">
      <c r="B115" s="32">
        <v>103</v>
      </c>
      <c r="C115" s="229" t="s">
        <v>3887</v>
      </c>
      <c r="D115" s="229"/>
      <c r="E115" s="229"/>
      <c r="F115" s="229"/>
      <c r="G115" s="229"/>
      <c r="H115" s="229"/>
      <c r="I115" s="229"/>
      <c r="J115" s="59" t="s">
        <v>2072</v>
      </c>
      <c r="K115" s="46">
        <v>12920000</v>
      </c>
      <c r="L115" s="2">
        <v>44995</v>
      </c>
      <c r="M115" s="32"/>
      <c r="N115" s="32" t="s">
        <v>3892</v>
      </c>
      <c r="O115" s="32" t="s">
        <v>706</v>
      </c>
      <c r="P115" s="52" t="s">
        <v>707</v>
      </c>
    </row>
    <row r="116" spans="2:16" x14ac:dyDescent="0.25">
      <c r="B116" s="32">
        <v>104</v>
      </c>
      <c r="C116" s="263" t="s">
        <v>3891</v>
      </c>
      <c r="D116" s="229"/>
      <c r="E116" s="229"/>
      <c r="F116" s="229"/>
      <c r="G116" s="229"/>
      <c r="H116" s="229"/>
      <c r="I116" s="229"/>
      <c r="J116" s="59" t="s">
        <v>831</v>
      </c>
      <c r="K116" s="46">
        <v>23150000</v>
      </c>
      <c r="L116" s="2">
        <v>44993</v>
      </c>
      <c r="M116" s="32"/>
      <c r="N116" s="32"/>
      <c r="O116" s="32" t="s">
        <v>2269</v>
      </c>
      <c r="P116" s="52" t="s">
        <v>2270</v>
      </c>
    </row>
    <row r="117" spans="2:16" x14ac:dyDescent="0.25">
      <c r="B117" s="32">
        <v>105</v>
      </c>
      <c r="C117" s="229" t="s">
        <v>3888</v>
      </c>
      <c r="D117" s="229"/>
      <c r="E117" s="229"/>
      <c r="F117" s="229"/>
      <c r="G117" s="229"/>
      <c r="H117" s="229"/>
      <c r="I117" s="229"/>
      <c r="J117" s="59" t="s">
        <v>1139</v>
      </c>
      <c r="K117" s="46">
        <f>5980000-2250000</f>
        <v>3730000</v>
      </c>
      <c r="L117" s="2">
        <v>44998</v>
      </c>
      <c r="M117" s="32"/>
      <c r="N117" s="32" t="s">
        <v>3890</v>
      </c>
      <c r="O117" s="32" t="s">
        <v>3889</v>
      </c>
      <c r="P117" s="52" t="s">
        <v>3645</v>
      </c>
    </row>
    <row r="118" spans="2:16" x14ac:dyDescent="0.25">
      <c r="B118" s="32">
        <v>106</v>
      </c>
      <c r="C118" s="229" t="s">
        <v>3893</v>
      </c>
      <c r="D118" s="229"/>
      <c r="E118" s="229"/>
      <c r="F118" s="229"/>
      <c r="G118" s="229"/>
      <c r="H118" s="229"/>
      <c r="I118" s="229"/>
      <c r="J118" s="59" t="s">
        <v>702</v>
      </c>
      <c r="K118" s="46">
        <v>6270000</v>
      </c>
      <c r="L118" s="2">
        <v>44995</v>
      </c>
      <c r="M118" s="32" t="s">
        <v>3923</v>
      </c>
      <c r="N118" s="32" t="s">
        <v>3843</v>
      </c>
      <c r="O118" s="32" t="s">
        <v>3242</v>
      </c>
      <c r="P118" s="52" t="s">
        <v>2761</v>
      </c>
    </row>
    <row r="119" spans="2:16" ht="15" customHeight="1" x14ac:dyDescent="0.25">
      <c r="B119" s="32">
        <v>107</v>
      </c>
      <c r="C119" s="229" t="s">
        <v>3896</v>
      </c>
      <c r="D119" s="229"/>
      <c r="E119" s="229"/>
      <c r="F119" s="229"/>
      <c r="G119" s="229"/>
      <c r="H119" s="229"/>
      <c r="I119" s="229"/>
      <c r="J119" s="59" t="s">
        <v>3903</v>
      </c>
      <c r="K119" s="46">
        <v>8950000</v>
      </c>
      <c r="L119" s="2">
        <v>44995</v>
      </c>
      <c r="M119" s="32"/>
      <c r="N119" s="32"/>
      <c r="O119" s="32" t="s">
        <v>3894</v>
      </c>
      <c r="P119" s="52" t="s">
        <v>3895</v>
      </c>
    </row>
    <row r="120" spans="2:16" ht="15" customHeight="1" x14ac:dyDescent="0.25">
      <c r="B120" s="32">
        <v>108</v>
      </c>
      <c r="C120" s="229" t="s">
        <v>3899</v>
      </c>
      <c r="D120" s="229"/>
      <c r="E120" s="229"/>
      <c r="F120" s="229"/>
      <c r="G120" s="229"/>
      <c r="H120" s="229"/>
      <c r="I120" s="229"/>
      <c r="J120" s="59" t="s">
        <v>3898</v>
      </c>
      <c r="K120" s="46">
        <v>29990000</v>
      </c>
      <c r="L120" s="2">
        <v>44995</v>
      </c>
      <c r="M120" s="32"/>
      <c r="N120" s="32"/>
      <c r="O120" s="32" t="s">
        <v>3897</v>
      </c>
      <c r="P120" s="52" t="s">
        <v>2310</v>
      </c>
    </row>
    <row r="121" spans="2:16" x14ac:dyDescent="0.25">
      <c r="B121" s="32">
        <v>109</v>
      </c>
      <c r="C121" s="229" t="s">
        <v>3900</v>
      </c>
      <c r="D121" s="229"/>
      <c r="E121" s="229"/>
      <c r="F121" s="229"/>
      <c r="G121" s="229"/>
      <c r="H121" s="229"/>
      <c r="I121" s="229"/>
      <c r="J121" s="59" t="s">
        <v>702</v>
      </c>
      <c r="K121" s="46">
        <v>8980000</v>
      </c>
      <c r="L121" s="2">
        <v>44998</v>
      </c>
      <c r="M121" s="2"/>
      <c r="N121" s="32">
        <v>3104203649</v>
      </c>
      <c r="O121" s="32" t="s">
        <v>2973</v>
      </c>
      <c r="P121" s="52" t="s">
        <v>2621</v>
      </c>
    </row>
    <row r="122" spans="2:16" x14ac:dyDescent="0.25">
      <c r="B122" s="32">
        <v>110</v>
      </c>
      <c r="C122" s="229" t="s">
        <v>3901</v>
      </c>
      <c r="D122" s="229"/>
      <c r="E122" s="229"/>
      <c r="F122" s="229"/>
      <c r="G122" s="229"/>
      <c r="H122" s="229"/>
      <c r="I122" s="229"/>
      <c r="J122" s="59" t="s">
        <v>3050</v>
      </c>
      <c r="K122" s="46">
        <v>2790000</v>
      </c>
      <c r="L122" s="2">
        <v>44998</v>
      </c>
      <c r="M122" s="32" t="s">
        <v>3923</v>
      </c>
      <c r="N122" s="32">
        <v>3104131109</v>
      </c>
      <c r="O122" s="32" t="s">
        <v>3051</v>
      </c>
      <c r="P122" s="52" t="s">
        <v>3052</v>
      </c>
    </row>
    <row r="123" spans="2:16" x14ac:dyDescent="0.25">
      <c r="B123" s="32">
        <v>111</v>
      </c>
      <c r="C123" s="229" t="s">
        <v>3902</v>
      </c>
      <c r="D123" s="229"/>
      <c r="E123" s="229"/>
      <c r="F123" s="229"/>
      <c r="G123" s="229"/>
      <c r="H123" s="229"/>
      <c r="I123" s="229"/>
      <c r="J123" s="59" t="s">
        <v>1139</v>
      </c>
      <c r="K123" s="46">
        <v>2250000</v>
      </c>
      <c r="L123" s="2">
        <v>44998</v>
      </c>
      <c r="M123" s="32" t="s">
        <v>3923</v>
      </c>
      <c r="N123" s="32" t="s">
        <v>3890</v>
      </c>
      <c r="O123" s="32" t="s">
        <v>3889</v>
      </c>
      <c r="P123" s="52" t="s">
        <v>3645</v>
      </c>
    </row>
    <row r="124" spans="2:16" x14ac:dyDescent="0.25">
      <c r="B124" s="32">
        <v>112</v>
      </c>
      <c r="C124" s="229" t="s">
        <v>3904</v>
      </c>
      <c r="D124" s="229"/>
      <c r="E124" s="229"/>
      <c r="F124" s="229"/>
      <c r="G124" s="229"/>
      <c r="H124" s="229"/>
      <c r="I124" s="229"/>
      <c r="J124" s="59" t="s">
        <v>1415</v>
      </c>
      <c r="K124" s="46">
        <v>4640000</v>
      </c>
      <c r="L124" s="2">
        <v>44998</v>
      </c>
      <c r="M124" s="32" t="s">
        <v>3923</v>
      </c>
      <c r="N124" s="32">
        <v>3176461961</v>
      </c>
      <c r="O124" s="32" t="s">
        <v>374</v>
      </c>
      <c r="P124" s="52" t="s">
        <v>3875</v>
      </c>
    </row>
    <row r="125" spans="2:16" ht="15" customHeight="1" x14ac:dyDescent="0.25">
      <c r="B125" s="32">
        <v>113</v>
      </c>
      <c r="C125" s="229" t="s">
        <v>3905</v>
      </c>
      <c r="D125" s="229"/>
      <c r="E125" s="229"/>
      <c r="F125" s="229"/>
      <c r="G125" s="229"/>
      <c r="H125" s="229"/>
      <c r="I125" s="229"/>
      <c r="J125" s="59" t="s">
        <v>702</v>
      </c>
      <c r="K125" s="46">
        <v>6000000</v>
      </c>
      <c r="L125" s="2">
        <v>44999</v>
      </c>
      <c r="M125" s="2"/>
      <c r="N125" s="32" t="s">
        <v>2745</v>
      </c>
      <c r="O125" s="32" t="s">
        <v>2746</v>
      </c>
      <c r="P125" s="52" t="s">
        <v>703</v>
      </c>
    </row>
    <row r="126" spans="2:16" x14ac:dyDescent="0.25">
      <c r="B126" s="32">
        <v>114</v>
      </c>
      <c r="C126" s="229" t="s">
        <v>3908</v>
      </c>
      <c r="D126" s="229"/>
      <c r="E126" s="229"/>
      <c r="F126" s="229"/>
      <c r="G126" s="229"/>
      <c r="H126" s="229"/>
      <c r="I126" s="229"/>
      <c r="J126" s="59" t="s">
        <v>3078</v>
      </c>
      <c r="K126" s="46">
        <v>28970000</v>
      </c>
      <c r="L126" s="2">
        <v>45000</v>
      </c>
      <c r="M126" s="2"/>
      <c r="N126" s="32">
        <v>2662277</v>
      </c>
      <c r="O126" s="32" t="s">
        <v>3906</v>
      </c>
      <c r="P126" s="52" t="s">
        <v>3907</v>
      </c>
    </row>
    <row r="127" spans="2:16" x14ac:dyDescent="0.25">
      <c r="B127" s="32">
        <v>115</v>
      </c>
      <c r="C127" s="229" t="s">
        <v>3909</v>
      </c>
      <c r="D127" s="229"/>
      <c r="E127" s="229"/>
      <c r="F127" s="229"/>
      <c r="G127" s="229"/>
      <c r="H127" s="229"/>
      <c r="I127" s="229"/>
      <c r="J127" s="59" t="s">
        <v>3813</v>
      </c>
      <c r="K127" s="46">
        <v>8150000</v>
      </c>
      <c r="L127" s="2">
        <v>44999</v>
      </c>
      <c r="M127" s="2"/>
      <c r="N127" s="32" t="s">
        <v>3270</v>
      </c>
      <c r="O127" s="32" t="s">
        <v>646</v>
      </c>
      <c r="P127" s="52" t="s">
        <v>3274</v>
      </c>
    </row>
    <row r="128" spans="2:16" x14ac:dyDescent="0.25">
      <c r="B128" s="32">
        <v>116</v>
      </c>
      <c r="C128" s="229" t="s">
        <v>3910</v>
      </c>
      <c r="D128" s="229"/>
      <c r="E128" s="229"/>
      <c r="F128" s="229"/>
      <c r="G128" s="229"/>
      <c r="H128" s="229"/>
      <c r="I128" s="229"/>
      <c r="J128" s="59" t="s">
        <v>712</v>
      </c>
      <c r="K128" s="46">
        <v>13980000</v>
      </c>
      <c r="L128" s="2">
        <v>45000</v>
      </c>
      <c r="M128" s="32"/>
      <c r="N128" s="32">
        <v>3137851941</v>
      </c>
      <c r="O128" s="51" t="s">
        <v>2055</v>
      </c>
      <c r="P128" s="52" t="s">
        <v>713</v>
      </c>
    </row>
    <row r="129" spans="2:16" ht="15" customHeight="1" x14ac:dyDescent="0.25">
      <c r="B129" s="32">
        <v>117</v>
      </c>
      <c r="C129" s="229" t="s">
        <v>3911</v>
      </c>
      <c r="D129" s="229"/>
      <c r="E129" s="229"/>
      <c r="F129" s="229"/>
      <c r="G129" s="229"/>
      <c r="H129" s="229"/>
      <c r="I129" s="229"/>
      <c r="J129" s="59" t="s">
        <v>712</v>
      </c>
      <c r="K129" s="46">
        <v>10910000</v>
      </c>
      <c r="L129" s="2">
        <v>45000</v>
      </c>
      <c r="M129" s="32"/>
      <c r="N129" s="32">
        <v>3137851941</v>
      </c>
      <c r="O129" s="51" t="s">
        <v>2055</v>
      </c>
      <c r="P129" s="52" t="s">
        <v>713</v>
      </c>
    </row>
    <row r="130" spans="2:16" x14ac:dyDescent="0.25">
      <c r="B130" s="32">
        <v>118</v>
      </c>
      <c r="C130" s="229" t="s">
        <v>3912</v>
      </c>
      <c r="D130" s="229"/>
      <c r="E130" s="229"/>
      <c r="F130" s="229"/>
      <c r="G130" s="229"/>
      <c r="H130" s="229"/>
      <c r="I130" s="229"/>
      <c r="J130" s="59" t="s">
        <v>2593</v>
      </c>
      <c r="K130" s="53">
        <v>34750000</v>
      </c>
      <c r="L130" s="2" t="s">
        <v>3913</v>
      </c>
      <c r="M130" s="32"/>
      <c r="N130" s="32" t="s">
        <v>3921</v>
      </c>
      <c r="O130" s="32" t="s">
        <v>3920</v>
      </c>
      <c r="P130" s="52" t="s">
        <v>3922</v>
      </c>
    </row>
    <row r="131" spans="2:16" x14ac:dyDescent="0.25">
      <c r="B131" s="32">
        <v>119</v>
      </c>
      <c r="C131" s="229" t="s">
        <v>3914</v>
      </c>
      <c r="D131" s="229"/>
      <c r="E131" s="229"/>
      <c r="F131" s="229"/>
      <c r="G131" s="229"/>
      <c r="H131" s="229"/>
      <c r="I131" s="229"/>
      <c r="J131" s="59" t="s">
        <v>3915</v>
      </c>
      <c r="K131" s="46">
        <v>800000</v>
      </c>
      <c r="L131" s="2" t="s">
        <v>3916</v>
      </c>
      <c r="M131" s="2"/>
      <c r="N131" s="32" t="s">
        <v>3918</v>
      </c>
      <c r="O131" s="32" t="s">
        <v>3917</v>
      </c>
      <c r="P131" s="52" t="s">
        <v>3919</v>
      </c>
    </row>
    <row r="132" spans="2:16" ht="15" customHeight="1" x14ac:dyDescent="0.25">
      <c r="B132" s="32">
        <v>120</v>
      </c>
      <c r="C132" s="229" t="s">
        <v>3942</v>
      </c>
      <c r="D132" s="229"/>
      <c r="E132" s="229"/>
      <c r="F132" s="229"/>
      <c r="G132" s="229"/>
      <c r="H132" s="229"/>
      <c r="I132" s="229"/>
      <c r="J132" s="59" t="s">
        <v>3871</v>
      </c>
      <c r="K132" s="46">
        <v>19920000</v>
      </c>
      <c r="L132" s="2">
        <v>45006</v>
      </c>
      <c r="M132" s="2" t="s">
        <v>3923</v>
      </c>
      <c r="N132" s="32" t="s">
        <v>2941</v>
      </c>
      <c r="O132" s="32" t="s">
        <v>3941</v>
      </c>
      <c r="P132" s="52" t="s">
        <v>2943</v>
      </c>
    </row>
    <row r="133" spans="2:16" x14ac:dyDescent="0.25">
      <c r="B133" s="32">
        <v>121</v>
      </c>
      <c r="C133" s="229" t="s">
        <v>3943</v>
      </c>
      <c r="D133" s="229"/>
      <c r="E133" s="229"/>
      <c r="F133" s="229"/>
      <c r="G133" s="229"/>
      <c r="H133" s="229"/>
      <c r="I133" s="229"/>
      <c r="J133" s="59" t="s">
        <v>747</v>
      </c>
      <c r="K133" s="46">
        <v>1250000</v>
      </c>
      <c r="L133" s="2">
        <v>45009</v>
      </c>
      <c r="M133" s="32"/>
      <c r="N133" s="32">
        <v>3175594091</v>
      </c>
      <c r="O133" s="32" t="s">
        <v>2045</v>
      </c>
      <c r="P133" s="52" t="s">
        <v>748</v>
      </c>
    </row>
    <row r="134" spans="2:16" x14ac:dyDescent="0.25">
      <c r="B134" s="32">
        <v>122</v>
      </c>
      <c r="C134" s="271" t="s">
        <v>3945</v>
      </c>
      <c r="D134" s="272"/>
      <c r="E134" s="272"/>
      <c r="F134" s="272"/>
      <c r="G134" s="272"/>
      <c r="H134" s="272"/>
      <c r="I134" s="272"/>
      <c r="J134" s="59" t="s">
        <v>2204</v>
      </c>
      <c r="K134" s="46">
        <v>24960000</v>
      </c>
      <c r="L134" s="2">
        <v>45015</v>
      </c>
      <c r="M134" s="32"/>
      <c r="N134" s="32">
        <v>3117208541</v>
      </c>
      <c r="O134" s="32" t="s">
        <v>3944</v>
      </c>
      <c r="P134" s="52" t="s">
        <v>2241</v>
      </c>
    </row>
    <row r="135" spans="2:16" x14ac:dyDescent="0.25">
      <c r="B135" s="32">
        <v>123</v>
      </c>
      <c r="C135" s="229" t="s">
        <v>3946</v>
      </c>
      <c r="D135" s="229"/>
      <c r="E135" s="229"/>
      <c r="F135" s="229"/>
      <c r="G135" s="229"/>
      <c r="H135" s="229"/>
      <c r="I135" s="229"/>
      <c r="J135" s="59" t="s">
        <v>702</v>
      </c>
      <c r="K135" s="46">
        <v>9970000</v>
      </c>
      <c r="L135" s="2">
        <v>45009</v>
      </c>
      <c r="M135" s="32"/>
      <c r="N135" s="32" t="s">
        <v>2036</v>
      </c>
      <c r="O135" s="32" t="s">
        <v>2748</v>
      </c>
      <c r="P135" s="52" t="s">
        <v>2600</v>
      </c>
    </row>
    <row r="136" spans="2:16" x14ac:dyDescent="0.25">
      <c r="B136" s="32">
        <v>124</v>
      </c>
      <c r="C136" s="229" t="s">
        <v>3947</v>
      </c>
      <c r="D136" s="229"/>
      <c r="E136" s="229"/>
      <c r="F136" s="229"/>
      <c r="G136" s="229"/>
      <c r="H136" s="229"/>
      <c r="I136" s="229"/>
      <c r="J136" s="59" t="s">
        <v>712</v>
      </c>
      <c r="K136" s="46">
        <v>22390000</v>
      </c>
      <c r="L136" s="2">
        <v>45009</v>
      </c>
      <c r="M136" s="2"/>
      <c r="N136" s="32">
        <v>3137851941</v>
      </c>
      <c r="O136" s="51" t="s">
        <v>2055</v>
      </c>
      <c r="P136" s="52" t="s">
        <v>713</v>
      </c>
    </row>
    <row r="137" spans="2:16" x14ac:dyDescent="0.25">
      <c r="B137" s="32">
        <v>125</v>
      </c>
      <c r="C137" s="271" t="s">
        <v>3948</v>
      </c>
      <c r="D137" s="272"/>
      <c r="E137" s="272"/>
      <c r="F137" s="272"/>
      <c r="G137" s="272"/>
      <c r="H137" s="272"/>
      <c r="I137" s="272"/>
      <c r="J137" s="59" t="s">
        <v>851</v>
      </c>
      <c r="K137" s="46">
        <v>10950000</v>
      </c>
      <c r="L137" s="2">
        <v>45008</v>
      </c>
      <c r="M137" s="32"/>
      <c r="N137" s="32">
        <v>3217011017</v>
      </c>
      <c r="O137" s="32" t="s">
        <v>3722</v>
      </c>
      <c r="P137" s="52" t="s">
        <v>2806</v>
      </c>
    </row>
    <row r="138" spans="2:16" x14ac:dyDescent="0.25">
      <c r="B138" s="32">
        <v>126</v>
      </c>
      <c r="C138" s="271" t="s">
        <v>3952</v>
      </c>
      <c r="D138" s="272"/>
      <c r="E138" s="272"/>
      <c r="F138" s="272"/>
      <c r="G138" s="272"/>
      <c r="H138" s="272"/>
      <c r="I138" s="272"/>
      <c r="J138" s="59" t="s">
        <v>3949</v>
      </c>
      <c r="K138" s="46">
        <v>1150000</v>
      </c>
      <c r="L138" s="2">
        <v>45009</v>
      </c>
      <c r="M138" s="32" t="s">
        <v>3923</v>
      </c>
      <c r="N138" s="32">
        <v>3167417025</v>
      </c>
      <c r="O138" s="32" t="s">
        <v>3950</v>
      </c>
      <c r="P138" s="52" t="s">
        <v>3951</v>
      </c>
    </row>
    <row r="139" spans="2:16" x14ac:dyDescent="0.25">
      <c r="B139" s="32">
        <v>127</v>
      </c>
      <c r="C139" s="271" t="s">
        <v>3954</v>
      </c>
      <c r="D139" s="272"/>
      <c r="E139" s="272"/>
      <c r="F139" s="272"/>
      <c r="G139" s="272"/>
      <c r="H139" s="272"/>
      <c r="I139" s="272"/>
      <c r="J139" s="59" t="s">
        <v>3953</v>
      </c>
      <c r="K139" s="46">
        <v>2350000</v>
      </c>
      <c r="L139" s="2">
        <v>45013</v>
      </c>
      <c r="M139" s="2" t="s">
        <v>3923</v>
      </c>
      <c r="N139" s="32" t="s">
        <v>3892</v>
      </c>
      <c r="O139" s="32" t="s">
        <v>706</v>
      </c>
      <c r="P139" s="52" t="s">
        <v>707</v>
      </c>
    </row>
    <row r="140" spans="2:16" x14ac:dyDescent="0.25">
      <c r="B140" s="32">
        <v>128</v>
      </c>
      <c r="C140" s="271" t="s">
        <v>3955</v>
      </c>
      <c r="D140" s="272"/>
      <c r="E140" s="272"/>
      <c r="F140" s="272"/>
      <c r="G140" s="272"/>
      <c r="H140" s="272"/>
      <c r="I140" s="272"/>
      <c r="J140" s="59" t="s">
        <v>3953</v>
      </c>
      <c r="K140" s="46">
        <v>2350000</v>
      </c>
      <c r="L140" s="2">
        <v>45013</v>
      </c>
      <c r="M140" s="2" t="s">
        <v>3923</v>
      </c>
      <c r="N140" s="32" t="s">
        <v>3892</v>
      </c>
      <c r="O140" s="32" t="s">
        <v>706</v>
      </c>
      <c r="P140" s="52" t="s">
        <v>707</v>
      </c>
    </row>
    <row r="141" spans="2:16" x14ac:dyDescent="0.25">
      <c r="B141" s="32">
        <v>129</v>
      </c>
      <c r="C141" s="229" t="s">
        <v>3958</v>
      </c>
      <c r="D141" s="229"/>
      <c r="E141" s="229"/>
      <c r="F141" s="229"/>
      <c r="G141" s="229"/>
      <c r="H141" s="229"/>
      <c r="I141" s="229"/>
      <c r="J141" s="59" t="s">
        <v>3956</v>
      </c>
      <c r="K141" s="46">
        <v>8750000</v>
      </c>
      <c r="L141" s="2">
        <v>45013</v>
      </c>
      <c r="M141" s="2"/>
      <c r="N141" s="32"/>
      <c r="O141" s="32" t="s">
        <v>3957</v>
      </c>
      <c r="P141" s="52"/>
    </row>
    <row r="142" spans="2:16" x14ac:dyDescent="0.25">
      <c r="B142" s="32">
        <v>130</v>
      </c>
      <c r="C142" s="263" t="s">
        <v>3959</v>
      </c>
      <c r="D142" s="229"/>
      <c r="E142" s="229"/>
      <c r="F142" s="229"/>
      <c r="G142" s="229"/>
      <c r="H142" s="229"/>
      <c r="I142" s="229"/>
      <c r="J142" s="59" t="s">
        <v>880</v>
      </c>
      <c r="K142" s="46">
        <v>7960000</v>
      </c>
      <c r="L142" s="2">
        <v>44989</v>
      </c>
      <c r="M142" s="32"/>
      <c r="N142" s="32"/>
      <c r="O142" s="32" t="s">
        <v>320</v>
      </c>
      <c r="P142" s="52"/>
    </row>
    <row r="143" spans="2:16" x14ac:dyDescent="0.25">
      <c r="B143" s="32">
        <v>131</v>
      </c>
      <c r="C143" s="229" t="s">
        <v>3960</v>
      </c>
      <c r="D143" s="229"/>
      <c r="E143" s="229"/>
      <c r="F143" s="229"/>
      <c r="G143" s="229"/>
      <c r="H143" s="229"/>
      <c r="I143" s="229"/>
      <c r="J143" s="59" t="s">
        <v>3961</v>
      </c>
      <c r="K143" s="46">
        <v>69750000</v>
      </c>
      <c r="L143" s="2">
        <v>45015</v>
      </c>
      <c r="M143" s="32"/>
      <c r="N143" s="32" t="s">
        <v>3963</v>
      </c>
      <c r="O143" s="32" t="s">
        <v>3962</v>
      </c>
      <c r="P143" s="52" t="s">
        <v>3922</v>
      </c>
    </row>
    <row r="144" spans="2:16" x14ac:dyDescent="0.25">
      <c r="B144" s="32">
        <v>132</v>
      </c>
      <c r="C144" s="229" t="s">
        <v>3964</v>
      </c>
      <c r="D144" s="229"/>
      <c r="E144" s="229"/>
      <c r="F144" s="229"/>
      <c r="G144" s="229"/>
      <c r="H144" s="229"/>
      <c r="I144" s="229"/>
      <c r="J144" s="59" t="s">
        <v>3965</v>
      </c>
      <c r="K144" s="46">
        <v>10970000</v>
      </c>
      <c r="L144" s="2">
        <v>45015</v>
      </c>
      <c r="M144" s="2"/>
      <c r="N144" s="32" t="s">
        <v>3967</v>
      </c>
      <c r="O144" s="32" t="s">
        <v>3966</v>
      </c>
      <c r="P144" s="52" t="s">
        <v>3972</v>
      </c>
    </row>
    <row r="145" spans="2:16" x14ac:dyDescent="0.25">
      <c r="B145" s="32">
        <v>133</v>
      </c>
      <c r="C145" s="229" t="s">
        <v>3970</v>
      </c>
      <c r="D145" s="229"/>
      <c r="E145" s="229"/>
      <c r="F145" s="229"/>
      <c r="G145" s="229"/>
      <c r="H145" s="229"/>
      <c r="I145" s="229"/>
      <c r="J145" s="59" t="s">
        <v>702</v>
      </c>
      <c r="K145" s="46">
        <v>1950000</v>
      </c>
      <c r="L145" s="2">
        <v>45015</v>
      </c>
      <c r="M145" s="32"/>
      <c r="N145" s="32" t="s">
        <v>2036</v>
      </c>
      <c r="O145" s="32" t="s">
        <v>2748</v>
      </c>
      <c r="P145" s="52" t="s">
        <v>2600</v>
      </c>
    </row>
    <row r="146" spans="2:16" x14ac:dyDescent="0.25">
      <c r="B146" s="32">
        <v>134</v>
      </c>
      <c r="C146" s="229" t="s">
        <v>3971</v>
      </c>
      <c r="D146" s="229"/>
      <c r="E146" s="229"/>
      <c r="F146" s="229"/>
      <c r="G146" s="229"/>
      <c r="H146" s="229"/>
      <c r="I146" s="229"/>
      <c r="J146" s="59" t="s">
        <v>3813</v>
      </c>
      <c r="K146" s="46">
        <v>2700000</v>
      </c>
      <c r="L146" s="2">
        <v>45015</v>
      </c>
      <c r="M146" s="32" t="s">
        <v>3923</v>
      </c>
      <c r="N146" s="32" t="s">
        <v>3968</v>
      </c>
      <c r="O146" s="32" t="s">
        <v>3969</v>
      </c>
      <c r="P146" s="52"/>
    </row>
    <row r="147" spans="2:16" x14ac:dyDescent="0.25">
      <c r="B147" s="32">
        <v>135</v>
      </c>
      <c r="C147" s="229" t="s">
        <v>3973</v>
      </c>
      <c r="D147" s="229"/>
      <c r="E147" s="229"/>
      <c r="F147" s="229"/>
      <c r="G147" s="229"/>
      <c r="H147" s="229"/>
      <c r="I147" s="229"/>
      <c r="J147" s="59" t="s">
        <v>847</v>
      </c>
      <c r="K147" s="46">
        <v>9400000</v>
      </c>
      <c r="L147" s="2">
        <v>45016</v>
      </c>
      <c r="M147" s="32" t="s">
        <v>3923</v>
      </c>
      <c r="N147" s="32">
        <v>4443091</v>
      </c>
      <c r="O147" s="51" t="s">
        <v>3535</v>
      </c>
      <c r="P147" s="38" t="s">
        <v>3533</v>
      </c>
    </row>
    <row r="148" spans="2:16" x14ac:dyDescent="0.25">
      <c r="B148" s="32">
        <v>136</v>
      </c>
      <c r="C148" s="229" t="s">
        <v>3975</v>
      </c>
      <c r="D148" s="229"/>
      <c r="E148" s="229"/>
      <c r="F148" s="229"/>
      <c r="G148" s="229"/>
      <c r="H148" s="229"/>
      <c r="I148" s="229"/>
      <c r="J148" s="59" t="s">
        <v>2664</v>
      </c>
      <c r="K148" s="46">
        <v>7530000</v>
      </c>
      <c r="L148" s="2">
        <v>45019</v>
      </c>
      <c r="M148" s="32"/>
      <c r="N148" s="32">
        <v>3104592285</v>
      </c>
      <c r="O148" s="32" t="s">
        <v>3377</v>
      </c>
      <c r="P148" s="52" t="s">
        <v>3974</v>
      </c>
    </row>
    <row r="149" spans="2:16" x14ac:dyDescent="0.25">
      <c r="B149" s="32">
        <v>137</v>
      </c>
      <c r="C149" s="229" t="s">
        <v>3978</v>
      </c>
      <c r="D149" s="229"/>
      <c r="E149" s="229"/>
      <c r="F149" s="229"/>
      <c r="G149" s="229"/>
      <c r="H149" s="229"/>
      <c r="I149" s="229"/>
      <c r="J149" s="59" t="s">
        <v>3979</v>
      </c>
      <c r="K149" s="46">
        <v>15250000</v>
      </c>
      <c r="L149" s="2">
        <v>45020</v>
      </c>
      <c r="M149" s="32"/>
      <c r="N149" s="32"/>
      <c r="O149" s="32" t="s">
        <v>3976</v>
      </c>
      <c r="P149" s="52" t="s">
        <v>3977</v>
      </c>
    </row>
    <row r="150" spans="2:16" x14ac:dyDescent="0.25">
      <c r="B150" s="32">
        <v>138</v>
      </c>
      <c r="C150" s="229" t="s">
        <v>3982</v>
      </c>
      <c r="D150" s="229"/>
      <c r="E150" s="229"/>
      <c r="F150" s="229"/>
      <c r="G150" s="229"/>
      <c r="H150" s="229"/>
      <c r="I150" s="229"/>
      <c r="J150" s="59" t="s">
        <v>1415</v>
      </c>
      <c r="K150" s="46">
        <v>34490000</v>
      </c>
      <c r="L150" s="2">
        <v>45026</v>
      </c>
      <c r="M150" s="2"/>
      <c r="N150" s="32">
        <v>3187125442</v>
      </c>
      <c r="O150" s="32" t="s">
        <v>3981</v>
      </c>
      <c r="P150" s="52" t="s">
        <v>3980</v>
      </c>
    </row>
    <row r="151" spans="2:16" x14ac:dyDescent="0.25">
      <c r="B151" s="32">
        <v>139</v>
      </c>
      <c r="C151" s="263" t="s">
        <v>3983</v>
      </c>
      <c r="D151" s="229"/>
      <c r="E151" s="229"/>
      <c r="F151" s="229"/>
      <c r="G151" s="229"/>
      <c r="H151" s="229"/>
      <c r="I151" s="229"/>
      <c r="J151" s="59" t="s">
        <v>1415</v>
      </c>
      <c r="K151" s="46">
        <v>26470000</v>
      </c>
      <c r="L151" s="2">
        <v>45026</v>
      </c>
      <c r="M151" s="2"/>
      <c r="N151" s="32">
        <v>3187125442</v>
      </c>
      <c r="O151" s="32" t="s">
        <v>3981</v>
      </c>
      <c r="P151" s="52" t="s">
        <v>3980</v>
      </c>
    </row>
    <row r="152" spans="2:16" x14ac:dyDescent="0.25">
      <c r="B152" s="32">
        <v>140</v>
      </c>
      <c r="C152" s="229" t="s">
        <v>3986</v>
      </c>
      <c r="D152" s="229"/>
      <c r="E152" s="229"/>
      <c r="F152" s="229"/>
      <c r="G152" s="229"/>
      <c r="H152" s="229"/>
      <c r="I152" s="229"/>
      <c r="J152" s="59" t="s">
        <v>712</v>
      </c>
      <c r="K152" s="46">
        <v>1950000</v>
      </c>
      <c r="L152" s="2">
        <v>45029</v>
      </c>
      <c r="M152" s="32"/>
      <c r="N152" s="32">
        <v>3137851941</v>
      </c>
      <c r="O152" s="32" t="s">
        <v>2055</v>
      </c>
      <c r="P152" s="52" t="s">
        <v>713</v>
      </c>
    </row>
    <row r="153" spans="2:16" x14ac:dyDescent="0.25">
      <c r="B153" s="32">
        <v>141</v>
      </c>
      <c r="C153" s="229" t="s">
        <v>3987</v>
      </c>
      <c r="D153" s="229"/>
      <c r="E153" s="229"/>
      <c r="F153" s="229"/>
      <c r="G153" s="229"/>
      <c r="H153" s="229"/>
      <c r="I153" s="229"/>
      <c r="J153" s="59" t="s">
        <v>3988</v>
      </c>
      <c r="K153" s="46">
        <v>7980000</v>
      </c>
      <c r="L153" s="2">
        <v>45029</v>
      </c>
      <c r="M153" s="2"/>
      <c r="N153" s="32">
        <v>3106903066</v>
      </c>
      <c r="O153" s="32" t="s">
        <v>3989</v>
      </c>
      <c r="P153" s="52" t="s">
        <v>3708</v>
      </c>
    </row>
    <row r="154" spans="2:16" x14ac:dyDescent="0.25">
      <c r="B154" s="32">
        <v>142</v>
      </c>
      <c r="C154" s="263" t="s">
        <v>4002</v>
      </c>
      <c r="D154" s="229"/>
      <c r="E154" s="229"/>
      <c r="F154" s="229"/>
      <c r="G154" s="229"/>
      <c r="H154" s="229"/>
      <c r="I154" s="229"/>
      <c r="J154" s="59" t="s">
        <v>3992</v>
      </c>
      <c r="K154" s="46">
        <v>15800000</v>
      </c>
      <c r="L154" s="2">
        <v>45029</v>
      </c>
      <c r="M154" s="32"/>
      <c r="N154" s="32"/>
      <c r="O154" s="32" t="s">
        <v>3990</v>
      </c>
      <c r="P154" s="52" t="s">
        <v>3991</v>
      </c>
    </row>
    <row r="155" spans="2:16" x14ac:dyDescent="0.25">
      <c r="B155" s="32">
        <v>143</v>
      </c>
      <c r="C155" s="229" t="s">
        <v>3995</v>
      </c>
      <c r="D155" s="229"/>
      <c r="E155" s="229"/>
      <c r="F155" s="229"/>
      <c r="G155" s="229"/>
      <c r="H155" s="229"/>
      <c r="I155" s="229"/>
      <c r="J155" s="59" t="s">
        <v>3993</v>
      </c>
      <c r="K155" s="46">
        <v>7000000</v>
      </c>
      <c r="L155" s="2">
        <v>45028</v>
      </c>
      <c r="M155" s="32"/>
      <c r="N155" s="32" t="s">
        <v>3994</v>
      </c>
      <c r="O155" s="32" t="s">
        <v>1359</v>
      </c>
      <c r="P155" s="52" t="s">
        <v>1360</v>
      </c>
    </row>
    <row r="156" spans="2:16" x14ac:dyDescent="0.25">
      <c r="B156" s="32">
        <v>144</v>
      </c>
      <c r="C156" s="229" t="s">
        <v>4005</v>
      </c>
      <c r="D156" s="229"/>
      <c r="E156" s="229"/>
      <c r="F156" s="229"/>
      <c r="G156" s="229"/>
      <c r="H156" s="229"/>
      <c r="I156" s="229"/>
      <c r="J156" s="59" t="s">
        <v>702</v>
      </c>
      <c r="K156" s="46">
        <v>1750000</v>
      </c>
      <c r="L156" s="2">
        <v>45030</v>
      </c>
      <c r="M156" s="32"/>
      <c r="N156" s="32">
        <v>3137546144</v>
      </c>
      <c r="O156" s="32" t="s">
        <v>3996</v>
      </c>
      <c r="P156" s="52" t="s">
        <v>2504</v>
      </c>
    </row>
    <row r="157" spans="2:16" x14ac:dyDescent="0.25">
      <c r="B157" s="32">
        <v>145</v>
      </c>
      <c r="C157" s="263" t="s">
        <v>3997</v>
      </c>
      <c r="D157" s="229"/>
      <c r="E157" s="229"/>
      <c r="F157" s="229"/>
      <c r="G157" s="229"/>
      <c r="H157" s="229"/>
      <c r="I157" s="229"/>
      <c r="J157" s="59" t="s">
        <v>702</v>
      </c>
      <c r="K157" s="46">
        <v>19950000</v>
      </c>
      <c r="L157" s="2">
        <v>45030</v>
      </c>
      <c r="M157" s="2"/>
      <c r="N157" s="32" t="s">
        <v>3843</v>
      </c>
      <c r="O157" s="32" t="s">
        <v>3242</v>
      </c>
      <c r="P157" s="52" t="s">
        <v>2761</v>
      </c>
    </row>
    <row r="158" spans="2:16" x14ac:dyDescent="0.25">
      <c r="B158" s="32">
        <v>146</v>
      </c>
      <c r="C158" s="229" t="s">
        <v>3998</v>
      </c>
      <c r="D158" s="229"/>
      <c r="E158" s="229"/>
      <c r="F158" s="229"/>
      <c r="G158" s="229"/>
      <c r="H158" s="229"/>
      <c r="I158" s="229"/>
      <c r="J158" s="59" t="s">
        <v>3999</v>
      </c>
      <c r="K158" s="46">
        <v>3950000</v>
      </c>
      <c r="L158" s="2">
        <v>45030</v>
      </c>
      <c r="M158" s="32"/>
      <c r="N158" s="32" t="s">
        <v>4001</v>
      </c>
      <c r="O158" s="32" t="s">
        <v>2768</v>
      </c>
      <c r="P158" s="52" t="s">
        <v>4000</v>
      </c>
    </row>
    <row r="159" spans="2:16" x14ac:dyDescent="0.25">
      <c r="B159" s="32">
        <v>147</v>
      </c>
      <c r="C159" s="229" t="s">
        <v>4003</v>
      </c>
      <c r="D159" s="229"/>
      <c r="E159" s="229"/>
      <c r="F159" s="229"/>
      <c r="G159" s="229"/>
      <c r="H159" s="229"/>
      <c r="I159" s="229"/>
      <c r="J159" s="59" t="s">
        <v>4004</v>
      </c>
      <c r="K159" s="46">
        <f>38500000*1.4</f>
        <v>53900000</v>
      </c>
      <c r="L159" s="2">
        <v>45030</v>
      </c>
      <c r="M159" s="32"/>
      <c r="N159" s="32">
        <v>3004836240</v>
      </c>
      <c r="O159" s="32" t="s">
        <v>4004</v>
      </c>
      <c r="P159" s="52"/>
    </row>
    <row r="160" spans="2:16" x14ac:dyDescent="0.25">
      <c r="B160" s="32">
        <v>148</v>
      </c>
      <c r="C160" s="229" t="s">
        <v>4006</v>
      </c>
      <c r="D160" s="229"/>
      <c r="E160" s="229"/>
      <c r="F160" s="229"/>
      <c r="G160" s="229"/>
      <c r="H160" s="229"/>
      <c r="I160" s="229"/>
      <c r="J160" s="59" t="s">
        <v>2204</v>
      </c>
      <c r="K160" s="46">
        <v>15950000</v>
      </c>
      <c r="L160" s="2">
        <v>45030</v>
      </c>
      <c r="M160" s="32"/>
      <c r="N160" s="32">
        <v>3117208541</v>
      </c>
      <c r="O160" s="32" t="s">
        <v>3944</v>
      </c>
      <c r="P160" s="52" t="s">
        <v>2241</v>
      </c>
    </row>
    <row r="161" spans="2:16" x14ac:dyDescent="0.25">
      <c r="B161" s="32">
        <v>149</v>
      </c>
      <c r="C161" s="229" t="s">
        <v>4007</v>
      </c>
      <c r="D161" s="229"/>
      <c r="E161" s="229"/>
      <c r="F161" s="229"/>
      <c r="G161" s="229"/>
      <c r="H161" s="229"/>
      <c r="I161" s="229"/>
      <c r="J161" s="59" t="s">
        <v>831</v>
      </c>
      <c r="K161" s="46">
        <v>650000</v>
      </c>
      <c r="L161" s="2">
        <v>45030</v>
      </c>
      <c r="M161" s="32"/>
      <c r="N161" s="32">
        <v>3194913179</v>
      </c>
      <c r="O161" s="32" t="s">
        <v>3495</v>
      </c>
      <c r="P161" s="52" t="s">
        <v>3496</v>
      </c>
    </row>
    <row r="162" spans="2:16" x14ac:dyDescent="0.25">
      <c r="B162" s="32">
        <v>150</v>
      </c>
      <c r="C162" s="229" t="s">
        <v>4008</v>
      </c>
      <c r="D162" s="229"/>
      <c r="E162" s="229"/>
      <c r="F162" s="229"/>
      <c r="G162" s="229"/>
      <c r="H162" s="229"/>
      <c r="I162" s="229"/>
      <c r="J162" s="59" t="s">
        <v>857</v>
      </c>
      <c r="K162" s="46">
        <v>5950000</v>
      </c>
      <c r="L162" s="2">
        <v>45033</v>
      </c>
      <c r="M162" s="2"/>
      <c r="N162" s="32"/>
      <c r="O162" s="51" t="s">
        <v>3539</v>
      </c>
      <c r="P162" s="52" t="s">
        <v>3538</v>
      </c>
    </row>
    <row r="163" spans="2:16" x14ac:dyDescent="0.25">
      <c r="B163" s="32">
        <v>151</v>
      </c>
      <c r="C163" s="273" t="s">
        <v>4011</v>
      </c>
      <c r="D163" s="274"/>
      <c r="E163" s="274"/>
      <c r="F163" s="274"/>
      <c r="G163" s="274"/>
      <c r="H163" s="274"/>
      <c r="I163" s="274"/>
      <c r="J163" s="59" t="s">
        <v>880</v>
      </c>
      <c r="K163" s="46">
        <v>3450000</v>
      </c>
      <c r="L163" s="2">
        <v>45033</v>
      </c>
      <c r="M163" s="32"/>
      <c r="N163" s="32" t="s">
        <v>4010</v>
      </c>
      <c r="O163" s="78" t="s">
        <v>4009</v>
      </c>
      <c r="P163" s="88" t="s">
        <v>1854</v>
      </c>
    </row>
    <row r="164" spans="2:16" x14ac:dyDescent="0.25">
      <c r="B164" s="32">
        <v>152</v>
      </c>
      <c r="C164" s="229" t="s">
        <v>4014</v>
      </c>
      <c r="D164" s="229"/>
      <c r="E164" s="229"/>
      <c r="F164" s="229"/>
      <c r="G164" s="229"/>
      <c r="H164" s="229"/>
      <c r="I164" s="229"/>
      <c r="J164" s="59" t="s">
        <v>1086</v>
      </c>
      <c r="K164" s="46">
        <v>14950000</v>
      </c>
      <c r="L164" s="2">
        <v>45033</v>
      </c>
      <c r="M164" s="32"/>
      <c r="N164" s="32">
        <v>3174376208</v>
      </c>
      <c r="O164" s="32" t="s">
        <v>4013</v>
      </c>
      <c r="P164" s="52" t="s">
        <v>4012</v>
      </c>
    </row>
    <row r="165" spans="2:16" x14ac:dyDescent="0.25">
      <c r="B165" s="32">
        <v>153</v>
      </c>
      <c r="C165" s="229" t="s">
        <v>4016</v>
      </c>
      <c r="D165" s="229"/>
      <c r="E165" s="229"/>
      <c r="F165" s="229"/>
      <c r="G165" s="229"/>
      <c r="H165" s="229"/>
      <c r="I165" s="229"/>
      <c r="J165" s="7" t="s">
        <v>2602</v>
      </c>
      <c r="K165" s="46">
        <v>3950000</v>
      </c>
      <c r="L165" s="2">
        <v>45033</v>
      </c>
      <c r="M165" s="32"/>
      <c r="N165" s="32">
        <v>3012311524</v>
      </c>
      <c r="O165" s="32" t="s">
        <v>2603</v>
      </c>
      <c r="P165" s="52" t="s">
        <v>4015</v>
      </c>
    </row>
    <row r="166" spans="2:16" x14ac:dyDescent="0.25">
      <c r="B166" s="32">
        <v>154</v>
      </c>
      <c r="C166" s="229" t="s">
        <v>4018</v>
      </c>
      <c r="D166" s="229"/>
      <c r="E166" s="229"/>
      <c r="F166" s="229"/>
      <c r="G166" s="229"/>
      <c r="H166" s="229"/>
      <c r="I166" s="229"/>
      <c r="J166" s="59" t="s">
        <v>4017</v>
      </c>
      <c r="K166" s="46">
        <v>16950</v>
      </c>
      <c r="L166" s="2">
        <v>45033</v>
      </c>
      <c r="M166" s="2"/>
      <c r="N166" s="32">
        <v>3108227462</v>
      </c>
      <c r="O166" s="32" t="s">
        <v>3897</v>
      </c>
      <c r="P166" s="52" t="s">
        <v>2310</v>
      </c>
    </row>
    <row r="167" spans="2:16" x14ac:dyDescent="0.25">
      <c r="B167" s="32">
        <v>155</v>
      </c>
      <c r="C167" s="265" t="s">
        <v>4031</v>
      </c>
      <c r="D167" s="265"/>
      <c r="E167" s="265"/>
      <c r="F167" s="265"/>
      <c r="G167" s="265"/>
      <c r="H167" s="265"/>
      <c r="I167" s="265"/>
      <c r="J167" s="64" t="s">
        <v>4019</v>
      </c>
      <c r="K167" s="46">
        <v>1000000</v>
      </c>
      <c r="L167" s="2">
        <v>45036</v>
      </c>
      <c r="M167" s="32"/>
      <c r="N167" s="32"/>
      <c r="O167" s="32"/>
      <c r="P167" s="52"/>
    </row>
    <row r="168" spans="2:16" x14ac:dyDescent="0.25">
      <c r="B168" s="32">
        <v>156</v>
      </c>
      <c r="C168" s="229" t="s">
        <v>4023</v>
      </c>
      <c r="D168" s="229"/>
      <c r="E168" s="229"/>
      <c r="F168" s="229"/>
      <c r="G168" s="229"/>
      <c r="H168" s="229"/>
      <c r="I168" s="229"/>
      <c r="J168" s="59" t="s">
        <v>4020</v>
      </c>
      <c r="K168" s="46">
        <v>5950000</v>
      </c>
      <c r="L168" s="2">
        <v>45035</v>
      </c>
      <c r="M168" s="2"/>
      <c r="N168" s="32">
        <v>3175179593</v>
      </c>
      <c r="O168" s="32" t="s">
        <v>4021</v>
      </c>
      <c r="P168" s="52" t="s">
        <v>4022</v>
      </c>
    </row>
    <row r="169" spans="2:16" x14ac:dyDescent="0.25">
      <c r="B169" s="32">
        <v>157</v>
      </c>
      <c r="C169" s="229" t="s">
        <v>4024</v>
      </c>
      <c r="D169" s="229"/>
      <c r="E169" s="229"/>
      <c r="F169" s="229"/>
      <c r="G169" s="229"/>
      <c r="H169" s="229"/>
      <c r="I169" s="229"/>
      <c r="J169" s="59" t="s">
        <v>1553</v>
      </c>
      <c r="K169" s="46">
        <v>1500000</v>
      </c>
      <c r="L169" s="2">
        <v>45035</v>
      </c>
      <c r="M169" s="2"/>
      <c r="N169" s="32">
        <v>3117559090</v>
      </c>
      <c r="O169" s="32" t="s">
        <v>4025</v>
      </c>
      <c r="P169" s="52" t="s">
        <v>3780</v>
      </c>
    </row>
    <row r="170" spans="2:16" x14ac:dyDescent="0.25">
      <c r="B170" s="32">
        <v>158</v>
      </c>
      <c r="C170" s="229" t="s">
        <v>4028</v>
      </c>
      <c r="D170" s="229"/>
      <c r="E170" s="229"/>
      <c r="F170" s="229"/>
      <c r="G170" s="229"/>
      <c r="H170" s="229"/>
      <c r="I170" s="229"/>
      <c r="J170" s="59" t="s">
        <v>702</v>
      </c>
      <c r="K170" s="46">
        <v>1950000</v>
      </c>
      <c r="L170" s="2">
        <v>45036</v>
      </c>
      <c r="M170" s="32"/>
      <c r="N170" s="32">
        <v>3103939739</v>
      </c>
      <c r="O170" s="32" t="s">
        <v>4026</v>
      </c>
      <c r="P170" s="52" t="s">
        <v>4027</v>
      </c>
    </row>
    <row r="171" spans="2:16" x14ac:dyDescent="0.25">
      <c r="B171" s="32">
        <v>159</v>
      </c>
      <c r="C171" s="229" t="s">
        <v>4030</v>
      </c>
      <c r="D171" s="229"/>
      <c r="E171" s="229"/>
      <c r="F171" s="229"/>
      <c r="G171" s="229"/>
      <c r="H171" s="229"/>
      <c r="I171" s="229"/>
      <c r="J171" s="59" t="s">
        <v>1659</v>
      </c>
      <c r="K171" s="46">
        <v>14950000</v>
      </c>
      <c r="L171" s="2">
        <v>45036</v>
      </c>
      <c r="M171" s="2"/>
      <c r="N171" s="32">
        <v>3014201614</v>
      </c>
      <c r="O171" s="32" t="s">
        <v>4029</v>
      </c>
      <c r="P171" s="52" t="s">
        <v>2771</v>
      </c>
    </row>
    <row r="172" spans="2:16" x14ac:dyDescent="0.25">
      <c r="B172" s="32">
        <v>160</v>
      </c>
      <c r="C172" s="263" t="s">
        <v>4040</v>
      </c>
      <c r="D172" s="229"/>
      <c r="E172" s="229"/>
      <c r="F172" s="229"/>
      <c r="G172" s="229"/>
      <c r="H172" s="229"/>
      <c r="I172" s="229"/>
      <c r="J172" s="59" t="s">
        <v>4033</v>
      </c>
      <c r="K172" s="46">
        <v>6950000</v>
      </c>
      <c r="L172" s="2">
        <v>45037</v>
      </c>
      <c r="M172" s="32"/>
      <c r="N172" s="32">
        <v>3156523447</v>
      </c>
      <c r="O172" s="32" t="s">
        <v>4034</v>
      </c>
      <c r="P172" s="52" t="s">
        <v>4032</v>
      </c>
    </row>
    <row r="173" spans="2:16" x14ac:dyDescent="0.25">
      <c r="B173" s="32">
        <v>161</v>
      </c>
      <c r="C173" s="263" t="s">
        <v>4036</v>
      </c>
      <c r="D173" s="229"/>
      <c r="E173" s="229"/>
      <c r="F173" s="229"/>
      <c r="G173" s="229"/>
      <c r="H173" s="229"/>
      <c r="I173" s="229"/>
      <c r="J173" s="59" t="s">
        <v>2325</v>
      </c>
      <c r="K173" s="46">
        <v>7750000</v>
      </c>
      <c r="L173" s="2">
        <v>45037</v>
      </c>
      <c r="M173" s="32"/>
      <c r="N173" s="32" t="s">
        <v>4035</v>
      </c>
      <c r="O173" s="32" t="s">
        <v>2327</v>
      </c>
      <c r="P173" s="52" t="s">
        <v>2328</v>
      </c>
    </row>
    <row r="174" spans="2:16" ht="15" customHeight="1" x14ac:dyDescent="0.25">
      <c r="B174" s="32">
        <v>162</v>
      </c>
      <c r="C174" s="263" t="s">
        <v>4037</v>
      </c>
      <c r="D174" s="229"/>
      <c r="E174" s="229"/>
      <c r="F174" s="229"/>
      <c r="G174" s="229"/>
      <c r="H174" s="229"/>
      <c r="I174" s="229"/>
      <c r="J174" s="59" t="s">
        <v>2961</v>
      </c>
      <c r="K174" s="46">
        <v>46150000</v>
      </c>
      <c r="L174" s="2">
        <v>45037</v>
      </c>
      <c r="M174" s="32"/>
      <c r="N174" s="32" t="s">
        <v>2591</v>
      </c>
      <c r="O174" s="32" t="s">
        <v>400</v>
      </c>
      <c r="P174" s="52" t="s">
        <v>1012</v>
      </c>
    </row>
    <row r="175" spans="2:16" ht="15" customHeight="1" x14ac:dyDescent="0.25">
      <c r="B175" s="32">
        <v>163</v>
      </c>
      <c r="C175" s="271" t="s">
        <v>4049</v>
      </c>
      <c r="D175" s="272"/>
      <c r="E175" s="272"/>
      <c r="F175" s="272"/>
      <c r="G175" s="272"/>
      <c r="H175" s="272"/>
      <c r="I175" s="272"/>
      <c r="J175" s="59" t="s">
        <v>2961</v>
      </c>
      <c r="K175" s="46">
        <v>3300000</v>
      </c>
      <c r="L175" s="2">
        <v>45043</v>
      </c>
      <c r="M175" s="32"/>
      <c r="N175" s="32" t="s">
        <v>2591</v>
      </c>
      <c r="O175" s="32" t="s">
        <v>400</v>
      </c>
      <c r="P175" s="52" t="s">
        <v>1012</v>
      </c>
    </row>
    <row r="176" spans="2:16" x14ac:dyDescent="0.25">
      <c r="B176" s="32">
        <v>164</v>
      </c>
      <c r="C176" s="229" t="s">
        <v>4038</v>
      </c>
      <c r="D176" s="229"/>
      <c r="E176" s="229"/>
      <c r="F176" s="229"/>
      <c r="G176" s="229"/>
      <c r="H176" s="229"/>
      <c r="I176" s="229"/>
      <c r="J176" s="64" t="s">
        <v>831</v>
      </c>
      <c r="K176" s="46">
        <v>7750000</v>
      </c>
      <c r="L176" s="2">
        <v>45037</v>
      </c>
      <c r="M176" s="2"/>
      <c r="N176" s="32" t="s">
        <v>3824</v>
      </c>
      <c r="O176" s="32" t="s">
        <v>3818</v>
      </c>
      <c r="P176" s="52" t="s">
        <v>2270</v>
      </c>
    </row>
    <row r="177" spans="2:16" x14ac:dyDescent="0.25">
      <c r="B177" s="32">
        <v>165</v>
      </c>
      <c r="C177" s="264" t="s">
        <v>4039</v>
      </c>
      <c r="D177" s="231"/>
      <c r="E177" s="231"/>
      <c r="F177" s="231"/>
      <c r="G177" s="231"/>
      <c r="H177" s="231"/>
      <c r="I177" s="232"/>
      <c r="J177" s="59" t="s">
        <v>3676</v>
      </c>
      <c r="K177" s="46">
        <v>950000</v>
      </c>
      <c r="L177" s="2">
        <v>45037</v>
      </c>
      <c r="M177" s="32"/>
      <c r="N177" s="32" t="s">
        <v>3678</v>
      </c>
      <c r="O177" s="51" t="s">
        <v>1027</v>
      </c>
      <c r="P177" s="52" t="s">
        <v>3769</v>
      </c>
    </row>
    <row r="178" spans="2:16" ht="15" customHeight="1" x14ac:dyDescent="0.25">
      <c r="B178" s="32">
        <v>166</v>
      </c>
      <c r="C178" s="264" t="s">
        <v>4041</v>
      </c>
      <c r="D178" s="231"/>
      <c r="E178" s="231"/>
      <c r="F178" s="231"/>
      <c r="G178" s="231"/>
      <c r="H178" s="231"/>
      <c r="I178" s="232"/>
      <c r="J178" s="59" t="s">
        <v>3676</v>
      </c>
      <c r="K178" s="46">
        <v>500000</v>
      </c>
      <c r="L178" s="2">
        <v>45040</v>
      </c>
      <c r="M178" s="2"/>
      <c r="N178" s="32" t="s">
        <v>4042</v>
      </c>
      <c r="O178" s="51" t="s">
        <v>1027</v>
      </c>
      <c r="P178" s="52" t="s">
        <v>3769</v>
      </c>
    </row>
    <row r="179" spans="2:16" x14ac:dyDescent="0.25">
      <c r="B179" s="32">
        <v>167</v>
      </c>
      <c r="C179" s="229" t="s">
        <v>4043</v>
      </c>
      <c r="D179" s="229"/>
      <c r="E179" s="229"/>
      <c r="F179" s="229"/>
      <c r="G179" s="229"/>
      <c r="H179" s="229"/>
      <c r="I179" s="229"/>
      <c r="J179" s="64" t="s">
        <v>4082</v>
      </c>
      <c r="K179" s="46">
        <v>6950000</v>
      </c>
      <c r="L179" s="2">
        <v>45040</v>
      </c>
      <c r="M179" s="32"/>
      <c r="N179" s="32" t="s">
        <v>4046</v>
      </c>
      <c r="O179" s="32" t="s">
        <v>4044</v>
      </c>
      <c r="P179" s="52" t="s">
        <v>4045</v>
      </c>
    </row>
    <row r="180" spans="2:16" x14ac:dyDescent="0.25">
      <c r="B180" s="32">
        <v>168</v>
      </c>
      <c r="C180" s="263" t="s">
        <v>4047</v>
      </c>
      <c r="D180" s="229"/>
      <c r="E180" s="229"/>
      <c r="F180" s="229"/>
      <c r="G180" s="229"/>
      <c r="H180" s="229"/>
      <c r="I180" s="229"/>
      <c r="J180" s="59" t="s">
        <v>702</v>
      </c>
      <c r="K180" s="46">
        <v>14800000</v>
      </c>
      <c r="L180" s="2">
        <v>45042</v>
      </c>
      <c r="M180" s="32"/>
      <c r="N180" s="32" t="s">
        <v>2036</v>
      </c>
      <c r="O180" s="32" t="s">
        <v>2748</v>
      </c>
      <c r="P180" s="52" t="s">
        <v>2600</v>
      </c>
    </row>
    <row r="181" spans="2:16" x14ac:dyDescent="0.25">
      <c r="B181" s="32">
        <v>169</v>
      </c>
      <c r="C181" s="263" t="s">
        <v>4048</v>
      </c>
      <c r="D181" s="229"/>
      <c r="E181" s="229"/>
      <c r="F181" s="229"/>
      <c r="G181" s="229"/>
      <c r="H181" s="229"/>
      <c r="I181" s="229"/>
      <c r="J181" s="59" t="s">
        <v>1659</v>
      </c>
      <c r="K181" s="46">
        <v>14950000</v>
      </c>
      <c r="L181" s="2">
        <v>45045</v>
      </c>
      <c r="M181" s="32"/>
      <c r="N181" s="32">
        <v>3014201614</v>
      </c>
      <c r="O181" s="32" t="s">
        <v>4029</v>
      </c>
      <c r="P181" s="52" t="s">
        <v>2771</v>
      </c>
    </row>
    <row r="182" spans="2:16" x14ac:dyDescent="0.25">
      <c r="B182" s="32">
        <v>170</v>
      </c>
      <c r="C182" s="229" t="s">
        <v>4049</v>
      </c>
      <c r="D182" s="229"/>
      <c r="E182" s="229"/>
      <c r="F182" s="229"/>
      <c r="G182" s="229"/>
      <c r="H182" s="229"/>
      <c r="I182" s="229"/>
      <c r="J182" s="59" t="s">
        <v>4050</v>
      </c>
      <c r="K182" s="46">
        <v>5400000</v>
      </c>
      <c r="L182" s="2">
        <v>45043</v>
      </c>
      <c r="M182" s="32"/>
      <c r="N182" s="32" t="s">
        <v>4053</v>
      </c>
      <c r="O182" s="32" t="s">
        <v>4051</v>
      </c>
      <c r="P182" s="52" t="s">
        <v>4052</v>
      </c>
    </row>
    <row r="183" spans="2:16" x14ac:dyDescent="0.25">
      <c r="B183" s="32">
        <v>171</v>
      </c>
      <c r="C183" s="229" t="s">
        <v>4054</v>
      </c>
      <c r="D183" s="229"/>
      <c r="E183" s="229"/>
      <c r="F183" s="229"/>
      <c r="G183" s="229"/>
      <c r="H183" s="229"/>
      <c r="I183" s="229"/>
      <c r="J183" s="59" t="s">
        <v>702</v>
      </c>
      <c r="K183" s="46">
        <v>600000</v>
      </c>
      <c r="L183" s="2">
        <v>45043</v>
      </c>
      <c r="M183" s="32"/>
      <c r="N183" s="32">
        <v>3137546144</v>
      </c>
      <c r="O183" s="32" t="s">
        <v>3996</v>
      </c>
      <c r="P183" s="52" t="s">
        <v>2504</v>
      </c>
    </row>
    <row r="184" spans="2:16" x14ac:dyDescent="0.25">
      <c r="B184" s="32">
        <v>172</v>
      </c>
      <c r="C184" s="229" t="s">
        <v>4055</v>
      </c>
      <c r="D184" s="229"/>
      <c r="E184" s="229"/>
      <c r="F184" s="229"/>
      <c r="G184" s="229"/>
      <c r="H184" s="229"/>
      <c r="I184" s="229"/>
      <c r="J184" s="59" t="s">
        <v>702</v>
      </c>
      <c r="K184" s="46">
        <v>13170000</v>
      </c>
      <c r="L184" s="2">
        <v>45045</v>
      </c>
      <c r="M184" s="32"/>
      <c r="N184" s="32" t="s">
        <v>2036</v>
      </c>
      <c r="O184" s="32" t="s">
        <v>2748</v>
      </c>
      <c r="P184" s="52" t="s">
        <v>2600</v>
      </c>
    </row>
    <row r="185" spans="2:16" x14ac:dyDescent="0.25">
      <c r="B185" s="32">
        <v>173</v>
      </c>
      <c r="C185" s="229" t="s">
        <v>4058</v>
      </c>
      <c r="D185" s="229"/>
      <c r="E185" s="229"/>
      <c r="F185" s="229"/>
      <c r="G185" s="229"/>
      <c r="H185" s="229"/>
      <c r="I185" s="229"/>
      <c r="J185" s="59" t="s">
        <v>4057</v>
      </c>
      <c r="K185" s="46">
        <v>25000000</v>
      </c>
      <c r="L185" s="2">
        <v>45044</v>
      </c>
      <c r="M185" s="2"/>
      <c r="N185" s="32">
        <v>3103860407</v>
      </c>
      <c r="O185" s="32" t="s">
        <v>3460</v>
      </c>
      <c r="P185" s="52" t="s">
        <v>4056</v>
      </c>
    </row>
    <row r="186" spans="2:16" ht="15" customHeight="1" x14ac:dyDescent="0.25">
      <c r="B186" s="32">
        <v>174</v>
      </c>
      <c r="C186" s="229" t="s">
        <v>4060</v>
      </c>
      <c r="D186" s="229"/>
      <c r="E186" s="229"/>
      <c r="F186" s="229"/>
      <c r="G186" s="229"/>
      <c r="H186" s="229"/>
      <c r="I186" s="229"/>
      <c r="J186" s="59" t="s">
        <v>4059</v>
      </c>
      <c r="K186" s="46"/>
      <c r="L186" s="2">
        <v>45048</v>
      </c>
      <c r="M186" s="2"/>
      <c r="N186" s="32" t="s">
        <v>4073</v>
      </c>
      <c r="O186" s="32" t="s">
        <v>4059</v>
      </c>
      <c r="P186" s="52"/>
    </row>
    <row r="187" spans="2:16" ht="15" customHeight="1" x14ac:dyDescent="0.25">
      <c r="B187" s="32">
        <v>175</v>
      </c>
      <c r="C187" s="229" t="s">
        <v>4061</v>
      </c>
      <c r="D187" s="229"/>
      <c r="E187" s="229"/>
      <c r="F187" s="229"/>
      <c r="G187" s="229"/>
      <c r="H187" s="229"/>
      <c r="I187" s="229"/>
      <c r="J187" s="59" t="s">
        <v>1439</v>
      </c>
      <c r="K187" s="46">
        <v>2350000</v>
      </c>
      <c r="L187" s="2">
        <v>44952</v>
      </c>
      <c r="M187" s="32"/>
      <c r="N187" s="32" t="s">
        <v>3724</v>
      </c>
      <c r="O187" s="32" t="s">
        <v>3725</v>
      </c>
      <c r="P187" s="52" t="s">
        <v>2495</v>
      </c>
    </row>
    <row r="188" spans="2:16" x14ac:dyDescent="0.25">
      <c r="B188" s="32">
        <v>176</v>
      </c>
      <c r="C188" s="229" t="s">
        <v>4066</v>
      </c>
      <c r="D188" s="229"/>
      <c r="E188" s="229"/>
      <c r="F188" s="229"/>
      <c r="G188" s="229"/>
      <c r="H188" s="229"/>
      <c r="I188" s="229"/>
      <c r="J188" s="59" t="s">
        <v>4062</v>
      </c>
      <c r="K188" s="46">
        <v>6950000</v>
      </c>
      <c r="L188" s="2">
        <v>45044</v>
      </c>
      <c r="M188" s="32"/>
      <c r="N188" s="32" t="s">
        <v>4064</v>
      </c>
      <c r="O188" s="32" t="s">
        <v>4063</v>
      </c>
      <c r="P188" s="52" t="s">
        <v>4065</v>
      </c>
    </row>
    <row r="189" spans="2:16" x14ac:dyDescent="0.25">
      <c r="B189" s="32">
        <v>177</v>
      </c>
      <c r="C189" s="229" t="s">
        <v>4070</v>
      </c>
      <c r="D189" s="229"/>
      <c r="E189" s="229"/>
      <c r="F189" s="229"/>
      <c r="G189" s="229"/>
      <c r="H189" s="229"/>
      <c r="I189" s="229"/>
      <c r="J189" s="59" t="s">
        <v>4069</v>
      </c>
      <c r="K189" s="46"/>
      <c r="L189" s="2">
        <v>45048</v>
      </c>
      <c r="M189" s="32"/>
      <c r="N189" s="32">
        <v>3193825585</v>
      </c>
      <c r="O189" s="32" t="s">
        <v>4067</v>
      </c>
      <c r="P189" s="52" t="s">
        <v>4068</v>
      </c>
    </row>
    <row r="190" spans="2:16" x14ac:dyDescent="0.25">
      <c r="B190" s="32">
        <v>178</v>
      </c>
      <c r="C190" s="229" t="s">
        <v>4071</v>
      </c>
      <c r="D190" s="229"/>
      <c r="E190" s="229"/>
      <c r="F190" s="229"/>
      <c r="G190" s="229"/>
      <c r="H190" s="229"/>
      <c r="I190" s="229"/>
      <c r="J190" s="59" t="s">
        <v>702</v>
      </c>
      <c r="K190" s="46">
        <v>3950000</v>
      </c>
      <c r="L190" s="2">
        <v>45045</v>
      </c>
      <c r="M190" s="32"/>
      <c r="N190" s="32">
        <v>3104203649</v>
      </c>
      <c r="O190" s="32" t="s">
        <v>2973</v>
      </c>
      <c r="P190" s="52" t="s">
        <v>2621</v>
      </c>
    </row>
    <row r="191" spans="2:16" x14ac:dyDescent="0.25">
      <c r="B191" s="32">
        <v>179</v>
      </c>
      <c r="C191" s="229" t="s">
        <v>4072</v>
      </c>
      <c r="D191" s="229"/>
      <c r="E191" s="229"/>
      <c r="F191" s="229"/>
      <c r="G191" s="229"/>
      <c r="H191" s="229"/>
      <c r="I191" s="229"/>
      <c r="J191" s="59" t="s">
        <v>3750</v>
      </c>
      <c r="K191" s="46">
        <v>2450000</v>
      </c>
      <c r="L191" s="2">
        <v>45045</v>
      </c>
      <c r="M191" s="32"/>
      <c r="N191" s="32" t="s">
        <v>3752</v>
      </c>
      <c r="O191" s="32" t="s">
        <v>3749</v>
      </c>
      <c r="P191" s="52" t="s">
        <v>3748</v>
      </c>
    </row>
    <row r="192" spans="2:16" x14ac:dyDescent="0.25">
      <c r="B192" s="32">
        <v>180</v>
      </c>
      <c r="C192" s="229" t="s">
        <v>4074</v>
      </c>
      <c r="D192" s="229"/>
      <c r="E192" s="229"/>
      <c r="F192" s="229"/>
      <c r="G192" s="229"/>
      <c r="H192" s="229"/>
      <c r="I192" s="229"/>
      <c r="J192" s="59" t="s">
        <v>702</v>
      </c>
      <c r="K192" s="46">
        <v>5840000</v>
      </c>
      <c r="L192" s="2">
        <v>45049</v>
      </c>
      <c r="M192" s="32"/>
      <c r="N192" s="32">
        <v>3229057649</v>
      </c>
      <c r="O192" s="32" t="s">
        <v>505</v>
      </c>
      <c r="P192" s="52" t="s">
        <v>4075</v>
      </c>
    </row>
    <row r="193" spans="2:16" x14ac:dyDescent="0.25">
      <c r="B193" s="32">
        <v>181</v>
      </c>
      <c r="C193" s="229" t="s">
        <v>4077</v>
      </c>
      <c r="D193" s="229"/>
      <c r="E193" s="229"/>
      <c r="F193" s="229"/>
      <c r="G193" s="229"/>
      <c r="H193" s="229"/>
      <c r="I193" s="229"/>
      <c r="J193" s="59" t="s">
        <v>702</v>
      </c>
      <c r="K193" s="46">
        <v>4950000</v>
      </c>
      <c r="L193" s="2">
        <v>45052</v>
      </c>
      <c r="M193" s="2"/>
      <c r="N193" s="32" t="s">
        <v>4076</v>
      </c>
      <c r="O193" s="32" t="s">
        <v>3242</v>
      </c>
      <c r="P193" s="52" t="s">
        <v>3242</v>
      </c>
    </row>
    <row r="194" spans="2:16" x14ac:dyDescent="0.25">
      <c r="B194" s="32">
        <v>182</v>
      </c>
      <c r="C194" s="229" t="s">
        <v>4079</v>
      </c>
      <c r="D194" s="229"/>
      <c r="E194" s="229"/>
      <c r="F194" s="229"/>
      <c r="G194" s="229"/>
      <c r="H194" s="229"/>
      <c r="I194" s="229"/>
      <c r="J194" s="59" t="s">
        <v>4080</v>
      </c>
      <c r="K194" s="46">
        <v>1950000</v>
      </c>
      <c r="L194" s="2">
        <v>45050</v>
      </c>
      <c r="M194" s="32"/>
      <c r="N194" s="32"/>
      <c r="O194" s="32" t="s">
        <v>4078</v>
      </c>
      <c r="P194" s="52"/>
    </row>
    <row r="195" spans="2:16" x14ac:dyDescent="0.25">
      <c r="B195" s="32">
        <v>183</v>
      </c>
      <c r="C195" s="271" t="s">
        <v>4081</v>
      </c>
      <c r="D195" s="272"/>
      <c r="E195" s="272"/>
      <c r="F195" s="272"/>
      <c r="G195" s="272"/>
      <c r="H195" s="272"/>
      <c r="I195" s="272"/>
      <c r="J195" s="59" t="s">
        <v>851</v>
      </c>
      <c r="K195" s="46">
        <v>7950000</v>
      </c>
      <c r="L195" s="2">
        <v>45050</v>
      </c>
      <c r="M195" s="2"/>
      <c r="N195" s="32">
        <v>3206678830</v>
      </c>
      <c r="O195" s="32" t="s">
        <v>284</v>
      </c>
      <c r="P195" s="52" t="s">
        <v>948</v>
      </c>
    </row>
    <row r="196" spans="2:16" x14ac:dyDescent="0.25">
      <c r="B196" s="32">
        <v>184</v>
      </c>
      <c r="C196" s="229" t="s">
        <v>4083</v>
      </c>
      <c r="D196" s="229"/>
      <c r="E196" s="229"/>
      <c r="F196" s="229"/>
      <c r="G196" s="229"/>
      <c r="H196" s="229"/>
      <c r="I196" s="229"/>
      <c r="J196" s="59" t="s">
        <v>3799</v>
      </c>
      <c r="K196" s="46">
        <v>950000</v>
      </c>
      <c r="L196" s="2">
        <v>45051</v>
      </c>
      <c r="M196" s="32"/>
      <c r="N196" s="32">
        <v>5712357612</v>
      </c>
      <c r="O196" s="32" t="s">
        <v>4009</v>
      </c>
      <c r="P196" s="52" t="s">
        <v>1854</v>
      </c>
    </row>
    <row r="197" spans="2:16" x14ac:dyDescent="0.25">
      <c r="B197" s="32">
        <v>185</v>
      </c>
      <c r="C197" s="229" t="s">
        <v>4084</v>
      </c>
      <c r="D197" s="229"/>
      <c r="E197" s="229"/>
      <c r="F197" s="229"/>
      <c r="G197" s="229"/>
      <c r="H197" s="229"/>
      <c r="I197" s="229"/>
      <c r="J197" s="59" t="s">
        <v>851</v>
      </c>
      <c r="K197" s="46">
        <v>24950000</v>
      </c>
      <c r="L197" s="2">
        <v>45051</v>
      </c>
      <c r="M197" s="32"/>
      <c r="N197" s="32">
        <v>3206678830</v>
      </c>
      <c r="O197" s="32" t="s">
        <v>284</v>
      </c>
      <c r="P197" s="52" t="s">
        <v>948</v>
      </c>
    </row>
    <row r="198" spans="2:16" x14ac:dyDescent="0.25">
      <c r="B198" s="32">
        <v>186</v>
      </c>
      <c r="C198" s="229" t="s">
        <v>4086</v>
      </c>
      <c r="D198" s="229"/>
      <c r="E198" s="229"/>
      <c r="F198" s="229"/>
      <c r="G198" s="229"/>
      <c r="H198" s="229"/>
      <c r="I198" s="229"/>
      <c r="J198" s="59" t="s">
        <v>1553</v>
      </c>
      <c r="K198" s="46">
        <v>990000</v>
      </c>
      <c r="L198" s="2">
        <v>45052</v>
      </c>
      <c r="M198" s="32"/>
      <c r="N198" s="32">
        <v>3245671666</v>
      </c>
      <c r="O198" s="32" t="s">
        <v>4085</v>
      </c>
      <c r="P198" s="52" t="s">
        <v>3505</v>
      </c>
    </row>
    <row r="199" spans="2:16" x14ac:dyDescent="0.25">
      <c r="B199" s="32">
        <v>187</v>
      </c>
      <c r="C199" s="229" t="s">
        <v>4092</v>
      </c>
      <c r="D199" s="229"/>
      <c r="E199" s="229"/>
      <c r="F199" s="229"/>
      <c r="G199" s="229"/>
      <c r="H199" s="229"/>
      <c r="I199" s="229"/>
      <c r="J199" s="59" t="s">
        <v>3674</v>
      </c>
      <c r="K199" s="46">
        <v>3500000</v>
      </c>
      <c r="L199" s="2" t="s">
        <v>4087</v>
      </c>
      <c r="M199" s="32"/>
      <c r="N199" s="32">
        <v>3044003430</v>
      </c>
      <c r="O199" s="51" t="s">
        <v>989</v>
      </c>
      <c r="P199" s="38" t="s">
        <v>990</v>
      </c>
    </row>
    <row r="200" spans="2:16" x14ac:dyDescent="0.25">
      <c r="B200" s="32">
        <v>188</v>
      </c>
      <c r="C200" s="229" t="s">
        <v>4091</v>
      </c>
      <c r="D200" s="229"/>
      <c r="E200" s="229"/>
      <c r="F200" s="229"/>
      <c r="G200" s="229"/>
      <c r="H200" s="229"/>
      <c r="I200" s="229"/>
      <c r="J200" s="59" t="s">
        <v>4088</v>
      </c>
      <c r="K200" s="46">
        <v>4025000</v>
      </c>
      <c r="L200" s="2">
        <v>45054</v>
      </c>
      <c r="M200" s="2"/>
      <c r="N200" s="32"/>
      <c r="O200" s="32" t="s">
        <v>4089</v>
      </c>
      <c r="P200" s="52" t="s">
        <v>4090</v>
      </c>
    </row>
    <row r="201" spans="2:16" x14ac:dyDescent="0.25">
      <c r="B201" s="32">
        <v>189</v>
      </c>
      <c r="C201" s="229" t="s">
        <v>4092</v>
      </c>
      <c r="D201" s="229"/>
      <c r="E201" s="229"/>
      <c r="F201" s="229"/>
      <c r="G201" s="229"/>
      <c r="H201" s="229"/>
      <c r="I201" s="229"/>
      <c r="J201" s="59" t="s">
        <v>3674</v>
      </c>
      <c r="K201" s="46">
        <v>2700000</v>
      </c>
      <c r="L201" s="2" t="s">
        <v>4093</v>
      </c>
      <c r="M201" s="32"/>
      <c r="N201" s="32">
        <v>3044003430</v>
      </c>
      <c r="O201" s="51" t="s">
        <v>989</v>
      </c>
      <c r="P201" s="38" t="s">
        <v>990</v>
      </c>
    </row>
    <row r="202" spans="2:16" x14ac:dyDescent="0.25">
      <c r="B202" s="32">
        <v>190</v>
      </c>
      <c r="C202" s="229" t="s">
        <v>4096</v>
      </c>
      <c r="D202" s="229"/>
      <c r="E202" s="229"/>
      <c r="F202" s="229"/>
      <c r="G202" s="229"/>
      <c r="H202" s="229"/>
      <c r="I202" s="229"/>
      <c r="J202" s="59" t="s">
        <v>3078</v>
      </c>
      <c r="K202" s="46">
        <v>13950000</v>
      </c>
      <c r="L202" s="2">
        <v>45056</v>
      </c>
      <c r="M202" s="2"/>
      <c r="N202" s="32">
        <v>2662267</v>
      </c>
      <c r="O202" s="32" t="s">
        <v>4094</v>
      </c>
      <c r="P202" s="52" t="s">
        <v>4095</v>
      </c>
    </row>
    <row r="203" spans="2:16" ht="15" customHeight="1" x14ac:dyDescent="0.25">
      <c r="B203" s="32">
        <v>191</v>
      </c>
      <c r="C203" s="229" t="s">
        <v>4097</v>
      </c>
      <c r="D203" s="229"/>
      <c r="E203" s="229"/>
      <c r="F203" s="229"/>
      <c r="G203" s="229"/>
      <c r="H203" s="229"/>
      <c r="I203" s="229"/>
      <c r="J203" s="59" t="s">
        <v>3078</v>
      </c>
      <c r="K203" s="46">
        <v>13950000</v>
      </c>
      <c r="L203" s="2">
        <v>45056</v>
      </c>
      <c r="M203" s="32"/>
      <c r="N203" s="32">
        <v>2662267</v>
      </c>
      <c r="O203" s="78" t="s">
        <v>4094</v>
      </c>
      <c r="P203" s="52" t="s">
        <v>4095</v>
      </c>
    </row>
    <row r="204" spans="2:16" x14ac:dyDescent="0.25">
      <c r="B204" s="32">
        <v>192</v>
      </c>
      <c r="C204" s="229" t="s">
        <v>4099</v>
      </c>
      <c r="D204" s="229"/>
      <c r="E204" s="229"/>
      <c r="F204" s="229"/>
      <c r="G204" s="229"/>
      <c r="H204" s="229"/>
      <c r="I204" s="229"/>
      <c r="J204" s="59" t="s">
        <v>3078</v>
      </c>
      <c r="K204" s="46">
        <v>27250000</v>
      </c>
      <c r="L204" s="2">
        <v>45056</v>
      </c>
      <c r="M204" s="32"/>
      <c r="N204" s="32">
        <v>2662267</v>
      </c>
      <c r="O204" s="32" t="s">
        <v>4094</v>
      </c>
      <c r="P204" s="52" t="s">
        <v>4095</v>
      </c>
    </row>
    <row r="205" spans="2:16" x14ac:dyDescent="0.25">
      <c r="B205" s="32">
        <v>193</v>
      </c>
      <c r="C205" s="229" t="s">
        <v>4098</v>
      </c>
      <c r="D205" s="229"/>
      <c r="E205" s="229"/>
      <c r="F205" s="229"/>
      <c r="G205" s="229"/>
      <c r="H205" s="229"/>
      <c r="I205" s="229"/>
      <c r="J205" s="59" t="s">
        <v>3078</v>
      </c>
      <c r="K205" s="46">
        <v>27250000</v>
      </c>
      <c r="L205" s="2">
        <v>45056</v>
      </c>
      <c r="M205" s="32"/>
      <c r="N205" s="32">
        <v>2662267</v>
      </c>
      <c r="O205" s="32" t="s">
        <v>4094</v>
      </c>
      <c r="P205" s="52" t="s">
        <v>4095</v>
      </c>
    </row>
    <row r="206" spans="2:16" x14ac:dyDescent="0.25">
      <c r="B206" s="32">
        <v>194</v>
      </c>
      <c r="C206" s="229" t="s">
        <v>4100</v>
      </c>
      <c r="D206" s="229"/>
      <c r="E206" s="229"/>
      <c r="F206" s="229"/>
      <c r="G206" s="229"/>
      <c r="H206" s="229"/>
      <c r="I206" s="229"/>
      <c r="J206" s="59" t="s">
        <v>702</v>
      </c>
      <c r="K206" s="46">
        <v>2300000</v>
      </c>
      <c r="L206" s="2">
        <v>45058</v>
      </c>
      <c r="M206" s="32"/>
      <c r="N206" s="32">
        <v>3137546144</v>
      </c>
      <c r="O206" s="32" t="s">
        <v>3996</v>
      </c>
      <c r="P206" s="52" t="s">
        <v>2504</v>
      </c>
    </row>
    <row r="207" spans="2:16" ht="15" customHeight="1" x14ac:dyDescent="0.25">
      <c r="B207" s="32">
        <v>195</v>
      </c>
      <c r="C207" s="229" t="s">
        <v>4101</v>
      </c>
      <c r="D207" s="229"/>
      <c r="E207" s="229"/>
      <c r="F207" s="229"/>
      <c r="G207" s="229"/>
      <c r="H207" s="229"/>
      <c r="I207" s="229"/>
      <c r="J207" s="59" t="s">
        <v>702</v>
      </c>
      <c r="K207" s="46">
        <v>2950000</v>
      </c>
      <c r="L207" s="2">
        <v>45058</v>
      </c>
      <c r="M207" s="32"/>
      <c r="N207" s="32">
        <v>3137546144</v>
      </c>
      <c r="O207" s="32" t="s">
        <v>3996</v>
      </c>
      <c r="P207" s="52" t="s">
        <v>2504</v>
      </c>
    </row>
    <row r="208" spans="2:16" x14ac:dyDescent="0.25">
      <c r="B208" s="32">
        <v>196</v>
      </c>
      <c r="C208" s="229" t="s">
        <v>4102</v>
      </c>
      <c r="D208" s="229"/>
      <c r="E208" s="229"/>
      <c r="F208" s="229"/>
      <c r="G208" s="229"/>
      <c r="H208" s="229"/>
      <c r="I208" s="229"/>
      <c r="J208" s="59" t="s">
        <v>702</v>
      </c>
      <c r="K208" s="46">
        <v>1880000</v>
      </c>
      <c r="L208" s="2">
        <v>45058</v>
      </c>
      <c r="M208" s="32"/>
      <c r="N208" s="32" t="s">
        <v>4076</v>
      </c>
      <c r="O208" s="32" t="s">
        <v>2760</v>
      </c>
      <c r="P208" s="52" t="s">
        <v>2761</v>
      </c>
    </row>
    <row r="209" spans="2:16" x14ac:dyDescent="0.25">
      <c r="B209" s="32">
        <v>197</v>
      </c>
      <c r="C209" s="229" t="s">
        <v>4103</v>
      </c>
      <c r="D209" s="229"/>
      <c r="E209" s="229"/>
      <c r="F209" s="229"/>
      <c r="G209" s="229"/>
      <c r="H209" s="229"/>
      <c r="I209" s="229"/>
      <c r="J209" s="59" t="s">
        <v>4104</v>
      </c>
      <c r="K209" s="46">
        <v>4980000</v>
      </c>
      <c r="L209" s="2">
        <v>45058</v>
      </c>
      <c r="M209" s="32"/>
      <c r="N209" s="32"/>
      <c r="O209" s="32" t="s">
        <v>4104</v>
      </c>
      <c r="P209" s="52"/>
    </row>
    <row r="210" spans="2:16" x14ac:dyDescent="0.25">
      <c r="B210" s="32">
        <v>198</v>
      </c>
      <c r="C210" s="229" t="s">
        <v>4105</v>
      </c>
      <c r="D210" s="229"/>
      <c r="E210" s="229"/>
      <c r="F210" s="229"/>
      <c r="G210" s="229"/>
      <c r="H210" s="229"/>
      <c r="I210" s="229"/>
      <c r="J210" s="59" t="s">
        <v>702</v>
      </c>
      <c r="K210" s="46">
        <v>1950000</v>
      </c>
      <c r="L210" s="2">
        <v>45058</v>
      </c>
      <c r="M210" s="32"/>
      <c r="N210" s="32">
        <v>3137546144</v>
      </c>
      <c r="O210" s="32" t="s">
        <v>3996</v>
      </c>
      <c r="P210" s="52" t="s">
        <v>2504</v>
      </c>
    </row>
    <row r="211" spans="2:16" ht="15" customHeight="1" x14ac:dyDescent="0.25">
      <c r="B211" s="32">
        <v>199</v>
      </c>
      <c r="C211" s="229" t="s">
        <v>4106</v>
      </c>
      <c r="D211" s="229"/>
      <c r="E211" s="229"/>
      <c r="F211" s="229"/>
      <c r="G211" s="229"/>
      <c r="H211" s="229"/>
      <c r="I211" s="229"/>
      <c r="J211" s="59" t="s">
        <v>1804</v>
      </c>
      <c r="K211" s="46" t="s">
        <v>150</v>
      </c>
      <c r="L211" s="2">
        <v>45058</v>
      </c>
      <c r="M211" s="32"/>
      <c r="N211" s="32">
        <v>4483960</v>
      </c>
      <c r="O211" s="78" t="s">
        <v>2353</v>
      </c>
      <c r="P211" s="52" t="s">
        <v>1806</v>
      </c>
    </row>
    <row r="212" spans="2:16" x14ac:dyDescent="0.25">
      <c r="B212" s="32">
        <v>200</v>
      </c>
      <c r="C212" s="229" t="s">
        <v>4108</v>
      </c>
      <c r="D212" s="229"/>
      <c r="E212" s="229"/>
      <c r="F212" s="229"/>
      <c r="G212" s="229"/>
      <c r="H212" s="229"/>
      <c r="I212" s="229"/>
      <c r="J212" s="59" t="s">
        <v>4107</v>
      </c>
      <c r="K212" s="46">
        <v>5000000</v>
      </c>
      <c r="L212" s="2">
        <v>45058</v>
      </c>
      <c r="M212" s="32"/>
      <c r="N212" s="32" t="s">
        <v>4111</v>
      </c>
      <c r="O212" s="32" t="s">
        <v>4109</v>
      </c>
      <c r="P212" s="52" t="s">
        <v>4110</v>
      </c>
    </row>
    <row r="213" spans="2:16" x14ac:dyDescent="0.25">
      <c r="B213" s="32">
        <v>201</v>
      </c>
      <c r="C213" s="229" t="s">
        <v>4112</v>
      </c>
      <c r="D213" s="229"/>
      <c r="E213" s="229"/>
      <c r="F213" s="229"/>
      <c r="G213" s="229"/>
      <c r="H213" s="229"/>
      <c r="I213" s="229"/>
      <c r="J213" s="59" t="s">
        <v>2204</v>
      </c>
      <c r="K213" s="46">
        <v>7950000</v>
      </c>
      <c r="L213" s="2">
        <v>45058</v>
      </c>
      <c r="M213" s="32"/>
      <c r="N213" s="32"/>
      <c r="O213" s="32" t="s">
        <v>2240</v>
      </c>
      <c r="P213" s="52" t="s">
        <v>2241</v>
      </c>
    </row>
    <row r="214" spans="2:16" x14ac:dyDescent="0.25">
      <c r="B214" s="32">
        <v>202</v>
      </c>
      <c r="C214" s="263" t="s">
        <v>4113</v>
      </c>
      <c r="D214" s="229"/>
      <c r="E214" s="229"/>
      <c r="F214" s="229"/>
      <c r="G214" s="229"/>
      <c r="H214" s="229"/>
      <c r="I214" s="229"/>
      <c r="J214" s="59" t="s">
        <v>2961</v>
      </c>
      <c r="K214" s="46">
        <v>5000000</v>
      </c>
      <c r="L214" s="2">
        <v>45058</v>
      </c>
      <c r="M214" s="32"/>
      <c r="N214" s="32" t="s">
        <v>2591</v>
      </c>
      <c r="O214" s="32" t="s">
        <v>400</v>
      </c>
      <c r="P214" s="52" t="s">
        <v>1012</v>
      </c>
    </row>
    <row r="215" spans="2:16" x14ac:dyDescent="0.25">
      <c r="B215" s="32">
        <v>203</v>
      </c>
      <c r="C215" s="229" t="s">
        <v>4114</v>
      </c>
      <c r="D215" s="229"/>
      <c r="E215" s="229"/>
      <c r="F215" s="229"/>
      <c r="G215" s="229"/>
      <c r="H215" s="229"/>
      <c r="I215" s="229"/>
      <c r="J215" s="59" t="s">
        <v>702</v>
      </c>
      <c r="K215" s="46">
        <v>6650000</v>
      </c>
      <c r="L215" s="2">
        <v>45062</v>
      </c>
      <c r="M215" s="2"/>
      <c r="N215" s="32" t="s">
        <v>4076</v>
      </c>
      <c r="O215" s="32" t="s">
        <v>3242</v>
      </c>
      <c r="P215" s="52" t="s">
        <v>2761</v>
      </c>
    </row>
    <row r="216" spans="2:16" x14ac:dyDescent="0.25">
      <c r="B216" s="32">
        <v>204</v>
      </c>
      <c r="C216" s="229" t="s">
        <v>4115</v>
      </c>
      <c r="D216" s="229"/>
      <c r="E216" s="229"/>
      <c r="F216" s="229"/>
      <c r="G216" s="229"/>
      <c r="H216" s="229"/>
      <c r="I216" s="229"/>
      <c r="J216" s="59" t="s">
        <v>702</v>
      </c>
      <c r="K216" s="46">
        <v>12550000</v>
      </c>
      <c r="L216" s="2">
        <v>45062</v>
      </c>
      <c r="M216" s="32"/>
      <c r="N216" s="32">
        <v>3137546144</v>
      </c>
      <c r="O216" s="32" t="s">
        <v>3996</v>
      </c>
      <c r="P216" s="52" t="s">
        <v>2504</v>
      </c>
    </row>
    <row r="217" spans="2:16" x14ac:dyDescent="0.25">
      <c r="B217" s="32">
        <v>205</v>
      </c>
      <c r="C217" s="229" t="s">
        <v>4116</v>
      </c>
      <c r="D217" s="229"/>
      <c r="E217" s="229"/>
      <c r="F217" s="229"/>
      <c r="G217" s="229"/>
      <c r="H217" s="229"/>
      <c r="I217" s="229"/>
      <c r="J217" s="59" t="s">
        <v>2961</v>
      </c>
      <c r="K217" s="46">
        <v>3150000</v>
      </c>
      <c r="L217" s="2">
        <v>45062</v>
      </c>
      <c r="M217" s="32"/>
      <c r="N217" s="32" t="s">
        <v>2591</v>
      </c>
      <c r="O217" s="32" t="s">
        <v>4117</v>
      </c>
      <c r="P217" s="52" t="s">
        <v>1012</v>
      </c>
    </row>
    <row r="218" spans="2:16" x14ac:dyDescent="0.25">
      <c r="B218" s="32">
        <v>206</v>
      </c>
      <c r="C218" s="229" t="s">
        <v>4119</v>
      </c>
      <c r="D218" s="229"/>
      <c r="E218" s="229"/>
      <c r="F218" s="229"/>
      <c r="G218" s="229"/>
      <c r="H218" s="229"/>
      <c r="I218" s="229"/>
      <c r="J218" s="59" t="s">
        <v>4118</v>
      </c>
      <c r="K218" s="46">
        <v>3150000</v>
      </c>
      <c r="L218" s="2">
        <v>45062</v>
      </c>
      <c r="M218" s="2"/>
      <c r="N218" s="32"/>
      <c r="O218" s="32" t="s">
        <v>2508</v>
      </c>
      <c r="P218" s="52" t="s">
        <v>2509</v>
      </c>
    </row>
    <row r="219" spans="2:16" x14ac:dyDescent="0.25">
      <c r="B219" s="32">
        <v>207</v>
      </c>
      <c r="C219" s="229" t="s">
        <v>4121</v>
      </c>
      <c r="D219" s="229"/>
      <c r="E219" s="229"/>
      <c r="F219" s="229"/>
      <c r="G219" s="229"/>
      <c r="H219" s="229"/>
      <c r="I219" s="229"/>
      <c r="J219" s="59" t="s">
        <v>4120</v>
      </c>
      <c r="K219" s="46">
        <v>10350000</v>
      </c>
      <c r="L219" s="2">
        <v>45063</v>
      </c>
      <c r="M219" s="32"/>
      <c r="N219" s="32" t="s">
        <v>4124</v>
      </c>
      <c r="O219" s="32" t="s">
        <v>4122</v>
      </c>
      <c r="P219" s="52" t="s">
        <v>4123</v>
      </c>
    </row>
    <row r="220" spans="2:16" x14ac:dyDescent="0.25">
      <c r="B220" s="32">
        <v>208</v>
      </c>
      <c r="C220" s="229" t="s">
        <v>4125</v>
      </c>
      <c r="D220" s="229"/>
      <c r="E220" s="229"/>
      <c r="F220" s="229"/>
      <c r="G220" s="229"/>
      <c r="H220" s="229"/>
      <c r="I220" s="229"/>
      <c r="J220" s="59" t="s">
        <v>3050</v>
      </c>
      <c r="K220" s="46">
        <v>4390000</v>
      </c>
      <c r="L220" s="2">
        <v>45064</v>
      </c>
      <c r="M220" s="32"/>
      <c r="N220" s="32">
        <v>3104131109</v>
      </c>
      <c r="O220" s="32" t="s">
        <v>3051</v>
      </c>
      <c r="P220" s="52" t="s">
        <v>3052</v>
      </c>
    </row>
    <row r="221" spans="2:16" x14ac:dyDescent="0.25">
      <c r="B221" s="32">
        <v>209</v>
      </c>
      <c r="C221" s="229" t="s">
        <v>4127</v>
      </c>
      <c r="D221" s="229"/>
      <c r="E221" s="229"/>
      <c r="F221" s="229"/>
      <c r="G221" s="229"/>
      <c r="H221" s="229"/>
      <c r="I221" s="229"/>
      <c r="J221" s="59" t="s">
        <v>712</v>
      </c>
      <c r="K221" s="46">
        <v>4950000</v>
      </c>
      <c r="L221" s="2">
        <v>45064</v>
      </c>
      <c r="M221" s="2"/>
      <c r="N221" s="32">
        <v>3137851941</v>
      </c>
      <c r="O221" s="32" t="s">
        <v>4126</v>
      </c>
      <c r="P221" s="91" t="s">
        <v>713</v>
      </c>
    </row>
    <row r="222" spans="2:16" x14ac:dyDescent="0.25">
      <c r="B222" s="32">
        <v>210</v>
      </c>
      <c r="C222" s="229" t="s">
        <v>4128</v>
      </c>
      <c r="D222" s="229"/>
      <c r="E222" s="229"/>
      <c r="F222" s="229"/>
      <c r="G222" s="229"/>
      <c r="H222" s="229"/>
      <c r="I222" s="229"/>
      <c r="J222" s="59" t="s">
        <v>2602</v>
      </c>
      <c r="K222" s="56">
        <v>13170000</v>
      </c>
      <c r="L222" s="2">
        <v>45072</v>
      </c>
      <c r="M222" s="32"/>
      <c r="N222" s="32">
        <v>3012311524</v>
      </c>
      <c r="O222" s="32" t="s">
        <v>2603</v>
      </c>
      <c r="P222" s="52" t="s">
        <v>3693</v>
      </c>
    </row>
    <row r="223" spans="2:16" x14ac:dyDescent="0.25">
      <c r="B223" s="32">
        <v>211</v>
      </c>
      <c r="C223" s="229" t="s">
        <v>4129</v>
      </c>
      <c r="D223" s="229"/>
      <c r="E223" s="229"/>
      <c r="F223" s="229"/>
      <c r="G223" s="229"/>
      <c r="H223" s="229"/>
      <c r="I223" s="229"/>
      <c r="J223" s="59" t="s">
        <v>880</v>
      </c>
      <c r="K223" s="46">
        <v>3950000</v>
      </c>
      <c r="L223" s="2">
        <v>45065</v>
      </c>
      <c r="M223" s="32"/>
      <c r="N223" s="32"/>
      <c r="O223" s="32" t="s">
        <v>4130</v>
      </c>
      <c r="P223" s="52" t="s">
        <v>4131</v>
      </c>
    </row>
    <row r="224" spans="2:16" x14ac:dyDescent="0.25">
      <c r="B224" s="32">
        <v>212</v>
      </c>
      <c r="C224" s="229" t="s">
        <v>4132</v>
      </c>
      <c r="D224" s="229"/>
      <c r="E224" s="229"/>
      <c r="F224" s="229"/>
      <c r="G224" s="229"/>
      <c r="H224" s="229"/>
      <c r="I224" s="229"/>
      <c r="J224" s="59" t="s">
        <v>702</v>
      </c>
      <c r="K224" s="46" t="s">
        <v>150</v>
      </c>
      <c r="L224" s="2">
        <v>45069</v>
      </c>
      <c r="M224" s="32"/>
      <c r="N224" s="32">
        <v>3137546144</v>
      </c>
      <c r="O224" s="32" t="s">
        <v>3996</v>
      </c>
      <c r="P224" s="52" t="s">
        <v>2504</v>
      </c>
    </row>
    <row r="225" spans="2:16" x14ac:dyDescent="0.25">
      <c r="B225" s="32">
        <v>213</v>
      </c>
      <c r="C225" s="229" t="s">
        <v>4133</v>
      </c>
      <c r="D225" s="229"/>
      <c r="E225" s="229"/>
      <c r="F225" s="229"/>
      <c r="G225" s="229"/>
      <c r="H225" s="229"/>
      <c r="I225" s="229"/>
      <c r="J225" s="59" t="s">
        <v>702</v>
      </c>
      <c r="K225" s="46">
        <v>16960000</v>
      </c>
      <c r="L225" s="2">
        <v>45069</v>
      </c>
      <c r="M225" s="32"/>
      <c r="N225" s="32" t="s">
        <v>4076</v>
      </c>
      <c r="O225" s="32" t="s">
        <v>2760</v>
      </c>
      <c r="P225" s="52" t="s">
        <v>2761</v>
      </c>
    </row>
    <row r="226" spans="2:16" x14ac:dyDescent="0.25">
      <c r="B226" s="32">
        <v>214</v>
      </c>
      <c r="C226" s="229" t="s">
        <v>4134</v>
      </c>
      <c r="D226" s="229"/>
      <c r="E226" s="229"/>
      <c r="F226" s="229"/>
      <c r="G226" s="229"/>
      <c r="H226" s="229"/>
      <c r="I226" s="229"/>
      <c r="J226" s="59" t="s">
        <v>3750</v>
      </c>
      <c r="K226" s="46" t="s">
        <v>150</v>
      </c>
      <c r="L226" s="2">
        <v>45069</v>
      </c>
      <c r="M226" s="32"/>
      <c r="N226" s="32" t="s">
        <v>3752</v>
      </c>
      <c r="O226" s="32" t="s">
        <v>3749</v>
      </c>
      <c r="P226" s="52" t="s">
        <v>3748</v>
      </c>
    </row>
    <row r="227" spans="2:16" ht="15" customHeight="1" x14ac:dyDescent="0.25">
      <c r="B227" s="32">
        <v>215</v>
      </c>
      <c r="C227" s="229" t="s">
        <v>4136</v>
      </c>
      <c r="D227" s="229"/>
      <c r="E227" s="229"/>
      <c r="F227" s="229"/>
      <c r="G227" s="229"/>
      <c r="H227" s="229"/>
      <c r="I227" s="229"/>
      <c r="J227" s="59" t="s">
        <v>4135</v>
      </c>
      <c r="K227" s="46">
        <v>5650000</v>
      </c>
      <c r="L227" s="2">
        <v>45072</v>
      </c>
      <c r="M227" s="32"/>
      <c r="N227" s="32" t="s">
        <v>4138</v>
      </c>
      <c r="O227" s="32" t="s">
        <v>4137</v>
      </c>
      <c r="P227" s="52" t="s">
        <v>4139</v>
      </c>
    </row>
    <row r="228" spans="2:16" x14ac:dyDescent="0.25">
      <c r="B228" s="32">
        <v>216</v>
      </c>
      <c r="C228" s="229" t="s">
        <v>4140</v>
      </c>
      <c r="D228" s="229"/>
      <c r="E228" s="229"/>
      <c r="F228" s="229"/>
      <c r="G228" s="229"/>
      <c r="H228" s="229"/>
      <c r="I228" s="229"/>
      <c r="J228" s="64" t="s">
        <v>831</v>
      </c>
      <c r="K228" s="46">
        <v>14950000</v>
      </c>
      <c r="L228" s="2">
        <v>45070</v>
      </c>
      <c r="M228" s="2"/>
      <c r="N228" s="32" t="s">
        <v>3824</v>
      </c>
      <c r="O228" s="32" t="s">
        <v>3818</v>
      </c>
      <c r="P228" s="52" t="s">
        <v>2270</v>
      </c>
    </row>
    <row r="229" spans="2:16" x14ac:dyDescent="0.25">
      <c r="B229" s="32">
        <v>217</v>
      </c>
      <c r="C229" s="263" t="s">
        <v>4142</v>
      </c>
      <c r="D229" s="229"/>
      <c r="E229" s="229"/>
      <c r="F229" s="229"/>
      <c r="G229" s="229"/>
      <c r="H229" s="229"/>
      <c r="I229" s="229"/>
      <c r="J229" s="59" t="s">
        <v>1177</v>
      </c>
      <c r="K229" s="46">
        <v>11915000</v>
      </c>
      <c r="L229" s="2">
        <v>45070</v>
      </c>
      <c r="M229" s="32"/>
      <c r="N229" s="32"/>
      <c r="O229" s="32" t="s">
        <v>4141</v>
      </c>
      <c r="P229" s="52"/>
    </row>
    <row r="230" spans="2:16" x14ac:dyDescent="0.25">
      <c r="B230" s="32">
        <v>218</v>
      </c>
      <c r="C230" s="229" t="s">
        <v>4143</v>
      </c>
      <c r="D230" s="229"/>
      <c r="E230" s="229"/>
      <c r="F230" s="229"/>
      <c r="G230" s="229"/>
      <c r="H230" s="229"/>
      <c r="I230" s="229"/>
      <c r="J230" s="59" t="s">
        <v>2670</v>
      </c>
      <c r="K230" s="46">
        <v>5650000</v>
      </c>
      <c r="L230" s="2">
        <v>45072</v>
      </c>
      <c r="M230" s="32"/>
      <c r="N230" s="32" t="s">
        <v>4233</v>
      </c>
      <c r="O230" s="32" t="s">
        <v>2670</v>
      </c>
      <c r="P230" s="90"/>
    </row>
    <row r="231" spans="2:16" x14ac:dyDescent="0.25">
      <c r="B231" s="32">
        <v>219</v>
      </c>
      <c r="C231" s="229" t="s">
        <v>4146</v>
      </c>
      <c r="D231" s="229"/>
      <c r="E231" s="229"/>
      <c r="F231" s="229"/>
      <c r="G231" s="229"/>
      <c r="H231" s="229"/>
      <c r="I231" s="229"/>
      <c r="J231" s="59" t="s">
        <v>1272</v>
      </c>
      <c r="K231" s="46">
        <v>27960000</v>
      </c>
      <c r="L231" s="2">
        <v>45072</v>
      </c>
      <c r="M231" s="32"/>
      <c r="N231" s="32">
        <v>3164946679</v>
      </c>
      <c r="O231" s="32" t="s">
        <v>4145</v>
      </c>
      <c r="P231" s="52" t="s">
        <v>4144</v>
      </c>
    </row>
    <row r="232" spans="2:16" x14ac:dyDescent="0.25">
      <c r="B232" s="32">
        <v>220</v>
      </c>
      <c r="C232" s="229" t="s">
        <v>4147</v>
      </c>
      <c r="D232" s="229"/>
      <c r="E232" s="229"/>
      <c r="F232" s="229"/>
      <c r="G232" s="229"/>
      <c r="H232" s="229"/>
      <c r="I232" s="229"/>
      <c r="J232" s="59" t="s">
        <v>2602</v>
      </c>
      <c r="K232" s="56">
        <v>23700000</v>
      </c>
      <c r="L232" s="2">
        <v>45072</v>
      </c>
      <c r="M232" s="32"/>
      <c r="N232" s="32">
        <v>3012311524</v>
      </c>
      <c r="O232" s="32" t="s">
        <v>2603</v>
      </c>
      <c r="P232" s="52" t="s">
        <v>3693</v>
      </c>
    </row>
    <row r="233" spans="2:16" x14ac:dyDescent="0.25">
      <c r="B233" s="32">
        <v>221</v>
      </c>
      <c r="C233" s="229" t="s">
        <v>4151</v>
      </c>
      <c r="D233" s="229"/>
      <c r="E233" s="229"/>
      <c r="F233" s="229"/>
      <c r="G233" s="229"/>
      <c r="H233" s="229"/>
      <c r="I233" s="229"/>
      <c r="J233" s="59" t="s">
        <v>4148</v>
      </c>
      <c r="K233" s="46">
        <v>2950000</v>
      </c>
      <c r="L233" s="2">
        <v>45072</v>
      </c>
      <c r="M233" s="32"/>
      <c r="N233" s="32">
        <v>3162439535</v>
      </c>
      <c r="O233" s="32" t="s">
        <v>4149</v>
      </c>
      <c r="P233" s="52" t="s">
        <v>4150</v>
      </c>
    </row>
    <row r="234" spans="2:16" x14ac:dyDescent="0.25">
      <c r="B234" s="32">
        <v>222</v>
      </c>
      <c r="C234" s="263" t="s">
        <v>4154</v>
      </c>
      <c r="D234" s="229"/>
      <c r="E234" s="229"/>
      <c r="F234" s="229"/>
      <c r="G234" s="229"/>
      <c r="H234" s="229"/>
      <c r="I234" s="229"/>
      <c r="J234" s="59" t="s">
        <v>3002</v>
      </c>
      <c r="K234" s="46" t="s">
        <v>150</v>
      </c>
      <c r="L234" s="2">
        <v>45075</v>
      </c>
      <c r="M234" s="32"/>
      <c r="N234" s="32">
        <v>3014317086</v>
      </c>
      <c r="O234" s="32" t="s">
        <v>4153</v>
      </c>
      <c r="P234" s="52" t="s">
        <v>4152</v>
      </c>
    </row>
    <row r="235" spans="2:16" x14ac:dyDescent="0.25">
      <c r="B235" s="32">
        <v>223</v>
      </c>
      <c r="C235" s="263" t="s">
        <v>4155</v>
      </c>
      <c r="D235" s="229"/>
      <c r="E235" s="229"/>
      <c r="F235" s="229"/>
      <c r="G235" s="229"/>
      <c r="H235" s="229"/>
      <c r="I235" s="229"/>
      <c r="J235" s="59" t="s">
        <v>3813</v>
      </c>
      <c r="K235" s="46"/>
      <c r="L235" s="2">
        <v>45076</v>
      </c>
      <c r="M235" s="2"/>
      <c r="N235" s="57" t="s">
        <v>3270</v>
      </c>
      <c r="O235" s="32" t="s">
        <v>646</v>
      </c>
      <c r="P235" s="52" t="s">
        <v>3274</v>
      </c>
    </row>
    <row r="236" spans="2:16" ht="15" customHeight="1" x14ac:dyDescent="0.25">
      <c r="B236" s="32">
        <v>224</v>
      </c>
      <c r="C236" s="271" t="s">
        <v>4156</v>
      </c>
      <c r="D236" s="272"/>
      <c r="E236" s="272"/>
      <c r="F236" s="272"/>
      <c r="G236" s="272"/>
      <c r="H236" s="272"/>
      <c r="I236" s="272"/>
      <c r="J236" s="59" t="s">
        <v>712</v>
      </c>
      <c r="K236" s="46">
        <v>15680000</v>
      </c>
      <c r="L236" s="2">
        <v>45078</v>
      </c>
      <c r="M236" s="32"/>
      <c r="N236" s="32">
        <v>3137851941</v>
      </c>
      <c r="O236" s="51" t="s">
        <v>4126</v>
      </c>
      <c r="P236" s="52" t="s">
        <v>713</v>
      </c>
    </row>
    <row r="237" spans="2:16" ht="15" customHeight="1" x14ac:dyDescent="0.25">
      <c r="B237" s="32">
        <v>225</v>
      </c>
      <c r="C237" s="229" t="s">
        <v>4157</v>
      </c>
      <c r="D237" s="229"/>
      <c r="E237" s="229"/>
      <c r="F237" s="229"/>
      <c r="G237" s="229"/>
      <c r="H237" s="229"/>
      <c r="I237" s="229"/>
      <c r="J237" s="59" t="s">
        <v>747</v>
      </c>
      <c r="K237" s="46">
        <v>4890000</v>
      </c>
      <c r="L237" s="2">
        <v>45077</v>
      </c>
      <c r="M237" s="32"/>
      <c r="N237" s="32">
        <v>3175594091</v>
      </c>
      <c r="O237" s="32" t="s">
        <v>496</v>
      </c>
      <c r="P237" s="38" t="s">
        <v>748</v>
      </c>
    </row>
    <row r="238" spans="2:16" x14ac:dyDescent="0.25">
      <c r="B238" s="32">
        <v>226</v>
      </c>
      <c r="C238" s="229" t="s">
        <v>4158</v>
      </c>
      <c r="D238" s="229"/>
      <c r="E238" s="229"/>
      <c r="F238" s="229"/>
      <c r="G238" s="229"/>
      <c r="H238" s="229"/>
      <c r="I238" s="229"/>
      <c r="J238" s="59" t="s">
        <v>1415</v>
      </c>
      <c r="K238" s="46">
        <v>3890000</v>
      </c>
      <c r="L238" s="2">
        <v>45078</v>
      </c>
      <c r="M238" s="32"/>
      <c r="N238" s="32"/>
      <c r="O238" s="51" t="s">
        <v>374</v>
      </c>
      <c r="P238" s="52"/>
    </row>
    <row r="239" spans="2:16" x14ac:dyDescent="0.25">
      <c r="B239" s="32">
        <v>227</v>
      </c>
      <c r="C239" s="229" t="s">
        <v>4159</v>
      </c>
      <c r="D239" s="229"/>
      <c r="E239" s="229"/>
      <c r="F239" s="229"/>
      <c r="G239" s="229"/>
      <c r="H239" s="229"/>
      <c r="I239" s="229"/>
      <c r="J239" s="59" t="s">
        <v>3002</v>
      </c>
      <c r="K239" s="46">
        <v>29730000</v>
      </c>
      <c r="L239" s="2">
        <v>45078</v>
      </c>
      <c r="M239" s="32"/>
      <c r="N239" s="81"/>
      <c r="O239" s="32" t="s">
        <v>2657</v>
      </c>
      <c r="P239" s="52" t="s">
        <v>2658</v>
      </c>
    </row>
    <row r="240" spans="2:16" x14ac:dyDescent="0.25">
      <c r="B240" s="32">
        <v>228</v>
      </c>
      <c r="C240" s="271" t="s">
        <v>4163</v>
      </c>
      <c r="D240" s="272"/>
      <c r="E240" s="272"/>
      <c r="F240" s="272"/>
      <c r="G240" s="272"/>
      <c r="H240" s="272"/>
      <c r="I240" s="272"/>
      <c r="J240" s="59" t="s">
        <v>4160</v>
      </c>
      <c r="K240" s="46">
        <v>19980000</v>
      </c>
      <c r="L240" s="2">
        <v>45078</v>
      </c>
      <c r="M240" s="32"/>
      <c r="N240" s="32" t="s">
        <v>4162</v>
      </c>
      <c r="O240" s="51" t="s">
        <v>885</v>
      </c>
      <c r="P240" s="52" t="s">
        <v>4161</v>
      </c>
    </row>
    <row r="241" spans="2:16" x14ac:dyDescent="0.25">
      <c r="B241" s="32">
        <v>229</v>
      </c>
      <c r="C241" s="229" t="s">
        <v>4166</v>
      </c>
      <c r="D241" s="229"/>
      <c r="E241" s="229"/>
      <c r="F241" s="229"/>
      <c r="G241" s="229"/>
      <c r="H241" s="229"/>
      <c r="I241" s="229"/>
      <c r="J241" s="59" t="s">
        <v>4165</v>
      </c>
      <c r="K241" s="46">
        <v>11920000</v>
      </c>
      <c r="L241" s="2">
        <v>45078</v>
      </c>
      <c r="M241" s="32"/>
      <c r="N241" s="32">
        <v>6044731717</v>
      </c>
      <c r="O241" s="51" t="s">
        <v>4167</v>
      </c>
      <c r="P241" s="52" t="s">
        <v>4164</v>
      </c>
    </row>
    <row r="242" spans="2:16" x14ac:dyDescent="0.25">
      <c r="B242" s="32">
        <v>230</v>
      </c>
      <c r="C242" s="229" t="s">
        <v>4168</v>
      </c>
      <c r="D242" s="229"/>
      <c r="E242" s="229"/>
      <c r="F242" s="229"/>
      <c r="G242" s="229"/>
      <c r="H242" s="229"/>
      <c r="I242" s="229"/>
      <c r="J242" s="59" t="s">
        <v>851</v>
      </c>
      <c r="K242" s="46">
        <v>24850000</v>
      </c>
      <c r="L242" s="2">
        <v>45077</v>
      </c>
      <c r="M242" s="32"/>
      <c r="N242" s="32">
        <v>3206678830</v>
      </c>
      <c r="O242" s="32" t="s">
        <v>284</v>
      </c>
      <c r="P242" s="52" t="s">
        <v>948</v>
      </c>
    </row>
    <row r="243" spans="2:16" x14ac:dyDescent="0.25">
      <c r="B243" s="32">
        <v>231</v>
      </c>
      <c r="C243" s="263" t="s">
        <v>4170</v>
      </c>
      <c r="D243" s="229"/>
      <c r="E243" s="229"/>
      <c r="F243" s="229"/>
      <c r="G243" s="229"/>
      <c r="H243" s="229"/>
      <c r="I243" s="229"/>
      <c r="J243" s="59" t="s">
        <v>2325</v>
      </c>
      <c r="K243" s="46">
        <v>29950000</v>
      </c>
      <c r="L243" s="2">
        <v>45077</v>
      </c>
      <c r="M243" s="32"/>
      <c r="N243" s="32" t="s">
        <v>2326</v>
      </c>
      <c r="O243" s="32" t="s">
        <v>2327</v>
      </c>
      <c r="P243" s="52" t="s">
        <v>4169</v>
      </c>
    </row>
    <row r="244" spans="2:16" ht="15" customHeight="1" x14ac:dyDescent="0.25">
      <c r="B244" s="32">
        <v>232</v>
      </c>
      <c r="C244" s="263" t="s">
        <v>4171</v>
      </c>
      <c r="D244" s="229"/>
      <c r="E244" s="229"/>
      <c r="F244" s="229"/>
      <c r="G244" s="229"/>
      <c r="H244" s="229"/>
      <c r="I244" s="229"/>
      <c r="J244" s="59" t="s">
        <v>505</v>
      </c>
      <c r="K244" s="46">
        <v>15950000</v>
      </c>
      <c r="L244" s="2">
        <v>45078</v>
      </c>
      <c r="M244" s="2"/>
      <c r="N244" s="32"/>
      <c r="O244" s="32" t="s">
        <v>505</v>
      </c>
      <c r="P244" s="52"/>
    </row>
    <row r="245" spans="2:16" x14ac:dyDescent="0.25">
      <c r="B245" s="32">
        <v>233</v>
      </c>
      <c r="C245" s="229" t="s">
        <v>4182</v>
      </c>
      <c r="D245" s="229"/>
      <c r="E245" s="229"/>
      <c r="F245" s="229"/>
      <c r="G245" s="229"/>
      <c r="H245" s="229"/>
      <c r="I245" s="229"/>
      <c r="J245" s="59" t="s">
        <v>847</v>
      </c>
      <c r="K245" s="46">
        <v>1880000</v>
      </c>
      <c r="L245" s="2">
        <v>45085</v>
      </c>
      <c r="M245" s="32"/>
      <c r="N245" s="32"/>
      <c r="O245" s="32" t="s">
        <v>4172</v>
      </c>
      <c r="P245" s="52" t="s">
        <v>3533</v>
      </c>
    </row>
    <row r="246" spans="2:16" x14ac:dyDescent="0.25">
      <c r="B246" s="32">
        <v>234</v>
      </c>
      <c r="C246" s="263" t="s">
        <v>4173</v>
      </c>
      <c r="D246" s="229"/>
      <c r="E246" s="229"/>
      <c r="F246" s="229"/>
      <c r="G246" s="229"/>
      <c r="H246" s="229"/>
      <c r="I246" s="229"/>
      <c r="J246" s="59" t="s">
        <v>1086</v>
      </c>
      <c r="K246" s="46">
        <v>14920000</v>
      </c>
      <c r="L246" s="2">
        <v>45085</v>
      </c>
      <c r="M246" s="32"/>
      <c r="N246" s="32">
        <v>3174376208</v>
      </c>
      <c r="O246" s="32" t="s">
        <v>4174</v>
      </c>
      <c r="P246" s="52" t="s">
        <v>4012</v>
      </c>
    </row>
    <row r="247" spans="2:16" x14ac:dyDescent="0.25">
      <c r="B247" s="32">
        <v>235</v>
      </c>
      <c r="C247" s="229" t="s">
        <v>4175</v>
      </c>
      <c r="D247" s="229"/>
      <c r="E247" s="229"/>
      <c r="F247" s="229"/>
      <c r="G247" s="229"/>
      <c r="H247" s="229"/>
      <c r="I247" s="229"/>
      <c r="J247" s="59" t="s">
        <v>4120</v>
      </c>
      <c r="K247" s="46">
        <v>24930000</v>
      </c>
      <c r="L247" s="2">
        <v>45085</v>
      </c>
      <c r="M247" s="32"/>
      <c r="N247" s="32" t="s">
        <v>4124</v>
      </c>
      <c r="O247" s="32" t="s">
        <v>4122</v>
      </c>
      <c r="P247" s="52" t="s">
        <v>4123</v>
      </c>
    </row>
    <row r="248" spans="2:16" x14ac:dyDescent="0.25">
      <c r="B248" s="32">
        <v>236</v>
      </c>
      <c r="C248" s="271" t="s">
        <v>4177</v>
      </c>
      <c r="D248" s="272"/>
      <c r="E248" s="272"/>
      <c r="F248" s="272"/>
      <c r="G248" s="272"/>
      <c r="H248" s="272"/>
      <c r="I248" s="272"/>
      <c r="J248" s="59" t="s">
        <v>1139</v>
      </c>
      <c r="K248" s="46">
        <v>8780000</v>
      </c>
      <c r="L248" s="2">
        <v>45085</v>
      </c>
      <c r="M248" s="32"/>
      <c r="N248" s="32">
        <v>3148646158</v>
      </c>
      <c r="O248" s="32" t="s">
        <v>4176</v>
      </c>
      <c r="P248" s="52" t="s">
        <v>2646</v>
      </c>
    </row>
    <row r="249" spans="2:16" x14ac:dyDescent="0.25">
      <c r="B249" s="32">
        <v>237</v>
      </c>
      <c r="C249" s="229" t="s">
        <v>4181</v>
      </c>
      <c r="D249" s="229"/>
      <c r="E249" s="229"/>
      <c r="F249" s="229"/>
      <c r="G249" s="229"/>
      <c r="H249" s="229"/>
      <c r="I249" s="229"/>
      <c r="J249" s="59" t="s">
        <v>4178</v>
      </c>
      <c r="K249" s="46">
        <v>12920000</v>
      </c>
      <c r="L249" s="2">
        <v>45085</v>
      </c>
      <c r="M249" s="32"/>
      <c r="N249" s="32">
        <v>3157703942</v>
      </c>
      <c r="O249" s="32" t="s">
        <v>4180</v>
      </c>
      <c r="P249" s="52" t="s">
        <v>4179</v>
      </c>
    </row>
    <row r="250" spans="2:16" x14ac:dyDescent="0.25">
      <c r="B250" s="32">
        <v>238</v>
      </c>
      <c r="C250" s="229" t="s">
        <v>4183</v>
      </c>
      <c r="D250" s="229"/>
      <c r="E250" s="229"/>
      <c r="F250" s="229"/>
      <c r="G250" s="229"/>
      <c r="H250" s="229"/>
      <c r="I250" s="229"/>
      <c r="J250" s="59" t="s">
        <v>4184</v>
      </c>
      <c r="K250" s="46">
        <v>12540000</v>
      </c>
      <c r="L250" s="2">
        <v>45085</v>
      </c>
      <c r="M250" s="32"/>
      <c r="N250" s="32" t="s">
        <v>4185</v>
      </c>
      <c r="O250" s="32" t="s">
        <v>4184</v>
      </c>
      <c r="P250" s="52"/>
    </row>
    <row r="251" spans="2:16" x14ac:dyDescent="0.25">
      <c r="B251" s="32">
        <v>239</v>
      </c>
      <c r="C251" s="271" t="s">
        <v>4188</v>
      </c>
      <c r="D251" s="272"/>
      <c r="E251" s="272"/>
      <c r="F251" s="272"/>
      <c r="G251" s="272"/>
      <c r="H251" s="272"/>
      <c r="I251" s="272"/>
      <c r="J251" s="59" t="s">
        <v>1139</v>
      </c>
      <c r="K251" s="46">
        <v>3510000</v>
      </c>
      <c r="L251" s="2">
        <v>45085</v>
      </c>
      <c r="M251" s="32"/>
      <c r="N251" s="32">
        <v>3146942116</v>
      </c>
      <c r="O251" s="32" t="s">
        <v>4186</v>
      </c>
      <c r="P251" s="52" t="s">
        <v>4187</v>
      </c>
    </row>
    <row r="252" spans="2:16" x14ac:dyDescent="0.25">
      <c r="B252" s="32">
        <v>240</v>
      </c>
      <c r="C252" s="229" t="s">
        <v>4189</v>
      </c>
      <c r="D252" s="229"/>
      <c r="E252" s="229"/>
      <c r="F252" s="229"/>
      <c r="G252" s="229"/>
      <c r="H252" s="229"/>
      <c r="I252" s="229"/>
      <c r="J252" s="59" t="s">
        <v>1139</v>
      </c>
      <c r="K252" s="46">
        <v>3950000</v>
      </c>
      <c r="L252" s="2">
        <v>45085</v>
      </c>
      <c r="M252" s="32"/>
      <c r="N252" s="32">
        <v>3003404902</v>
      </c>
      <c r="O252" s="32" t="s">
        <v>3829</v>
      </c>
      <c r="P252" s="52" t="s">
        <v>2881</v>
      </c>
    </row>
    <row r="253" spans="2:16" x14ac:dyDescent="0.25">
      <c r="B253" s="32">
        <v>241</v>
      </c>
      <c r="C253" s="229" t="s">
        <v>4191</v>
      </c>
      <c r="D253" s="229"/>
      <c r="E253" s="229"/>
      <c r="F253" s="229"/>
      <c r="G253" s="229"/>
      <c r="H253" s="229"/>
      <c r="I253" s="229"/>
      <c r="J253" s="59" t="s">
        <v>702</v>
      </c>
      <c r="K253" s="46">
        <v>39950000</v>
      </c>
      <c r="L253" s="2">
        <v>45092</v>
      </c>
      <c r="M253" s="32"/>
      <c r="N253" s="32" t="s">
        <v>2036</v>
      </c>
      <c r="O253" s="32" t="s">
        <v>2748</v>
      </c>
      <c r="P253" s="52" t="s">
        <v>2600</v>
      </c>
    </row>
    <row r="254" spans="2:16" x14ac:dyDescent="0.25">
      <c r="B254" s="32">
        <v>242</v>
      </c>
      <c r="C254" s="229" t="s">
        <v>4192</v>
      </c>
      <c r="D254" s="229"/>
      <c r="E254" s="229"/>
      <c r="F254" s="229"/>
      <c r="G254" s="229"/>
      <c r="H254" s="229"/>
      <c r="I254" s="229"/>
      <c r="J254" s="59" t="s">
        <v>2670</v>
      </c>
      <c r="K254" s="46">
        <v>11920000</v>
      </c>
      <c r="L254" s="2">
        <v>45091</v>
      </c>
      <c r="M254" s="32"/>
      <c r="N254" s="32" t="s">
        <v>4233</v>
      </c>
      <c r="O254" s="32" t="s">
        <v>2670</v>
      </c>
      <c r="P254" s="52"/>
    </row>
    <row r="255" spans="2:16" x14ac:dyDescent="0.25">
      <c r="B255" s="32">
        <v>243</v>
      </c>
      <c r="C255" s="271" t="s">
        <v>4193</v>
      </c>
      <c r="D255" s="272"/>
      <c r="E255" s="272"/>
      <c r="F255" s="272"/>
      <c r="G255" s="272"/>
      <c r="H255" s="272"/>
      <c r="I255" s="272"/>
      <c r="J255" s="59" t="s">
        <v>3674</v>
      </c>
      <c r="K255" s="46">
        <v>3140000</v>
      </c>
      <c r="L255" s="2">
        <v>45091</v>
      </c>
      <c r="M255" s="2"/>
      <c r="N255" s="32">
        <v>3044003430</v>
      </c>
      <c r="O255" s="51" t="s">
        <v>989</v>
      </c>
      <c r="P255" s="38" t="s">
        <v>990</v>
      </c>
    </row>
    <row r="256" spans="2:16" x14ac:dyDescent="0.25">
      <c r="B256" s="32">
        <v>244</v>
      </c>
      <c r="C256" s="229" t="s">
        <v>4195</v>
      </c>
      <c r="D256" s="229"/>
      <c r="E256" s="229"/>
      <c r="F256" s="229"/>
      <c r="G256" s="229"/>
      <c r="H256" s="229"/>
      <c r="I256" s="229"/>
      <c r="J256" s="59" t="s">
        <v>4194</v>
      </c>
      <c r="K256" s="46">
        <v>7250000</v>
      </c>
      <c r="L256" s="2">
        <v>45091</v>
      </c>
      <c r="M256" s="32"/>
      <c r="N256" s="32">
        <v>3167417025</v>
      </c>
      <c r="O256" s="32" t="s">
        <v>3950</v>
      </c>
      <c r="P256" s="52" t="s">
        <v>3951</v>
      </c>
    </row>
    <row r="257" spans="2:16" x14ac:dyDescent="0.25">
      <c r="B257" s="32">
        <v>245</v>
      </c>
      <c r="C257" s="229" t="s">
        <v>4196</v>
      </c>
      <c r="D257" s="229"/>
      <c r="E257" s="229"/>
      <c r="F257" s="229"/>
      <c r="G257" s="229"/>
      <c r="H257" s="229"/>
      <c r="I257" s="229"/>
      <c r="J257" s="59" t="s">
        <v>1659</v>
      </c>
      <c r="K257" s="46">
        <v>13800000</v>
      </c>
      <c r="L257" s="2">
        <v>45091</v>
      </c>
      <c r="M257" s="2"/>
      <c r="N257" s="32">
        <v>3014201614</v>
      </c>
      <c r="O257" s="32" t="s">
        <v>4029</v>
      </c>
      <c r="P257" s="52" t="s">
        <v>2771</v>
      </c>
    </row>
    <row r="258" spans="2:16" x14ac:dyDescent="0.25">
      <c r="B258" s="32">
        <v>246</v>
      </c>
      <c r="C258" s="229" t="s">
        <v>4197</v>
      </c>
      <c r="D258" s="229"/>
      <c r="E258" s="229"/>
      <c r="F258" s="229"/>
      <c r="G258" s="229"/>
      <c r="H258" s="229"/>
      <c r="I258" s="229"/>
      <c r="J258" s="59" t="s">
        <v>3674</v>
      </c>
      <c r="K258" s="46">
        <v>5560000</v>
      </c>
      <c r="L258" s="2">
        <v>45091</v>
      </c>
      <c r="M258" s="32"/>
      <c r="N258" s="32">
        <v>3044003430</v>
      </c>
      <c r="O258" s="51" t="s">
        <v>989</v>
      </c>
      <c r="P258" s="38" t="s">
        <v>990</v>
      </c>
    </row>
    <row r="259" spans="2:16" x14ac:dyDescent="0.25">
      <c r="B259" s="32">
        <v>247</v>
      </c>
      <c r="C259" s="229" t="s">
        <v>4198</v>
      </c>
      <c r="D259" s="229"/>
      <c r="E259" s="229"/>
      <c r="F259" s="229"/>
      <c r="G259" s="229"/>
      <c r="H259" s="229"/>
      <c r="I259" s="229"/>
      <c r="J259" s="59" t="s">
        <v>847</v>
      </c>
      <c r="K259" s="46">
        <v>1880000</v>
      </c>
      <c r="L259" s="2">
        <v>45092</v>
      </c>
      <c r="M259" s="32"/>
      <c r="N259" s="32">
        <v>3004405962</v>
      </c>
      <c r="O259" s="32" t="s">
        <v>4172</v>
      </c>
      <c r="P259" s="52" t="s">
        <v>3533</v>
      </c>
    </row>
    <row r="260" spans="2:16" x14ac:dyDescent="0.25">
      <c r="B260" s="32">
        <v>248</v>
      </c>
      <c r="C260" s="229" t="s">
        <v>4199</v>
      </c>
      <c r="D260" s="229"/>
      <c r="E260" s="229"/>
      <c r="F260" s="229"/>
      <c r="G260" s="229"/>
      <c r="H260" s="229"/>
      <c r="I260" s="229"/>
      <c r="J260" s="59" t="s">
        <v>4200</v>
      </c>
      <c r="K260" s="46">
        <v>39950000</v>
      </c>
      <c r="L260" s="2">
        <v>45092</v>
      </c>
      <c r="M260" s="32"/>
      <c r="N260" s="32" t="s">
        <v>4203</v>
      </c>
      <c r="O260" s="32" t="s">
        <v>4201</v>
      </c>
      <c r="P260" s="52" t="s">
        <v>4202</v>
      </c>
    </row>
    <row r="261" spans="2:16" x14ac:dyDescent="0.25">
      <c r="B261" s="32">
        <v>249</v>
      </c>
      <c r="C261" s="271" t="s">
        <v>4234</v>
      </c>
      <c r="D261" s="272"/>
      <c r="E261" s="272"/>
      <c r="F261" s="272"/>
      <c r="G261" s="272"/>
      <c r="H261" s="272"/>
      <c r="I261" s="272"/>
      <c r="J261" s="59" t="s">
        <v>702</v>
      </c>
      <c r="K261" s="46">
        <v>6950000</v>
      </c>
      <c r="L261" s="2">
        <v>45092</v>
      </c>
      <c r="M261" s="32"/>
      <c r="N261" s="32" t="s">
        <v>4204</v>
      </c>
      <c r="O261" s="32" t="s">
        <v>2620</v>
      </c>
      <c r="P261" s="52" t="s">
        <v>2621</v>
      </c>
    </row>
    <row r="262" spans="2:16" x14ac:dyDescent="0.25">
      <c r="B262" s="32">
        <v>250</v>
      </c>
      <c r="C262" s="229" t="s">
        <v>4207</v>
      </c>
      <c r="D262" s="229"/>
      <c r="E262" s="229"/>
      <c r="F262" s="229"/>
      <c r="G262" s="229"/>
      <c r="H262" s="229"/>
      <c r="I262" s="229"/>
      <c r="J262" s="59" t="s">
        <v>4205</v>
      </c>
      <c r="K262" s="46">
        <v>46350000</v>
      </c>
      <c r="L262" s="2">
        <v>45092</v>
      </c>
      <c r="M262" s="32"/>
      <c r="N262" s="32" t="s">
        <v>4206</v>
      </c>
      <c r="O262" s="51" t="s">
        <v>4205</v>
      </c>
      <c r="P262" s="52" t="s">
        <v>4208</v>
      </c>
    </row>
    <row r="263" spans="2:16" x14ac:dyDescent="0.25">
      <c r="B263" s="32">
        <v>251</v>
      </c>
      <c r="C263" s="229" t="s">
        <v>4209</v>
      </c>
      <c r="D263" s="229"/>
      <c r="E263" s="229"/>
      <c r="F263" s="229"/>
      <c r="G263" s="229"/>
      <c r="H263" s="229"/>
      <c r="I263" s="229"/>
      <c r="J263" s="32" t="s">
        <v>2670</v>
      </c>
      <c r="K263" s="46"/>
      <c r="L263" s="2">
        <v>45093</v>
      </c>
      <c r="M263" s="32"/>
      <c r="N263" s="32" t="s">
        <v>4233</v>
      </c>
      <c r="O263" s="32" t="s">
        <v>2670</v>
      </c>
      <c r="P263" s="52"/>
    </row>
    <row r="264" spans="2:16" x14ac:dyDescent="0.25">
      <c r="B264" s="32">
        <v>252</v>
      </c>
      <c r="C264" s="263" t="s">
        <v>2870</v>
      </c>
      <c r="D264" s="229"/>
      <c r="E264" s="229"/>
      <c r="F264" s="229"/>
      <c r="G264" s="229"/>
      <c r="H264" s="229"/>
      <c r="I264" s="229"/>
      <c r="J264" s="59"/>
      <c r="K264" s="46">
        <v>14950000</v>
      </c>
      <c r="L264" s="2">
        <v>45097</v>
      </c>
      <c r="M264" s="32"/>
      <c r="N264" s="32"/>
      <c r="O264" s="32"/>
      <c r="P264" s="52" t="s">
        <v>4210</v>
      </c>
    </row>
    <row r="265" spans="2:16" x14ac:dyDescent="0.25">
      <c r="B265" s="32">
        <v>253</v>
      </c>
      <c r="C265" s="229" t="s">
        <v>4211</v>
      </c>
      <c r="D265" s="229"/>
      <c r="E265" s="229"/>
      <c r="F265" s="229"/>
      <c r="G265" s="229"/>
      <c r="H265" s="229"/>
      <c r="I265" s="229"/>
      <c r="J265" s="59" t="s">
        <v>2583</v>
      </c>
      <c r="K265" s="46">
        <v>14950000</v>
      </c>
      <c r="L265" s="2">
        <v>45098</v>
      </c>
      <c r="M265" s="32"/>
      <c r="N265" s="32"/>
      <c r="O265" s="32" t="s">
        <v>2269</v>
      </c>
      <c r="P265" s="52" t="s">
        <v>2270</v>
      </c>
    </row>
    <row r="266" spans="2:16" ht="15" customHeight="1" x14ac:dyDescent="0.25">
      <c r="B266" s="32">
        <v>254</v>
      </c>
      <c r="C266" s="229" t="s">
        <v>4215</v>
      </c>
      <c r="D266" s="229"/>
      <c r="E266" s="229"/>
      <c r="F266" s="229"/>
      <c r="G266" s="229"/>
      <c r="H266" s="229"/>
      <c r="I266" s="229"/>
      <c r="J266" s="59" t="s">
        <v>4214</v>
      </c>
      <c r="K266" s="46">
        <v>7550000</v>
      </c>
      <c r="L266" s="2">
        <v>45098</v>
      </c>
      <c r="M266" s="32"/>
      <c r="N266" s="32">
        <v>3146158422</v>
      </c>
      <c r="O266" s="32" t="s">
        <v>4212</v>
      </c>
      <c r="P266" s="52" t="s">
        <v>4213</v>
      </c>
    </row>
    <row r="267" spans="2:16" x14ac:dyDescent="0.25">
      <c r="B267" s="32">
        <v>255</v>
      </c>
      <c r="C267" s="229" t="s">
        <v>4217</v>
      </c>
      <c r="D267" s="229"/>
      <c r="E267" s="229"/>
      <c r="F267" s="229"/>
      <c r="G267" s="229"/>
      <c r="H267" s="229"/>
      <c r="I267" s="229"/>
      <c r="J267" s="59" t="s">
        <v>4216</v>
      </c>
      <c r="K267" s="46">
        <v>39710000</v>
      </c>
      <c r="L267" s="2">
        <v>45099</v>
      </c>
      <c r="M267" s="32"/>
      <c r="N267" s="32" t="s">
        <v>3554</v>
      </c>
      <c r="O267" s="32" t="s">
        <v>3552</v>
      </c>
      <c r="P267" s="52" t="s">
        <v>3553</v>
      </c>
    </row>
    <row r="268" spans="2:16" x14ac:dyDescent="0.25">
      <c r="B268" s="32">
        <v>256</v>
      </c>
      <c r="C268" s="285" t="s">
        <v>4218</v>
      </c>
      <c r="D268" s="261"/>
      <c r="E268" s="261"/>
      <c r="F268" s="261"/>
      <c r="G268" s="261"/>
      <c r="H268" s="261"/>
      <c r="I268" s="261"/>
      <c r="J268" s="69" t="s">
        <v>702</v>
      </c>
      <c r="K268" s="46">
        <v>9970000</v>
      </c>
      <c r="L268" s="2">
        <v>45099</v>
      </c>
      <c r="M268" s="2"/>
      <c r="N268" s="32" t="s">
        <v>2745</v>
      </c>
      <c r="O268" s="32" t="s">
        <v>2746</v>
      </c>
      <c r="P268" s="52" t="s">
        <v>703</v>
      </c>
    </row>
    <row r="269" spans="2:16" x14ac:dyDescent="0.25">
      <c r="B269" s="32">
        <v>257</v>
      </c>
      <c r="C269" s="277" t="s">
        <v>4219</v>
      </c>
      <c r="D269" s="278"/>
      <c r="E269" s="278"/>
      <c r="F269" s="278"/>
      <c r="G269" s="278"/>
      <c r="H269" s="278"/>
      <c r="I269" s="278"/>
      <c r="J269" s="69" t="s">
        <v>2779</v>
      </c>
      <c r="K269" s="46">
        <v>16970000</v>
      </c>
      <c r="L269" s="2">
        <v>45100</v>
      </c>
      <c r="M269" s="32"/>
      <c r="N269" s="32" t="s">
        <v>4222</v>
      </c>
      <c r="O269" s="51" t="s">
        <v>2556</v>
      </c>
      <c r="P269" s="38" t="s">
        <v>2557</v>
      </c>
    </row>
    <row r="270" spans="2:16" x14ac:dyDescent="0.25">
      <c r="B270" s="32">
        <v>258</v>
      </c>
      <c r="C270" s="229" t="s">
        <v>4223</v>
      </c>
      <c r="D270" s="229"/>
      <c r="E270" s="229"/>
      <c r="F270" s="229"/>
      <c r="G270" s="229"/>
      <c r="H270" s="229"/>
      <c r="I270" s="229"/>
      <c r="J270" s="59" t="s">
        <v>4216</v>
      </c>
      <c r="K270" s="46">
        <v>29630000</v>
      </c>
      <c r="L270" s="2">
        <v>45101</v>
      </c>
      <c r="M270" s="32"/>
      <c r="N270" s="32" t="s">
        <v>3554</v>
      </c>
      <c r="O270" s="32" t="s">
        <v>3552</v>
      </c>
      <c r="P270" s="52" t="s">
        <v>3553</v>
      </c>
    </row>
    <row r="271" spans="2:16" x14ac:dyDescent="0.25">
      <c r="B271" s="32">
        <v>259</v>
      </c>
      <c r="C271" s="229" t="s">
        <v>4224</v>
      </c>
      <c r="D271" s="229"/>
      <c r="E271" s="229"/>
      <c r="F271" s="229"/>
      <c r="G271" s="229"/>
      <c r="H271" s="229"/>
      <c r="I271" s="229"/>
      <c r="J271" s="59" t="s">
        <v>4216</v>
      </c>
      <c r="K271" s="46">
        <v>27940000</v>
      </c>
      <c r="L271" s="2">
        <v>45101</v>
      </c>
      <c r="M271" s="32"/>
      <c r="N271" s="32" t="s">
        <v>3554</v>
      </c>
      <c r="O271" s="32" t="s">
        <v>3552</v>
      </c>
      <c r="P271" s="52" t="s">
        <v>3553</v>
      </c>
    </row>
    <row r="272" spans="2:16" x14ac:dyDescent="0.25">
      <c r="B272" s="32">
        <v>260</v>
      </c>
      <c r="C272" s="229" t="s">
        <v>4225</v>
      </c>
      <c r="D272" s="229"/>
      <c r="E272" s="229"/>
      <c r="F272" s="229"/>
      <c r="G272" s="229"/>
      <c r="H272" s="229"/>
      <c r="I272" s="229"/>
      <c r="J272" s="59" t="s">
        <v>4216</v>
      </c>
      <c r="K272" s="46">
        <v>23540000</v>
      </c>
      <c r="L272" s="2">
        <v>45101</v>
      </c>
      <c r="M272" s="32"/>
      <c r="N272" s="32" t="s">
        <v>3554</v>
      </c>
      <c r="O272" s="32" t="s">
        <v>3552</v>
      </c>
      <c r="P272" s="52" t="s">
        <v>3553</v>
      </c>
    </row>
    <row r="273" spans="2:16" x14ac:dyDescent="0.25">
      <c r="B273" s="32">
        <v>261</v>
      </c>
      <c r="C273" s="229" t="s">
        <v>4226</v>
      </c>
      <c r="D273" s="229"/>
      <c r="E273" s="229"/>
      <c r="F273" s="229"/>
      <c r="G273" s="229"/>
      <c r="H273" s="229"/>
      <c r="I273" s="229"/>
      <c r="J273" s="59" t="s">
        <v>4214</v>
      </c>
      <c r="K273" s="46">
        <v>29800000</v>
      </c>
      <c r="L273" s="2">
        <v>45098</v>
      </c>
      <c r="M273" s="32"/>
      <c r="N273" s="32">
        <v>3146158422</v>
      </c>
      <c r="O273" s="32" t="s">
        <v>4212</v>
      </c>
      <c r="P273" s="52" t="s">
        <v>4213</v>
      </c>
    </row>
    <row r="274" spans="2:16" x14ac:dyDescent="0.25">
      <c r="B274" s="32">
        <v>262</v>
      </c>
      <c r="C274" s="229" t="s">
        <v>4227</v>
      </c>
      <c r="D274" s="229"/>
      <c r="E274" s="229"/>
      <c r="F274" s="229"/>
      <c r="G274" s="229"/>
      <c r="H274" s="229"/>
      <c r="I274" s="229"/>
      <c r="J274" s="59" t="s">
        <v>702</v>
      </c>
      <c r="K274" s="46">
        <v>1300000</v>
      </c>
      <c r="L274" s="2">
        <v>45103</v>
      </c>
      <c r="M274" s="32"/>
      <c r="N274" s="32" t="s">
        <v>3843</v>
      </c>
      <c r="O274" s="32" t="s">
        <v>3242</v>
      </c>
      <c r="P274" s="52" t="s">
        <v>2761</v>
      </c>
    </row>
    <row r="275" spans="2:16" x14ac:dyDescent="0.25">
      <c r="B275" s="32">
        <v>263</v>
      </c>
      <c r="C275" s="229" t="s">
        <v>4228</v>
      </c>
      <c r="D275" s="229"/>
      <c r="E275" s="229"/>
      <c r="F275" s="229"/>
      <c r="G275" s="229"/>
      <c r="H275" s="229"/>
      <c r="I275" s="229"/>
      <c r="J275" s="59" t="s">
        <v>702</v>
      </c>
      <c r="K275" s="46">
        <v>1800000</v>
      </c>
      <c r="L275" s="2">
        <v>45103</v>
      </c>
      <c r="M275" s="32"/>
      <c r="N275" s="32">
        <v>3137546144</v>
      </c>
      <c r="O275" s="32" t="s">
        <v>3996</v>
      </c>
      <c r="P275" s="52" t="s">
        <v>2504</v>
      </c>
    </row>
    <row r="276" spans="2:16" x14ac:dyDescent="0.25">
      <c r="B276" s="32">
        <v>264</v>
      </c>
      <c r="C276" s="229" t="s">
        <v>4231</v>
      </c>
      <c r="D276" s="229"/>
      <c r="E276" s="229"/>
      <c r="F276" s="229"/>
      <c r="G276" s="229"/>
      <c r="H276" s="229"/>
      <c r="I276" s="229"/>
      <c r="J276" s="59" t="s">
        <v>4230</v>
      </c>
      <c r="K276" s="46">
        <v>750000</v>
      </c>
      <c r="L276" s="2">
        <v>45103</v>
      </c>
      <c r="M276" s="32"/>
      <c r="N276" s="32"/>
      <c r="O276" s="32" t="s">
        <v>4229</v>
      </c>
      <c r="P276" s="52"/>
    </row>
    <row r="277" spans="2:16" x14ac:dyDescent="0.25">
      <c r="B277" s="32">
        <v>265</v>
      </c>
      <c r="C277" s="229" t="s">
        <v>4232</v>
      </c>
      <c r="D277" s="229"/>
      <c r="E277" s="229"/>
      <c r="F277" s="229"/>
      <c r="G277" s="229"/>
      <c r="H277" s="229"/>
      <c r="I277" s="229"/>
      <c r="J277" s="59" t="s">
        <v>702</v>
      </c>
      <c r="K277" s="46">
        <v>1600000</v>
      </c>
      <c r="L277" s="2">
        <v>45103</v>
      </c>
      <c r="M277" s="32"/>
      <c r="N277" s="32" t="s">
        <v>3843</v>
      </c>
      <c r="O277" s="32" t="s">
        <v>3242</v>
      </c>
      <c r="P277" s="52" t="s">
        <v>2761</v>
      </c>
    </row>
    <row r="278" spans="2:16" x14ac:dyDescent="0.25">
      <c r="B278" s="32">
        <v>266</v>
      </c>
      <c r="C278" s="229" t="s">
        <v>4235</v>
      </c>
      <c r="D278" s="229"/>
      <c r="E278" s="229"/>
      <c r="F278" s="229"/>
      <c r="G278" s="229"/>
      <c r="H278" s="229"/>
      <c r="I278" s="229"/>
      <c r="J278" s="59" t="s">
        <v>702</v>
      </c>
      <c r="K278" s="46">
        <v>1200000</v>
      </c>
      <c r="L278" s="2">
        <v>45104</v>
      </c>
      <c r="M278" s="32"/>
      <c r="N278" s="32" t="s">
        <v>4204</v>
      </c>
      <c r="O278" s="32" t="s">
        <v>2620</v>
      </c>
      <c r="P278" s="52" t="s">
        <v>2621</v>
      </c>
    </row>
    <row r="279" spans="2:16" x14ac:dyDescent="0.25">
      <c r="B279" s="32">
        <v>267</v>
      </c>
      <c r="C279" s="263" t="s">
        <v>4238</v>
      </c>
      <c r="D279" s="229"/>
      <c r="E279" s="229"/>
      <c r="F279" s="229"/>
      <c r="G279" s="229"/>
      <c r="H279" s="229"/>
      <c r="I279" s="229"/>
      <c r="J279" s="59" t="s">
        <v>1439</v>
      </c>
      <c r="K279" s="46">
        <v>2950000</v>
      </c>
      <c r="L279" s="2">
        <v>45105</v>
      </c>
      <c r="M279" s="32"/>
      <c r="N279" s="32">
        <v>3187073851</v>
      </c>
      <c r="O279" s="51" t="s">
        <v>4236</v>
      </c>
      <c r="P279" s="52" t="s">
        <v>4237</v>
      </c>
    </row>
    <row r="280" spans="2:16" x14ac:dyDescent="0.25">
      <c r="B280" s="32">
        <v>268</v>
      </c>
      <c r="C280" s="263" t="s">
        <v>4239</v>
      </c>
      <c r="D280" s="229"/>
      <c r="E280" s="229"/>
      <c r="F280" s="229"/>
      <c r="G280" s="229"/>
      <c r="H280" s="229"/>
      <c r="I280" s="229"/>
      <c r="J280" s="59" t="s">
        <v>702</v>
      </c>
      <c r="K280" s="46">
        <v>1950000</v>
      </c>
      <c r="L280" s="2">
        <v>45105</v>
      </c>
      <c r="M280" s="32"/>
      <c r="N280" s="32" t="s">
        <v>2619</v>
      </c>
      <c r="O280" s="32" t="s">
        <v>2620</v>
      </c>
      <c r="P280" s="52" t="s">
        <v>2621</v>
      </c>
    </row>
    <row r="281" spans="2:16" x14ac:dyDescent="0.25">
      <c r="B281" s="32">
        <v>269</v>
      </c>
      <c r="C281" s="229" t="s">
        <v>4240</v>
      </c>
      <c r="D281" s="229"/>
      <c r="E281" s="229"/>
      <c r="F281" s="229"/>
      <c r="G281" s="229"/>
      <c r="H281" s="229"/>
      <c r="I281" s="229"/>
      <c r="J281" s="59" t="s">
        <v>2204</v>
      </c>
      <c r="K281" s="46">
        <v>29845000</v>
      </c>
      <c r="L281" s="2">
        <v>45105</v>
      </c>
      <c r="M281" s="32"/>
      <c r="N281" s="32">
        <v>3117208541</v>
      </c>
      <c r="O281" s="51" t="s">
        <v>2240</v>
      </c>
      <c r="P281" s="52" t="s">
        <v>2241</v>
      </c>
    </row>
    <row r="282" spans="2:16" x14ac:dyDescent="0.25">
      <c r="B282" s="32">
        <v>270</v>
      </c>
      <c r="C282" s="229" t="s">
        <v>4241</v>
      </c>
      <c r="D282" s="229"/>
      <c r="E282" s="229"/>
      <c r="F282" s="229"/>
      <c r="G282" s="229"/>
      <c r="H282" s="229"/>
      <c r="I282" s="229"/>
      <c r="J282" s="59" t="s">
        <v>702</v>
      </c>
      <c r="K282" s="46">
        <v>2950000</v>
      </c>
      <c r="L282" s="2">
        <v>45106</v>
      </c>
      <c r="M282" s="32"/>
      <c r="N282" s="32" t="s">
        <v>2036</v>
      </c>
      <c r="O282" s="32" t="s">
        <v>2748</v>
      </c>
      <c r="P282" s="52" t="s">
        <v>2600</v>
      </c>
    </row>
    <row r="283" spans="2:16" x14ac:dyDescent="0.25">
      <c r="B283" s="32">
        <v>271</v>
      </c>
      <c r="C283" s="229" t="s">
        <v>4242</v>
      </c>
      <c r="D283" s="229"/>
      <c r="E283" s="229"/>
      <c r="F283" s="229"/>
      <c r="G283" s="229"/>
      <c r="H283" s="229"/>
      <c r="I283" s="229"/>
      <c r="J283" s="59" t="s">
        <v>851</v>
      </c>
      <c r="K283" s="46">
        <v>3950000</v>
      </c>
      <c r="L283" s="2">
        <v>45106</v>
      </c>
      <c r="M283" s="32"/>
      <c r="N283" s="32">
        <v>3206678830</v>
      </c>
      <c r="O283" s="32" t="s">
        <v>284</v>
      </c>
      <c r="P283" s="52" t="s">
        <v>948</v>
      </c>
    </row>
    <row r="284" spans="2:16" x14ac:dyDescent="0.25">
      <c r="B284" s="32">
        <v>272</v>
      </c>
      <c r="C284" s="229" t="s">
        <v>4246</v>
      </c>
      <c r="D284" s="229"/>
      <c r="E284" s="229"/>
      <c r="F284" s="229"/>
      <c r="G284" s="229"/>
      <c r="H284" s="229"/>
      <c r="I284" s="229"/>
      <c r="J284" s="59" t="s">
        <v>2593</v>
      </c>
      <c r="K284" s="46">
        <v>22450000</v>
      </c>
      <c r="L284" s="2">
        <v>45107</v>
      </c>
      <c r="M284" s="32"/>
      <c r="N284" s="32" t="s">
        <v>4245</v>
      </c>
      <c r="O284" s="51" t="s">
        <v>4243</v>
      </c>
      <c r="P284" s="52" t="s">
        <v>4244</v>
      </c>
    </row>
    <row r="285" spans="2:16" ht="15" customHeight="1" x14ac:dyDescent="0.25">
      <c r="B285" s="32">
        <v>273</v>
      </c>
      <c r="C285" s="229" t="s">
        <v>4247</v>
      </c>
      <c r="D285" s="229"/>
      <c r="E285" s="229"/>
      <c r="F285" s="229"/>
      <c r="G285" s="229"/>
      <c r="H285" s="229"/>
      <c r="I285" s="229"/>
      <c r="J285" s="59" t="s">
        <v>851</v>
      </c>
      <c r="K285" s="46">
        <v>8950000</v>
      </c>
      <c r="L285" s="2">
        <v>45107</v>
      </c>
      <c r="M285" s="32"/>
      <c r="N285" s="32">
        <v>3206678830</v>
      </c>
      <c r="O285" s="51" t="s">
        <v>284</v>
      </c>
      <c r="P285" s="52" t="s">
        <v>948</v>
      </c>
    </row>
    <row r="286" spans="2:16" ht="15" customHeight="1" x14ac:dyDescent="0.25">
      <c r="B286" s="32">
        <v>274</v>
      </c>
      <c r="C286" s="229" t="s">
        <v>4251</v>
      </c>
      <c r="D286" s="229"/>
      <c r="E286" s="229"/>
      <c r="F286" s="229"/>
      <c r="G286" s="229"/>
      <c r="H286" s="229"/>
      <c r="I286" s="229"/>
      <c r="J286" s="59" t="s">
        <v>4249</v>
      </c>
      <c r="K286" s="46">
        <v>3750000</v>
      </c>
      <c r="L286" s="2">
        <v>45111</v>
      </c>
      <c r="M286" s="32"/>
      <c r="N286" s="32">
        <v>3155713320</v>
      </c>
      <c r="O286" s="51" t="s">
        <v>4250</v>
      </c>
      <c r="P286" s="52" t="s">
        <v>4248</v>
      </c>
    </row>
    <row r="287" spans="2:16" ht="15" customHeight="1" x14ac:dyDescent="0.25">
      <c r="B287" s="32">
        <v>275</v>
      </c>
      <c r="C287" s="229" t="s">
        <v>4253</v>
      </c>
      <c r="D287" s="229"/>
      <c r="E287" s="229"/>
      <c r="F287" s="229"/>
      <c r="G287" s="229"/>
      <c r="H287" s="229"/>
      <c r="I287" s="229"/>
      <c r="J287" s="59" t="s">
        <v>702</v>
      </c>
      <c r="K287" s="46">
        <v>9910000</v>
      </c>
      <c r="L287" s="2">
        <v>45112</v>
      </c>
      <c r="M287" s="32"/>
      <c r="N287" s="32" t="s">
        <v>3637</v>
      </c>
      <c r="O287" s="51" t="s">
        <v>4252</v>
      </c>
      <c r="P287" s="91" t="s">
        <v>1238</v>
      </c>
    </row>
    <row r="288" spans="2:16" ht="15" customHeight="1" x14ac:dyDescent="0.25">
      <c r="B288" s="32">
        <v>276</v>
      </c>
      <c r="C288" s="229" t="s">
        <v>4254</v>
      </c>
      <c r="D288" s="229"/>
      <c r="E288" s="229"/>
      <c r="F288" s="229"/>
      <c r="G288" s="229"/>
      <c r="H288" s="229"/>
      <c r="I288" s="229"/>
      <c r="J288" s="59" t="s">
        <v>702</v>
      </c>
      <c r="K288" s="46">
        <v>11290000</v>
      </c>
      <c r="L288" s="2">
        <v>45112</v>
      </c>
      <c r="M288" s="32"/>
      <c r="N288" s="32" t="s">
        <v>3637</v>
      </c>
      <c r="O288" s="51" t="s">
        <v>4252</v>
      </c>
      <c r="P288" s="91" t="s">
        <v>1238</v>
      </c>
    </row>
    <row r="289" spans="2:16" x14ac:dyDescent="0.25">
      <c r="B289" s="32">
        <v>277</v>
      </c>
      <c r="C289" s="229" t="s">
        <v>4255</v>
      </c>
      <c r="D289" s="229"/>
      <c r="E289" s="229"/>
      <c r="F289" s="229"/>
      <c r="G289" s="229"/>
      <c r="H289" s="229"/>
      <c r="I289" s="229"/>
      <c r="J289" s="59" t="s">
        <v>702</v>
      </c>
      <c r="K289" s="46">
        <v>2000000</v>
      </c>
      <c r="L289" s="2">
        <v>45112</v>
      </c>
      <c r="M289" s="32"/>
      <c r="N289" s="32">
        <v>3137546144</v>
      </c>
      <c r="O289" s="32" t="s">
        <v>3996</v>
      </c>
      <c r="P289" s="52" t="s">
        <v>2504</v>
      </c>
    </row>
    <row r="290" spans="2:16" x14ac:dyDescent="0.25">
      <c r="B290" s="32">
        <v>278</v>
      </c>
      <c r="C290" s="229" t="s">
        <v>4256</v>
      </c>
      <c r="D290" s="229"/>
      <c r="E290" s="229"/>
      <c r="F290" s="229"/>
      <c r="G290" s="229"/>
      <c r="H290" s="229"/>
      <c r="I290" s="229"/>
      <c r="J290" s="59" t="s">
        <v>702</v>
      </c>
      <c r="K290" s="46">
        <v>2900000</v>
      </c>
      <c r="L290" s="2">
        <v>45112</v>
      </c>
      <c r="M290" s="32"/>
      <c r="N290" s="32" t="s">
        <v>3843</v>
      </c>
      <c r="O290" s="32" t="s">
        <v>3242</v>
      </c>
      <c r="P290" s="52" t="s">
        <v>2761</v>
      </c>
    </row>
    <row r="291" spans="2:16" x14ac:dyDescent="0.25">
      <c r="B291" s="32">
        <v>279</v>
      </c>
      <c r="C291" s="263" t="s">
        <v>4257</v>
      </c>
      <c r="D291" s="229"/>
      <c r="E291" s="229"/>
      <c r="F291" s="229"/>
      <c r="G291" s="229"/>
      <c r="H291" s="229"/>
      <c r="I291" s="229"/>
      <c r="J291" s="59" t="s">
        <v>774</v>
      </c>
      <c r="K291" s="46">
        <v>25930000</v>
      </c>
      <c r="L291" s="2">
        <v>45113</v>
      </c>
      <c r="M291" s="2"/>
      <c r="N291" s="32">
        <v>3006019910</v>
      </c>
      <c r="O291" s="32" t="s">
        <v>4258</v>
      </c>
      <c r="P291" s="52" t="s">
        <v>4259</v>
      </c>
    </row>
    <row r="292" spans="2:16" x14ac:dyDescent="0.25">
      <c r="B292" s="32">
        <v>280</v>
      </c>
      <c r="C292" s="229" t="s">
        <v>4260</v>
      </c>
      <c r="D292" s="229"/>
      <c r="E292" s="229"/>
      <c r="F292" s="229"/>
      <c r="G292" s="229"/>
      <c r="H292" s="229"/>
      <c r="I292" s="229"/>
      <c r="J292" s="59" t="s">
        <v>774</v>
      </c>
      <c r="K292" s="46">
        <v>20540000</v>
      </c>
      <c r="L292" s="2">
        <v>45113</v>
      </c>
      <c r="M292" s="2"/>
      <c r="N292" s="32">
        <v>3006019910</v>
      </c>
      <c r="O292" s="32" t="s">
        <v>4258</v>
      </c>
      <c r="P292" s="52" t="s">
        <v>4259</v>
      </c>
    </row>
    <row r="293" spans="2:16" x14ac:dyDescent="0.25">
      <c r="B293" s="32">
        <v>281</v>
      </c>
      <c r="C293" s="229" t="s">
        <v>4261</v>
      </c>
      <c r="D293" s="229"/>
      <c r="E293" s="229"/>
      <c r="F293" s="229"/>
      <c r="G293" s="229"/>
      <c r="H293" s="229"/>
      <c r="I293" s="229"/>
      <c r="J293" s="59" t="s">
        <v>702</v>
      </c>
      <c r="K293" s="46">
        <v>9910000</v>
      </c>
      <c r="L293" s="2">
        <v>45119</v>
      </c>
      <c r="M293" s="32"/>
      <c r="N293" s="32" t="s">
        <v>3843</v>
      </c>
      <c r="O293" s="32" t="s">
        <v>3242</v>
      </c>
      <c r="P293" s="52" t="s">
        <v>2761</v>
      </c>
    </row>
    <row r="294" spans="2:16" x14ac:dyDescent="0.25">
      <c r="B294" s="32">
        <v>282</v>
      </c>
      <c r="C294" s="229" t="s">
        <v>4262</v>
      </c>
      <c r="D294" s="229"/>
      <c r="E294" s="229"/>
      <c r="F294" s="229"/>
      <c r="G294" s="229"/>
      <c r="H294" s="229"/>
      <c r="I294" s="229"/>
      <c r="J294" s="59" t="s">
        <v>880</v>
      </c>
      <c r="K294" s="46"/>
      <c r="L294" s="2"/>
      <c r="M294" s="32"/>
      <c r="N294" s="32"/>
      <c r="O294" s="32" t="s">
        <v>4130</v>
      </c>
      <c r="P294" s="52" t="s">
        <v>4131</v>
      </c>
    </row>
    <row r="295" spans="2:16" x14ac:dyDescent="0.25">
      <c r="B295" s="32">
        <v>283</v>
      </c>
      <c r="C295" s="229" t="s">
        <v>4266</v>
      </c>
      <c r="D295" s="229"/>
      <c r="E295" s="229"/>
      <c r="F295" s="229"/>
      <c r="G295" s="229"/>
      <c r="H295" s="229"/>
      <c r="I295" s="229"/>
      <c r="J295" s="59" t="s">
        <v>4263</v>
      </c>
      <c r="K295" s="46">
        <v>28510000</v>
      </c>
      <c r="L295" s="2">
        <v>45119</v>
      </c>
      <c r="M295" s="32"/>
      <c r="N295" s="32">
        <v>5766290</v>
      </c>
      <c r="O295" s="51" t="s">
        <v>4265</v>
      </c>
      <c r="P295" s="52" t="s">
        <v>4264</v>
      </c>
    </row>
    <row r="296" spans="2:16" x14ac:dyDescent="0.25">
      <c r="B296" s="32">
        <v>284</v>
      </c>
      <c r="C296" s="229" t="s">
        <v>4267</v>
      </c>
      <c r="D296" s="229"/>
      <c r="E296" s="229"/>
      <c r="F296" s="229"/>
      <c r="G296" s="229"/>
      <c r="H296" s="229"/>
      <c r="I296" s="229"/>
      <c r="J296" s="59" t="s">
        <v>702</v>
      </c>
      <c r="K296" s="46">
        <v>2950000</v>
      </c>
      <c r="L296" s="2">
        <v>45119</v>
      </c>
      <c r="M296" s="32"/>
      <c r="N296" s="32">
        <v>3137546144</v>
      </c>
      <c r="O296" s="32" t="s">
        <v>3996</v>
      </c>
      <c r="P296" s="52" t="s">
        <v>2504</v>
      </c>
    </row>
    <row r="297" spans="2:16" x14ac:dyDescent="0.25">
      <c r="B297" s="32">
        <v>285</v>
      </c>
      <c r="C297" s="229" t="s">
        <v>4269</v>
      </c>
      <c r="D297" s="229"/>
      <c r="E297" s="229"/>
      <c r="F297" s="229"/>
      <c r="G297" s="229"/>
      <c r="H297" s="229"/>
      <c r="I297" s="229"/>
      <c r="J297" s="59" t="s">
        <v>2602</v>
      </c>
      <c r="K297" s="46">
        <v>3130000</v>
      </c>
      <c r="L297" s="2">
        <v>45119</v>
      </c>
      <c r="M297" s="32"/>
      <c r="N297" s="32">
        <v>3107358330</v>
      </c>
      <c r="O297" s="32" t="s">
        <v>4268</v>
      </c>
      <c r="P297" s="52" t="s">
        <v>2892</v>
      </c>
    </row>
    <row r="298" spans="2:16" x14ac:dyDescent="0.25">
      <c r="B298" s="32">
        <v>286</v>
      </c>
      <c r="C298" s="229" t="s">
        <v>4271</v>
      </c>
      <c r="D298" s="229"/>
      <c r="E298" s="229"/>
      <c r="F298" s="229"/>
      <c r="G298" s="229"/>
      <c r="H298" s="229"/>
      <c r="I298" s="229"/>
      <c r="J298" s="59" t="s">
        <v>851</v>
      </c>
      <c r="K298" s="46">
        <v>5650000</v>
      </c>
      <c r="L298" s="2">
        <v>45118</v>
      </c>
      <c r="M298" s="32"/>
      <c r="N298" s="32">
        <v>3014111727</v>
      </c>
      <c r="O298" s="32" t="s">
        <v>4270</v>
      </c>
      <c r="P298" s="52" t="s">
        <v>2235</v>
      </c>
    </row>
    <row r="299" spans="2:16" x14ac:dyDescent="0.25">
      <c r="B299" s="32">
        <v>287</v>
      </c>
      <c r="C299" s="229" t="s">
        <v>4273</v>
      </c>
      <c r="D299" s="229"/>
      <c r="E299" s="229"/>
      <c r="F299" s="229"/>
      <c r="G299" s="229"/>
      <c r="H299" s="229"/>
      <c r="I299" s="229"/>
      <c r="J299" s="59" t="s">
        <v>1129</v>
      </c>
      <c r="K299" s="46">
        <v>7500000</v>
      </c>
      <c r="L299" s="2">
        <v>45119</v>
      </c>
      <c r="M299" s="32"/>
      <c r="N299" s="32">
        <v>3147537411</v>
      </c>
      <c r="O299" s="51" t="s">
        <v>4272</v>
      </c>
      <c r="P299" s="52" t="s">
        <v>1131</v>
      </c>
    </row>
    <row r="300" spans="2:16" x14ac:dyDescent="0.25">
      <c r="B300" s="32">
        <v>288</v>
      </c>
      <c r="C300" s="271" t="s">
        <v>4274</v>
      </c>
      <c r="D300" s="272"/>
      <c r="E300" s="272"/>
      <c r="F300" s="272"/>
      <c r="G300" s="272"/>
      <c r="H300" s="272"/>
      <c r="I300" s="272"/>
      <c r="J300" s="59" t="s">
        <v>1129</v>
      </c>
      <c r="K300" s="46">
        <v>4950000</v>
      </c>
      <c r="L300" s="2">
        <v>45119</v>
      </c>
      <c r="M300" s="2"/>
      <c r="N300" s="32">
        <v>3147537411</v>
      </c>
      <c r="O300" s="51" t="s">
        <v>4272</v>
      </c>
      <c r="P300" s="52" t="s">
        <v>1131</v>
      </c>
    </row>
    <row r="301" spans="2:16" x14ac:dyDescent="0.25">
      <c r="B301" s="32">
        <v>289</v>
      </c>
      <c r="C301" s="229" t="s">
        <v>4275</v>
      </c>
      <c r="D301" s="229"/>
      <c r="E301" s="229"/>
      <c r="F301" s="229"/>
      <c r="G301" s="229"/>
      <c r="H301" s="229"/>
      <c r="I301" s="229"/>
      <c r="J301" s="59" t="s">
        <v>1129</v>
      </c>
      <c r="K301" s="46">
        <v>2300000</v>
      </c>
      <c r="L301" s="2">
        <v>45119</v>
      </c>
      <c r="M301" s="32"/>
      <c r="N301" s="32">
        <v>3147537411</v>
      </c>
      <c r="O301" s="51" t="s">
        <v>4272</v>
      </c>
      <c r="P301" s="52" t="s">
        <v>1131</v>
      </c>
    </row>
    <row r="302" spans="2:16" x14ac:dyDescent="0.25">
      <c r="B302" s="32">
        <v>290</v>
      </c>
      <c r="C302" s="271" t="s">
        <v>4276</v>
      </c>
      <c r="D302" s="272"/>
      <c r="E302" s="272"/>
      <c r="F302" s="272"/>
      <c r="G302" s="272"/>
      <c r="H302" s="272"/>
      <c r="I302" s="272"/>
      <c r="J302" s="59" t="s">
        <v>4277</v>
      </c>
      <c r="K302" s="46">
        <v>5550</v>
      </c>
      <c r="L302" s="2">
        <v>45119</v>
      </c>
      <c r="M302" s="2"/>
      <c r="N302" s="32">
        <v>3103860407</v>
      </c>
      <c r="O302" s="32" t="s">
        <v>3460</v>
      </c>
      <c r="P302" s="52" t="s">
        <v>4056</v>
      </c>
    </row>
    <row r="303" spans="2:16" x14ac:dyDescent="0.25">
      <c r="B303" s="32">
        <v>291</v>
      </c>
      <c r="C303" s="229" t="s">
        <v>4278</v>
      </c>
      <c r="D303" s="229"/>
      <c r="E303" s="229"/>
      <c r="F303" s="229"/>
      <c r="G303" s="229"/>
      <c r="H303" s="229"/>
      <c r="I303" s="229"/>
      <c r="J303" s="59" t="s">
        <v>847</v>
      </c>
      <c r="K303" s="46">
        <v>2950000</v>
      </c>
      <c r="L303" s="2">
        <v>45119</v>
      </c>
      <c r="M303" s="32"/>
      <c r="N303" s="32">
        <v>4443091</v>
      </c>
      <c r="O303" s="51" t="s">
        <v>3535</v>
      </c>
      <c r="P303" s="52" t="s">
        <v>3533</v>
      </c>
    </row>
    <row r="304" spans="2:16" x14ac:dyDescent="0.25">
      <c r="B304" s="32">
        <v>292</v>
      </c>
      <c r="C304" s="229" t="s">
        <v>4279</v>
      </c>
      <c r="D304" s="229"/>
      <c r="E304" s="229"/>
      <c r="F304" s="229"/>
      <c r="G304" s="229"/>
      <c r="H304" s="229"/>
      <c r="I304" s="229"/>
      <c r="J304" s="59" t="s">
        <v>702</v>
      </c>
      <c r="K304" s="46">
        <v>9950000</v>
      </c>
      <c r="L304" s="2">
        <v>45119</v>
      </c>
      <c r="M304" s="32"/>
      <c r="N304" s="32"/>
      <c r="O304" s="32" t="s">
        <v>3528</v>
      </c>
      <c r="P304" s="52" t="s">
        <v>3527</v>
      </c>
    </row>
    <row r="305" spans="2:16" x14ac:dyDescent="0.25">
      <c r="B305" s="32">
        <v>293</v>
      </c>
      <c r="C305" s="229" t="s">
        <v>4281</v>
      </c>
      <c r="D305" s="229"/>
      <c r="E305" s="229"/>
      <c r="F305" s="229"/>
      <c r="G305" s="229"/>
      <c r="H305" s="229"/>
      <c r="I305" s="229"/>
      <c r="J305" s="59" t="s">
        <v>1480</v>
      </c>
      <c r="K305" s="46">
        <v>29950000</v>
      </c>
      <c r="L305" s="2">
        <v>45120</v>
      </c>
      <c r="M305" s="32"/>
      <c r="N305" s="52" t="s">
        <v>3337</v>
      </c>
      <c r="O305" s="51" t="s">
        <v>3338</v>
      </c>
      <c r="P305" s="52" t="s">
        <v>3339</v>
      </c>
    </row>
    <row r="306" spans="2:16" x14ac:dyDescent="0.25">
      <c r="B306" s="32">
        <v>294</v>
      </c>
      <c r="C306" s="229" t="s">
        <v>4280</v>
      </c>
      <c r="D306" s="229"/>
      <c r="E306" s="229"/>
      <c r="F306" s="229"/>
      <c r="G306" s="229"/>
      <c r="H306" s="229"/>
      <c r="I306" s="229"/>
      <c r="J306" s="59" t="s">
        <v>851</v>
      </c>
      <c r="K306" s="46">
        <v>2500000</v>
      </c>
      <c r="L306" s="2">
        <v>45121</v>
      </c>
      <c r="M306" s="32"/>
      <c r="N306" s="32">
        <v>3206678830</v>
      </c>
      <c r="O306" s="51" t="s">
        <v>284</v>
      </c>
      <c r="P306" s="52" t="s">
        <v>948</v>
      </c>
    </row>
    <row r="307" spans="2:16" x14ac:dyDescent="0.25">
      <c r="B307" s="32">
        <v>295</v>
      </c>
      <c r="C307" s="229" t="s">
        <v>4282</v>
      </c>
      <c r="D307" s="229"/>
      <c r="E307" s="229"/>
      <c r="F307" s="229"/>
      <c r="G307" s="229"/>
      <c r="H307" s="229"/>
      <c r="I307" s="229"/>
      <c r="J307" s="59" t="s">
        <v>702</v>
      </c>
      <c r="K307" s="46">
        <v>2000000</v>
      </c>
      <c r="L307" s="2">
        <v>45121</v>
      </c>
      <c r="M307" s="32"/>
      <c r="N307" s="32" t="s">
        <v>3843</v>
      </c>
      <c r="O307" s="32" t="s">
        <v>3242</v>
      </c>
      <c r="P307" s="52" t="s">
        <v>2761</v>
      </c>
    </row>
    <row r="308" spans="2:16" x14ac:dyDescent="0.25">
      <c r="B308" s="32">
        <v>296</v>
      </c>
      <c r="C308" s="229" t="s">
        <v>4284</v>
      </c>
      <c r="D308" s="229"/>
      <c r="E308" s="229"/>
      <c r="F308" s="229"/>
      <c r="G308" s="229"/>
      <c r="H308" s="229"/>
      <c r="I308" s="229"/>
      <c r="J308" s="59" t="s">
        <v>3898</v>
      </c>
      <c r="K308" s="46">
        <v>4950000</v>
      </c>
      <c r="L308" s="2">
        <v>45124</v>
      </c>
      <c r="M308" s="32"/>
      <c r="N308" s="32">
        <v>3108227462</v>
      </c>
      <c r="O308" s="51" t="s">
        <v>4283</v>
      </c>
      <c r="P308" s="52" t="s">
        <v>2310</v>
      </c>
    </row>
    <row r="309" spans="2:16" x14ac:dyDescent="0.25">
      <c r="B309" s="32">
        <v>297</v>
      </c>
      <c r="C309" s="229" t="s">
        <v>4285</v>
      </c>
      <c r="D309" s="229"/>
      <c r="E309" s="229"/>
      <c r="F309" s="229"/>
      <c r="G309" s="229"/>
      <c r="H309" s="229"/>
      <c r="I309" s="229"/>
      <c r="J309" s="59" t="s">
        <v>4286</v>
      </c>
      <c r="K309" s="46">
        <v>3500000</v>
      </c>
      <c r="L309" s="2">
        <v>45125</v>
      </c>
      <c r="M309" s="32"/>
      <c r="N309" s="32" t="s">
        <v>4287</v>
      </c>
      <c r="O309" s="32" t="s">
        <v>4288</v>
      </c>
      <c r="P309" s="52" t="s">
        <v>4289</v>
      </c>
    </row>
    <row r="310" spans="2:16" x14ac:dyDescent="0.25">
      <c r="B310" s="32">
        <v>298</v>
      </c>
      <c r="C310" s="229" t="s">
        <v>4290</v>
      </c>
      <c r="D310" s="229"/>
      <c r="E310" s="229"/>
      <c r="F310" s="229"/>
      <c r="G310" s="229"/>
      <c r="H310" s="229"/>
      <c r="I310" s="229"/>
      <c r="J310" s="59" t="s">
        <v>3813</v>
      </c>
      <c r="K310" s="46">
        <v>2300000</v>
      </c>
      <c r="L310" s="2">
        <v>45126</v>
      </c>
      <c r="M310" s="32"/>
      <c r="N310" s="32" t="s">
        <v>3968</v>
      </c>
      <c r="O310" s="32" t="s">
        <v>3969</v>
      </c>
      <c r="P310" s="52"/>
    </row>
    <row r="311" spans="2:16" x14ac:dyDescent="0.25">
      <c r="B311" s="32">
        <v>299</v>
      </c>
      <c r="C311" s="230" t="s">
        <v>4293</v>
      </c>
      <c r="D311" s="231"/>
      <c r="E311" s="231"/>
      <c r="F311" s="231"/>
      <c r="G311" s="231"/>
      <c r="H311" s="231"/>
      <c r="I311" s="231"/>
      <c r="J311" s="59" t="s">
        <v>2602</v>
      </c>
      <c r="K311" s="46">
        <v>9450000</v>
      </c>
      <c r="L311" s="3">
        <v>45131</v>
      </c>
      <c r="M311" s="6"/>
      <c r="N311" s="32">
        <v>3107358330</v>
      </c>
      <c r="O311" s="32" t="s">
        <v>4268</v>
      </c>
      <c r="P311" s="52" t="s">
        <v>2892</v>
      </c>
    </row>
    <row r="312" spans="2:16" ht="15" customHeight="1" x14ac:dyDescent="0.25">
      <c r="B312" s="32">
        <v>300</v>
      </c>
      <c r="C312" s="229" t="s">
        <v>4291</v>
      </c>
      <c r="D312" s="229"/>
      <c r="E312" s="229"/>
      <c r="F312" s="229"/>
      <c r="G312" s="229"/>
      <c r="H312" s="229"/>
      <c r="I312" s="229"/>
      <c r="J312" s="59" t="s">
        <v>857</v>
      </c>
      <c r="K312" s="46">
        <v>29950000</v>
      </c>
      <c r="L312" s="2">
        <v>45129</v>
      </c>
      <c r="M312" s="32"/>
      <c r="N312" s="32" t="s">
        <v>3348</v>
      </c>
      <c r="O312" s="51" t="s">
        <v>3349</v>
      </c>
      <c r="P312" s="38" t="s">
        <v>3350</v>
      </c>
    </row>
    <row r="313" spans="2:16" x14ac:dyDescent="0.25">
      <c r="B313" s="32">
        <v>301</v>
      </c>
      <c r="C313" s="264" t="s">
        <v>4292</v>
      </c>
      <c r="D313" s="283"/>
      <c r="E313" s="283"/>
      <c r="F313" s="283"/>
      <c r="G313" s="283"/>
      <c r="H313" s="283"/>
      <c r="I313" s="284"/>
      <c r="J313" s="59" t="s">
        <v>2602</v>
      </c>
      <c r="K313" s="46">
        <v>3760000</v>
      </c>
      <c r="L313" s="2">
        <v>45132</v>
      </c>
      <c r="M313" s="32"/>
      <c r="N313" s="32">
        <v>3107358330</v>
      </c>
      <c r="O313" s="32" t="s">
        <v>4268</v>
      </c>
      <c r="P313" s="52" t="s">
        <v>2892</v>
      </c>
    </row>
    <row r="314" spans="2:16" x14ac:dyDescent="0.25">
      <c r="B314" s="32">
        <v>302</v>
      </c>
      <c r="C314" s="229" t="s">
        <v>4317</v>
      </c>
      <c r="D314" s="229"/>
      <c r="E314" s="229"/>
      <c r="F314" s="229"/>
      <c r="G314" s="229"/>
      <c r="H314" s="229"/>
      <c r="I314" s="229"/>
      <c r="J314" s="64" t="s">
        <v>1659</v>
      </c>
      <c r="K314" s="46">
        <v>52980000</v>
      </c>
      <c r="L314" s="2">
        <v>45132</v>
      </c>
      <c r="M314" s="32"/>
      <c r="N314" s="32" t="s">
        <v>4295</v>
      </c>
      <c r="O314" s="51" t="s">
        <v>4294</v>
      </c>
      <c r="P314" s="52" t="s">
        <v>1662</v>
      </c>
    </row>
    <row r="315" spans="2:16" x14ac:dyDescent="0.25">
      <c r="B315" s="32">
        <v>303</v>
      </c>
      <c r="C315" s="229" t="s">
        <v>4296</v>
      </c>
      <c r="D315" s="229"/>
      <c r="E315" s="229"/>
      <c r="F315" s="229"/>
      <c r="G315" s="229"/>
      <c r="H315" s="229"/>
      <c r="I315" s="229"/>
      <c r="J315" s="59" t="s">
        <v>702</v>
      </c>
      <c r="K315" s="46">
        <v>1200000</v>
      </c>
      <c r="L315" s="2">
        <v>45132</v>
      </c>
      <c r="M315" s="32"/>
      <c r="N315" s="32" t="s">
        <v>3843</v>
      </c>
      <c r="O315" s="32" t="s">
        <v>3242</v>
      </c>
      <c r="P315" s="52" t="s">
        <v>2761</v>
      </c>
    </row>
    <row r="316" spans="2:16" x14ac:dyDescent="0.25">
      <c r="B316" s="32">
        <v>304</v>
      </c>
      <c r="C316" s="271" t="s">
        <v>4297</v>
      </c>
      <c r="D316" s="272"/>
      <c r="E316" s="272"/>
      <c r="F316" s="272"/>
      <c r="G316" s="272"/>
      <c r="H316" s="272"/>
      <c r="I316" s="272"/>
      <c r="J316" s="59" t="s">
        <v>851</v>
      </c>
      <c r="K316" s="46">
        <v>1650000</v>
      </c>
      <c r="L316" s="2">
        <v>45133</v>
      </c>
      <c r="M316" s="32"/>
      <c r="N316" s="32">
        <v>3014111727</v>
      </c>
      <c r="O316" s="32" t="s">
        <v>4270</v>
      </c>
      <c r="P316" s="52" t="s">
        <v>2235</v>
      </c>
    </row>
    <row r="317" spans="2:16" x14ac:dyDescent="0.25">
      <c r="B317" s="32">
        <v>305</v>
      </c>
      <c r="C317" s="271" t="s">
        <v>4298</v>
      </c>
      <c r="D317" s="272"/>
      <c r="E317" s="272"/>
      <c r="F317" s="272"/>
      <c r="G317" s="272"/>
      <c r="H317" s="272"/>
      <c r="I317" s="272"/>
      <c r="J317" s="59" t="s">
        <v>851</v>
      </c>
      <c r="K317" s="46">
        <v>1650000</v>
      </c>
      <c r="L317" s="2">
        <v>45133</v>
      </c>
      <c r="M317" s="32"/>
      <c r="N317" s="32">
        <v>3014111728</v>
      </c>
      <c r="O317" s="32" t="s">
        <v>4270</v>
      </c>
      <c r="P317" s="52" t="s">
        <v>2235</v>
      </c>
    </row>
    <row r="318" spans="2:16" x14ac:dyDescent="0.25">
      <c r="B318" s="32">
        <v>306</v>
      </c>
      <c r="C318" s="229" t="s">
        <v>4301</v>
      </c>
      <c r="D318" s="229"/>
      <c r="E318" s="229"/>
      <c r="F318" s="229"/>
      <c r="G318" s="229"/>
      <c r="H318" s="229"/>
      <c r="I318" s="229"/>
      <c r="J318" s="59" t="s">
        <v>702</v>
      </c>
      <c r="K318" s="46">
        <v>6770000</v>
      </c>
      <c r="L318" s="2">
        <v>45134</v>
      </c>
      <c r="M318" s="32"/>
      <c r="N318" s="32">
        <v>3137546144</v>
      </c>
      <c r="O318" s="32" t="s">
        <v>3996</v>
      </c>
      <c r="P318" s="52" t="s">
        <v>2504</v>
      </c>
    </row>
    <row r="319" spans="2:16" x14ac:dyDescent="0.25">
      <c r="B319" s="32">
        <v>307</v>
      </c>
      <c r="C319" s="263" t="s">
        <v>4302</v>
      </c>
      <c r="D319" s="229"/>
      <c r="E319" s="229"/>
      <c r="F319" s="229"/>
      <c r="G319" s="229"/>
      <c r="H319" s="229"/>
      <c r="I319" s="229"/>
      <c r="J319" s="59" t="s">
        <v>3609</v>
      </c>
      <c r="K319" s="46">
        <v>3140000</v>
      </c>
      <c r="L319" s="2">
        <v>45134</v>
      </c>
      <c r="M319" s="2"/>
      <c r="N319" s="32">
        <v>3163995153</v>
      </c>
      <c r="O319" s="51" t="s">
        <v>4299</v>
      </c>
      <c r="P319" s="52" t="s">
        <v>4300</v>
      </c>
    </row>
    <row r="320" spans="2:16" x14ac:dyDescent="0.25">
      <c r="B320" s="32">
        <v>308</v>
      </c>
      <c r="C320" s="229" t="s">
        <v>4304</v>
      </c>
      <c r="D320" s="229"/>
      <c r="E320" s="229"/>
      <c r="F320" s="229"/>
      <c r="G320" s="229"/>
      <c r="H320" s="229"/>
      <c r="I320" s="229"/>
      <c r="J320" s="59" t="s">
        <v>702</v>
      </c>
      <c r="K320" s="46">
        <v>1500000</v>
      </c>
      <c r="L320" s="2">
        <v>45134</v>
      </c>
      <c r="M320" s="32"/>
      <c r="N320" s="32">
        <v>3214826168</v>
      </c>
      <c r="O320" s="51" t="s">
        <v>2599</v>
      </c>
      <c r="P320" s="52" t="s">
        <v>4303</v>
      </c>
    </row>
    <row r="321" spans="2:16" x14ac:dyDescent="0.25">
      <c r="B321" s="32">
        <v>309</v>
      </c>
      <c r="C321" s="271" t="s">
        <v>4305</v>
      </c>
      <c r="D321" s="272"/>
      <c r="E321" s="272"/>
      <c r="F321" s="272"/>
      <c r="G321" s="272"/>
      <c r="H321" s="272"/>
      <c r="I321" s="272"/>
      <c r="J321" s="59"/>
      <c r="K321" s="46">
        <v>12950000</v>
      </c>
      <c r="L321" s="2">
        <v>45135</v>
      </c>
      <c r="M321" s="32"/>
      <c r="N321" s="32">
        <v>3004496232</v>
      </c>
      <c r="O321" s="51" t="s">
        <v>4306</v>
      </c>
      <c r="P321" s="52" t="s">
        <v>4307</v>
      </c>
    </row>
    <row r="322" spans="2:16" x14ac:dyDescent="0.25">
      <c r="B322" s="32">
        <v>310</v>
      </c>
      <c r="C322" s="229" t="s">
        <v>4308</v>
      </c>
      <c r="D322" s="229"/>
      <c r="E322" s="229"/>
      <c r="F322" s="229"/>
      <c r="G322" s="229"/>
      <c r="H322" s="229"/>
      <c r="I322" s="229"/>
      <c r="J322" s="59" t="s">
        <v>1659</v>
      </c>
      <c r="K322" s="46">
        <v>9970000</v>
      </c>
      <c r="L322" s="2">
        <v>45138</v>
      </c>
      <c r="M322" s="32"/>
      <c r="N322" s="32" t="s">
        <v>4295</v>
      </c>
      <c r="O322" s="51" t="s">
        <v>4294</v>
      </c>
      <c r="P322" s="52" t="s">
        <v>1662</v>
      </c>
    </row>
    <row r="323" spans="2:16" x14ac:dyDescent="0.25">
      <c r="B323" s="32">
        <v>311</v>
      </c>
      <c r="C323" s="229" t="s">
        <v>4309</v>
      </c>
      <c r="D323" s="229"/>
      <c r="E323" s="229"/>
      <c r="F323" s="229"/>
      <c r="G323" s="229"/>
      <c r="H323" s="229"/>
      <c r="I323" s="229"/>
      <c r="J323" s="59" t="s">
        <v>2779</v>
      </c>
      <c r="K323" s="46">
        <v>16940000</v>
      </c>
      <c r="L323" s="2">
        <v>45138</v>
      </c>
      <c r="M323" s="32"/>
      <c r="N323" s="32">
        <v>3176377118</v>
      </c>
      <c r="O323" s="32" t="s">
        <v>2996</v>
      </c>
      <c r="P323" s="52" t="s">
        <v>2997</v>
      </c>
    </row>
    <row r="324" spans="2:16" x14ac:dyDescent="0.25">
      <c r="B324" s="32">
        <v>312</v>
      </c>
      <c r="C324" s="229" t="s">
        <v>4311</v>
      </c>
      <c r="D324" s="229"/>
      <c r="E324" s="229"/>
      <c r="F324" s="229"/>
      <c r="G324" s="229"/>
      <c r="H324" s="229"/>
      <c r="I324" s="229"/>
      <c r="J324" s="59" t="s">
        <v>702</v>
      </c>
      <c r="K324" s="46">
        <v>19940000</v>
      </c>
      <c r="L324" s="2">
        <v>45138</v>
      </c>
      <c r="M324" s="32"/>
      <c r="N324" s="32" t="s">
        <v>3843</v>
      </c>
      <c r="O324" s="32" t="s">
        <v>3242</v>
      </c>
      <c r="P324" s="52" t="s">
        <v>2761</v>
      </c>
    </row>
    <row r="325" spans="2:16" x14ac:dyDescent="0.25">
      <c r="B325" s="32">
        <v>313</v>
      </c>
      <c r="C325" s="229" t="s">
        <v>4312</v>
      </c>
      <c r="D325" s="229"/>
      <c r="E325" s="229"/>
      <c r="F325" s="229"/>
      <c r="G325" s="229"/>
      <c r="H325" s="229"/>
      <c r="I325" s="229"/>
      <c r="J325" s="59" t="s">
        <v>712</v>
      </c>
      <c r="K325" s="46">
        <v>6960000</v>
      </c>
      <c r="L325" s="2">
        <v>45139</v>
      </c>
      <c r="M325" s="32"/>
      <c r="N325" s="32">
        <v>3137851941</v>
      </c>
      <c r="O325" s="51" t="s">
        <v>2055</v>
      </c>
      <c r="P325" s="52" t="s">
        <v>713</v>
      </c>
    </row>
    <row r="326" spans="2:16" x14ac:dyDescent="0.25">
      <c r="B326" s="32">
        <v>314</v>
      </c>
      <c r="C326" s="229" t="s">
        <v>4313</v>
      </c>
      <c r="D326" s="229"/>
      <c r="E326" s="229"/>
      <c r="F326" s="229"/>
      <c r="G326" s="229"/>
      <c r="H326" s="229"/>
      <c r="I326" s="229"/>
      <c r="J326" s="59" t="s">
        <v>4316</v>
      </c>
      <c r="K326" s="46">
        <v>9950000</v>
      </c>
      <c r="L326" s="2">
        <v>45139</v>
      </c>
      <c r="M326" s="2"/>
      <c r="N326" s="32">
        <v>3104297183</v>
      </c>
      <c r="O326" s="51" t="s">
        <v>4315</v>
      </c>
      <c r="P326" s="99" t="s">
        <v>4314</v>
      </c>
    </row>
    <row r="327" spans="2:16" x14ac:dyDescent="0.25">
      <c r="B327" s="32">
        <v>315</v>
      </c>
      <c r="C327" s="229" t="s">
        <v>4318</v>
      </c>
      <c r="D327" s="229"/>
      <c r="E327" s="229"/>
      <c r="F327" s="229"/>
      <c r="G327" s="229"/>
      <c r="H327" s="229"/>
      <c r="I327" s="229"/>
      <c r="J327" s="59" t="s">
        <v>702</v>
      </c>
      <c r="K327" s="46">
        <v>2300000</v>
      </c>
      <c r="L327" s="2">
        <v>45140</v>
      </c>
      <c r="M327" s="32"/>
      <c r="N327" s="32" t="s">
        <v>4319</v>
      </c>
      <c r="O327" s="51" t="s">
        <v>2219</v>
      </c>
      <c r="P327" s="65" t="s">
        <v>4320</v>
      </c>
    </row>
    <row r="328" spans="2:16" x14ac:dyDescent="0.25">
      <c r="B328" s="32">
        <v>316</v>
      </c>
      <c r="C328" s="229" t="s">
        <v>4321</v>
      </c>
      <c r="D328" s="229"/>
      <c r="E328" s="229"/>
      <c r="F328" s="229"/>
      <c r="G328" s="229"/>
      <c r="H328" s="229"/>
      <c r="I328" s="229"/>
      <c r="J328" s="59" t="s">
        <v>747</v>
      </c>
      <c r="K328" s="46">
        <v>4200000</v>
      </c>
      <c r="L328" s="2">
        <v>45141</v>
      </c>
      <c r="M328" s="32"/>
      <c r="N328" s="32">
        <v>3175594091</v>
      </c>
      <c r="O328" s="32" t="s">
        <v>496</v>
      </c>
      <c r="P328" s="38" t="s">
        <v>748</v>
      </c>
    </row>
    <row r="329" spans="2:16" x14ac:dyDescent="0.25">
      <c r="B329" s="32">
        <v>317</v>
      </c>
      <c r="C329" s="229" t="s">
        <v>4322</v>
      </c>
      <c r="D329" s="229"/>
      <c r="E329" s="229"/>
      <c r="F329" s="229"/>
      <c r="G329" s="229"/>
      <c r="H329" s="229"/>
      <c r="I329" s="229"/>
      <c r="J329" s="59" t="s">
        <v>4323</v>
      </c>
      <c r="K329" s="46">
        <v>14950000</v>
      </c>
      <c r="L329" s="2">
        <v>45142</v>
      </c>
      <c r="M329" s="2"/>
      <c r="N329" s="32">
        <v>3014378233</v>
      </c>
      <c r="O329" s="51" t="s">
        <v>4324</v>
      </c>
      <c r="P329" s="52" t="s">
        <v>4325</v>
      </c>
    </row>
    <row r="330" spans="2:16" x14ac:dyDescent="0.25">
      <c r="B330" s="32">
        <v>318</v>
      </c>
      <c r="C330" s="229" t="s">
        <v>4327</v>
      </c>
      <c r="D330" s="229"/>
      <c r="E330" s="229"/>
      <c r="F330" s="229"/>
      <c r="G330" s="229"/>
      <c r="H330" s="229"/>
      <c r="I330" s="229"/>
      <c r="J330" s="59" t="s">
        <v>4328</v>
      </c>
      <c r="K330" s="46">
        <v>9950000</v>
      </c>
      <c r="L330" s="2">
        <v>45142</v>
      </c>
      <c r="M330" s="32"/>
      <c r="N330" s="32" t="s">
        <v>4329</v>
      </c>
      <c r="O330" s="51" t="s">
        <v>4331</v>
      </c>
      <c r="P330" s="52" t="s">
        <v>4330</v>
      </c>
    </row>
    <row r="331" spans="2:16" x14ac:dyDescent="0.25">
      <c r="B331" s="32">
        <v>319</v>
      </c>
      <c r="C331" s="229" t="s">
        <v>4326</v>
      </c>
      <c r="D331" s="229"/>
      <c r="E331" s="229"/>
      <c r="F331" s="229"/>
      <c r="G331" s="229"/>
      <c r="H331" s="229"/>
      <c r="I331" s="229"/>
      <c r="J331" s="59" t="s">
        <v>4328</v>
      </c>
      <c r="K331" s="46">
        <v>7950000</v>
      </c>
      <c r="L331" s="2">
        <v>45142</v>
      </c>
      <c r="M331" s="32"/>
      <c r="N331" s="32" t="s">
        <v>4329</v>
      </c>
      <c r="O331" s="51" t="s">
        <v>4331</v>
      </c>
      <c r="P331" s="52" t="s">
        <v>4330</v>
      </c>
    </row>
    <row r="332" spans="2:16" x14ac:dyDescent="0.25">
      <c r="B332" s="32">
        <v>320</v>
      </c>
      <c r="C332" s="229" t="s">
        <v>4332</v>
      </c>
      <c r="D332" s="229"/>
      <c r="E332" s="229"/>
      <c r="F332" s="229"/>
      <c r="G332" s="229"/>
      <c r="H332" s="229"/>
      <c r="I332" s="229"/>
      <c r="J332" s="59" t="s">
        <v>857</v>
      </c>
      <c r="K332" s="46">
        <v>49950000</v>
      </c>
      <c r="L332" s="2">
        <v>45146</v>
      </c>
      <c r="M332" s="32"/>
      <c r="N332" s="32" t="s">
        <v>3348</v>
      </c>
      <c r="O332" s="51" t="s">
        <v>3349</v>
      </c>
      <c r="P332" s="38" t="s">
        <v>3350</v>
      </c>
    </row>
    <row r="333" spans="2:16" x14ac:dyDescent="0.25">
      <c r="B333" s="32">
        <v>321</v>
      </c>
      <c r="C333" s="263" t="s">
        <v>4333</v>
      </c>
      <c r="D333" s="229"/>
      <c r="E333" s="229"/>
      <c r="F333" s="229"/>
      <c r="G333" s="229"/>
      <c r="H333" s="229"/>
      <c r="I333" s="229"/>
      <c r="J333" s="59" t="s">
        <v>1875</v>
      </c>
      <c r="K333" s="46">
        <v>43900000</v>
      </c>
      <c r="L333" s="2">
        <v>45147</v>
      </c>
      <c r="M333" s="32"/>
      <c r="N333" s="32" t="s">
        <v>2987</v>
      </c>
      <c r="O333" s="32" t="s">
        <v>372</v>
      </c>
      <c r="P333" s="52" t="s">
        <v>2561</v>
      </c>
    </row>
    <row r="334" spans="2:16" x14ac:dyDescent="0.25">
      <c r="B334" s="32">
        <v>322</v>
      </c>
      <c r="C334" s="229" t="s">
        <v>4334</v>
      </c>
      <c r="D334" s="229"/>
      <c r="E334" s="229"/>
      <c r="F334" s="229"/>
      <c r="G334" s="229"/>
      <c r="H334" s="229"/>
      <c r="I334" s="229"/>
      <c r="J334" s="59" t="s">
        <v>4335</v>
      </c>
      <c r="K334" s="46">
        <v>15990000</v>
      </c>
      <c r="L334" s="2">
        <v>45147</v>
      </c>
      <c r="M334" s="32"/>
      <c r="N334" s="32">
        <v>3044779635</v>
      </c>
      <c r="O334" s="51" t="s">
        <v>4336</v>
      </c>
      <c r="P334" s="52"/>
    </row>
    <row r="335" spans="2:16" x14ac:dyDescent="0.25">
      <c r="B335" s="32">
        <v>323</v>
      </c>
      <c r="C335" s="229" t="s">
        <v>4337</v>
      </c>
      <c r="D335" s="229"/>
      <c r="E335" s="229"/>
      <c r="F335" s="229"/>
      <c r="G335" s="229"/>
      <c r="H335" s="229"/>
      <c r="I335" s="229"/>
      <c r="J335" s="59" t="s">
        <v>4338</v>
      </c>
      <c r="K335" s="46">
        <v>119500000</v>
      </c>
      <c r="L335" s="2">
        <v>45148</v>
      </c>
      <c r="M335" s="32"/>
      <c r="N335" s="32">
        <v>3194427924</v>
      </c>
      <c r="O335" s="51" t="s">
        <v>4340</v>
      </c>
      <c r="P335" s="52" t="s">
        <v>4339</v>
      </c>
    </row>
    <row r="336" spans="2:16" x14ac:dyDescent="0.25">
      <c r="B336" s="32">
        <v>324</v>
      </c>
      <c r="C336" s="229" t="s">
        <v>4317</v>
      </c>
      <c r="D336" s="229"/>
      <c r="E336" s="229"/>
      <c r="F336" s="229"/>
      <c r="G336" s="229"/>
      <c r="H336" s="229"/>
      <c r="I336" s="229"/>
      <c r="J336" s="64" t="s">
        <v>4341</v>
      </c>
      <c r="K336" s="46">
        <v>43840000</v>
      </c>
      <c r="L336" s="2">
        <v>45149</v>
      </c>
      <c r="M336" s="32"/>
      <c r="N336" s="32"/>
      <c r="O336" s="32" t="s">
        <v>4342</v>
      </c>
      <c r="P336" s="52" t="s">
        <v>4343</v>
      </c>
    </row>
    <row r="337" spans="2:16" x14ac:dyDescent="0.25">
      <c r="B337" s="32">
        <v>325</v>
      </c>
      <c r="C337" s="271" t="s">
        <v>4344</v>
      </c>
      <c r="D337" s="272"/>
      <c r="E337" s="272"/>
      <c r="F337" s="272"/>
      <c r="G337" s="272"/>
      <c r="H337" s="272"/>
      <c r="I337" s="272"/>
      <c r="J337" s="59" t="s">
        <v>3002</v>
      </c>
      <c r="K337" s="46">
        <v>1050000</v>
      </c>
      <c r="L337" s="2">
        <v>45152</v>
      </c>
      <c r="M337" s="32"/>
      <c r="N337" s="51"/>
      <c r="O337" s="32" t="s">
        <v>4346</v>
      </c>
      <c r="P337" s="52" t="s">
        <v>4345</v>
      </c>
    </row>
    <row r="338" spans="2:16" x14ac:dyDescent="0.25">
      <c r="B338" s="32">
        <v>326</v>
      </c>
      <c r="C338" s="271" t="s">
        <v>4347</v>
      </c>
      <c r="D338" s="272"/>
      <c r="E338" s="272"/>
      <c r="F338" s="272"/>
      <c r="G338" s="272"/>
      <c r="H338" s="272"/>
      <c r="I338" s="272"/>
      <c r="J338" s="23" t="s">
        <v>712</v>
      </c>
      <c r="K338" s="46">
        <v>3950000</v>
      </c>
      <c r="L338" s="2">
        <v>45153</v>
      </c>
      <c r="M338" s="32"/>
      <c r="N338" s="32">
        <v>3137851941</v>
      </c>
      <c r="O338" s="51" t="s">
        <v>2055</v>
      </c>
      <c r="P338" s="52" t="s">
        <v>713</v>
      </c>
    </row>
    <row r="339" spans="2:16" x14ac:dyDescent="0.25">
      <c r="B339" s="32">
        <v>327</v>
      </c>
      <c r="C339" s="229" t="s">
        <v>4348</v>
      </c>
      <c r="D339" s="229"/>
      <c r="E339" s="229"/>
      <c r="F339" s="229"/>
      <c r="G339" s="229"/>
      <c r="H339" s="229"/>
      <c r="I339" s="229"/>
      <c r="J339" s="59" t="s">
        <v>1875</v>
      </c>
      <c r="K339" s="46">
        <v>9950000</v>
      </c>
      <c r="L339" s="2">
        <v>45153</v>
      </c>
      <c r="M339" s="32"/>
      <c r="N339" s="32" t="s">
        <v>2987</v>
      </c>
      <c r="O339" s="32" t="s">
        <v>372</v>
      </c>
      <c r="P339" s="52" t="s">
        <v>2561</v>
      </c>
    </row>
    <row r="340" spans="2:16" x14ac:dyDescent="0.25">
      <c r="B340" s="32">
        <v>328</v>
      </c>
      <c r="C340" s="273" t="s">
        <v>4349</v>
      </c>
      <c r="D340" s="274"/>
      <c r="E340" s="274"/>
      <c r="F340" s="274"/>
      <c r="G340" s="274"/>
      <c r="H340" s="274"/>
      <c r="I340" s="274"/>
      <c r="J340" s="59" t="s">
        <v>857</v>
      </c>
      <c r="K340" s="46">
        <v>39950000</v>
      </c>
      <c r="L340" s="2">
        <v>45154</v>
      </c>
      <c r="M340" s="32"/>
      <c r="N340" s="32" t="s">
        <v>3348</v>
      </c>
      <c r="O340" s="51" t="s">
        <v>3349</v>
      </c>
      <c r="P340" s="38" t="s">
        <v>3350</v>
      </c>
    </row>
    <row r="341" spans="2:16" x14ac:dyDescent="0.25">
      <c r="B341" s="32">
        <v>329</v>
      </c>
      <c r="C341" s="229" t="s">
        <v>4350</v>
      </c>
      <c r="D341" s="229"/>
      <c r="E341" s="229"/>
      <c r="F341" s="229"/>
      <c r="G341" s="229"/>
      <c r="H341" s="229"/>
      <c r="I341" s="229"/>
      <c r="J341" s="59" t="s">
        <v>702</v>
      </c>
      <c r="K341" s="46">
        <v>6270000</v>
      </c>
      <c r="L341" s="2">
        <v>45156</v>
      </c>
      <c r="M341" s="32"/>
      <c r="N341" s="32">
        <v>3104165783</v>
      </c>
      <c r="O341" s="51" t="s">
        <v>3601</v>
      </c>
      <c r="P341" s="52" t="s">
        <v>2761</v>
      </c>
    </row>
    <row r="342" spans="2:16" ht="15" customHeight="1" x14ac:dyDescent="0.25">
      <c r="B342" s="32">
        <v>330</v>
      </c>
      <c r="C342" s="229" t="s">
        <v>4351</v>
      </c>
      <c r="D342" s="229"/>
      <c r="E342" s="229"/>
      <c r="F342" s="229"/>
      <c r="G342" s="229"/>
      <c r="H342" s="229"/>
      <c r="I342" s="229"/>
      <c r="J342" s="59" t="s">
        <v>702</v>
      </c>
      <c r="K342" s="46">
        <v>26350000</v>
      </c>
      <c r="L342" s="2">
        <v>45156</v>
      </c>
      <c r="M342" s="32"/>
      <c r="N342" s="32">
        <v>3104165783</v>
      </c>
      <c r="O342" s="51" t="s">
        <v>3601</v>
      </c>
      <c r="P342" s="52" t="s">
        <v>2761</v>
      </c>
    </row>
    <row r="343" spans="2:16" x14ac:dyDescent="0.25">
      <c r="B343" s="32">
        <v>331</v>
      </c>
      <c r="C343" s="229" t="s">
        <v>4356</v>
      </c>
      <c r="D343" s="229"/>
      <c r="E343" s="229"/>
      <c r="F343" s="229"/>
      <c r="G343" s="229"/>
      <c r="H343" s="229"/>
      <c r="I343" s="229"/>
      <c r="J343" s="59" t="s">
        <v>4352</v>
      </c>
      <c r="K343" s="46">
        <v>2950000</v>
      </c>
      <c r="L343" s="2">
        <v>45156</v>
      </c>
      <c r="M343" s="32"/>
      <c r="N343" s="32" t="s">
        <v>4353</v>
      </c>
      <c r="O343" s="51" t="s">
        <v>4355</v>
      </c>
      <c r="P343" s="52" t="s">
        <v>4354</v>
      </c>
    </row>
    <row r="344" spans="2:16" x14ac:dyDescent="0.25">
      <c r="B344" s="32">
        <v>332</v>
      </c>
      <c r="C344" s="229" t="s">
        <v>4357</v>
      </c>
      <c r="D344" s="229"/>
      <c r="E344" s="229"/>
      <c r="F344" s="229"/>
      <c r="G344" s="229"/>
      <c r="H344" s="229"/>
      <c r="I344" s="229"/>
      <c r="J344" s="59" t="s">
        <v>702</v>
      </c>
      <c r="K344" s="46">
        <v>7530000</v>
      </c>
      <c r="L344" s="2">
        <v>45155</v>
      </c>
      <c r="M344" s="32"/>
      <c r="N344" s="32" t="s">
        <v>2745</v>
      </c>
      <c r="O344" s="32" t="s">
        <v>2746</v>
      </c>
      <c r="P344" s="52" t="s">
        <v>703</v>
      </c>
    </row>
    <row r="345" spans="2:16" x14ac:dyDescent="0.25">
      <c r="B345" s="32">
        <v>333</v>
      </c>
      <c r="C345" s="229" t="s">
        <v>4358</v>
      </c>
      <c r="D345" s="229"/>
      <c r="E345" s="229"/>
      <c r="F345" s="229"/>
      <c r="G345" s="229"/>
      <c r="H345" s="229"/>
      <c r="I345" s="229"/>
      <c r="J345" s="59" t="s">
        <v>712</v>
      </c>
      <c r="K345" s="46">
        <v>3760000</v>
      </c>
      <c r="L345" s="2">
        <v>45160</v>
      </c>
      <c r="M345" s="32"/>
      <c r="N345" s="32">
        <v>3137851941</v>
      </c>
      <c r="O345" s="32" t="s">
        <v>2055</v>
      </c>
      <c r="P345" s="52" t="s">
        <v>713</v>
      </c>
    </row>
    <row r="346" spans="2:16" x14ac:dyDescent="0.25">
      <c r="B346" s="32">
        <v>334</v>
      </c>
      <c r="C346" s="229" t="s">
        <v>4359</v>
      </c>
      <c r="D346" s="229"/>
      <c r="E346" s="229"/>
      <c r="F346" s="229"/>
      <c r="G346" s="229"/>
      <c r="H346" s="229"/>
      <c r="I346" s="229"/>
      <c r="J346" s="59" t="s">
        <v>712</v>
      </c>
      <c r="K346" s="46">
        <v>18810000</v>
      </c>
      <c r="L346" s="2">
        <v>45164</v>
      </c>
      <c r="M346" s="32"/>
      <c r="N346" s="32">
        <v>3137851941</v>
      </c>
      <c r="O346" s="32" t="s">
        <v>2055</v>
      </c>
      <c r="P346" s="52" t="s">
        <v>713</v>
      </c>
    </row>
    <row r="347" spans="2:16" x14ac:dyDescent="0.25">
      <c r="B347" s="32">
        <v>335</v>
      </c>
      <c r="C347" s="229" t="s">
        <v>4360</v>
      </c>
      <c r="D347" s="229"/>
      <c r="E347" s="229"/>
      <c r="F347" s="229"/>
      <c r="G347" s="229"/>
      <c r="H347" s="229"/>
      <c r="I347" s="229"/>
      <c r="J347" s="59" t="s">
        <v>857</v>
      </c>
      <c r="K347" s="46">
        <v>26950000</v>
      </c>
      <c r="L347" s="2">
        <v>45161</v>
      </c>
      <c r="M347" s="32"/>
      <c r="N347" s="32" t="s">
        <v>3348</v>
      </c>
      <c r="O347" s="51" t="s">
        <v>3349</v>
      </c>
      <c r="P347" s="38" t="s">
        <v>3350</v>
      </c>
    </row>
    <row r="348" spans="2:16" x14ac:dyDescent="0.25">
      <c r="B348" s="32">
        <v>336</v>
      </c>
      <c r="C348" s="229" t="s">
        <v>3830</v>
      </c>
      <c r="D348" s="229"/>
      <c r="E348" s="229"/>
      <c r="F348" s="229"/>
      <c r="G348" s="229"/>
      <c r="H348" s="229"/>
      <c r="I348" s="229"/>
      <c r="J348" s="59" t="s">
        <v>1139</v>
      </c>
      <c r="K348" s="46"/>
      <c r="L348" s="2">
        <v>45161</v>
      </c>
      <c r="M348" s="32"/>
      <c r="N348" s="32">
        <v>3003404902</v>
      </c>
      <c r="O348" s="51" t="s">
        <v>2049</v>
      </c>
      <c r="P348" s="52" t="s">
        <v>2881</v>
      </c>
    </row>
    <row r="349" spans="2:16" ht="15" customHeight="1" x14ac:dyDescent="0.25">
      <c r="B349" s="32">
        <v>337</v>
      </c>
      <c r="C349" s="229" t="s">
        <v>4364</v>
      </c>
      <c r="D349" s="229"/>
      <c r="E349" s="229"/>
      <c r="F349" s="229"/>
      <c r="G349" s="229"/>
      <c r="H349" s="229"/>
      <c r="I349" s="229"/>
      <c r="J349" s="59" t="s">
        <v>4194</v>
      </c>
      <c r="K349" s="46"/>
      <c r="L349" s="2">
        <v>45161</v>
      </c>
      <c r="M349" s="32"/>
      <c r="N349" s="32" t="s">
        <v>4363</v>
      </c>
      <c r="O349" s="51" t="s">
        <v>4362</v>
      </c>
      <c r="P349" s="52" t="s">
        <v>4361</v>
      </c>
    </row>
    <row r="350" spans="2:16" ht="15" customHeight="1" x14ac:dyDescent="0.25">
      <c r="B350" s="32">
        <v>338</v>
      </c>
      <c r="C350" s="229" t="s">
        <v>4365</v>
      </c>
      <c r="D350" s="229"/>
      <c r="E350" s="229"/>
      <c r="F350" s="229"/>
      <c r="G350" s="229"/>
      <c r="H350" s="229"/>
      <c r="I350" s="229"/>
      <c r="J350" s="59" t="s">
        <v>4369</v>
      </c>
      <c r="K350" s="46"/>
      <c r="L350" s="2">
        <v>45163</v>
      </c>
      <c r="M350" s="32"/>
      <c r="N350" s="32" t="s">
        <v>4368</v>
      </c>
      <c r="O350" s="51" t="s">
        <v>4366</v>
      </c>
      <c r="P350" s="52" t="s">
        <v>4367</v>
      </c>
    </row>
    <row r="351" spans="2:16" x14ac:dyDescent="0.25">
      <c r="B351" s="32">
        <v>339</v>
      </c>
      <c r="C351" s="271" t="s">
        <v>4371</v>
      </c>
      <c r="D351" s="272"/>
      <c r="E351" s="272"/>
      <c r="F351" s="272"/>
      <c r="G351" s="272"/>
      <c r="H351" s="272"/>
      <c r="I351" s="272"/>
      <c r="J351" s="59" t="s">
        <v>712</v>
      </c>
      <c r="K351" s="46">
        <v>3950000</v>
      </c>
      <c r="L351" s="2">
        <v>45164</v>
      </c>
      <c r="M351" s="32"/>
      <c r="N351" s="32">
        <v>3137851941</v>
      </c>
      <c r="O351" s="32" t="s">
        <v>2055</v>
      </c>
      <c r="P351" s="52" t="s">
        <v>713</v>
      </c>
    </row>
    <row r="352" spans="2:16" x14ac:dyDescent="0.25">
      <c r="B352" s="32">
        <v>340</v>
      </c>
      <c r="C352" s="263" t="s">
        <v>4370</v>
      </c>
      <c r="D352" s="229"/>
      <c r="E352" s="229"/>
      <c r="F352" s="229"/>
      <c r="G352" s="229"/>
      <c r="H352" s="229"/>
      <c r="I352" s="229"/>
      <c r="J352" s="59" t="s">
        <v>702</v>
      </c>
      <c r="K352" s="46">
        <v>600000</v>
      </c>
      <c r="L352" s="2">
        <v>45164</v>
      </c>
      <c r="M352" s="32"/>
      <c r="N352" s="32" t="s">
        <v>4319</v>
      </c>
      <c r="O352" s="51" t="s">
        <v>2219</v>
      </c>
      <c r="P352" s="65" t="s">
        <v>4320</v>
      </c>
    </row>
    <row r="353" spans="2:16" x14ac:dyDescent="0.25">
      <c r="B353" s="32">
        <v>341</v>
      </c>
      <c r="C353" s="229" t="s">
        <v>4372</v>
      </c>
      <c r="D353" s="229"/>
      <c r="E353" s="229"/>
      <c r="F353" s="229"/>
      <c r="G353" s="229"/>
      <c r="H353" s="229"/>
      <c r="I353" s="229"/>
      <c r="J353" s="59" t="s">
        <v>712</v>
      </c>
      <c r="K353" s="46">
        <v>3130000</v>
      </c>
      <c r="L353" s="2">
        <v>45164</v>
      </c>
      <c r="M353" s="32"/>
      <c r="N353" s="32">
        <v>3137851941</v>
      </c>
      <c r="O353" s="32" t="s">
        <v>2055</v>
      </c>
      <c r="P353" s="52" t="s">
        <v>713</v>
      </c>
    </row>
    <row r="354" spans="2:16" x14ac:dyDescent="0.25">
      <c r="B354" s="32">
        <v>342</v>
      </c>
      <c r="C354" s="263" t="s">
        <v>4373</v>
      </c>
      <c r="D354" s="229"/>
      <c r="E354" s="229"/>
      <c r="F354" s="229"/>
      <c r="G354" s="229"/>
      <c r="H354" s="229"/>
      <c r="I354" s="229"/>
      <c r="J354" s="59" t="s">
        <v>1875</v>
      </c>
      <c r="K354" s="46">
        <v>4000000</v>
      </c>
      <c r="L354" s="2">
        <v>45167</v>
      </c>
      <c r="M354" s="32"/>
      <c r="N354" s="51">
        <v>3116460496</v>
      </c>
      <c r="O354" s="32" t="s">
        <v>4374</v>
      </c>
      <c r="P354" s="52" t="s">
        <v>1876</v>
      </c>
    </row>
    <row r="355" spans="2:16" x14ac:dyDescent="0.25">
      <c r="B355" s="32">
        <v>343</v>
      </c>
      <c r="C355" s="229" t="s">
        <v>4376</v>
      </c>
      <c r="D355" s="229"/>
      <c r="E355" s="229"/>
      <c r="F355" s="229"/>
      <c r="G355" s="229"/>
      <c r="H355" s="229"/>
      <c r="I355" s="229"/>
      <c r="J355" s="59" t="s">
        <v>753</v>
      </c>
      <c r="K355" s="46"/>
      <c r="L355" s="2">
        <v>45167</v>
      </c>
      <c r="M355" s="32"/>
      <c r="N355" s="32" t="s">
        <v>2591</v>
      </c>
      <c r="O355" s="51" t="s">
        <v>4375</v>
      </c>
      <c r="P355" s="52" t="s">
        <v>1012</v>
      </c>
    </row>
    <row r="356" spans="2:16" x14ac:dyDescent="0.25">
      <c r="B356" s="32">
        <v>344</v>
      </c>
      <c r="C356" s="271" t="s">
        <v>4377</v>
      </c>
      <c r="D356" s="272"/>
      <c r="E356" s="272"/>
      <c r="F356" s="272"/>
      <c r="G356" s="272"/>
      <c r="H356" s="272"/>
      <c r="I356" s="272"/>
      <c r="J356" s="59" t="s">
        <v>3965</v>
      </c>
      <c r="K356" s="46">
        <v>5650000</v>
      </c>
      <c r="L356" s="2">
        <v>45167</v>
      </c>
      <c r="M356" s="2"/>
      <c r="N356" s="32" t="s">
        <v>3967</v>
      </c>
      <c r="O356" s="32" t="s">
        <v>3966</v>
      </c>
      <c r="P356" s="52" t="s">
        <v>3972</v>
      </c>
    </row>
    <row r="357" spans="2:16" ht="15" customHeight="1" x14ac:dyDescent="0.25">
      <c r="B357" s="32">
        <v>345</v>
      </c>
      <c r="C357" s="280" t="s">
        <v>4379</v>
      </c>
      <c r="D357" s="281"/>
      <c r="E357" s="281"/>
      <c r="F357" s="281"/>
      <c r="G357" s="281"/>
      <c r="H357" s="281"/>
      <c r="I357" s="282"/>
      <c r="J357" s="59" t="s">
        <v>1439</v>
      </c>
      <c r="K357" s="46">
        <v>28750000</v>
      </c>
      <c r="L357" s="2">
        <v>45169</v>
      </c>
      <c r="M357" s="32"/>
      <c r="N357" s="32">
        <v>3104145629</v>
      </c>
      <c r="O357" s="32" t="s">
        <v>4378</v>
      </c>
      <c r="P357" s="52" t="s">
        <v>2021</v>
      </c>
    </row>
    <row r="358" spans="2:16" ht="15" customHeight="1" x14ac:dyDescent="0.25">
      <c r="B358" s="32">
        <v>346</v>
      </c>
      <c r="C358" s="280" t="s">
        <v>4387</v>
      </c>
      <c r="D358" s="281"/>
      <c r="E358" s="281"/>
      <c r="F358" s="281"/>
      <c r="G358" s="281"/>
      <c r="H358" s="281"/>
      <c r="I358" s="282"/>
      <c r="J358" s="59" t="s">
        <v>4380</v>
      </c>
      <c r="K358" s="46">
        <v>8960000</v>
      </c>
      <c r="L358" s="2">
        <v>45169</v>
      </c>
      <c r="M358" s="32"/>
      <c r="N358" s="51">
        <v>3004040045</v>
      </c>
      <c r="O358" s="32" t="s">
        <v>4381</v>
      </c>
      <c r="P358" s="52" t="s">
        <v>4382</v>
      </c>
    </row>
    <row r="359" spans="2:16" x14ac:dyDescent="0.25">
      <c r="B359" s="32">
        <v>347</v>
      </c>
      <c r="C359" s="280" t="s">
        <v>4388</v>
      </c>
      <c r="D359" s="281"/>
      <c r="E359" s="281"/>
      <c r="F359" s="281"/>
      <c r="G359" s="281"/>
      <c r="H359" s="281"/>
      <c r="I359" s="282"/>
      <c r="J359" s="59" t="s">
        <v>4380</v>
      </c>
      <c r="K359" s="46">
        <v>12920000</v>
      </c>
      <c r="L359" s="2">
        <v>45169</v>
      </c>
      <c r="M359" s="32"/>
      <c r="N359" s="51">
        <v>3004040045</v>
      </c>
      <c r="O359" s="32" t="s">
        <v>4381</v>
      </c>
      <c r="P359" s="52" t="s">
        <v>4382</v>
      </c>
    </row>
    <row r="360" spans="2:16" ht="15" customHeight="1" x14ac:dyDescent="0.25">
      <c r="B360" s="32">
        <v>348</v>
      </c>
      <c r="C360" s="280" t="s">
        <v>4386</v>
      </c>
      <c r="D360" s="281"/>
      <c r="E360" s="281"/>
      <c r="F360" s="281"/>
      <c r="G360" s="281"/>
      <c r="H360" s="281"/>
      <c r="I360" s="282"/>
      <c r="J360" s="59" t="s">
        <v>805</v>
      </c>
      <c r="K360" s="46"/>
      <c r="L360" s="2">
        <v>45169</v>
      </c>
      <c r="M360" s="32"/>
      <c r="N360" s="32" t="s">
        <v>4385</v>
      </c>
      <c r="O360" s="51" t="s">
        <v>4383</v>
      </c>
      <c r="P360" s="52" t="s">
        <v>4384</v>
      </c>
    </row>
    <row r="361" spans="2:16" x14ac:dyDescent="0.25">
      <c r="B361" s="32">
        <v>349</v>
      </c>
      <c r="C361" s="271" t="s">
        <v>4389</v>
      </c>
      <c r="D361" s="272"/>
      <c r="E361" s="272"/>
      <c r="F361" s="272"/>
      <c r="G361" s="272"/>
      <c r="H361" s="272"/>
      <c r="I361" s="272"/>
      <c r="J361" s="59" t="s">
        <v>702</v>
      </c>
      <c r="K361" s="46">
        <v>2520000</v>
      </c>
      <c r="L361" s="2">
        <v>45170</v>
      </c>
      <c r="M361" s="32"/>
      <c r="N361" s="32">
        <v>3137546144</v>
      </c>
      <c r="O361" s="32" t="s">
        <v>3996</v>
      </c>
      <c r="P361" s="52" t="s">
        <v>2504</v>
      </c>
    </row>
    <row r="362" spans="2:16" x14ac:dyDescent="0.25">
      <c r="B362" s="32">
        <v>350</v>
      </c>
      <c r="C362" s="263" t="s">
        <v>4391</v>
      </c>
      <c r="D362" s="229"/>
      <c r="E362" s="229"/>
      <c r="F362" s="229"/>
      <c r="G362" s="229"/>
      <c r="H362" s="229"/>
      <c r="I362" s="229"/>
      <c r="J362" s="59" t="s">
        <v>4390</v>
      </c>
      <c r="K362" s="46">
        <v>2000000</v>
      </c>
      <c r="L362" s="2">
        <v>45170</v>
      </c>
      <c r="M362" s="32"/>
      <c r="N362" s="32">
        <v>4442074</v>
      </c>
      <c r="O362" s="51" t="s">
        <v>390</v>
      </c>
      <c r="P362" s="52" t="s">
        <v>1876</v>
      </c>
    </row>
    <row r="363" spans="2:16" x14ac:dyDescent="0.25">
      <c r="B363" s="32">
        <v>351</v>
      </c>
      <c r="C363" s="271" t="s">
        <v>4392</v>
      </c>
      <c r="D363" s="272"/>
      <c r="E363" s="272"/>
      <c r="F363" s="272"/>
      <c r="G363" s="272"/>
      <c r="H363" s="272"/>
      <c r="I363" s="272"/>
      <c r="J363" s="59" t="s">
        <v>4395</v>
      </c>
      <c r="K363" s="46"/>
      <c r="L363" s="2">
        <v>45173</v>
      </c>
      <c r="M363" s="32"/>
      <c r="N363" s="32"/>
      <c r="O363" s="51" t="s">
        <v>4393</v>
      </c>
      <c r="P363" s="52" t="s">
        <v>4394</v>
      </c>
    </row>
    <row r="364" spans="2:16" x14ac:dyDescent="0.25">
      <c r="B364" s="32">
        <v>352</v>
      </c>
      <c r="C364" s="271" t="s">
        <v>4398</v>
      </c>
      <c r="D364" s="272"/>
      <c r="E364" s="272"/>
      <c r="F364" s="272"/>
      <c r="G364" s="272"/>
      <c r="H364" s="272"/>
      <c r="I364" s="272"/>
      <c r="J364" s="59" t="s">
        <v>4396</v>
      </c>
      <c r="K364" s="46"/>
      <c r="L364" s="2">
        <v>45173</v>
      </c>
      <c r="M364" s="32"/>
      <c r="N364" s="32">
        <v>3146188195</v>
      </c>
      <c r="O364" s="51"/>
      <c r="P364" s="52" t="s">
        <v>4397</v>
      </c>
    </row>
    <row r="365" spans="2:16" x14ac:dyDescent="0.25">
      <c r="B365" s="32">
        <v>353</v>
      </c>
      <c r="C365" s="229" t="s">
        <v>4401</v>
      </c>
      <c r="D365" s="229"/>
      <c r="E365" s="229"/>
      <c r="F365" s="229"/>
      <c r="G365" s="229"/>
      <c r="H365" s="229"/>
      <c r="I365" s="229"/>
      <c r="J365" s="59" t="s">
        <v>774</v>
      </c>
      <c r="K365" s="46">
        <v>7620000</v>
      </c>
      <c r="L365" s="2">
        <v>45174</v>
      </c>
      <c r="M365" s="32"/>
      <c r="N365" s="32">
        <v>6044037700</v>
      </c>
      <c r="O365" s="51" t="s">
        <v>4400</v>
      </c>
      <c r="P365" s="38" t="s">
        <v>4399</v>
      </c>
    </row>
    <row r="366" spans="2:16" x14ac:dyDescent="0.25">
      <c r="B366" s="32">
        <v>354</v>
      </c>
      <c r="C366" s="229" t="s">
        <v>4403</v>
      </c>
      <c r="D366" s="229"/>
      <c r="E366" s="229"/>
      <c r="F366" s="229"/>
      <c r="G366" s="229"/>
      <c r="H366" s="229"/>
      <c r="I366" s="229"/>
      <c r="J366" s="59" t="s">
        <v>2672</v>
      </c>
      <c r="K366" s="46">
        <v>6400000</v>
      </c>
      <c r="L366" s="2">
        <v>45173</v>
      </c>
      <c r="M366" s="32"/>
      <c r="N366" s="32">
        <v>3008594811</v>
      </c>
      <c r="O366" s="51" t="s">
        <v>4402</v>
      </c>
      <c r="P366" s="52" t="s">
        <v>3780</v>
      </c>
    </row>
    <row r="367" spans="2:16" x14ac:dyDescent="0.25">
      <c r="B367" s="32">
        <v>355</v>
      </c>
      <c r="C367" s="271" t="s">
        <v>4406</v>
      </c>
      <c r="D367" s="272"/>
      <c r="E367" s="272"/>
      <c r="F367" s="272"/>
      <c r="G367" s="272"/>
      <c r="H367" s="272"/>
      <c r="I367" s="272"/>
      <c r="J367" s="59" t="s">
        <v>4405</v>
      </c>
      <c r="K367" s="46"/>
      <c r="L367" s="2">
        <v>45173</v>
      </c>
      <c r="M367" s="32"/>
      <c r="N367" s="32">
        <v>3012427405</v>
      </c>
      <c r="O367" s="51" t="s">
        <v>4407</v>
      </c>
      <c r="P367" s="52" t="s">
        <v>4404</v>
      </c>
    </row>
    <row r="368" spans="2:16" x14ac:dyDescent="0.25">
      <c r="B368" s="32">
        <v>356</v>
      </c>
      <c r="C368" s="229" t="s">
        <v>4410</v>
      </c>
      <c r="D368" s="229"/>
      <c r="E368" s="229"/>
      <c r="F368" s="229"/>
      <c r="G368" s="229"/>
      <c r="H368" s="229"/>
      <c r="I368" s="229"/>
      <c r="J368" s="59" t="s">
        <v>2602</v>
      </c>
      <c r="K368" s="46">
        <v>25600000</v>
      </c>
      <c r="L368" s="2">
        <v>45173</v>
      </c>
      <c r="M368" s="32"/>
      <c r="N368" s="32" t="s">
        <v>4408</v>
      </c>
      <c r="O368" s="51" t="s">
        <v>1993</v>
      </c>
      <c r="P368" s="52" t="s">
        <v>1994</v>
      </c>
    </row>
    <row r="369" spans="2:16" x14ac:dyDescent="0.25">
      <c r="B369" s="32">
        <v>357</v>
      </c>
      <c r="C369" s="229" t="s">
        <v>4409</v>
      </c>
      <c r="D369" s="229"/>
      <c r="E369" s="229"/>
      <c r="F369" s="229"/>
      <c r="G369" s="229"/>
      <c r="H369" s="229"/>
      <c r="I369" s="229"/>
      <c r="J369" s="59" t="s">
        <v>2602</v>
      </c>
      <c r="K369" s="46">
        <v>13130000</v>
      </c>
      <c r="L369" s="2">
        <v>45173</v>
      </c>
      <c r="M369" s="32"/>
      <c r="N369" s="32" t="s">
        <v>4408</v>
      </c>
      <c r="O369" s="51" t="s">
        <v>1993</v>
      </c>
      <c r="P369" s="52" t="s">
        <v>1994</v>
      </c>
    </row>
    <row r="370" spans="2:16" x14ac:dyDescent="0.25">
      <c r="B370" s="32">
        <v>358</v>
      </c>
      <c r="C370" s="229" t="s">
        <v>4411</v>
      </c>
      <c r="D370" s="229"/>
      <c r="E370" s="229"/>
      <c r="F370" s="229"/>
      <c r="G370" s="229"/>
      <c r="H370" s="229"/>
      <c r="I370" s="229"/>
      <c r="J370" s="59" t="s">
        <v>702</v>
      </c>
      <c r="K370" s="46">
        <v>5820000</v>
      </c>
      <c r="L370" s="2">
        <v>45174</v>
      </c>
      <c r="M370" s="2"/>
      <c r="N370" s="32">
        <v>3104165783</v>
      </c>
      <c r="O370" s="51" t="s">
        <v>3601</v>
      </c>
      <c r="P370" s="52" t="s">
        <v>2761</v>
      </c>
    </row>
    <row r="371" spans="2:16" x14ac:dyDescent="0.25">
      <c r="B371" s="32">
        <v>359</v>
      </c>
      <c r="C371" s="229" t="s">
        <v>4412</v>
      </c>
      <c r="D371" s="229"/>
      <c r="E371" s="229"/>
      <c r="F371" s="229"/>
      <c r="G371" s="229"/>
      <c r="H371" s="229"/>
      <c r="I371" s="229"/>
      <c r="J371" s="59" t="s">
        <v>702</v>
      </c>
      <c r="K371" s="46">
        <v>1250000</v>
      </c>
      <c r="L371" s="2">
        <v>45174</v>
      </c>
      <c r="M371" s="32"/>
      <c r="N371" s="32">
        <v>3104165783</v>
      </c>
      <c r="O371" s="51" t="s">
        <v>3601</v>
      </c>
      <c r="P371" s="52" t="s">
        <v>2761</v>
      </c>
    </row>
    <row r="372" spans="2:16" x14ac:dyDescent="0.25">
      <c r="B372" s="32">
        <v>360</v>
      </c>
      <c r="C372" s="229" t="s">
        <v>4414</v>
      </c>
      <c r="D372" s="229"/>
      <c r="E372" s="229"/>
      <c r="F372" s="229"/>
      <c r="G372" s="229"/>
      <c r="H372" s="229"/>
      <c r="I372" s="229"/>
      <c r="J372" s="59" t="s">
        <v>702</v>
      </c>
      <c r="K372" s="46">
        <v>1950000</v>
      </c>
      <c r="L372" s="2">
        <v>45174</v>
      </c>
      <c r="M372" s="32"/>
      <c r="N372" s="32" t="s">
        <v>1758</v>
      </c>
      <c r="O372" s="51" t="s">
        <v>1330</v>
      </c>
      <c r="P372" s="52" t="s">
        <v>3685</v>
      </c>
    </row>
    <row r="373" spans="2:16" x14ac:dyDescent="0.25">
      <c r="B373" s="32">
        <v>361</v>
      </c>
      <c r="C373" s="229" t="s">
        <v>4413</v>
      </c>
      <c r="D373" s="229"/>
      <c r="E373" s="229"/>
      <c r="F373" s="229"/>
      <c r="G373" s="229"/>
      <c r="H373" s="229"/>
      <c r="I373" s="229"/>
      <c r="J373" s="59" t="s">
        <v>702</v>
      </c>
      <c r="K373" s="46">
        <v>2500000</v>
      </c>
      <c r="L373" s="2">
        <v>45174</v>
      </c>
      <c r="M373" s="32"/>
      <c r="N373" s="32" t="s">
        <v>1758</v>
      </c>
      <c r="O373" s="51" t="s">
        <v>1330</v>
      </c>
      <c r="P373" s="52" t="s">
        <v>3685</v>
      </c>
    </row>
    <row r="374" spans="2:16" x14ac:dyDescent="0.25">
      <c r="B374" s="32">
        <v>362</v>
      </c>
      <c r="C374" s="271" t="s">
        <v>4417</v>
      </c>
      <c r="D374" s="272"/>
      <c r="E374" s="272"/>
      <c r="F374" s="272"/>
      <c r="G374" s="272"/>
      <c r="H374" s="272"/>
      <c r="I374" s="272"/>
      <c r="J374" s="59" t="s">
        <v>4405</v>
      </c>
      <c r="K374" s="46"/>
      <c r="L374" s="2">
        <v>45175</v>
      </c>
      <c r="M374" s="32"/>
      <c r="N374" s="51">
        <v>3116728287</v>
      </c>
      <c r="O374" s="32" t="s">
        <v>4416</v>
      </c>
      <c r="P374" s="52" t="s">
        <v>4415</v>
      </c>
    </row>
    <row r="375" spans="2:16" x14ac:dyDescent="0.25">
      <c r="B375" s="32">
        <v>363</v>
      </c>
      <c r="C375" s="271" t="s">
        <v>4418</v>
      </c>
      <c r="D375" s="272"/>
      <c r="E375" s="272"/>
      <c r="F375" s="272"/>
      <c r="G375" s="272"/>
      <c r="H375" s="272"/>
      <c r="I375" s="272"/>
      <c r="J375" s="59" t="s">
        <v>3674</v>
      </c>
      <c r="K375" s="46">
        <v>13000000</v>
      </c>
      <c r="L375" s="2">
        <v>45176</v>
      </c>
      <c r="M375" s="32"/>
      <c r="N375" s="32">
        <v>3044003430</v>
      </c>
      <c r="O375" s="51" t="s">
        <v>989</v>
      </c>
      <c r="P375" s="38" t="s">
        <v>990</v>
      </c>
    </row>
    <row r="376" spans="2:16" x14ac:dyDescent="0.25">
      <c r="B376" s="32">
        <v>364</v>
      </c>
      <c r="C376" s="229" t="s">
        <v>4422</v>
      </c>
      <c r="D376" s="229"/>
      <c r="E376" s="229"/>
      <c r="F376" s="229"/>
      <c r="G376" s="229"/>
      <c r="H376" s="229"/>
      <c r="I376" s="229"/>
      <c r="J376" s="59" t="s">
        <v>702</v>
      </c>
      <c r="K376" s="46">
        <v>4500000</v>
      </c>
      <c r="L376" s="2">
        <v>45176</v>
      </c>
      <c r="M376" s="32"/>
      <c r="N376" s="32">
        <v>3137546144</v>
      </c>
      <c r="O376" s="51" t="s">
        <v>229</v>
      </c>
      <c r="P376" s="52" t="s">
        <v>2504</v>
      </c>
    </row>
    <row r="377" spans="2:16" x14ac:dyDescent="0.25">
      <c r="B377" s="32">
        <v>365</v>
      </c>
      <c r="C377" s="229" t="s">
        <v>4423</v>
      </c>
      <c r="D377" s="229"/>
      <c r="E377" s="229"/>
      <c r="F377" s="229"/>
      <c r="G377" s="229"/>
      <c r="H377" s="229"/>
      <c r="I377" s="229"/>
      <c r="J377" s="59" t="s">
        <v>702</v>
      </c>
      <c r="K377" s="46">
        <v>4500000</v>
      </c>
      <c r="L377" s="2">
        <v>45176</v>
      </c>
      <c r="M377" s="32"/>
      <c r="N377" s="32">
        <v>3137546144</v>
      </c>
      <c r="O377" s="51" t="s">
        <v>229</v>
      </c>
      <c r="P377" s="52" t="s">
        <v>2504</v>
      </c>
    </row>
    <row r="378" spans="2:16" x14ac:dyDescent="0.25">
      <c r="B378" s="32">
        <v>366</v>
      </c>
      <c r="C378" s="271" t="s">
        <v>4419</v>
      </c>
      <c r="D378" s="272"/>
      <c r="E378" s="272"/>
      <c r="F378" s="272"/>
      <c r="G378" s="272"/>
      <c r="H378" s="272"/>
      <c r="I378" s="272"/>
      <c r="J378" s="59" t="s">
        <v>702</v>
      </c>
      <c r="K378" s="46">
        <v>7530000</v>
      </c>
      <c r="L378" s="2">
        <v>45180</v>
      </c>
      <c r="M378" s="32"/>
      <c r="N378" s="32">
        <v>3104165783</v>
      </c>
      <c r="O378" s="51" t="s">
        <v>3601</v>
      </c>
      <c r="P378" s="52" t="s">
        <v>2761</v>
      </c>
    </row>
    <row r="379" spans="2:16" x14ac:dyDescent="0.25">
      <c r="B379" s="32">
        <v>367</v>
      </c>
      <c r="C379" s="271" t="s">
        <v>4420</v>
      </c>
      <c r="D379" s="272"/>
      <c r="E379" s="272"/>
      <c r="F379" s="272"/>
      <c r="G379" s="272"/>
      <c r="H379" s="272"/>
      <c r="I379" s="272"/>
      <c r="J379" s="59" t="s">
        <v>3898</v>
      </c>
      <c r="K379" s="46"/>
      <c r="L379" s="2">
        <v>45180</v>
      </c>
      <c r="M379" s="32"/>
      <c r="N379" s="32" t="s">
        <v>3677</v>
      </c>
      <c r="O379" s="51" t="s">
        <v>1064</v>
      </c>
      <c r="P379" s="52" t="s">
        <v>2310</v>
      </c>
    </row>
    <row r="380" spans="2:16" x14ac:dyDescent="0.25">
      <c r="B380" s="32">
        <v>368</v>
      </c>
      <c r="C380" s="229" t="s">
        <v>4421</v>
      </c>
      <c r="D380" s="229"/>
      <c r="E380" s="229"/>
      <c r="F380" s="229"/>
      <c r="G380" s="229"/>
      <c r="H380" s="229"/>
      <c r="I380" s="229"/>
      <c r="J380" s="59" t="s">
        <v>702</v>
      </c>
      <c r="K380" s="46">
        <v>4950000</v>
      </c>
      <c r="L380" s="2">
        <v>45180</v>
      </c>
      <c r="M380" s="32"/>
      <c r="N380" s="32">
        <v>3104165783</v>
      </c>
      <c r="O380" s="51" t="s">
        <v>3601</v>
      </c>
      <c r="P380" s="52" t="s">
        <v>2761</v>
      </c>
    </row>
    <row r="381" spans="2:16" x14ac:dyDescent="0.25">
      <c r="B381" s="32">
        <v>369</v>
      </c>
      <c r="C381" s="229" t="s">
        <v>4424</v>
      </c>
      <c r="D381" s="229"/>
      <c r="E381" s="229"/>
      <c r="F381" s="229"/>
      <c r="G381" s="229"/>
      <c r="H381" s="229"/>
      <c r="I381" s="229"/>
      <c r="J381" s="59" t="s">
        <v>2670</v>
      </c>
      <c r="K381" s="46">
        <v>13780000</v>
      </c>
      <c r="L381" s="2">
        <v>45181</v>
      </c>
      <c r="M381" s="32"/>
      <c r="N381" s="32" t="s">
        <v>4233</v>
      </c>
      <c r="O381" s="32" t="s">
        <v>2670</v>
      </c>
      <c r="P381" s="52"/>
    </row>
    <row r="382" spans="2:16" x14ac:dyDescent="0.25">
      <c r="B382" s="32">
        <v>370</v>
      </c>
      <c r="C382" s="229" t="s">
        <v>4426</v>
      </c>
      <c r="D382" s="229"/>
      <c r="E382" s="229"/>
      <c r="F382" s="229"/>
      <c r="G382" s="229"/>
      <c r="H382" s="229"/>
      <c r="I382" s="229"/>
      <c r="J382" s="59" t="s">
        <v>4425</v>
      </c>
      <c r="K382" s="46"/>
      <c r="L382" s="2">
        <v>45181</v>
      </c>
      <c r="M382" s="32"/>
      <c r="N382" s="32">
        <v>3015639803</v>
      </c>
      <c r="O382" s="51" t="s">
        <v>4427</v>
      </c>
      <c r="P382" s="52" t="s">
        <v>4428</v>
      </c>
    </row>
    <row r="383" spans="2:16" x14ac:dyDescent="0.25">
      <c r="B383" s="32">
        <v>371</v>
      </c>
      <c r="C383" s="229" t="s">
        <v>4429</v>
      </c>
      <c r="D383" s="229"/>
      <c r="E383" s="229"/>
      <c r="F383" s="229"/>
      <c r="G383" s="229"/>
      <c r="H383" s="229"/>
      <c r="I383" s="229"/>
      <c r="J383" s="59" t="s">
        <v>702</v>
      </c>
      <c r="K383" s="46">
        <v>5150000</v>
      </c>
      <c r="L383" s="2">
        <v>45181</v>
      </c>
      <c r="M383" s="32"/>
      <c r="N383" s="32">
        <v>3137546144</v>
      </c>
      <c r="O383" s="51" t="s">
        <v>229</v>
      </c>
      <c r="P383" s="52" t="s">
        <v>2504</v>
      </c>
    </row>
    <row r="384" spans="2:16" x14ac:dyDescent="0.25">
      <c r="B384" s="32">
        <v>372</v>
      </c>
      <c r="C384" s="229" t="s">
        <v>4432</v>
      </c>
      <c r="D384" s="229"/>
      <c r="E384" s="229"/>
      <c r="F384" s="229"/>
      <c r="G384" s="229"/>
      <c r="H384" s="229"/>
      <c r="I384" s="229"/>
      <c r="J384" s="59" t="s">
        <v>4433</v>
      </c>
      <c r="K384" s="46"/>
      <c r="L384" s="2">
        <v>45183</v>
      </c>
      <c r="M384" s="32"/>
      <c r="N384" s="32">
        <v>3206788228</v>
      </c>
      <c r="O384" s="51" t="s">
        <v>4430</v>
      </c>
      <c r="P384" s="52" t="s">
        <v>4431</v>
      </c>
    </row>
    <row r="385" spans="2:16" x14ac:dyDescent="0.25">
      <c r="B385" s="32">
        <v>373</v>
      </c>
      <c r="C385" s="229" t="s">
        <v>4437</v>
      </c>
      <c r="D385" s="229"/>
      <c r="E385" s="229"/>
      <c r="F385" s="229"/>
      <c r="G385" s="229"/>
      <c r="H385" s="229"/>
      <c r="I385" s="229"/>
      <c r="J385" s="59" t="s">
        <v>4436</v>
      </c>
      <c r="K385" s="46"/>
      <c r="L385" s="2">
        <v>45183</v>
      </c>
      <c r="M385" s="32"/>
      <c r="N385" s="51">
        <v>3187725939</v>
      </c>
      <c r="O385" s="32" t="s">
        <v>4434</v>
      </c>
      <c r="P385" s="52" t="s">
        <v>4435</v>
      </c>
    </row>
    <row r="386" spans="2:16" x14ac:dyDescent="0.25">
      <c r="B386" s="32">
        <v>374</v>
      </c>
      <c r="C386" s="229" t="s">
        <v>4438</v>
      </c>
      <c r="D386" s="229"/>
      <c r="E386" s="229"/>
      <c r="F386" s="229"/>
      <c r="G386" s="229"/>
      <c r="H386" s="229"/>
      <c r="I386" s="229"/>
      <c r="J386" s="59" t="s">
        <v>2743</v>
      </c>
      <c r="K386" s="46">
        <v>1500000</v>
      </c>
      <c r="L386" s="2">
        <v>45184</v>
      </c>
      <c r="M386" s="32"/>
      <c r="N386" s="32">
        <v>3175594091</v>
      </c>
      <c r="O386" s="32" t="s">
        <v>496</v>
      </c>
      <c r="P386" s="38" t="s">
        <v>748</v>
      </c>
    </row>
    <row r="387" spans="2:16" x14ac:dyDescent="0.25">
      <c r="B387" s="32">
        <v>375</v>
      </c>
      <c r="C387" s="271" t="s">
        <v>4441</v>
      </c>
      <c r="D387" s="272"/>
      <c r="E387" s="272"/>
      <c r="F387" s="272"/>
      <c r="G387" s="272"/>
      <c r="H387" s="272"/>
      <c r="I387" s="272"/>
      <c r="J387" s="59" t="s">
        <v>3871</v>
      </c>
      <c r="K387" s="46">
        <v>19950000</v>
      </c>
      <c r="L387" s="2">
        <v>45184</v>
      </c>
      <c r="M387" s="32"/>
      <c r="N387" s="32">
        <v>3105253917</v>
      </c>
      <c r="O387" s="51" t="s">
        <v>4439</v>
      </c>
      <c r="P387" s="52" t="s">
        <v>4440</v>
      </c>
    </row>
    <row r="388" spans="2:16" x14ac:dyDescent="0.25">
      <c r="B388" s="32">
        <v>376</v>
      </c>
      <c r="C388" s="263" t="s">
        <v>4442</v>
      </c>
      <c r="D388" s="229"/>
      <c r="E388" s="229"/>
      <c r="F388" s="229"/>
      <c r="G388" s="229"/>
      <c r="H388" s="229"/>
      <c r="I388" s="229"/>
      <c r="J388" s="59" t="s">
        <v>880</v>
      </c>
      <c r="K388" s="46"/>
      <c r="L388" s="2">
        <v>45187</v>
      </c>
      <c r="M388" s="32"/>
      <c r="N388" s="32"/>
      <c r="O388" s="51" t="s">
        <v>320</v>
      </c>
      <c r="P388" s="52"/>
    </row>
    <row r="389" spans="2:16" x14ac:dyDescent="0.25">
      <c r="B389" s="32">
        <v>377</v>
      </c>
      <c r="C389" s="272" t="s">
        <v>4443</v>
      </c>
      <c r="D389" s="272"/>
      <c r="E389" s="272"/>
      <c r="F389" s="272"/>
      <c r="G389" s="272"/>
      <c r="H389" s="272"/>
      <c r="I389" s="272"/>
      <c r="J389" s="59" t="s">
        <v>4120</v>
      </c>
      <c r="K389" s="46">
        <v>950000</v>
      </c>
      <c r="L389" s="2">
        <v>45187</v>
      </c>
      <c r="M389" s="2"/>
      <c r="N389" s="32" t="s">
        <v>4124</v>
      </c>
      <c r="O389" s="32" t="s">
        <v>4122</v>
      </c>
      <c r="P389" s="52" t="s">
        <v>4123</v>
      </c>
    </row>
    <row r="390" spans="2:16" x14ac:dyDescent="0.25">
      <c r="B390" s="32">
        <v>378</v>
      </c>
      <c r="C390" s="229" t="s">
        <v>4445</v>
      </c>
      <c r="D390" s="229"/>
      <c r="E390" s="229"/>
      <c r="F390" s="229"/>
      <c r="G390" s="229"/>
      <c r="H390" s="229"/>
      <c r="I390" s="229"/>
      <c r="J390" s="59" t="s">
        <v>4444</v>
      </c>
      <c r="K390" s="46">
        <v>13950000</v>
      </c>
      <c r="L390" s="2">
        <v>45187</v>
      </c>
      <c r="M390" s="2"/>
      <c r="N390" s="32">
        <v>3044003430</v>
      </c>
      <c r="O390" s="51" t="s">
        <v>989</v>
      </c>
      <c r="P390" s="38" t="s">
        <v>990</v>
      </c>
    </row>
    <row r="391" spans="2:16" x14ac:dyDescent="0.25">
      <c r="B391" s="32">
        <v>379</v>
      </c>
      <c r="C391" s="271" t="s">
        <v>4446</v>
      </c>
      <c r="D391" s="272"/>
      <c r="E391" s="272"/>
      <c r="F391" s="272"/>
      <c r="G391" s="272"/>
      <c r="H391" s="272"/>
      <c r="I391" s="272"/>
      <c r="J391" s="59" t="s">
        <v>702</v>
      </c>
      <c r="K391" s="46">
        <v>24990000</v>
      </c>
      <c r="L391" s="2">
        <v>45188</v>
      </c>
      <c r="M391" s="32"/>
      <c r="N391" s="32">
        <v>310468058</v>
      </c>
      <c r="O391" s="51" t="s">
        <v>2746</v>
      </c>
      <c r="P391" s="52" t="s">
        <v>703</v>
      </c>
    </row>
    <row r="392" spans="2:16" x14ac:dyDescent="0.25">
      <c r="B392" s="32">
        <v>380</v>
      </c>
      <c r="C392" s="229" t="s">
        <v>4449</v>
      </c>
      <c r="D392" s="229"/>
      <c r="E392" s="229"/>
      <c r="F392" s="229"/>
      <c r="G392" s="229"/>
      <c r="H392" s="229"/>
      <c r="I392" s="229"/>
      <c r="J392" s="59" t="s">
        <v>3609</v>
      </c>
      <c r="K392" s="46">
        <v>9410000</v>
      </c>
      <c r="L392" s="2">
        <v>45188</v>
      </c>
      <c r="M392" s="32"/>
      <c r="N392" s="32">
        <v>3163671735</v>
      </c>
      <c r="O392" s="51" t="s">
        <v>4447</v>
      </c>
      <c r="P392" s="52" t="s">
        <v>4448</v>
      </c>
    </row>
    <row r="393" spans="2:16" x14ac:dyDescent="0.25">
      <c r="B393" s="32">
        <v>381</v>
      </c>
      <c r="C393" s="263" t="s">
        <v>4451</v>
      </c>
      <c r="D393" s="229"/>
      <c r="E393" s="229"/>
      <c r="F393" s="229"/>
      <c r="G393" s="229"/>
      <c r="H393" s="229"/>
      <c r="I393" s="229"/>
      <c r="J393" s="59" t="s">
        <v>4450</v>
      </c>
      <c r="K393" s="46">
        <v>13920000</v>
      </c>
      <c r="L393" s="2">
        <v>45188</v>
      </c>
      <c r="M393" s="32"/>
      <c r="N393" s="32">
        <v>3176461961</v>
      </c>
      <c r="O393" s="51" t="s">
        <v>374</v>
      </c>
      <c r="P393" s="52" t="s">
        <v>3875</v>
      </c>
    </row>
    <row r="394" spans="2:16" x14ac:dyDescent="0.25">
      <c r="B394" s="32">
        <v>382</v>
      </c>
      <c r="C394" s="229" t="s">
        <v>4452</v>
      </c>
      <c r="D394" s="229"/>
      <c r="E394" s="229"/>
      <c r="F394" s="229"/>
      <c r="G394" s="229"/>
      <c r="H394" s="229"/>
      <c r="I394" s="229"/>
      <c r="J394" s="59" t="s">
        <v>702</v>
      </c>
      <c r="K394" s="46"/>
      <c r="L394" s="2">
        <v>45195</v>
      </c>
      <c r="M394" s="32"/>
      <c r="N394" s="32">
        <v>3104680508</v>
      </c>
      <c r="O394" s="51" t="s">
        <v>3190</v>
      </c>
      <c r="P394" s="52" t="s">
        <v>703</v>
      </c>
    </row>
    <row r="395" spans="2:16" x14ac:dyDescent="0.25">
      <c r="B395" s="32">
        <v>383</v>
      </c>
      <c r="C395" s="229" t="s">
        <v>4456</v>
      </c>
      <c r="D395" s="229"/>
      <c r="E395" s="229"/>
      <c r="F395" s="229"/>
      <c r="G395" s="229"/>
      <c r="H395" s="229"/>
      <c r="I395" s="229"/>
      <c r="J395" s="59" t="s">
        <v>4455</v>
      </c>
      <c r="K395" s="46">
        <v>4650000</v>
      </c>
      <c r="L395" s="2">
        <v>45191</v>
      </c>
      <c r="M395" s="32"/>
      <c r="N395" s="32">
        <v>3104739081</v>
      </c>
      <c r="O395" s="51" t="s">
        <v>4453</v>
      </c>
      <c r="P395" s="52" t="s">
        <v>4454</v>
      </c>
    </row>
    <row r="396" spans="2:16" ht="15" customHeight="1" x14ac:dyDescent="0.25">
      <c r="B396" s="32">
        <v>384</v>
      </c>
      <c r="C396" s="271" t="s">
        <v>4457</v>
      </c>
      <c r="D396" s="272"/>
      <c r="E396" s="272"/>
      <c r="F396" s="272"/>
      <c r="G396" s="272"/>
      <c r="H396" s="272"/>
      <c r="I396" s="272"/>
      <c r="J396" s="59" t="s">
        <v>4362</v>
      </c>
      <c r="K396" s="46">
        <v>1250000</v>
      </c>
      <c r="L396" s="2">
        <v>45191</v>
      </c>
      <c r="M396" s="32"/>
      <c r="N396" s="32" t="s">
        <v>4363</v>
      </c>
      <c r="O396" s="51" t="s">
        <v>4362</v>
      </c>
      <c r="P396" s="52" t="s">
        <v>4361</v>
      </c>
    </row>
    <row r="397" spans="2:16" x14ac:dyDescent="0.25">
      <c r="B397" s="32">
        <v>385</v>
      </c>
      <c r="C397" s="272" t="s">
        <v>4460</v>
      </c>
      <c r="D397" s="272"/>
      <c r="E397" s="272"/>
      <c r="F397" s="272"/>
      <c r="G397" s="272"/>
      <c r="H397" s="272"/>
      <c r="I397" s="272"/>
      <c r="J397" s="59" t="s">
        <v>847</v>
      </c>
      <c r="K397" s="46">
        <v>6150000</v>
      </c>
      <c r="L397" s="2">
        <v>45191</v>
      </c>
      <c r="M397" s="32"/>
      <c r="N397" s="32" t="s">
        <v>4459</v>
      </c>
      <c r="O397" s="51" t="s">
        <v>4458</v>
      </c>
      <c r="P397" s="52"/>
    </row>
    <row r="398" spans="2:16" x14ac:dyDescent="0.25">
      <c r="B398" s="32">
        <v>386</v>
      </c>
      <c r="C398" s="229" t="s">
        <v>4463</v>
      </c>
      <c r="D398" s="229"/>
      <c r="E398" s="229"/>
      <c r="F398" s="229"/>
      <c r="G398" s="229"/>
      <c r="H398" s="229"/>
      <c r="I398" s="229"/>
      <c r="J398" s="59" t="s">
        <v>4462</v>
      </c>
      <c r="K398" s="46"/>
      <c r="L398" s="2">
        <v>45191</v>
      </c>
      <c r="M398" s="32"/>
      <c r="N398" s="32"/>
      <c r="O398" s="32" t="s">
        <v>4461</v>
      </c>
      <c r="P398" s="52"/>
    </row>
    <row r="399" spans="2:16" x14ac:dyDescent="0.25">
      <c r="B399" s="32">
        <v>387</v>
      </c>
      <c r="C399" s="229" t="s">
        <v>4464</v>
      </c>
      <c r="D399" s="229"/>
      <c r="E399" s="229"/>
      <c r="F399" s="229"/>
      <c r="G399" s="229"/>
      <c r="H399" s="229"/>
      <c r="I399" s="229"/>
      <c r="J399" s="59" t="s">
        <v>4466</v>
      </c>
      <c r="K399" s="46">
        <v>3150000</v>
      </c>
      <c r="L399" s="2">
        <v>45191</v>
      </c>
      <c r="M399" s="32"/>
      <c r="N399" s="32" t="s">
        <v>4465</v>
      </c>
      <c r="O399" s="51" t="s">
        <v>1610</v>
      </c>
      <c r="P399" s="52" t="s">
        <v>1611</v>
      </c>
    </row>
    <row r="400" spans="2:16" x14ac:dyDescent="0.25">
      <c r="B400" s="32">
        <v>388</v>
      </c>
      <c r="C400" s="271" t="s">
        <v>4470</v>
      </c>
      <c r="D400" s="272"/>
      <c r="E400" s="272"/>
      <c r="F400" s="272"/>
      <c r="G400" s="272"/>
      <c r="H400" s="272"/>
      <c r="I400" s="272"/>
      <c r="J400" s="59" t="s">
        <v>4467</v>
      </c>
      <c r="K400" s="46">
        <v>3950000</v>
      </c>
      <c r="L400" s="2">
        <v>45191</v>
      </c>
      <c r="M400" s="32"/>
      <c r="N400" s="32">
        <v>3103995828</v>
      </c>
      <c r="O400" s="51" t="s">
        <v>4469</v>
      </c>
      <c r="P400" s="52" t="s">
        <v>4468</v>
      </c>
    </row>
    <row r="401" spans="2:16" x14ac:dyDescent="0.25">
      <c r="B401" s="32">
        <v>389</v>
      </c>
      <c r="C401" s="229" t="s">
        <v>4506</v>
      </c>
      <c r="D401" s="229"/>
      <c r="E401" s="229"/>
      <c r="F401" s="229"/>
      <c r="G401" s="229"/>
      <c r="H401" s="229"/>
      <c r="I401" s="229"/>
      <c r="J401" s="59" t="s">
        <v>702</v>
      </c>
      <c r="K401" s="46">
        <v>5400000</v>
      </c>
      <c r="L401" s="2">
        <v>45197</v>
      </c>
      <c r="M401" s="32"/>
      <c r="N401" s="32" t="s">
        <v>4472</v>
      </c>
      <c r="O401" s="51" t="s">
        <v>4471</v>
      </c>
      <c r="P401" s="52" t="s">
        <v>4027</v>
      </c>
    </row>
    <row r="402" spans="2:16" x14ac:dyDescent="0.25">
      <c r="B402" s="32">
        <v>390</v>
      </c>
      <c r="C402" s="229" t="s">
        <v>4474</v>
      </c>
      <c r="D402" s="229"/>
      <c r="E402" s="229"/>
      <c r="F402" s="229"/>
      <c r="G402" s="229"/>
      <c r="H402" s="229"/>
      <c r="I402" s="229"/>
      <c r="J402" s="59" t="s">
        <v>4473</v>
      </c>
      <c r="K402" s="46">
        <v>100000000</v>
      </c>
      <c r="L402" s="2">
        <v>45194</v>
      </c>
      <c r="M402" s="32"/>
      <c r="N402" s="51" t="s">
        <v>3667</v>
      </c>
      <c r="O402" s="32" t="s">
        <v>3666</v>
      </c>
      <c r="P402" s="52"/>
    </row>
    <row r="403" spans="2:16" x14ac:dyDescent="0.25">
      <c r="B403" s="32">
        <v>391</v>
      </c>
      <c r="C403" s="229" t="s">
        <v>4475</v>
      </c>
      <c r="D403" s="229"/>
      <c r="E403" s="229"/>
      <c r="F403" s="229"/>
      <c r="G403" s="229"/>
      <c r="H403" s="229"/>
      <c r="I403" s="229"/>
      <c r="J403" s="59" t="s">
        <v>880</v>
      </c>
      <c r="K403" s="46">
        <v>5100000</v>
      </c>
      <c r="L403" s="2">
        <v>45194</v>
      </c>
      <c r="M403" s="32"/>
      <c r="N403" s="51"/>
      <c r="O403" s="32" t="s">
        <v>4130</v>
      </c>
      <c r="P403" s="52" t="s">
        <v>4131</v>
      </c>
    </row>
    <row r="404" spans="2:16" x14ac:dyDescent="0.25">
      <c r="B404" s="32">
        <v>392</v>
      </c>
      <c r="C404" s="229" t="s">
        <v>4476</v>
      </c>
      <c r="D404" s="229"/>
      <c r="E404" s="229"/>
      <c r="F404" s="229"/>
      <c r="G404" s="229"/>
      <c r="H404" s="229"/>
      <c r="I404" s="229"/>
      <c r="J404" s="59" t="s">
        <v>3674</v>
      </c>
      <c r="K404" s="46" t="s">
        <v>4479</v>
      </c>
      <c r="L404" s="2">
        <v>45194</v>
      </c>
      <c r="M404" s="32"/>
      <c r="N404" s="32">
        <v>3044003430</v>
      </c>
      <c r="O404" s="51" t="s">
        <v>989</v>
      </c>
      <c r="P404" s="38" t="s">
        <v>990</v>
      </c>
    </row>
    <row r="405" spans="2:16" x14ac:dyDescent="0.25">
      <c r="B405" s="32">
        <v>393</v>
      </c>
      <c r="C405" s="263" t="s">
        <v>4477</v>
      </c>
      <c r="D405" s="229"/>
      <c r="E405" s="229"/>
      <c r="F405" s="229"/>
      <c r="G405" s="229"/>
      <c r="H405" s="229"/>
      <c r="I405" s="229"/>
      <c r="J405" s="59" t="s">
        <v>3674</v>
      </c>
      <c r="K405" s="46">
        <v>19950000</v>
      </c>
      <c r="L405" s="2">
        <v>45194</v>
      </c>
      <c r="M405" s="32"/>
      <c r="N405" s="32">
        <v>3044003430</v>
      </c>
      <c r="O405" s="51" t="s">
        <v>989</v>
      </c>
      <c r="P405" s="38" t="s">
        <v>990</v>
      </c>
    </row>
    <row r="406" spans="2:16" x14ac:dyDescent="0.25">
      <c r="B406" s="32">
        <v>394</v>
      </c>
      <c r="C406" s="229" t="s">
        <v>4478</v>
      </c>
      <c r="D406" s="229"/>
      <c r="E406" s="229"/>
      <c r="F406" s="229"/>
      <c r="G406" s="229"/>
      <c r="H406" s="229"/>
      <c r="I406" s="229"/>
      <c r="J406" s="71" t="s">
        <v>3674</v>
      </c>
      <c r="K406" s="56">
        <v>29980000</v>
      </c>
      <c r="L406" s="2">
        <v>45194</v>
      </c>
      <c r="M406" s="32"/>
      <c r="N406" s="32">
        <v>3044003430</v>
      </c>
      <c r="O406" s="51" t="s">
        <v>989</v>
      </c>
      <c r="P406" s="38" t="s">
        <v>990</v>
      </c>
    </row>
    <row r="407" spans="2:16" ht="15" customHeight="1" x14ac:dyDescent="0.25">
      <c r="B407" s="32">
        <v>395</v>
      </c>
      <c r="C407" s="229" t="s">
        <v>4480</v>
      </c>
      <c r="D407" s="229"/>
      <c r="E407" s="229"/>
      <c r="F407" s="229"/>
      <c r="G407" s="229"/>
      <c r="H407" s="229"/>
      <c r="I407" s="229"/>
      <c r="J407" s="59" t="s">
        <v>2895</v>
      </c>
      <c r="K407" s="46">
        <v>2000000</v>
      </c>
      <c r="L407" s="2">
        <v>45195</v>
      </c>
      <c r="M407" s="32"/>
      <c r="N407" s="32" t="s">
        <v>4483</v>
      </c>
      <c r="O407" s="51" t="s">
        <v>4482</v>
      </c>
      <c r="P407" s="52" t="s">
        <v>4481</v>
      </c>
    </row>
    <row r="408" spans="2:16" x14ac:dyDescent="0.25">
      <c r="B408" s="32">
        <v>396</v>
      </c>
      <c r="C408" s="229" t="s">
        <v>4486</v>
      </c>
      <c r="D408" s="229"/>
      <c r="E408" s="229"/>
      <c r="F408" s="229"/>
      <c r="G408" s="229"/>
      <c r="H408" s="229"/>
      <c r="I408" s="229"/>
      <c r="J408" s="59" t="s">
        <v>774</v>
      </c>
      <c r="K408" s="46">
        <v>8950000</v>
      </c>
      <c r="L408" s="2">
        <v>45195</v>
      </c>
      <c r="M408" s="32"/>
      <c r="N408" s="32"/>
      <c r="O408" s="51" t="s">
        <v>4484</v>
      </c>
      <c r="P408" s="52" t="s">
        <v>4485</v>
      </c>
    </row>
    <row r="409" spans="2:16" x14ac:dyDescent="0.25">
      <c r="B409" s="32">
        <v>397</v>
      </c>
      <c r="C409" s="271" t="s">
        <v>4490</v>
      </c>
      <c r="D409" s="272"/>
      <c r="E409" s="272"/>
      <c r="F409" s="272"/>
      <c r="G409" s="272"/>
      <c r="H409" s="272"/>
      <c r="I409" s="272"/>
      <c r="J409" s="59" t="s">
        <v>4488</v>
      </c>
      <c r="K409" s="46">
        <v>24170000</v>
      </c>
      <c r="L409" s="2">
        <v>45196</v>
      </c>
      <c r="M409" s="32"/>
      <c r="N409" s="32"/>
      <c r="O409" s="51" t="s">
        <v>4487</v>
      </c>
      <c r="P409" s="52" t="s">
        <v>4489</v>
      </c>
    </row>
    <row r="410" spans="2:16" x14ac:dyDescent="0.25">
      <c r="B410" s="32">
        <v>398</v>
      </c>
      <c r="C410" s="229" t="s">
        <v>4491</v>
      </c>
      <c r="D410" s="229"/>
      <c r="E410" s="229"/>
      <c r="F410" s="229"/>
      <c r="G410" s="229"/>
      <c r="H410" s="229"/>
      <c r="I410" s="229"/>
      <c r="J410" s="59" t="s">
        <v>774</v>
      </c>
      <c r="K410" s="46" t="s">
        <v>150</v>
      </c>
      <c r="L410" s="2">
        <v>45197</v>
      </c>
      <c r="M410" s="32"/>
      <c r="N410" s="32">
        <v>6044037700</v>
      </c>
      <c r="O410" s="51" t="s">
        <v>4400</v>
      </c>
      <c r="P410" s="38" t="s">
        <v>4399</v>
      </c>
    </row>
    <row r="411" spans="2:16" ht="15" customHeight="1" x14ac:dyDescent="0.25">
      <c r="B411" s="32">
        <v>399</v>
      </c>
      <c r="C411" s="229" t="s">
        <v>4495</v>
      </c>
      <c r="D411" s="229"/>
      <c r="E411" s="229"/>
      <c r="F411" s="229"/>
      <c r="G411" s="229"/>
      <c r="H411" s="229"/>
      <c r="I411" s="229"/>
      <c r="J411" s="59" t="s">
        <v>4492</v>
      </c>
      <c r="K411" s="46">
        <v>22550000</v>
      </c>
      <c r="L411" s="2">
        <v>45197</v>
      </c>
      <c r="M411" s="32"/>
      <c r="N411" s="32">
        <v>3117477239</v>
      </c>
      <c r="O411" s="51" t="s">
        <v>4493</v>
      </c>
      <c r="P411" s="52" t="s">
        <v>4494</v>
      </c>
    </row>
    <row r="412" spans="2:16" x14ac:dyDescent="0.25">
      <c r="B412" s="32">
        <v>400</v>
      </c>
      <c r="C412" s="263" t="s">
        <v>4496</v>
      </c>
      <c r="D412" s="229"/>
      <c r="E412" s="229"/>
      <c r="F412" s="229"/>
      <c r="G412" s="229"/>
      <c r="H412" s="229"/>
      <c r="I412" s="229"/>
      <c r="J412" s="59" t="s">
        <v>2670</v>
      </c>
      <c r="K412" s="46" t="s">
        <v>4498</v>
      </c>
      <c r="L412" s="2">
        <v>45197</v>
      </c>
      <c r="M412" s="32"/>
      <c r="N412" s="32" t="s">
        <v>4233</v>
      </c>
      <c r="O412" s="32" t="s">
        <v>2670</v>
      </c>
      <c r="P412" s="52"/>
    </row>
    <row r="413" spans="2:16" x14ac:dyDescent="0.25">
      <c r="B413" s="32">
        <v>401</v>
      </c>
      <c r="C413" s="229" t="s">
        <v>4497</v>
      </c>
      <c r="D413" s="229"/>
      <c r="E413" s="229"/>
      <c r="F413" s="229"/>
      <c r="G413" s="229"/>
      <c r="H413" s="229"/>
      <c r="I413" s="229"/>
      <c r="J413" s="64" t="s">
        <v>1659</v>
      </c>
      <c r="K413" s="46" t="s">
        <v>150</v>
      </c>
      <c r="L413" s="2">
        <v>45198</v>
      </c>
      <c r="M413" s="32"/>
      <c r="N413" s="32" t="s">
        <v>4295</v>
      </c>
      <c r="O413" s="51" t="s">
        <v>4294</v>
      </c>
      <c r="P413" s="52" t="s">
        <v>1662</v>
      </c>
    </row>
    <row r="414" spans="2:16" x14ac:dyDescent="0.25">
      <c r="B414" s="32">
        <v>402</v>
      </c>
      <c r="C414" s="272" t="s">
        <v>4503</v>
      </c>
      <c r="D414" s="272"/>
      <c r="E414" s="272"/>
      <c r="F414" s="272"/>
      <c r="G414" s="272"/>
      <c r="H414" s="272"/>
      <c r="I414" s="272"/>
      <c r="J414" s="59" t="s">
        <v>880</v>
      </c>
      <c r="K414" s="46">
        <v>12150000</v>
      </c>
      <c r="L414" s="2">
        <v>45201</v>
      </c>
      <c r="M414" s="32"/>
      <c r="N414" s="32" t="s">
        <v>4501</v>
      </c>
      <c r="O414" s="51" t="s">
        <v>4499</v>
      </c>
      <c r="P414" s="52" t="s">
        <v>4500</v>
      </c>
    </row>
    <row r="415" spans="2:16" x14ac:dyDescent="0.25">
      <c r="B415" s="32">
        <v>403</v>
      </c>
      <c r="C415" s="271" t="s">
        <v>4502</v>
      </c>
      <c r="D415" s="272"/>
      <c r="E415" s="272"/>
      <c r="F415" s="272"/>
      <c r="G415" s="272"/>
      <c r="H415" s="272"/>
      <c r="I415" s="272"/>
      <c r="J415" s="59" t="s">
        <v>880</v>
      </c>
      <c r="K415" s="46">
        <v>9550000</v>
      </c>
      <c r="L415" s="2">
        <v>45201</v>
      </c>
      <c r="M415" s="32"/>
      <c r="N415" s="32" t="s">
        <v>4501</v>
      </c>
      <c r="O415" s="51" t="s">
        <v>4499</v>
      </c>
      <c r="P415" s="52" t="s">
        <v>4500</v>
      </c>
    </row>
    <row r="416" spans="2:16" x14ac:dyDescent="0.25">
      <c r="B416" s="32">
        <v>404</v>
      </c>
      <c r="C416" s="271" t="s">
        <v>4505</v>
      </c>
      <c r="D416" s="272"/>
      <c r="E416" s="272"/>
      <c r="F416" s="272"/>
      <c r="G416" s="272"/>
      <c r="H416" s="272"/>
      <c r="I416" s="272"/>
      <c r="J416" s="59" t="s">
        <v>702</v>
      </c>
      <c r="K416" s="46">
        <v>4390000</v>
      </c>
      <c r="L416" s="2">
        <v>45201</v>
      </c>
      <c r="M416" s="32"/>
      <c r="N416" s="32" t="s">
        <v>3637</v>
      </c>
      <c r="O416" s="51" t="s">
        <v>4504</v>
      </c>
      <c r="P416" s="52" t="s">
        <v>1238</v>
      </c>
    </row>
    <row r="417" spans="2:16" x14ac:dyDescent="0.25">
      <c r="B417" s="32">
        <v>405</v>
      </c>
      <c r="C417" s="229" t="s">
        <v>4510</v>
      </c>
      <c r="D417" s="229"/>
      <c r="E417" s="229"/>
      <c r="F417" s="229"/>
      <c r="G417" s="229"/>
      <c r="H417" s="229"/>
      <c r="I417" s="229"/>
      <c r="J417" s="59" t="s">
        <v>3609</v>
      </c>
      <c r="K417" s="46">
        <v>49920000</v>
      </c>
      <c r="L417" s="2">
        <v>45202</v>
      </c>
      <c r="M417" s="32"/>
      <c r="N417" s="32">
        <v>3143162811</v>
      </c>
      <c r="O417" s="51" t="s">
        <v>4507</v>
      </c>
      <c r="P417" s="52" t="s">
        <v>4508</v>
      </c>
    </row>
    <row r="418" spans="2:16" x14ac:dyDescent="0.25">
      <c r="B418" s="32">
        <v>406</v>
      </c>
      <c r="C418" s="229" t="s">
        <v>4513</v>
      </c>
      <c r="D418" s="229"/>
      <c r="E418" s="229"/>
      <c r="F418" s="229"/>
      <c r="G418" s="229"/>
      <c r="H418" s="229"/>
      <c r="I418" s="229"/>
      <c r="J418" s="59" t="s">
        <v>1553</v>
      </c>
      <c r="K418" s="46">
        <v>26340000</v>
      </c>
      <c r="L418" s="2">
        <v>45202</v>
      </c>
      <c r="M418" s="32"/>
      <c r="N418" s="32" t="s">
        <v>4512</v>
      </c>
      <c r="O418" s="51" t="s">
        <v>4511</v>
      </c>
      <c r="P418" s="52" t="s">
        <v>3505</v>
      </c>
    </row>
    <row r="419" spans="2:16" x14ac:dyDescent="0.25">
      <c r="B419" s="32">
        <v>407</v>
      </c>
      <c r="C419" s="229" t="s">
        <v>4509</v>
      </c>
      <c r="D419" s="229"/>
      <c r="E419" s="229"/>
      <c r="F419" s="229"/>
      <c r="G419" s="229"/>
      <c r="H419" s="229"/>
      <c r="I419" s="229"/>
      <c r="J419" s="59" t="s">
        <v>702</v>
      </c>
      <c r="K419" s="46">
        <v>3350000</v>
      </c>
      <c r="L419" s="2">
        <v>45202</v>
      </c>
      <c r="M419" s="32"/>
      <c r="N419" s="32">
        <v>3137546144</v>
      </c>
      <c r="O419" s="51" t="s">
        <v>229</v>
      </c>
      <c r="P419" s="52" t="s">
        <v>2504</v>
      </c>
    </row>
    <row r="420" spans="2:16" x14ac:dyDescent="0.25">
      <c r="B420" s="32">
        <v>408</v>
      </c>
      <c r="C420" s="271" t="s">
        <v>4515</v>
      </c>
      <c r="D420" s="272"/>
      <c r="E420" s="272"/>
      <c r="F420" s="272"/>
      <c r="G420" s="272"/>
      <c r="H420" s="272"/>
      <c r="I420" s="272"/>
      <c r="J420" s="59" t="s">
        <v>4216</v>
      </c>
      <c r="K420" s="46">
        <v>23830000</v>
      </c>
      <c r="L420" s="2">
        <v>45202</v>
      </c>
      <c r="M420" s="32"/>
      <c r="N420" s="32">
        <v>3174405049</v>
      </c>
      <c r="O420" s="51" t="s">
        <v>4514</v>
      </c>
      <c r="P420" s="52" t="s">
        <v>1816</v>
      </c>
    </row>
    <row r="421" spans="2:16" x14ac:dyDescent="0.25">
      <c r="B421" s="32">
        <v>409</v>
      </c>
      <c r="C421" s="272" t="s">
        <v>4524</v>
      </c>
      <c r="D421" s="272"/>
      <c r="E421" s="272"/>
      <c r="F421" s="272"/>
      <c r="G421" s="272"/>
      <c r="H421" s="272"/>
      <c r="I421" s="272"/>
      <c r="J421" s="59" t="s">
        <v>4516</v>
      </c>
      <c r="K421" s="46">
        <v>29650000</v>
      </c>
      <c r="L421" s="2">
        <v>45203</v>
      </c>
      <c r="M421" s="32"/>
      <c r="N421" s="51">
        <v>3104139821</v>
      </c>
      <c r="O421" s="32" t="s">
        <v>340</v>
      </c>
      <c r="P421" s="52" t="s">
        <v>1114</v>
      </c>
    </row>
    <row r="422" spans="2:16" x14ac:dyDescent="0.25">
      <c r="B422" s="32">
        <v>410</v>
      </c>
      <c r="C422" s="229" t="s">
        <v>4517</v>
      </c>
      <c r="D422" s="229"/>
      <c r="E422" s="229"/>
      <c r="F422" s="229"/>
      <c r="G422" s="229"/>
      <c r="H422" s="229"/>
      <c r="I422" s="229"/>
      <c r="J422" s="59" t="s">
        <v>702</v>
      </c>
      <c r="K422" s="46">
        <v>3140000</v>
      </c>
      <c r="L422" s="2">
        <v>45202</v>
      </c>
      <c r="M422" s="32"/>
      <c r="N422" s="51">
        <v>3137546144</v>
      </c>
      <c r="O422" s="51" t="s">
        <v>229</v>
      </c>
      <c r="P422" s="52" t="s">
        <v>2504</v>
      </c>
    </row>
    <row r="423" spans="2:16" x14ac:dyDescent="0.25">
      <c r="B423" s="32">
        <v>411</v>
      </c>
      <c r="C423" s="229" t="s">
        <v>4520</v>
      </c>
      <c r="D423" s="229"/>
      <c r="E423" s="229"/>
      <c r="F423" s="229"/>
      <c r="G423" s="229"/>
      <c r="H423" s="229"/>
      <c r="I423" s="229"/>
      <c r="J423" s="59"/>
      <c r="K423" s="46">
        <v>18850000</v>
      </c>
      <c r="L423" s="2">
        <v>45202</v>
      </c>
      <c r="M423" s="32"/>
      <c r="N423" s="32"/>
      <c r="O423" s="51" t="s">
        <v>4518</v>
      </c>
      <c r="P423" s="52" t="s">
        <v>4519</v>
      </c>
    </row>
    <row r="424" spans="2:16" x14ac:dyDescent="0.25">
      <c r="B424" s="32">
        <v>412</v>
      </c>
      <c r="C424" s="271" t="s">
        <v>4521</v>
      </c>
      <c r="D424" s="272"/>
      <c r="E424" s="272"/>
      <c r="F424" s="272"/>
      <c r="G424" s="272"/>
      <c r="H424" s="272"/>
      <c r="I424" s="272"/>
      <c r="J424" s="59" t="s">
        <v>702</v>
      </c>
      <c r="K424" s="46">
        <v>1300000</v>
      </c>
      <c r="L424" s="2">
        <v>45202</v>
      </c>
      <c r="M424" s="32"/>
      <c r="N424" s="51">
        <v>3137546144</v>
      </c>
      <c r="O424" s="51" t="s">
        <v>229</v>
      </c>
      <c r="P424" s="52" t="s">
        <v>2504</v>
      </c>
    </row>
    <row r="425" spans="2:16" x14ac:dyDescent="0.25">
      <c r="B425" s="32">
        <v>413</v>
      </c>
      <c r="C425" s="229" t="s">
        <v>4522</v>
      </c>
      <c r="D425" s="229"/>
      <c r="E425" s="229"/>
      <c r="F425" s="229"/>
      <c r="G425" s="229"/>
      <c r="H425" s="229"/>
      <c r="I425" s="229"/>
      <c r="J425" s="59" t="s">
        <v>702</v>
      </c>
      <c r="K425" s="46">
        <v>2000000</v>
      </c>
      <c r="L425" s="2">
        <v>45202</v>
      </c>
      <c r="M425" s="32"/>
      <c r="N425" s="51">
        <v>3137546144</v>
      </c>
      <c r="O425" s="51" t="s">
        <v>229</v>
      </c>
      <c r="P425" s="52" t="s">
        <v>2504</v>
      </c>
    </row>
    <row r="426" spans="2:16" x14ac:dyDescent="0.25">
      <c r="B426" s="32">
        <v>414</v>
      </c>
      <c r="C426" s="230" t="s">
        <v>4525</v>
      </c>
      <c r="D426" s="231"/>
      <c r="E426" s="231"/>
      <c r="F426" s="231"/>
      <c r="G426" s="231"/>
      <c r="H426" s="231"/>
      <c r="I426" s="232"/>
      <c r="J426" s="59" t="s">
        <v>3609</v>
      </c>
      <c r="K426" s="46">
        <v>12100000</v>
      </c>
      <c r="L426" s="2">
        <v>45203</v>
      </c>
      <c r="M426" s="32"/>
      <c r="N426" s="32">
        <v>3143162811</v>
      </c>
      <c r="O426" s="51" t="s">
        <v>4507</v>
      </c>
      <c r="P426" s="52" t="s">
        <v>4508</v>
      </c>
    </row>
    <row r="427" spans="2:16" x14ac:dyDescent="0.25">
      <c r="B427" s="32">
        <v>415</v>
      </c>
      <c r="C427" s="229" t="s">
        <v>4523</v>
      </c>
      <c r="D427" s="229"/>
      <c r="E427" s="229"/>
      <c r="F427" s="229"/>
      <c r="G427" s="229"/>
      <c r="H427" s="229"/>
      <c r="I427" s="229"/>
      <c r="J427" s="59" t="s">
        <v>4516</v>
      </c>
      <c r="K427" s="46">
        <v>9100000</v>
      </c>
      <c r="L427" s="2">
        <v>45203</v>
      </c>
      <c r="M427" s="32"/>
      <c r="N427" s="51">
        <v>3104139821</v>
      </c>
      <c r="O427" s="32" t="s">
        <v>340</v>
      </c>
      <c r="P427" s="52" t="s">
        <v>1114</v>
      </c>
    </row>
    <row r="428" spans="2:16" x14ac:dyDescent="0.25">
      <c r="B428" s="32">
        <v>416</v>
      </c>
      <c r="C428" s="229" t="s">
        <v>4526</v>
      </c>
      <c r="D428" s="229"/>
      <c r="E428" s="229"/>
      <c r="F428" s="229"/>
      <c r="G428" s="229"/>
      <c r="H428" s="229"/>
      <c r="I428" s="229"/>
      <c r="J428" s="59" t="s">
        <v>4527</v>
      </c>
      <c r="K428" s="46">
        <v>14950000</v>
      </c>
      <c r="L428" s="2">
        <v>45203</v>
      </c>
      <c r="M428" s="32"/>
      <c r="N428" s="51" t="s">
        <v>4529</v>
      </c>
      <c r="O428" s="32" t="s">
        <v>4528</v>
      </c>
      <c r="P428" s="52"/>
    </row>
    <row r="429" spans="2:16" x14ac:dyDescent="0.25">
      <c r="B429" s="32">
        <v>417</v>
      </c>
      <c r="C429" s="229" t="s">
        <v>4437</v>
      </c>
      <c r="D429" s="229"/>
      <c r="E429" s="229"/>
      <c r="F429" s="229"/>
      <c r="G429" s="229"/>
      <c r="H429" s="229"/>
      <c r="I429" s="229"/>
      <c r="J429" s="59" t="s">
        <v>702</v>
      </c>
      <c r="K429" s="46">
        <v>64850000</v>
      </c>
      <c r="L429" s="2">
        <v>45204</v>
      </c>
      <c r="M429" s="32"/>
      <c r="N429" s="32">
        <v>310468058</v>
      </c>
      <c r="O429" s="51" t="s">
        <v>2746</v>
      </c>
      <c r="P429" s="52" t="s">
        <v>703</v>
      </c>
    </row>
    <row r="430" spans="2:16" x14ac:dyDescent="0.25">
      <c r="B430" s="32">
        <v>418</v>
      </c>
      <c r="C430" s="229" t="s">
        <v>4530</v>
      </c>
      <c r="D430" s="229"/>
      <c r="E430" s="229"/>
      <c r="F430" s="229"/>
      <c r="G430" s="229"/>
      <c r="H430" s="229"/>
      <c r="I430" s="229"/>
      <c r="J430" s="59" t="s">
        <v>4531</v>
      </c>
      <c r="K430" s="46">
        <v>5950000</v>
      </c>
      <c r="L430" s="2">
        <v>45205</v>
      </c>
      <c r="M430" s="32"/>
      <c r="N430" s="32">
        <v>3006080561</v>
      </c>
      <c r="O430" s="51" t="s">
        <v>1738</v>
      </c>
      <c r="P430" s="52" t="s">
        <v>1739</v>
      </c>
    </row>
    <row r="431" spans="2:16" x14ac:dyDescent="0.25">
      <c r="B431" s="32">
        <v>419</v>
      </c>
      <c r="C431" s="263" t="s">
        <v>4534</v>
      </c>
      <c r="D431" s="229"/>
      <c r="E431" s="229"/>
      <c r="F431" s="229"/>
      <c r="G431" s="229"/>
      <c r="H431" s="229"/>
      <c r="I431" s="229"/>
      <c r="J431" s="59" t="s">
        <v>4532</v>
      </c>
      <c r="K431" s="46">
        <v>36000000</v>
      </c>
      <c r="L431" s="2">
        <v>45205</v>
      </c>
      <c r="M431" s="32"/>
      <c r="N431" s="32" t="s">
        <v>4533</v>
      </c>
      <c r="O431" s="51" t="s">
        <v>657</v>
      </c>
      <c r="P431" s="52"/>
    </row>
    <row r="432" spans="2:16" ht="15" customHeight="1" x14ac:dyDescent="0.25">
      <c r="B432" s="32">
        <v>420</v>
      </c>
      <c r="C432" s="271" t="s">
        <v>4536</v>
      </c>
      <c r="D432" s="272"/>
      <c r="E432" s="272"/>
      <c r="F432" s="272"/>
      <c r="G432" s="272"/>
      <c r="H432" s="272"/>
      <c r="I432" s="272"/>
      <c r="J432" s="59" t="s">
        <v>4537</v>
      </c>
      <c r="K432" s="46">
        <v>2450000</v>
      </c>
      <c r="L432" s="2">
        <v>45208</v>
      </c>
      <c r="M432" s="32"/>
      <c r="N432" s="32"/>
      <c r="O432" s="51" t="s">
        <v>4538</v>
      </c>
      <c r="P432" s="52" t="s">
        <v>4539</v>
      </c>
    </row>
    <row r="433" spans="2:16" ht="15" customHeight="1" x14ac:dyDescent="0.25">
      <c r="B433" s="32">
        <v>421</v>
      </c>
      <c r="C433" s="271" t="s">
        <v>4535</v>
      </c>
      <c r="D433" s="272"/>
      <c r="E433" s="272"/>
      <c r="F433" s="272"/>
      <c r="G433" s="272"/>
      <c r="H433" s="272"/>
      <c r="I433" s="272"/>
      <c r="J433" s="59" t="s">
        <v>702</v>
      </c>
      <c r="K433" s="46">
        <v>3000000</v>
      </c>
      <c r="L433" s="2">
        <v>45209</v>
      </c>
      <c r="M433" s="32"/>
      <c r="N433" s="32">
        <v>3137546144</v>
      </c>
      <c r="O433" s="51" t="s">
        <v>229</v>
      </c>
      <c r="P433" s="52" t="s">
        <v>2504</v>
      </c>
    </row>
    <row r="434" spans="2:16" x14ac:dyDescent="0.25">
      <c r="B434" s="32">
        <v>422</v>
      </c>
      <c r="C434" s="229" t="s">
        <v>4543</v>
      </c>
      <c r="D434" s="229"/>
      <c r="E434" s="229"/>
      <c r="F434" s="229"/>
      <c r="G434" s="229"/>
      <c r="H434" s="229"/>
      <c r="I434" s="229"/>
      <c r="J434" s="59" t="s">
        <v>4540</v>
      </c>
      <c r="K434" s="46">
        <v>18850000</v>
      </c>
      <c r="L434" s="2">
        <v>45209</v>
      </c>
      <c r="M434" s="32"/>
      <c r="N434" s="51">
        <v>3117445529</v>
      </c>
      <c r="O434" s="32" t="s">
        <v>4541</v>
      </c>
      <c r="P434" s="52" t="s">
        <v>4542</v>
      </c>
    </row>
    <row r="435" spans="2:16" x14ac:dyDescent="0.25">
      <c r="B435" s="32">
        <v>423</v>
      </c>
      <c r="C435" s="229" t="s">
        <v>4546</v>
      </c>
      <c r="D435" s="229"/>
      <c r="E435" s="229"/>
      <c r="F435" s="229"/>
      <c r="G435" s="229"/>
      <c r="H435" s="229"/>
      <c r="I435" s="229"/>
      <c r="J435" s="59" t="s">
        <v>1177</v>
      </c>
      <c r="K435" s="46">
        <v>19950000</v>
      </c>
      <c r="L435" s="2">
        <v>45209</v>
      </c>
      <c r="M435" s="32"/>
      <c r="N435" s="32">
        <v>3137337587</v>
      </c>
      <c r="O435" s="51" t="s">
        <v>4544</v>
      </c>
      <c r="P435" s="52" t="s">
        <v>4545</v>
      </c>
    </row>
    <row r="436" spans="2:16" x14ac:dyDescent="0.25">
      <c r="B436" s="32">
        <v>424</v>
      </c>
      <c r="C436" s="263" t="s">
        <v>4548</v>
      </c>
      <c r="D436" s="229"/>
      <c r="E436" s="229"/>
      <c r="F436" s="229"/>
      <c r="G436" s="229"/>
      <c r="H436" s="229"/>
      <c r="I436" s="229"/>
      <c r="J436" s="59" t="s">
        <v>4547</v>
      </c>
      <c r="K436" s="46">
        <v>14950000</v>
      </c>
      <c r="L436" s="2">
        <v>45209</v>
      </c>
      <c r="M436" s="32"/>
      <c r="N436" s="32">
        <v>3103789715</v>
      </c>
      <c r="O436" s="32" t="s">
        <v>4553</v>
      </c>
      <c r="P436" s="52" t="s">
        <v>4554</v>
      </c>
    </row>
    <row r="437" spans="2:16" x14ac:dyDescent="0.25">
      <c r="B437" s="32">
        <v>425</v>
      </c>
      <c r="C437" s="263" t="s">
        <v>4552</v>
      </c>
      <c r="D437" s="229"/>
      <c r="E437" s="229"/>
      <c r="F437" s="229"/>
      <c r="G437" s="229"/>
      <c r="H437" s="229"/>
      <c r="I437" s="229"/>
      <c r="J437" s="59" t="s">
        <v>4555</v>
      </c>
      <c r="K437" s="46">
        <v>1900000</v>
      </c>
      <c r="L437" s="2">
        <v>45209</v>
      </c>
      <c r="M437" s="32"/>
      <c r="N437" s="30" t="s">
        <v>4550</v>
      </c>
      <c r="O437" s="51" t="s">
        <v>4551</v>
      </c>
      <c r="P437" s="97" t="s">
        <v>4549</v>
      </c>
    </row>
    <row r="438" spans="2:16" x14ac:dyDescent="0.25">
      <c r="B438" s="32">
        <v>426</v>
      </c>
      <c r="C438" s="271" t="s">
        <v>4556</v>
      </c>
      <c r="D438" s="272"/>
      <c r="E438" s="272"/>
      <c r="F438" s="272"/>
      <c r="G438" s="272"/>
      <c r="H438" s="272"/>
      <c r="I438" s="272"/>
      <c r="J438" s="59" t="s">
        <v>4557</v>
      </c>
      <c r="K438" s="46">
        <v>2070000</v>
      </c>
      <c r="L438" s="2">
        <v>45210</v>
      </c>
      <c r="M438" s="32"/>
      <c r="N438" s="32" t="s">
        <v>4560</v>
      </c>
      <c r="O438" s="51" t="s">
        <v>4558</v>
      </c>
      <c r="P438" s="52" t="s">
        <v>4559</v>
      </c>
    </row>
    <row r="439" spans="2:16" x14ac:dyDescent="0.25">
      <c r="B439" s="32">
        <v>427</v>
      </c>
      <c r="C439" s="229" t="s">
        <v>4561</v>
      </c>
      <c r="D439" s="229"/>
      <c r="E439" s="229"/>
      <c r="F439" s="229"/>
      <c r="G439" s="229"/>
      <c r="H439" s="229"/>
      <c r="I439" s="229"/>
      <c r="J439" s="59" t="s">
        <v>702</v>
      </c>
      <c r="K439" s="46">
        <v>3800000</v>
      </c>
      <c r="L439" s="2">
        <v>45210</v>
      </c>
      <c r="M439" s="32"/>
      <c r="N439" s="51">
        <v>3137546144</v>
      </c>
      <c r="O439" s="51" t="s">
        <v>229</v>
      </c>
      <c r="P439" s="52" t="s">
        <v>2504</v>
      </c>
    </row>
    <row r="440" spans="2:16" x14ac:dyDescent="0.25">
      <c r="B440" s="32">
        <v>428</v>
      </c>
      <c r="C440" s="271" t="s">
        <v>4562</v>
      </c>
      <c r="D440" s="272"/>
      <c r="E440" s="272"/>
      <c r="F440" s="272"/>
      <c r="G440" s="272"/>
      <c r="H440" s="272"/>
      <c r="I440" s="272"/>
      <c r="J440" s="59" t="s">
        <v>702</v>
      </c>
      <c r="K440" s="46">
        <v>1800000</v>
      </c>
      <c r="L440" s="2">
        <v>45212</v>
      </c>
      <c r="M440" s="32"/>
      <c r="N440" s="51">
        <v>3137546144</v>
      </c>
      <c r="O440" s="51" t="s">
        <v>229</v>
      </c>
      <c r="P440" s="52" t="s">
        <v>2504</v>
      </c>
    </row>
    <row r="441" spans="2:16" x14ac:dyDescent="0.25">
      <c r="B441" s="32">
        <v>429</v>
      </c>
      <c r="C441" s="263" t="s">
        <v>4563</v>
      </c>
      <c r="D441" s="229"/>
      <c r="E441" s="229"/>
      <c r="F441" s="229"/>
      <c r="G441" s="229"/>
      <c r="H441" s="229"/>
      <c r="I441" s="229"/>
      <c r="J441" s="59" t="s">
        <v>702</v>
      </c>
      <c r="K441" s="46">
        <v>2000000</v>
      </c>
      <c r="L441" s="2">
        <v>45212</v>
      </c>
      <c r="M441" s="32"/>
      <c r="N441" s="51">
        <v>3137546144</v>
      </c>
      <c r="O441" s="51" t="s">
        <v>229</v>
      </c>
      <c r="P441" s="52" t="s">
        <v>2504</v>
      </c>
    </row>
    <row r="442" spans="2:16" x14ac:dyDescent="0.25">
      <c r="B442" s="32">
        <v>430</v>
      </c>
      <c r="C442" s="229" t="s">
        <v>4566</v>
      </c>
      <c r="D442" s="229"/>
      <c r="E442" s="229"/>
      <c r="F442" s="229"/>
      <c r="G442" s="229"/>
      <c r="H442" s="229"/>
      <c r="I442" s="229"/>
      <c r="J442" s="59" t="s">
        <v>702</v>
      </c>
      <c r="K442" s="46">
        <v>2000000</v>
      </c>
      <c r="L442" s="2">
        <v>45212</v>
      </c>
      <c r="M442" s="32"/>
      <c r="N442" s="32">
        <v>3104165783</v>
      </c>
      <c r="O442" s="51" t="s">
        <v>4564</v>
      </c>
      <c r="P442" s="52" t="s">
        <v>4565</v>
      </c>
    </row>
    <row r="443" spans="2:16" x14ac:dyDescent="0.25">
      <c r="B443" s="32">
        <v>431</v>
      </c>
      <c r="C443" s="229" t="s">
        <v>4567</v>
      </c>
      <c r="D443" s="229"/>
      <c r="E443" s="229"/>
      <c r="F443" s="229"/>
      <c r="G443" s="229"/>
      <c r="H443" s="229"/>
      <c r="I443" s="229"/>
      <c r="J443" s="59" t="s">
        <v>3609</v>
      </c>
      <c r="K443" s="46">
        <v>15800000</v>
      </c>
      <c r="L443" s="2">
        <v>45212</v>
      </c>
      <c r="M443" s="32"/>
      <c r="N443" s="32">
        <v>3143162811</v>
      </c>
      <c r="O443" s="51" t="s">
        <v>4507</v>
      </c>
      <c r="P443" s="52" t="s">
        <v>4508</v>
      </c>
    </row>
    <row r="444" spans="2:16" x14ac:dyDescent="0.25">
      <c r="B444" s="32">
        <v>432</v>
      </c>
      <c r="C444" s="229" t="s">
        <v>4524</v>
      </c>
      <c r="D444" s="229"/>
      <c r="E444" s="229"/>
      <c r="F444" s="229"/>
      <c r="G444" s="229"/>
      <c r="H444" s="229"/>
      <c r="I444" s="229"/>
      <c r="J444" s="59" t="s">
        <v>3609</v>
      </c>
      <c r="K444" s="46">
        <v>34500000</v>
      </c>
      <c r="L444" s="2">
        <v>45216</v>
      </c>
      <c r="M444" s="32"/>
      <c r="N444" s="32" t="s">
        <v>3613</v>
      </c>
      <c r="O444" s="51" t="s">
        <v>3611</v>
      </c>
      <c r="P444" s="38" t="s">
        <v>3612</v>
      </c>
    </row>
    <row r="445" spans="2:16" x14ac:dyDescent="0.25">
      <c r="B445" s="32">
        <v>433</v>
      </c>
      <c r="C445" s="229" t="s">
        <v>4568</v>
      </c>
      <c r="D445" s="229"/>
      <c r="E445" s="229"/>
      <c r="F445" s="229"/>
      <c r="G445" s="229"/>
      <c r="H445" s="229"/>
      <c r="I445" s="229"/>
      <c r="J445" s="59" t="s">
        <v>3609</v>
      </c>
      <c r="K445" s="46">
        <v>16900000</v>
      </c>
      <c r="L445" s="2">
        <v>45216</v>
      </c>
      <c r="M445" s="32"/>
      <c r="N445" s="32" t="s">
        <v>3613</v>
      </c>
      <c r="O445" s="51" t="s">
        <v>3611</v>
      </c>
      <c r="P445" s="38" t="s">
        <v>3612</v>
      </c>
    </row>
    <row r="446" spans="2:16" x14ac:dyDescent="0.25">
      <c r="B446" s="32">
        <v>434</v>
      </c>
      <c r="C446" s="271" t="s">
        <v>4571</v>
      </c>
      <c r="D446" s="272"/>
      <c r="E446" s="272"/>
      <c r="F446" s="272"/>
      <c r="G446" s="272"/>
      <c r="H446" s="272"/>
      <c r="I446" s="272"/>
      <c r="J446" s="59" t="s">
        <v>1086</v>
      </c>
      <c r="K446" s="46">
        <v>4990000</v>
      </c>
      <c r="L446" s="2">
        <v>45217</v>
      </c>
      <c r="M446" s="32"/>
      <c r="N446" s="32">
        <v>3128070690</v>
      </c>
      <c r="O446" s="51" t="s">
        <v>4570</v>
      </c>
      <c r="P446" s="52" t="s">
        <v>4569</v>
      </c>
    </row>
    <row r="447" spans="2:16" x14ac:dyDescent="0.25">
      <c r="B447" s="32">
        <v>435</v>
      </c>
      <c r="C447" s="271" t="s">
        <v>4574</v>
      </c>
      <c r="D447" s="272"/>
      <c r="E447" s="272"/>
      <c r="F447" s="272"/>
      <c r="G447" s="272"/>
      <c r="H447" s="272"/>
      <c r="I447" s="272"/>
      <c r="J447" s="59" t="s">
        <v>3961</v>
      </c>
      <c r="K447" s="46">
        <v>3950000</v>
      </c>
      <c r="L447" s="2">
        <v>45218</v>
      </c>
      <c r="M447" s="32"/>
      <c r="N447" s="32">
        <v>3207709978</v>
      </c>
      <c r="O447" s="51" t="s">
        <v>4572</v>
      </c>
      <c r="P447" s="52" t="s">
        <v>4573</v>
      </c>
    </row>
    <row r="448" spans="2:16" x14ac:dyDescent="0.25">
      <c r="B448" s="32">
        <v>436</v>
      </c>
      <c r="C448" s="271" t="s">
        <v>4598</v>
      </c>
      <c r="D448" s="272"/>
      <c r="E448" s="272"/>
      <c r="F448" s="272"/>
      <c r="G448" s="272"/>
      <c r="H448" s="272"/>
      <c r="I448" s="272"/>
      <c r="J448" s="59" t="s">
        <v>4436</v>
      </c>
      <c r="K448" s="46">
        <v>1200000</v>
      </c>
      <c r="L448" s="2">
        <v>45223</v>
      </c>
      <c r="M448" s="32"/>
      <c r="N448" s="32">
        <v>3148721400</v>
      </c>
      <c r="O448" s="51" t="s">
        <v>4575</v>
      </c>
      <c r="P448" s="52" t="s">
        <v>4576</v>
      </c>
    </row>
    <row r="449" spans="2:16" x14ac:dyDescent="0.25">
      <c r="B449" s="32">
        <v>437</v>
      </c>
      <c r="C449" s="229" t="s">
        <v>4577</v>
      </c>
      <c r="D449" s="229"/>
      <c r="E449" s="229"/>
      <c r="F449" s="229"/>
      <c r="G449" s="229"/>
      <c r="H449" s="229"/>
      <c r="I449" s="229"/>
      <c r="J449" s="59" t="s">
        <v>831</v>
      </c>
      <c r="K449" s="46">
        <v>4950000</v>
      </c>
      <c r="L449" s="2">
        <v>45218</v>
      </c>
      <c r="M449" s="32"/>
      <c r="N449" s="32">
        <v>3194913179</v>
      </c>
      <c r="O449" s="51" t="s">
        <v>3495</v>
      </c>
      <c r="P449" s="52" t="s">
        <v>3496</v>
      </c>
    </row>
    <row r="450" spans="2:16" x14ac:dyDescent="0.25">
      <c r="B450" s="32">
        <v>438</v>
      </c>
      <c r="C450" s="229" t="s">
        <v>4580</v>
      </c>
      <c r="D450" s="229"/>
      <c r="E450" s="229"/>
      <c r="F450" s="229"/>
      <c r="G450" s="229"/>
      <c r="H450" s="229"/>
      <c r="I450" s="229"/>
      <c r="J450" s="59" t="s">
        <v>4581</v>
      </c>
      <c r="K450" s="46">
        <v>4950000</v>
      </c>
      <c r="L450" s="2">
        <v>45219</v>
      </c>
      <c r="M450" s="32"/>
      <c r="N450" s="32"/>
      <c r="O450" s="51" t="s">
        <v>4579</v>
      </c>
      <c r="P450" s="52" t="s">
        <v>4578</v>
      </c>
    </row>
    <row r="451" spans="2:16" x14ac:dyDescent="0.25">
      <c r="B451" s="32">
        <v>439</v>
      </c>
      <c r="C451" s="271" t="s">
        <v>4585</v>
      </c>
      <c r="D451" s="272"/>
      <c r="E451" s="272"/>
      <c r="F451" s="272"/>
      <c r="G451" s="272"/>
      <c r="H451" s="272"/>
      <c r="I451" s="272"/>
      <c r="J451" s="59" t="s">
        <v>4582</v>
      </c>
      <c r="K451" s="46">
        <v>3500</v>
      </c>
      <c r="L451" s="2">
        <v>45219</v>
      </c>
      <c r="M451" s="32"/>
      <c r="N451" s="32" t="s">
        <v>4586</v>
      </c>
      <c r="O451" s="51" t="s">
        <v>4583</v>
      </c>
      <c r="P451" s="52" t="s">
        <v>4584</v>
      </c>
    </row>
    <row r="452" spans="2:16" x14ac:dyDescent="0.25">
      <c r="B452" s="32">
        <v>440</v>
      </c>
      <c r="C452" s="229" t="s">
        <v>4590</v>
      </c>
      <c r="D452" s="229"/>
      <c r="E452" s="229"/>
      <c r="F452" s="229"/>
      <c r="G452" s="229"/>
      <c r="H452" s="229"/>
      <c r="I452" s="229"/>
      <c r="J452" s="59" t="s">
        <v>774</v>
      </c>
      <c r="K452" s="46">
        <v>4950000</v>
      </c>
      <c r="L452" s="2">
        <v>45223</v>
      </c>
      <c r="M452" s="32"/>
      <c r="N452" s="32" t="s">
        <v>4589</v>
      </c>
      <c r="O452" s="51" t="s">
        <v>4587</v>
      </c>
      <c r="P452" s="52" t="s">
        <v>4588</v>
      </c>
    </row>
    <row r="453" spans="2:16" x14ac:dyDescent="0.25">
      <c r="B453" s="32">
        <v>441</v>
      </c>
      <c r="C453" s="229" t="s">
        <v>4591</v>
      </c>
      <c r="D453" s="229"/>
      <c r="E453" s="229"/>
      <c r="F453" s="229"/>
      <c r="G453" s="229"/>
      <c r="H453" s="229"/>
      <c r="I453" s="229"/>
      <c r="J453" s="59" t="s">
        <v>712</v>
      </c>
      <c r="K453" s="46">
        <v>14430000</v>
      </c>
      <c r="L453" s="2">
        <v>45223</v>
      </c>
      <c r="M453" s="32"/>
      <c r="N453" s="32">
        <v>3137851941</v>
      </c>
      <c r="O453" s="51" t="s">
        <v>2055</v>
      </c>
      <c r="P453" s="52" t="s">
        <v>713</v>
      </c>
    </row>
    <row r="454" spans="2:16" x14ac:dyDescent="0.25">
      <c r="B454" s="32">
        <v>442</v>
      </c>
      <c r="C454" s="229" t="s">
        <v>4595</v>
      </c>
      <c r="D454" s="229"/>
      <c r="E454" s="229"/>
      <c r="F454" s="229"/>
      <c r="G454" s="229"/>
      <c r="H454" s="229"/>
      <c r="I454" s="229"/>
      <c r="J454" s="59" t="s">
        <v>4593</v>
      </c>
      <c r="K454" s="46">
        <v>13350000</v>
      </c>
      <c r="L454" s="2">
        <v>45222</v>
      </c>
      <c r="M454" s="32"/>
      <c r="N454" s="32">
        <v>3002840608</v>
      </c>
      <c r="O454" s="51" t="s">
        <v>4594</v>
      </c>
      <c r="P454" s="52" t="s">
        <v>4592</v>
      </c>
    </row>
    <row r="455" spans="2:16" x14ac:dyDescent="0.25">
      <c r="B455" s="32">
        <v>443</v>
      </c>
      <c r="C455" s="229" t="s">
        <v>4596</v>
      </c>
      <c r="D455" s="229"/>
      <c r="E455" s="229"/>
      <c r="F455" s="229"/>
      <c r="G455" s="229"/>
      <c r="H455" s="229"/>
      <c r="I455" s="229"/>
      <c r="J455" s="59" t="s">
        <v>4597</v>
      </c>
      <c r="K455" s="46">
        <v>44950000</v>
      </c>
      <c r="L455" s="2">
        <v>45223</v>
      </c>
      <c r="M455" s="32"/>
      <c r="N455" s="32" t="s">
        <v>4295</v>
      </c>
      <c r="O455" s="51" t="s">
        <v>4294</v>
      </c>
      <c r="P455" s="52" t="s">
        <v>1662</v>
      </c>
    </row>
    <row r="456" spans="2:16" x14ac:dyDescent="0.25">
      <c r="B456" s="32">
        <v>444</v>
      </c>
      <c r="C456" s="229" t="s">
        <v>4599</v>
      </c>
      <c r="D456" s="229"/>
      <c r="E456" s="229"/>
      <c r="F456" s="229"/>
      <c r="G456" s="229"/>
      <c r="H456" s="229"/>
      <c r="I456" s="229"/>
      <c r="J456" s="59" t="s">
        <v>789</v>
      </c>
      <c r="K456" s="46">
        <v>19900000</v>
      </c>
      <c r="L456" s="2">
        <v>45223</v>
      </c>
      <c r="M456" s="32"/>
      <c r="N456" s="32" t="s">
        <v>4601</v>
      </c>
      <c r="O456" s="51" t="s">
        <v>4600</v>
      </c>
      <c r="P456" s="52" t="s">
        <v>2121</v>
      </c>
    </row>
    <row r="457" spans="2:16" x14ac:dyDescent="0.25">
      <c r="B457" s="32">
        <v>445</v>
      </c>
      <c r="C457" s="229" t="s">
        <v>4602</v>
      </c>
      <c r="D457" s="229"/>
      <c r="E457" s="229"/>
      <c r="F457" s="229"/>
      <c r="G457" s="229"/>
      <c r="H457" s="229"/>
      <c r="I457" s="229"/>
      <c r="J457" s="59" t="s">
        <v>3050</v>
      </c>
      <c r="K457" s="46">
        <v>9910000</v>
      </c>
      <c r="L457" s="2">
        <v>45224</v>
      </c>
      <c r="M457" s="32"/>
      <c r="N457" s="32">
        <v>3104131109</v>
      </c>
      <c r="O457" s="32" t="s">
        <v>3051</v>
      </c>
      <c r="P457" s="52" t="s">
        <v>3052</v>
      </c>
    </row>
    <row r="458" spans="2:16" x14ac:dyDescent="0.25">
      <c r="B458" s="32">
        <v>446</v>
      </c>
      <c r="C458" s="229" t="s">
        <v>4603</v>
      </c>
      <c r="D458" s="229"/>
      <c r="E458" s="229"/>
      <c r="F458" s="229"/>
      <c r="G458" s="229"/>
      <c r="H458" s="229"/>
      <c r="I458" s="229"/>
      <c r="J458" s="59" t="s">
        <v>3050</v>
      </c>
      <c r="K458" s="46">
        <v>17950000</v>
      </c>
      <c r="L458" s="2">
        <v>45225</v>
      </c>
      <c r="M458" s="32"/>
      <c r="N458" s="32">
        <v>3104131109</v>
      </c>
      <c r="O458" s="32" t="s">
        <v>3051</v>
      </c>
      <c r="P458" s="52" t="s">
        <v>3052</v>
      </c>
    </row>
    <row r="459" spans="2:16" x14ac:dyDescent="0.25">
      <c r="B459" s="32">
        <v>447</v>
      </c>
      <c r="C459" s="229" t="s">
        <v>1942</v>
      </c>
      <c r="D459" s="229"/>
      <c r="E459" s="229"/>
      <c r="F459" s="229"/>
      <c r="G459" s="229"/>
      <c r="H459" s="229"/>
      <c r="I459" s="229"/>
      <c r="J459" s="59" t="s">
        <v>1943</v>
      </c>
      <c r="K459" s="46">
        <v>9500000</v>
      </c>
      <c r="L459" s="2">
        <v>45225</v>
      </c>
      <c r="M459" s="32"/>
      <c r="N459" s="32" t="s">
        <v>1944</v>
      </c>
      <c r="O459" s="51" t="s">
        <v>1945</v>
      </c>
      <c r="P459" s="91"/>
    </row>
    <row r="460" spans="2:16" x14ac:dyDescent="0.25">
      <c r="B460" s="32">
        <v>448</v>
      </c>
      <c r="C460" s="263" t="s">
        <v>4615</v>
      </c>
      <c r="D460" s="229"/>
      <c r="E460" s="229"/>
      <c r="F460" s="229"/>
      <c r="G460" s="229"/>
      <c r="H460" s="229"/>
      <c r="I460" s="229"/>
      <c r="J460" s="59" t="s">
        <v>702</v>
      </c>
      <c r="K460" s="46">
        <v>9950000</v>
      </c>
      <c r="L460" s="2">
        <v>45226</v>
      </c>
      <c r="M460" s="32"/>
      <c r="N460" s="32" t="s">
        <v>2745</v>
      </c>
      <c r="O460" s="32" t="s">
        <v>2746</v>
      </c>
      <c r="P460" s="52" t="s">
        <v>703</v>
      </c>
    </row>
    <row r="461" spans="2:16" x14ac:dyDescent="0.25">
      <c r="B461" s="32">
        <v>449</v>
      </c>
      <c r="C461" s="229" t="s">
        <v>4604</v>
      </c>
      <c r="D461" s="229"/>
      <c r="E461" s="229"/>
      <c r="F461" s="229"/>
      <c r="G461" s="229"/>
      <c r="H461" s="229"/>
      <c r="I461" s="229"/>
      <c r="J461" s="59" t="s">
        <v>4436</v>
      </c>
      <c r="K461" s="46">
        <v>4350000</v>
      </c>
      <c r="L461" s="2">
        <v>45226</v>
      </c>
      <c r="M461" s="32"/>
      <c r="N461" s="32">
        <v>3146844810</v>
      </c>
      <c r="O461" s="51" t="s">
        <v>4605</v>
      </c>
      <c r="P461" s="52" t="s">
        <v>4606</v>
      </c>
    </row>
    <row r="462" spans="2:16" x14ac:dyDescent="0.25">
      <c r="B462" s="32">
        <v>450</v>
      </c>
      <c r="C462" s="229" t="s">
        <v>4607</v>
      </c>
      <c r="D462" s="229"/>
      <c r="E462" s="229"/>
      <c r="F462" s="229"/>
      <c r="G462" s="229"/>
      <c r="H462" s="229"/>
      <c r="I462" s="229"/>
      <c r="J462" s="59" t="s">
        <v>831</v>
      </c>
      <c r="K462" s="46">
        <v>3500000</v>
      </c>
      <c r="L462" s="2">
        <v>45226</v>
      </c>
      <c r="M462" s="32"/>
      <c r="N462" s="32">
        <v>3194913179</v>
      </c>
      <c r="O462" s="51" t="s">
        <v>3495</v>
      </c>
      <c r="P462" s="52" t="s">
        <v>3496</v>
      </c>
    </row>
    <row r="463" spans="2:16" x14ac:dyDescent="0.25">
      <c r="B463" s="32">
        <v>451</v>
      </c>
      <c r="C463" s="271" t="s">
        <v>4610</v>
      </c>
      <c r="D463" s="272"/>
      <c r="E463" s="272"/>
      <c r="F463" s="272"/>
      <c r="G463" s="272"/>
      <c r="H463" s="272"/>
      <c r="I463" s="272"/>
      <c r="J463" s="59" t="s">
        <v>702</v>
      </c>
      <c r="K463" s="46">
        <v>4950000</v>
      </c>
      <c r="L463" s="2">
        <v>45227</v>
      </c>
      <c r="M463" s="32"/>
      <c r="N463" s="32" t="s">
        <v>4609</v>
      </c>
      <c r="O463" s="51" t="s">
        <v>4504</v>
      </c>
      <c r="P463" s="52" t="s">
        <v>4608</v>
      </c>
    </row>
    <row r="464" spans="2:16" x14ac:dyDescent="0.25">
      <c r="B464" s="32">
        <v>452</v>
      </c>
      <c r="C464" s="271" t="s">
        <v>4613</v>
      </c>
      <c r="D464" s="272"/>
      <c r="E464" s="272"/>
      <c r="F464" s="272"/>
      <c r="G464" s="272"/>
      <c r="H464" s="272"/>
      <c r="I464" s="272"/>
      <c r="J464" s="59" t="s">
        <v>3806</v>
      </c>
      <c r="K464" s="46">
        <v>18850000</v>
      </c>
      <c r="L464" s="2">
        <v>45227</v>
      </c>
      <c r="M464" s="32"/>
      <c r="N464" s="32">
        <v>3156593197</v>
      </c>
      <c r="O464" s="51" t="s">
        <v>4611</v>
      </c>
      <c r="P464" s="52" t="s">
        <v>4612</v>
      </c>
    </row>
    <row r="465" spans="2:16" x14ac:dyDescent="0.25">
      <c r="B465" s="32">
        <v>453</v>
      </c>
      <c r="C465" s="271" t="s">
        <v>4614</v>
      </c>
      <c r="D465" s="272"/>
      <c r="E465" s="272"/>
      <c r="F465" s="272"/>
      <c r="G465" s="272"/>
      <c r="H465" s="272"/>
      <c r="I465" s="272"/>
      <c r="J465" s="59" t="s">
        <v>3806</v>
      </c>
      <c r="K465" s="46">
        <v>6900000</v>
      </c>
      <c r="L465" s="2">
        <v>45227</v>
      </c>
      <c r="M465" s="32"/>
      <c r="N465" s="32">
        <v>3156593197</v>
      </c>
      <c r="O465" s="51" t="s">
        <v>4611</v>
      </c>
      <c r="P465" s="52" t="s">
        <v>4612</v>
      </c>
    </row>
    <row r="466" spans="2:16" x14ac:dyDescent="0.25">
      <c r="B466" s="32">
        <v>454</v>
      </c>
      <c r="C466" s="229" t="s">
        <v>4616</v>
      </c>
      <c r="D466" s="229"/>
      <c r="E466" s="229"/>
      <c r="F466" s="229"/>
      <c r="G466" s="229"/>
      <c r="H466" s="229"/>
      <c r="I466" s="229"/>
      <c r="J466" s="59" t="s">
        <v>3078</v>
      </c>
      <c r="K466" s="46">
        <v>26980000</v>
      </c>
      <c r="L466" s="2">
        <v>45227</v>
      </c>
      <c r="M466" s="72"/>
      <c r="N466" s="51">
        <v>3017500321</v>
      </c>
      <c r="O466" s="32" t="s">
        <v>4617</v>
      </c>
      <c r="P466" s="52" t="s">
        <v>4618</v>
      </c>
    </row>
    <row r="467" spans="2:16" x14ac:dyDescent="0.25">
      <c r="B467" s="32">
        <v>455</v>
      </c>
      <c r="C467" s="229" t="s">
        <v>4619</v>
      </c>
      <c r="D467" s="229"/>
      <c r="E467" s="229"/>
      <c r="F467" s="229"/>
      <c r="G467" s="229"/>
      <c r="H467" s="229"/>
      <c r="I467" s="229"/>
      <c r="J467" s="59" t="s">
        <v>3078</v>
      </c>
      <c r="K467" s="46">
        <v>14950000</v>
      </c>
      <c r="L467" s="2">
        <v>45227</v>
      </c>
      <c r="M467" s="2"/>
      <c r="N467" s="51">
        <v>3017500321</v>
      </c>
      <c r="O467" s="32" t="s">
        <v>4617</v>
      </c>
      <c r="P467" s="52" t="s">
        <v>4618</v>
      </c>
    </row>
    <row r="468" spans="2:16" x14ac:dyDescent="0.25">
      <c r="B468" s="32">
        <v>456</v>
      </c>
      <c r="C468" s="229" t="s">
        <v>4620</v>
      </c>
      <c r="D468" s="229"/>
      <c r="E468" s="229"/>
      <c r="F468" s="229"/>
      <c r="G468" s="229"/>
      <c r="H468" s="229"/>
      <c r="I468" s="229"/>
      <c r="J468" s="59" t="s">
        <v>3078</v>
      </c>
      <c r="K468" s="46">
        <v>14950000</v>
      </c>
      <c r="L468" s="2">
        <v>45227</v>
      </c>
      <c r="M468" s="32"/>
      <c r="N468" s="51">
        <v>3017500321</v>
      </c>
      <c r="O468" s="32" t="s">
        <v>4617</v>
      </c>
      <c r="P468" s="52" t="s">
        <v>4618</v>
      </c>
    </row>
    <row r="469" spans="2:16" x14ac:dyDescent="0.25">
      <c r="B469" s="32">
        <v>457</v>
      </c>
      <c r="C469" s="229" t="s">
        <v>4621</v>
      </c>
      <c r="D469" s="229"/>
      <c r="E469" s="229"/>
      <c r="F469" s="229"/>
      <c r="G469" s="229"/>
      <c r="H469" s="229"/>
      <c r="I469" s="229"/>
      <c r="J469" s="59" t="s">
        <v>3078</v>
      </c>
      <c r="K469" s="46">
        <v>14950000</v>
      </c>
      <c r="L469" s="2">
        <v>45227</v>
      </c>
      <c r="M469" s="32"/>
      <c r="N469" s="51">
        <v>3017500321</v>
      </c>
      <c r="O469" s="32" t="s">
        <v>4617</v>
      </c>
      <c r="P469" s="52" t="s">
        <v>4618</v>
      </c>
    </row>
    <row r="470" spans="2:16" x14ac:dyDescent="0.25">
      <c r="B470" s="32">
        <v>458</v>
      </c>
      <c r="C470" s="230" t="s">
        <v>4628</v>
      </c>
      <c r="D470" s="231"/>
      <c r="E470" s="231"/>
      <c r="F470" s="231"/>
      <c r="G470" s="231"/>
      <c r="H470" s="231"/>
      <c r="I470" s="232"/>
      <c r="J470" s="59" t="s">
        <v>831</v>
      </c>
      <c r="K470" s="46">
        <v>2050000</v>
      </c>
      <c r="L470" s="2">
        <v>45229</v>
      </c>
      <c r="M470" s="32"/>
      <c r="N470" s="32">
        <v>3194913179</v>
      </c>
      <c r="O470" s="51" t="s">
        <v>3495</v>
      </c>
      <c r="P470" s="52" t="s">
        <v>3496</v>
      </c>
    </row>
    <row r="471" spans="2:16" x14ac:dyDescent="0.25">
      <c r="B471" s="32" t="s">
        <v>4627</v>
      </c>
      <c r="C471" s="271" t="s">
        <v>4622</v>
      </c>
      <c r="D471" s="272"/>
      <c r="E471" s="272"/>
      <c r="F471" s="272"/>
      <c r="G471" s="272"/>
      <c r="H471" s="272"/>
      <c r="I471" s="272"/>
      <c r="J471" s="59" t="s">
        <v>805</v>
      </c>
      <c r="K471" s="46">
        <v>2050000</v>
      </c>
      <c r="L471" s="2">
        <v>45229</v>
      </c>
      <c r="M471" s="32"/>
      <c r="N471" s="32">
        <v>3105253917</v>
      </c>
      <c r="O471" s="51" t="s">
        <v>4439</v>
      </c>
      <c r="P471" s="52" t="s">
        <v>4440</v>
      </c>
    </row>
    <row r="472" spans="2:16" x14ac:dyDescent="0.25">
      <c r="B472" s="32">
        <v>459</v>
      </c>
      <c r="C472" s="229" t="s">
        <v>4623</v>
      </c>
      <c r="D472" s="229"/>
      <c r="E472" s="229"/>
      <c r="F472" s="229"/>
      <c r="G472" s="229"/>
      <c r="H472" s="229"/>
      <c r="I472" s="229"/>
      <c r="J472" s="59" t="s">
        <v>4624</v>
      </c>
      <c r="K472" s="46">
        <v>1250000</v>
      </c>
      <c r="L472" s="2">
        <v>45229</v>
      </c>
      <c r="M472" s="32"/>
      <c r="N472" s="32" t="s">
        <v>4626</v>
      </c>
      <c r="O472" s="51" t="s">
        <v>4625</v>
      </c>
      <c r="P472" s="52"/>
    </row>
    <row r="473" spans="2:16" x14ac:dyDescent="0.25">
      <c r="B473" s="32">
        <v>460</v>
      </c>
      <c r="C473" s="229" t="s">
        <v>4629</v>
      </c>
      <c r="D473" s="229"/>
      <c r="E473" s="229"/>
      <c r="F473" s="229"/>
      <c r="G473" s="229"/>
      <c r="H473" s="229"/>
      <c r="I473" s="229"/>
      <c r="J473" s="59" t="s">
        <v>702</v>
      </c>
      <c r="K473" s="46">
        <v>8800000</v>
      </c>
      <c r="L473" s="2">
        <v>45230</v>
      </c>
      <c r="M473" s="32"/>
      <c r="N473" s="32" t="s">
        <v>2745</v>
      </c>
      <c r="O473" s="32" t="s">
        <v>2746</v>
      </c>
      <c r="P473" s="52" t="s">
        <v>703</v>
      </c>
    </row>
    <row r="474" spans="2:16" x14ac:dyDescent="0.25">
      <c r="B474" s="32">
        <v>461</v>
      </c>
      <c r="C474" s="271" t="s">
        <v>4630</v>
      </c>
      <c r="D474" s="272"/>
      <c r="E474" s="272"/>
      <c r="F474" s="272"/>
      <c r="G474" s="272"/>
      <c r="H474" s="272"/>
      <c r="I474" s="272"/>
      <c r="J474" s="59" t="s">
        <v>774</v>
      </c>
      <c r="K474" s="46">
        <v>4140000</v>
      </c>
      <c r="L474" s="2">
        <v>45231</v>
      </c>
      <c r="M474" s="32"/>
      <c r="N474" s="32">
        <v>6044037700</v>
      </c>
      <c r="O474" s="51" t="s">
        <v>4631</v>
      </c>
      <c r="P474" s="52" t="s">
        <v>4588</v>
      </c>
    </row>
    <row r="475" spans="2:16" x14ac:dyDescent="0.25">
      <c r="B475" s="32">
        <v>462</v>
      </c>
      <c r="C475" s="229" t="s">
        <v>4633</v>
      </c>
      <c r="D475" s="229"/>
      <c r="E475" s="229"/>
      <c r="F475" s="229"/>
      <c r="G475" s="229"/>
      <c r="H475" s="229"/>
      <c r="I475" s="229"/>
      <c r="J475" s="59" t="s">
        <v>702</v>
      </c>
      <c r="K475" s="46">
        <v>1850000</v>
      </c>
      <c r="L475" s="2">
        <v>45232</v>
      </c>
      <c r="M475" s="32"/>
      <c r="N475" s="32">
        <v>3104165783</v>
      </c>
      <c r="O475" s="51" t="s">
        <v>4632</v>
      </c>
      <c r="P475" s="52" t="s">
        <v>4565</v>
      </c>
    </row>
    <row r="476" spans="2:16" x14ac:dyDescent="0.25">
      <c r="B476" s="32">
        <v>463</v>
      </c>
      <c r="C476" s="229" t="s">
        <v>4634</v>
      </c>
      <c r="D476" s="229"/>
      <c r="E476" s="229"/>
      <c r="F476" s="229"/>
      <c r="G476" s="229"/>
      <c r="H476" s="229"/>
      <c r="I476" s="229"/>
      <c r="J476" s="59" t="s">
        <v>3813</v>
      </c>
      <c r="K476" s="46">
        <v>1000000</v>
      </c>
      <c r="L476" s="2">
        <v>45230</v>
      </c>
      <c r="M476" s="32"/>
      <c r="N476" s="32" t="s">
        <v>3270</v>
      </c>
      <c r="O476" s="51" t="s">
        <v>646</v>
      </c>
      <c r="P476" s="52" t="s">
        <v>3274</v>
      </c>
    </row>
    <row r="477" spans="2:16" x14ac:dyDescent="0.25">
      <c r="B477" s="32">
        <v>464</v>
      </c>
      <c r="C477" s="229" t="s">
        <v>4639</v>
      </c>
      <c r="D477" s="229"/>
      <c r="E477" s="229"/>
      <c r="F477" s="229"/>
      <c r="G477" s="229"/>
      <c r="H477" s="229"/>
      <c r="I477" s="229"/>
      <c r="J477" s="59" t="s">
        <v>4637</v>
      </c>
      <c r="K477" s="46">
        <v>9910000</v>
      </c>
      <c r="L477" s="2">
        <v>45233</v>
      </c>
      <c r="M477" s="32"/>
      <c r="N477" s="32"/>
      <c r="O477" s="51" t="s">
        <v>4635</v>
      </c>
      <c r="P477" s="52" t="s">
        <v>4636</v>
      </c>
    </row>
    <row r="478" spans="2:16" x14ac:dyDescent="0.25">
      <c r="B478" s="32">
        <v>465</v>
      </c>
      <c r="C478" s="271" t="s">
        <v>4640</v>
      </c>
      <c r="D478" s="272"/>
      <c r="E478" s="272"/>
      <c r="F478" s="272"/>
      <c r="G478" s="272"/>
      <c r="H478" s="272"/>
      <c r="I478" s="272"/>
      <c r="J478" s="59" t="s">
        <v>4637</v>
      </c>
      <c r="K478" s="46">
        <v>41390000</v>
      </c>
      <c r="L478" s="2">
        <v>45233</v>
      </c>
      <c r="M478" s="32"/>
      <c r="N478" s="32"/>
      <c r="O478" s="51" t="s">
        <v>4638</v>
      </c>
      <c r="P478" s="52" t="s">
        <v>4636</v>
      </c>
    </row>
    <row r="479" spans="2:16" x14ac:dyDescent="0.25">
      <c r="B479" s="32">
        <v>466</v>
      </c>
      <c r="C479" s="229" t="s">
        <v>4641</v>
      </c>
      <c r="D479" s="229"/>
      <c r="E479" s="229"/>
      <c r="F479" s="229"/>
      <c r="G479" s="229"/>
      <c r="H479" s="229"/>
      <c r="I479" s="229"/>
      <c r="J479" s="59" t="s">
        <v>831</v>
      </c>
      <c r="K479" s="46">
        <v>2000000</v>
      </c>
      <c r="L479" s="2">
        <v>45231</v>
      </c>
      <c r="M479" s="32"/>
      <c r="N479" s="32">
        <v>3194913179</v>
      </c>
      <c r="O479" s="51" t="s">
        <v>3495</v>
      </c>
      <c r="P479" s="52" t="s">
        <v>3496</v>
      </c>
    </row>
    <row r="480" spans="2:16" x14ac:dyDescent="0.25">
      <c r="B480" s="32">
        <v>467</v>
      </c>
      <c r="C480" s="229" t="s">
        <v>4643</v>
      </c>
      <c r="D480" s="229"/>
      <c r="E480" s="229"/>
      <c r="F480" s="229"/>
      <c r="G480" s="229"/>
      <c r="H480" s="229"/>
      <c r="I480" s="229"/>
      <c r="J480" s="59" t="s">
        <v>3834</v>
      </c>
      <c r="K480" s="46">
        <v>33120000</v>
      </c>
      <c r="L480" s="2">
        <v>45233</v>
      </c>
      <c r="M480" s="32"/>
      <c r="N480" s="32" t="s">
        <v>4644</v>
      </c>
      <c r="O480" s="51" t="s">
        <v>4642</v>
      </c>
      <c r="P480" s="52" t="s">
        <v>2948</v>
      </c>
    </row>
    <row r="481" spans="2:16" x14ac:dyDescent="0.25">
      <c r="B481" s="32">
        <v>468</v>
      </c>
      <c r="C481" s="276" t="s">
        <v>4645</v>
      </c>
      <c r="D481" s="265"/>
      <c r="E481" s="265"/>
      <c r="F481" s="265"/>
      <c r="G481" s="265"/>
      <c r="H481" s="265"/>
      <c r="I481" s="265"/>
      <c r="J481" s="59" t="s">
        <v>702</v>
      </c>
      <c r="K481" s="46" t="s">
        <v>150</v>
      </c>
      <c r="L481" s="2">
        <v>45232</v>
      </c>
      <c r="M481" s="32"/>
      <c r="N481" s="51">
        <v>3137546144</v>
      </c>
      <c r="O481" s="51" t="s">
        <v>229</v>
      </c>
      <c r="P481" s="52" t="s">
        <v>2504</v>
      </c>
    </row>
    <row r="482" spans="2:16" x14ac:dyDescent="0.25">
      <c r="B482" s="32">
        <v>469</v>
      </c>
      <c r="C482" s="229" t="s">
        <v>4646</v>
      </c>
      <c r="D482" s="229"/>
      <c r="E482" s="229"/>
      <c r="F482" s="229"/>
      <c r="G482" s="229"/>
      <c r="H482" s="229"/>
      <c r="I482" s="229"/>
      <c r="J482" s="59" t="s">
        <v>4390</v>
      </c>
      <c r="K482" s="46">
        <v>3760000</v>
      </c>
      <c r="L482" s="2">
        <v>45233</v>
      </c>
      <c r="M482" s="32"/>
      <c r="N482" s="51">
        <v>3113391008</v>
      </c>
      <c r="O482" s="51" t="s">
        <v>372</v>
      </c>
      <c r="P482" s="52" t="s">
        <v>2561</v>
      </c>
    </row>
    <row r="483" spans="2:16" x14ac:dyDescent="0.25">
      <c r="B483" s="32">
        <v>470</v>
      </c>
      <c r="C483" s="271" t="s">
        <v>4647</v>
      </c>
      <c r="D483" s="272"/>
      <c r="E483" s="272"/>
      <c r="F483" s="272"/>
      <c r="G483" s="272"/>
      <c r="H483" s="272"/>
      <c r="I483" s="272"/>
      <c r="J483" s="59" t="s">
        <v>4390</v>
      </c>
      <c r="K483" s="46">
        <v>5990000</v>
      </c>
      <c r="L483" s="2">
        <v>45233</v>
      </c>
      <c r="M483" s="32"/>
      <c r="N483" s="32">
        <v>3116460496</v>
      </c>
      <c r="O483" s="51" t="s">
        <v>4648</v>
      </c>
      <c r="P483" s="52" t="s">
        <v>1876</v>
      </c>
    </row>
    <row r="484" spans="2:16" x14ac:dyDescent="0.25">
      <c r="B484" s="32">
        <v>471</v>
      </c>
      <c r="C484" s="229" t="s">
        <v>4663</v>
      </c>
      <c r="D484" s="229"/>
      <c r="E484" s="229"/>
      <c r="F484" s="229"/>
      <c r="G484" s="229"/>
      <c r="H484" s="229"/>
      <c r="I484" s="229"/>
      <c r="J484" s="59" t="s">
        <v>4649</v>
      </c>
      <c r="K484" s="46">
        <v>2630000</v>
      </c>
      <c r="L484" s="2">
        <v>45233</v>
      </c>
      <c r="M484" s="32"/>
      <c r="N484" s="32" t="s">
        <v>4650</v>
      </c>
      <c r="O484" s="51" t="s">
        <v>4649</v>
      </c>
      <c r="P484" s="52"/>
    </row>
    <row r="485" spans="2:16" x14ac:dyDescent="0.25">
      <c r="B485" s="32">
        <v>472</v>
      </c>
      <c r="C485" s="229" t="s">
        <v>4651</v>
      </c>
      <c r="D485" s="229"/>
      <c r="E485" s="229"/>
      <c r="F485" s="229"/>
      <c r="G485" s="229"/>
      <c r="H485" s="229"/>
      <c r="I485" s="229"/>
      <c r="J485" s="59" t="s">
        <v>4277</v>
      </c>
      <c r="K485" s="46">
        <v>2500</v>
      </c>
      <c r="L485" s="2">
        <v>45233</v>
      </c>
      <c r="M485" s="32"/>
      <c r="N485" s="32">
        <v>3108227462</v>
      </c>
      <c r="O485" s="51" t="s">
        <v>3897</v>
      </c>
      <c r="P485" s="52" t="s">
        <v>2310</v>
      </c>
    </row>
    <row r="486" spans="2:16" x14ac:dyDescent="0.25">
      <c r="B486" s="32">
        <v>473</v>
      </c>
      <c r="C486" s="229" t="s">
        <v>4652</v>
      </c>
      <c r="D486" s="229"/>
      <c r="E486" s="229"/>
      <c r="F486" s="229"/>
      <c r="G486" s="229"/>
      <c r="H486" s="229"/>
      <c r="I486" s="229"/>
      <c r="J486" s="59" t="s">
        <v>831</v>
      </c>
      <c r="K486" s="46">
        <v>3890000</v>
      </c>
      <c r="L486" s="2">
        <v>45233</v>
      </c>
      <c r="M486" s="32"/>
      <c r="N486" s="32"/>
      <c r="O486" s="51" t="s">
        <v>2269</v>
      </c>
      <c r="P486" s="52" t="s">
        <v>2270</v>
      </c>
    </row>
    <row r="487" spans="2:16" x14ac:dyDescent="0.25">
      <c r="B487" s="32">
        <v>474</v>
      </c>
      <c r="C487" s="229" t="s">
        <v>4653</v>
      </c>
      <c r="D487" s="229"/>
      <c r="E487" s="229"/>
      <c r="F487" s="229"/>
      <c r="G487" s="229"/>
      <c r="H487" s="229"/>
      <c r="I487" s="229"/>
      <c r="J487" s="59" t="s">
        <v>4654</v>
      </c>
      <c r="K487" s="46">
        <v>18690000</v>
      </c>
      <c r="L487" s="2">
        <v>45234</v>
      </c>
      <c r="M487" s="32"/>
      <c r="N487" s="32">
        <v>3016042780</v>
      </c>
      <c r="O487" s="51" t="s">
        <v>4655</v>
      </c>
      <c r="P487" s="52" t="s">
        <v>4656</v>
      </c>
    </row>
    <row r="488" spans="2:16" x14ac:dyDescent="0.25">
      <c r="B488" s="32">
        <v>475</v>
      </c>
      <c r="C488" s="263" t="s">
        <v>4657</v>
      </c>
      <c r="D488" s="229"/>
      <c r="E488" s="229"/>
      <c r="F488" s="229"/>
      <c r="G488" s="229"/>
      <c r="H488" s="229"/>
      <c r="I488" s="229"/>
      <c r="J488" s="59" t="s">
        <v>712</v>
      </c>
      <c r="K488" s="46">
        <v>6900000</v>
      </c>
      <c r="L488" s="2">
        <v>45238</v>
      </c>
      <c r="M488" s="32"/>
      <c r="N488" s="32">
        <v>3137851941</v>
      </c>
      <c r="O488" s="51" t="s">
        <v>2055</v>
      </c>
      <c r="P488" s="52" t="s">
        <v>713</v>
      </c>
    </row>
    <row r="489" spans="2:16" x14ac:dyDescent="0.25">
      <c r="B489" s="32">
        <v>476</v>
      </c>
      <c r="C489" s="263" t="s">
        <v>4658</v>
      </c>
      <c r="D489" s="229"/>
      <c r="E489" s="229"/>
      <c r="F489" s="229"/>
      <c r="G489" s="229"/>
      <c r="H489" s="229"/>
      <c r="I489" s="229"/>
      <c r="J489" s="59" t="s">
        <v>712</v>
      </c>
      <c r="K489" s="46">
        <v>5970000</v>
      </c>
      <c r="L489" s="2">
        <v>45238</v>
      </c>
      <c r="M489" s="32"/>
      <c r="N489" s="32">
        <v>3137851941</v>
      </c>
      <c r="O489" s="51" t="s">
        <v>2055</v>
      </c>
      <c r="P489" s="52" t="s">
        <v>713</v>
      </c>
    </row>
    <row r="490" spans="2:16" x14ac:dyDescent="0.25">
      <c r="B490" s="32">
        <v>477</v>
      </c>
      <c r="C490" s="229" t="s">
        <v>4659</v>
      </c>
      <c r="D490" s="229"/>
      <c r="E490" s="229"/>
      <c r="F490" s="229"/>
      <c r="G490" s="229"/>
      <c r="H490" s="229"/>
      <c r="I490" s="229"/>
      <c r="J490" s="59" t="s">
        <v>857</v>
      </c>
      <c r="K490" s="46">
        <v>12950000</v>
      </c>
      <c r="L490" s="2">
        <v>45237</v>
      </c>
      <c r="M490" s="32"/>
      <c r="N490" s="32" t="s">
        <v>3348</v>
      </c>
      <c r="O490" s="51" t="s">
        <v>3349</v>
      </c>
      <c r="P490" s="38" t="s">
        <v>3350</v>
      </c>
    </row>
    <row r="491" spans="2:16" x14ac:dyDescent="0.25">
      <c r="B491" s="32">
        <v>478</v>
      </c>
      <c r="C491" s="229" t="s">
        <v>4660</v>
      </c>
      <c r="D491" s="229"/>
      <c r="E491" s="229"/>
      <c r="F491" s="229"/>
      <c r="G491" s="229"/>
      <c r="H491" s="229"/>
      <c r="I491" s="229"/>
      <c r="J491" s="59" t="s">
        <v>4120</v>
      </c>
      <c r="K491" s="46">
        <v>1950000</v>
      </c>
      <c r="L491" s="2">
        <v>45238</v>
      </c>
      <c r="M491" s="32"/>
      <c r="N491" s="32" t="s">
        <v>4124</v>
      </c>
      <c r="O491" s="32" t="s">
        <v>4122</v>
      </c>
      <c r="P491" s="52" t="s">
        <v>4123</v>
      </c>
    </row>
    <row r="492" spans="2:16" x14ac:dyDescent="0.25">
      <c r="B492" s="32">
        <v>479</v>
      </c>
      <c r="C492" s="271" t="s">
        <v>4661</v>
      </c>
      <c r="D492" s="272"/>
      <c r="E492" s="272"/>
      <c r="F492" s="272"/>
      <c r="G492" s="272"/>
      <c r="H492" s="272"/>
      <c r="I492" s="272"/>
      <c r="J492" s="59" t="s">
        <v>4597</v>
      </c>
      <c r="K492" s="46">
        <v>16680000</v>
      </c>
      <c r="L492" s="2">
        <v>45238</v>
      </c>
      <c r="M492" s="32"/>
      <c r="N492" s="32" t="s">
        <v>4295</v>
      </c>
      <c r="O492" s="51" t="s">
        <v>4294</v>
      </c>
      <c r="P492" s="52" t="s">
        <v>1662</v>
      </c>
    </row>
    <row r="493" spans="2:16" x14ac:dyDescent="0.25">
      <c r="B493" s="32">
        <v>480</v>
      </c>
      <c r="C493" s="229" t="s">
        <v>4662</v>
      </c>
      <c r="D493" s="229"/>
      <c r="E493" s="229"/>
      <c r="F493" s="229"/>
      <c r="G493" s="229"/>
      <c r="H493" s="229"/>
      <c r="I493" s="229"/>
      <c r="J493" s="59" t="s">
        <v>4597</v>
      </c>
      <c r="K493" s="46">
        <v>14910000</v>
      </c>
      <c r="L493" s="2">
        <v>45238</v>
      </c>
      <c r="M493" s="32"/>
      <c r="N493" s="32" t="s">
        <v>4295</v>
      </c>
      <c r="O493" s="51" t="s">
        <v>4294</v>
      </c>
      <c r="P493" s="52" t="s">
        <v>1662</v>
      </c>
    </row>
    <row r="494" spans="2:16" x14ac:dyDescent="0.25">
      <c r="B494" s="32">
        <v>481</v>
      </c>
      <c r="C494" s="229" t="s">
        <v>4664</v>
      </c>
      <c r="D494" s="229"/>
      <c r="E494" s="229"/>
      <c r="F494" s="229"/>
      <c r="G494" s="229"/>
      <c r="H494" s="229"/>
      <c r="I494" s="229"/>
      <c r="J494" s="59" t="s">
        <v>712</v>
      </c>
      <c r="K494" s="46">
        <v>6000000</v>
      </c>
      <c r="L494" s="2">
        <v>45239</v>
      </c>
      <c r="M494" s="32"/>
      <c r="N494" s="32">
        <v>3137851941</v>
      </c>
      <c r="O494" s="51" t="s">
        <v>2055</v>
      </c>
      <c r="P494" s="52" t="s">
        <v>713</v>
      </c>
    </row>
    <row r="495" spans="2:16" x14ac:dyDescent="0.25">
      <c r="B495" s="32">
        <v>482</v>
      </c>
      <c r="C495" s="271" t="s">
        <v>4667</v>
      </c>
      <c r="D495" s="272"/>
      <c r="E495" s="272"/>
      <c r="F495" s="272"/>
      <c r="G495" s="272"/>
      <c r="H495" s="272"/>
      <c r="I495" s="272"/>
      <c r="J495" s="59" t="s">
        <v>4665</v>
      </c>
      <c r="K495" s="46">
        <v>19750000</v>
      </c>
      <c r="L495" s="2">
        <v>45239</v>
      </c>
      <c r="M495" s="32"/>
      <c r="N495" s="32"/>
      <c r="O495" s="84" t="s">
        <v>4665</v>
      </c>
      <c r="P495" s="65" t="s">
        <v>4666</v>
      </c>
    </row>
    <row r="496" spans="2:16" x14ac:dyDescent="0.25">
      <c r="B496" s="32">
        <v>483</v>
      </c>
      <c r="C496" s="229" t="s">
        <v>4641</v>
      </c>
      <c r="D496" s="229"/>
      <c r="E496" s="229"/>
      <c r="F496" s="229"/>
      <c r="G496" s="229"/>
      <c r="H496" s="229"/>
      <c r="I496" s="229"/>
      <c r="J496" s="59" t="s">
        <v>4669</v>
      </c>
      <c r="K496" s="46">
        <v>1950000</v>
      </c>
      <c r="L496" s="2">
        <v>45239</v>
      </c>
      <c r="M496" s="32"/>
      <c r="N496" s="32">
        <v>3175179593</v>
      </c>
      <c r="O496" s="32" t="s">
        <v>4668</v>
      </c>
      <c r="P496" s="65" t="s">
        <v>4022</v>
      </c>
    </row>
    <row r="497" spans="2:16" x14ac:dyDescent="0.25">
      <c r="B497" s="32">
        <v>484</v>
      </c>
      <c r="C497" s="263" t="s">
        <v>4670</v>
      </c>
      <c r="D497" s="229"/>
      <c r="E497" s="229"/>
      <c r="F497" s="229"/>
      <c r="G497" s="229"/>
      <c r="H497" s="229"/>
      <c r="I497" s="229"/>
      <c r="J497" s="59" t="s">
        <v>702</v>
      </c>
      <c r="K497" s="46">
        <v>3500000</v>
      </c>
      <c r="L497" s="2">
        <v>45245</v>
      </c>
      <c r="M497" s="32"/>
      <c r="N497" s="32">
        <v>3104680508</v>
      </c>
      <c r="O497" s="51" t="s">
        <v>3190</v>
      </c>
      <c r="P497" s="52" t="s">
        <v>703</v>
      </c>
    </row>
    <row r="498" spans="2:16" x14ac:dyDescent="0.25">
      <c r="B498" s="32">
        <v>485</v>
      </c>
      <c r="C498" s="229" t="s">
        <v>4671</v>
      </c>
      <c r="D498" s="229"/>
      <c r="E498" s="229"/>
      <c r="F498" s="229"/>
      <c r="G498" s="229"/>
      <c r="H498" s="229"/>
      <c r="I498" s="229"/>
      <c r="J498" s="59" t="s">
        <v>4672</v>
      </c>
      <c r="K498" s="46">
        <v>8750000</v>
      </c>
      <c r="L498" s="2">
        <v>45240</v>
      </c>
      <c r="M498" s="32"/>
      <c r="N498" s="32" t="s">
        <v>4675</v>
      </c>
      <c r="O498" s="51" t="s">
        <v>4674</v>
      </c>
      <c r="P498" s="82" t="s">
        <v>4673</v>
      </c>
    </row>
    <row r="499" spans="2:16" x14ac:dyDescent="0.25">
      <c r="B499" s="32">
        <v>486</v>
      </c>
      <c r="C499" s="271" t="s">
        <v>4676</v>
      </c>
      <c r="D499" s="272"/>
      <c r="E499" s="272"/>
      <c r="F499" s="272"/>
      <c r="G499" s="272"/>
      <c r="H499" s="272"/>
      <c r="I499" s="272"/>
      <c r="J499" s="59" t="s">
        <v>4473</v>
      </c>
      <c r="K499" s="46">
        <v>31850000</v>
      </c>
      <c r="L499" s="2">
        <v>45245</v>
      </c>
      <c r="M499" s="32"/>
      <c r="N499" s="32">
        <v>3162439535</v>
      </c>
      <c r="O499" s="32" t="s">
        <v>4677</v>
      </c>
      <c r="P499" s="52" t="s">
        <v>4150</v>
      </c>
    </row>
    <row r="500" spans="2:16" x14ac:dyDescent="0.25">
      <c r="B500" s="32">
        <v>487</v>
      </c>
      <c r="C500" s="271" t="s">
        <v>4678</v>
      </c>
      <c r="D500" s="272"/>
      <c r="E500" s="272"/>
      <c r="F500" s="272"/>
      <c r="G500" s="272"/>
      <c r="H500" s="272"/>
      <c r="I500" s="272"/>
      <c r="J500" s="59" t="s">
        <v>702</v>
      </c>
      <c r="K500" s="46">
        <v>700000</v>
      </c>
      <c r="L500" s="2">
        <v>45246</v>
      </c>
      <c r="M500" s="32"/>
      <c r="N500" s="32" t="s">
        <v>3843</v>
      </c>
      <c r="O500" s="32" t="s">
        <v>3242</v>
      </c>
      <c r="P500" s="52" t="s">
        <v>2761</v>
      </c>
    </row>
    <row r="501" spans="2:16" x14ac:dyDescent="0.25">
      <c r="B501" s="32">
        <v>488</v>
      </c>
      <c r="C501" s="263" t="s">
        <v>4679</v>
      </c>
      <c r="D501" s="229"/>
      <c r="E501" s="229"/>
      <c r="F501" s="229"/>
      <c r="G501" s="229"/>
      <c r="H501" s="229"/>
      <c r="I501" s="229"/>
      <c r="J501" s="59" t="s">
        <v>712</v>
      </c>
      <c r="K501" s="46" t="s">
        <v>381</v>
      </c>
      <c r="L501" s="2">
        <v>45246</v>
      </c>
      <c r="M501" s="32"/>
      <c r="N501" s="32">
        <v>3137851941</v>
      </c>
      <c r="O501" s="51" t="s">
        <v>2055</v>
      </c>
      <c r="P501" s="91" t="s">
        <v>713</v>
      </c>
    </row>
    <row r="502" spans="2:16" x14ac:dyDescent="0.25">
      <c r="B502" s="32">
        <v>489</v>
      </c>
      <c r="C502" s="263" t="s">
        <v>4683</v>
      </c>
      <c r="D502" s="229"/>
      <c r="E502" s="229"/>
      <c r="F502" s="229"/>
      <c r="G502" s="229"/>
      <c r="H502" s="229"/>
      <c r="I502" s="229"/>
      <c r="J502" s="59" t="s">
        <v>4680</v>
      </c>
      <c r="K502" s="46">
        <v>1450000</v>
      </c>
      <c r="L502" s="2">
        <v>45246</v>
      </c>
      <c r="M502" s="32"/>
      <c r="N502" s="32">
        <v>3215206624</v>
      </c>
      <c r="O502" s="51" t="s">
        <v>4681</v>
      </c>
      <c r="P502" s="52" t="s">
        <v>4682</v>
      </c>
    </row>
    <row r="503" spans="2:16" x14ac:dyDescent="0.25">
      <c r="B503" s="32">
        <v>490</v>
      </c>
      <c r="C503" s="229" t="s">
        <v>4684</v>
      </c>
      <c r="D503" s="229"/>
      <c r="E503" s="229"/>
      <c r="F503" s="229"/>
      <c r="G503" s="229"/>
      <c r="H503" s="229"/>
      <c r="I503" s="229"/>
      <c r="J503" s="59" t="s">
        <v>851</v>
      </c>
      <c r="K503" s="46">
        <v>950000</v>
      </c>
      <c r="L503" s="2">
        <v>45247</v>
      </c>
      <c r="M503" s="32"/>
      <c r="N503" s="32">
        <v>3014111727</v>
      </c>
      <c r="O503" s="32" t="s">
        <v>3402</v>
      </c>
      <c r="P503" s="52" t="s">
        <v>2235</v>
      </c>
    </row>
    <row r="504" spans="2:16" x14ac:dyDescent="0.25">
      <c r="B504" s="32">
        <v>491</v>
      </c>
      <c r="C504" s="229" t="s">
        <v>4685</v>
      </c>
      <c r="D504" s="229"/>
      <c r="E504" s="229"/>
      <c r="F504" s="229"/>
      <c r="G504" s="229"/>
      <c r="H504" s="229"/>
      <c r="I504" s="229"/>
      <c r="J504" s="59" t="s">
        <v>851</v>
      </c>
      <c r="K504" s="46">
        <v>950000</v>
      </c>
      <c r="L504" s="2">
        <v>45247</v>
      </c>
      <c r="M504" s="32"/>
      <c r="N504" s="32">
        <v>3014111727</v>
      </c>
      <c r="O504" s="32" t="s">
        <v>3402</v>
      </c>
      <c r="P504" s="52" t="s">
        <v>2235</v>
      </c>
    </row>
    <row r="505" spans="2:16" ht="15" customHeight="1" x14ac:dyDescent="0.25">
      <c r="B505" s="32">
        <v>492</v>
      </c>
      <c r="C505" s="229" t="s">
        <v>4687</v>
      </c>
      <c r="D505" s="229"/>
      <c r="E505" s="229"/>
      <c r="F505" s="229"/>
      <c r="G505" s="229"/>
      <c r="H505" s="229"/>
      <c r="I505" s="229"/>
      <c r="J505" s="59" t="s">
        <v>4436</v>
      </c>
      <c r="K505" s="46"/>
      <c r="L505" s="2">
        <v>45247</v>
      </c>
      <c r="M505" s="32"/>
      <c r="N505" s="32" t="s">
        <v>4686</v>
      </c>
      <c r="O505" s="32" t="s">
        <v>3604</v>
      </c>
      <c r="P505" s="52" t="s">
        <v>1307</v>
      </c>
    </row>
    <row r="506" spans="2:16" ht="15" customHeight="1" x14ac:dyDescent="0.25">
      <c r="B506" s="32">
        <v>493</v>
      </c>
      <c r="C506" s="229" t="s">
        <v>4689</v>
      </c>
      <c r="D506" s="229"/>
      <c r="E506" s="229"/>
      <c r="F506" s="229"/>
      <c r="G506" s="229"/>
      <c r="H506" s="229"/>
      <c r="I506" s="229"/>
      <c r="J506" s="59" t="s">
        <v>4436</v>
      </c>
      <c r="K506" s="46"/>
      <c r="L506" s="2">
        <v>45247</v>
      </c>
      <c r="M506" s="32"/>
      <c r="N506" s="32">
        <v>3146844810</v>
      </c>
      <c r="O506" s="51" t="s">
        <v>4688</v>
      </c>
      <c r="P506" s="52" t="s">
        <v>4606</v>
      </c>
    </row>
    <row r="507" spans="2:16" x14ac:dyDescent="0.25">
      <c r="B507" s="32">
        <v>494</v>
      </c>
      <c r="C507" s="229" t="s">
        <v>4693</v>
      </c>
      <c r="D507" s="229"/>
      <c r="E507" s="229"/>
      <c r="F507" s="229"/>
      <c r="G507" s="229"/>
      <c r="H507" s="229"/>
      <c r="I507" s="229"/>
      <c r="J507" s="59" t="s">
        <v>4690</v>
      </c>
      <c r="K507" s="46">
        <v>5950000</v>
      </c>
      <c r="L507" s="2">
        <v>45247</v>
      </c>
      <c r="M507" s="32"/>
      <c r="N507" s="32">
        <v>3143581924</v>
      </c>
      <c r="O507" s="51" t="s">
        <v>4691</v>
      </c>
      <c r="P507" s="52" t="s">
        <v>4692</v>
      </c>
    </row>
    <row r="508" spans="2:16" ht="15" customHeight="1" x14ac:dyDescent="0.25">
      <c r="B508" s="32">
        <v>495</v>
      </c>
      <c r="C508" s="229" t="s">
        <v>4694</v>
      </c>
      <c r="D508" s="229"/>
      <c r="E508" s="229"/>
      <c r="F508" s="229"/>
      <c r="G508" s="229"/>
      <c r="H508" s="229"/>
      <c r="I508" s="229"/>
      <c r="J508" s="59" t="s">
        <v>851</v>
      </c>
      <c r="K508" s="46">
        <v>14950000</v>
      </c>
      <c r="L508" s="2">
        <v>45247</v>
      </c>
      <c r="M508" s="32"/>
      <c r="N508" s="32">
        <v>3206678830</v>
      </c>
      <c r="O508" s="51" t="s">
        <v>284</v>
      </c>
      <c r="P508" s="52" t="s">
        <v>948</v>
      </c>
    </row>
    <row r="509" spans="2:16" x14ac:dyDescent="0.25">
      <c r="B509" s="32">
        <v>496</v>
      </c>
      <c r="C509" s="263" t="s">
        <v>4695</v>
      </c>
      <c r="D509" s="229"/>
      <c r="E509" s="229"/>
      <c r="F509" s="229"/>
      <c r="G509" s="229"/>
      <c r="H509" s="229"/>
      <c r="I509" s="229"/>
      <c r="J509" s="59" t="s">
        <v>4690</v>
      </c>
      <c r="K509" s="46">
        <v>5950000</v>
      </c>
      <c r="L509" s="2">
        <v>45250</v>
      </c>
      <c r="M509" s="32"/>
      <c r="N509" s="32">
        <v>3143581924</v>
      </c>
      <c r="O509" s="51" t="s">
        <v>4691</v>
      </c>
      <c r="P509" s="52" t="s">
        <v>4692</v>
      </c>
    </row>
    <row r="510" spans="2:16" ht="15" customHeight="1" x14ac:dyDescent="0.25">
      <c r="B510" s="32">
        <v>497</v>
      </c>
      <c r="C510" s="263" t="s">
        <v>4699</v>
      </c>
      <c r="D510" s="229"/>
      <c r="E510" s="229"/>
      <c r="F510" s="229"/>
      <c r="G510" s="229"/>
      <c r="H510" s="229"/>
      <c r="I510" s="229"/>
      <c r="J510" s="59" t="s">
        <v>1125</v>
      </c>
      <c r="K510" s="46" t="s">
        <v>381</v>
      </c>
      <c r="L510" s="2">
        <v>45250</v>
      </c>
      <c r="M510" s="32"/>
      <c r="N510" s="32">
        <v>3219254732</v>
      </c>
      <c r="O510" s="51" t="s">
        <v>4696</v>
      </c>
      <c r="P510" s="52" t="s">
        <v>4697</v>
      </c>
    </row>
    <row r="511" spans="2:16" x14ac:dyDescent="0.25">
      <c r="B511" s="32">
        <v>498</v>
      </c>
      <c r="C511" s="229" t="s">
        <v>4698</v>
      </c>
      <c r="D511" s="229"/>
      <c r="E511" s="229"/>
      <c r="F511" s="229"/>
      <c r="G511" s="229"/>
      <c r="H511" s="229"/>
      <c r="I511" s="229"/>
      <c r="J511" s="59" t="s">
        <v>702</v>
      </c>
      <c r="K511" s="46">
        <v>19950000</v>
      </c>
      <c r="L511" s="2">
        <v>45254</v>
      </c>
      <c r="M511" s="32"/>
      <c r="N511" s="32">
        <v>3104165783</v>
      </c>
      <c r="O511" s="51" t="s">
        <v>4564</v>
      </c>
      <c r="P511" s="52" t="s">
        <v>4565</v>
      </c>
    </row>
    <row r="512" spans="2:16" x14ac:dyDescent="0.25">
      <c r="B512" s="32">
        <v>499</v>
      </c>
      <c r="C512" s="229" t="s">
        <v>4702</v>
      </c>
      <c r="D512" s="229"/>
      <c r="E512" s="229"/>
      <c r="F512" s="229"/>
      <c r="G512" s="229"/>
      <c r="H512" s="229"/>
      <c r="I512" s="229"/>
      <c r="J512" s="59" t="s">
        <v>4700</v>
      </c>
      <c r="K512" s="46">
        <v>2500000</v>
      </c>
      <c r="L512" s="2">
        <v>45253</v>
      </c>
      <c r="M512" s="32"/>
      <c r="N512" s="32" t="s">
        <v>4701</v>
      </c>
      <c r="O512" s="51" t="s">
        <v>4700</v>
      </c>
      <c r="P512" s="52"/>
    </row>
    <row r="513" spans="2:16" x14ac:dyDescent="0.25">
      <c r="B513" s="32">
        <v>500</v>
      </c>
      <c r="C513" s="229" t="s">
        <v>4703</v>
      </c>
      <c r="D513" s="229"/>
      <c r="E513" s="229"/>
      <c r="F513" s="229"/>
      <c r="G513" s="229"/>
      <c r="H513" s="229"/>
      <c r="I513" s="229"/>
      <c r="J513" s="59" t="s">
        <v>4405</v>
      </c>
      <c r="K513" s="46">
        <v>850000</v>
      </c>
      <c r="L513" s="2">
        <v>45252</v>
      </c>
      <c r="M513" s="32"/>
      <c r="N513" s="32">
        <v>3116728287</v>
      </c>
      <c r="O513" s="51" t="s">
        <v>4416</v>
      </c>
      <c r="P513" s="52" t="s">
        <v>4415</v>
      </c>
    </row>
    <row r="514" spans="2:16" x14ac:dyDescent="0.25">
      <c r="B514" s="32">
        <v>501</v>
      </c>
      <c r="C514" s="229" t="s">
        <v>4704</v>
      </c>
      <c r="D514" s="229"/>
      <c r="E514" s="229"/>
      <c r="F514" s="229"/>
      <c r="G514" s="229"/>
      <c r="H514" s="229"/>
      <c r="I514" s="229"/>
      <c r="J514" s="59" t="s">
        <v>4669</v>
      </c>
      <c r="K514" s="46">
        <v>8550000</v>
      </c>
      <c r="L514" s="2">
        <v>45252</v>
      </c>
      <c r="M514" s="32"/>
      <c r="N514" s="32">
        <v>3175179593</v>
      </c>
      <c r="O514" s="51" t="s">
        <v>4021</v>
      </c>
      <c r="P514" s="52" t="s">
        <v>4022</v>
      </c>
    </row>
    <row r="515" spans="2:16" x14ac:dyDescent="0.25">
      <c r="B515" s="32">
        <v>502</v>
      </c>
      <c r="C515" s="271" t="s">
        <v>4706</v>
      </c>
      <c r="D515" s="272"/>
      <c r="E515" s="272"/>
      <c r="F515" s="272"/>
      <c r="G515" s="272"/>
      <c r="H515" s="272"/>
      <c r="I515" s="272"/>
      <c r="J515" s="59" t="s">
        <v>4705</v>
      </c>
      <c r="K515" s="46">
        <v>7500000</v>
      </c>
      <c r="L515" s="2">
        <v>45253</v>
      </c>
      <c r="M515" s="32"/>
      <c r="N515" s="32" t="s">
        <v>4708</v>
      </c>
      <c r="O515" s="51" t="s">
        <v>4707</v>
      </c>
      <c r="P515" s="52"/>
    </row>
    <row r="516" spans="2:16" x14ac:dyDescent="0.25">
      <c r="B516" s="32">
        <v>503</v>
      </c>
      <c r="C516" s="271" t="s">
        <v>4712</v>
      </c>
      <c r="D516" s="272"/>
      <c r="E516" s="272"/>
      <c r="F516" s="272"/>
      <c r="G516" s="272"/>
      <c r="H516" s="272"/>
      <c r="I516" s="272"/>
      <c r="J516" s="59" t="s">
        <v>2664</v>
      </c>
      <c r="K516" s="46"/>
      <c r="L516" s="2">
        <v>45253</v>
      </c>
      <c r="M516" s="32"/>
      <c r="N516" s="32" t="s">
        <v>4709</v>
      </c>
      <c r="O516" s="51" t="s">
        <v>4711</v>
      </c>
      <c r="P516" s="89" t="s">
        <v>4710</v>
      </c>
    </row>
    <row r="517" spans="2:16" x14ac:dyDescent="0.25">
      <c r="B517" s="32">
        <v>504</v>
      </c>
      <c r="C517" s="229" t="s">
        <v>4715</v>
      </c>
      <c r="D517" s="229"/>
      <c r="E517" s="229"/>
      <c r="F517" s="229"/>
      <c r="G517" s="229"/>
      <c r="H517" s="229"/>
      <c r="I517" s="229"/>
      <c r="J517" s="59" t="s">
        <v>4714</v>
      </c>
      <c r="K517" s="46">
        <v>5600000</v>
      </c>
      <c r="L517" s="2">
        <v>45253</v>
      </c>
      <c r="M517" s="32"/>
      <c r="N517" s="32">
        <v>3176549750</v>
      </c>
      <c r="O517" s="51" t="s">
        <v>4714</v>
      </c>
      <c r="P517" s="52" t="s">
        <v>4713</v>
      </c>
    </row>
    <row r="518" spans="2:16" x14ac:dyDescent="0.25">
      <c r="B518" s="32">
        <v>505</v>
      </c>
      <c r="C518" s="229" t="s">
        <v>4716</v>
      </c>
      <c r="D518" s="229"/>
      <c r="E518" s="229"/>
      <c r="F518" s="229"/>
      <c r="G518" s="229"/>
      <c r="H518" s="229"/>
      <c r="I518" s="229"/>
      <c r="J518" s="59" t="s">
        <v>702</v>
      </c>
      <c r="K518" s="46">
        <v>2000000</v>
      </c>
      <c r="L518" s="2">
        <v>45253</v>
      </c>
      <c r="M518" s="32"/>
      <c r="N518" s="32" t="s">
        <v>3843</v>
      </c>
      <c r="O518" s="32" t="s">
        <v>3242</v>
      </c>
      <c r="P518" s="52" t="s">
        <v>2761</v>
      </c>
    </row>
    <row r="519" spans="2:16" ht="15" customHeight="1" x14ac:dyDescent="0.25">
      <c r="B519" s="32">
        <v>506</v>
      </c>
      <c r="C519" s="229" t="s">
        <v>4717</v>
      </c>
      <c r="D519" s="229"/>
      <c r="E519" s="229"/>
      <c r="F519" s="229"/>
      <c r="G519" s="229"/>
      <c r="H519" s="229"/>
      <c r="I519" s="229"/>
      <c r="J519" s="59" t="s">
        <v>3806</v>
      </c>
      <c r="K519" s="46">
        <v>28305000</v>
      </c>
      <c r="L519" s="2">
        <v>45254</v>
      </c>
      <c r="M519" s="32"/>
      <c r="N519" s="32">
        <v>3156593197</v>
      </c>
      <c r="O519" s="51" t="s">
        <v>4611</v>
      </c>
      <c r="P519" s="52" t="s">
        <v>4612</v>
      </c>
    </row>
    <row r="520" spans="2:16" x14ac:dyDescent="0.25">
      <c r="B520" s="32">
        <v>507</v>
      </c>
      <c r="C520" s="229" t="s">
        <v>4719</v>
      </c>
      <c r="D520" s="229"/>
      <c r="E520" s="229"/>
      <c r="F520" s="229"/>
      <c r="G520" s="229"/>
      <c r="H520" s="229"/>
      <c r="I520" s="229"/>
      <c r="J520" s="59" t="s">
        <v>1553</v>
      </c>
      <c r="K520" s="46">
        <v>7500000</v>
      </c>
      <c r="L520" s="2">
        <v>45254</v>
      </c>
      <c r="M520" s="32"/>
      <c r="N520" s="32" t="s">
        <v>4512</v>
      </c>
      <c r="O520" s="51" t="s">
        <v>4511</v>
      </c>
      <c r="P520" s="52" t="s">
        <v>3505</v>
      </c>
    </row>
    <row r="521" spans="2:16" ht="15" customHeight="1" x14ac:dyDescent="0.25">
      <c r="B521" s="32">
        <v>508</v>
      </c>
      <c r="C521" s="271" t="s">
        <v>4720</v>
      </c>
      <c r="D521" s="272"/>
      <c r="E521" s="272"/>
      <c r="F521" s="272"/>
      <c r="G521" s="272"/>
      <c r="H521" s="272"/>
      <c r="I521" s="272"/>
      <c r="J521" s="59" t="s">
        <v>2602</v>
      </c>
      <c r="K521" s="46">
        <v>2380000</v>
      </c>
      <c r="L521" s="2">
        <v>45254</v>
      </c>
      <c r="M521" s="32"/>
      <c r="N521" s="32">
        <v>3107358330</v>
      </c>
      <c r="O521" s="51" t="s">
        <v>4268</v>
      </c>
      <c r="P521" s="52" t="s">
        <v>4718</v>
      </c>
    </row>
    <row r="522" spans="2:16" x14ac:dyDescent="0.25">
      <c r="B522" s="32">
        <v>509</v>
      </c>
      <c r="C522" s="263" t="s">
        <v>4721</v>
      </c>
      <c r="D522" s="229"/>
      <c r="E522" s="229"/>
      <c r="F522" s="229"/>
      <c r="G522" s="229"/>
      <c r="H522" s="229"/>
      <c r="I522" s="229"/>
      <c r="J522" s="59" t="s">
        <v>702</v>
      </c>
      <c r="K522" s="46">
        <v>9410000</v>
      </c>
      <c r="L522" s="2">
        <v>45261</v>
      </c>
      <c r="M522" s="2"/>
      <c r="N522" s="32" t="s">
        <v>3843</v>
      </c>
      <c r="O522" s="32" t="s">
        <v>3242</v>
      </c>
      <c r="P522" s="52" t="s">
        <v>2761</v>
      </c>
    </row>
    <row r="523" spans="2:16" x14ac:dyDescent="0.25">
      <c r="B523" s="32">
        <v>510</v>
      </c>
      <c r="C523" s="229" t="s">
        <v>4722</v>
      </c>
      <c r="D523" s="229"/>
      <c r="E523" s="229"/>
      <c r="F523" s="229"/>
      <c r="G523" s="229"/>
      <c r="H523" s="229"/>
      <c r="I523" s="229"/>
      <c r="J523" s="59" t="s">
        <v>712</v>
      </c>
      <c r="K523" s="46">
        <v>11290000</v>
      </c>
      <c r="L523" s="2">
        <v>45259</v>
      </c>
      <c r="M523" s="32"/>
      <c r="N523" s="32">
        <v>3137851941</v>
      </c>
      <c r="O523" s="51" t="s">
        <v>2055</v>
      </c>
      <c r="P523" s="65" t="s">
        <v>713</v>
      </c>
    </row>
    <row r="524" spans="2:16" ht="15" customHeight="1" x14ac:dyDescent="0.25">
      <c r="B524" s="32">
        <v>511</v>
      </c>
      <c r="C524" s="229" t="s">
        <v>4725</v>
      </c>
      <c r="D524" s="229"/>
      <c r="E524" s="229"/>
      <c r="F524" s="229"/>
      <c r="G524" s="229"/>
      <c r="H524" s="229"/>
      <c r="I524" s="229"/>
      <c r="J524" s="59" t="s">
        <v>3002</v>
      </c>
      <c r="K524" s="46">
        <v>18750000</v>
      </c>
      <c r="L524" s="2">
        <v>45260</v>
      </c>
      <c r="M524" s="32"/>
      <c r="N524" s="32"/>
      <c r="O524" s="51" t="s">
        <v>3764</v>
      </c>
      <c r="P524" s="52" t="s">
        <v>4724</v>
      </c>
    </row>
    <row r="525" spans="2:16" x14ac:dyDescent="0.25">
      <c r="B525" s="32">
        <v>512</v>
      </c>
      <c r="C525" s="229" t="s">
        <v>4728</v>
      </c>
      <c r="D525" s="229"/>
      <c r="E525" s="229"/>
      <c r="F525" s="229"/>
      <c r="G525" s="229"/>
      <c r="H525" s="229"/>
      <c r="I525" s="229"/>
      <c r="J525" s="59" t="s">
        <v>4726</v>
      </c>
      <c r="K525" s="46"/>
      <c r="L525" s="2">
        <v>45264</v>
      </c>
      <c r="M525" s="32"/>
      <c r="N525" s="32"/>
      <c r="O525" s="51" t="s">
        <v>4727</v>
      </c>
      <c r="P525" s="98" t="s">
        <v>4723</v>
      </c>
    </row>
    <row r="526" spans="2:16" x14ac:dyDescent="0.25">
      <c r="B526" s="32">
        <v>513</v>
      </c>
      <c r="C526" s="229" t="s">
        <v>4729</v>
      </c>
      <c r="D526" s="229"/>
      <c r="E526" s="229"/>
      <c r="F526" s="229"/>
      <c r="G526" s="229"/>
      <c r="H526" s="229"/>
      <c r="I526" s="229"/>
      <c r="J526" s="59" t="s">
        <v>702</v>
      </c>
      <c r="K526" s="46">
        <v>1270000</v>
      </c>
      <c r="L526" s="2">
        <v>45261</v>
      </c>
      <c r="M526" s="32"/>
      <c r="N526" s="32" t="s">
        <v>3843</v>
      </c>
      <c r="O526" s="32" t="s">
        <v>3242</v>
      </c>
      <c r="P526" s="52" t="s">
        <v>2761</v>
      </c>
    </row>
    <row r="527" spans="2:16" x14ac:dyDescent="0.25">
      <c r="B527" s="32">
        <v>514</v>
      </c>
      <c r="C527" s="271" t="s">
        <v>4733</v>
      </c>
      <c r="D527" s="272"/>
      <c r="E527" s="272"/>
      <c r="F527" s="272"/>
      <c r="G527" s="272"/>
      <c r="H527" s="272"/>
      <c r="I527" s="272"/>
      <c r="J527" s="59" t="s">
        <v>4216</v>
      </c>
      <c r="K527" s="46"/>
      <c r="L527" s="2">
        <v>45261</v>
      </c>
      <c r="M527" s="32"/>
      <c r="N527" s="32" t="s">
        <v>4732</v>
      </c>
      <c r="O527" s="32" t="s">
        <v>4730</v>
      </c>
      <c r="P527" s="52" t="s">
        <v>4731</v>
      </c>
    </row>
    <row r="528" spans="2:16" x14ac:dyDescent="0.25">
      <c r="B528" s="32">
        <v>515</v>
      </c>
      <c r="C528" s="263" t="s">
        <v>4737</v>
      </c>
      <c r="D528" s="229"/>
      <c r="E528" s="229"/>
      <c r="F528" s="229"/>
      <c r="G528" s="229"/>
      <c r="H528" s="229"/>
      <c r="I528" s="229"/>
      <c r="J528" s="59" t="s">
        <v>4736</v>
      </c>
      <c r="K528" s="46">
        <v>16930000</v>
      </c>
      <c r="L528" s="2">
        <v>45267</v>
      </c>
      <c r="M528" s="32"/>
      <c r="N528" s="32">
        <v>3122594971</v>
      </c>
      <c r="O528" s="51" t="s">
        <v>4735</v>
      </c>
      <c r="P528" s="52" t="s">
        <v>4734</v>
      </c>
    </row>
    <row r="529" spans="2:16" x14ac:dyDescent="0.25">
      <c r="B529" s="32">
        <v>516</v>
      </c>
      <c r="C529" s="271" t="s">
        <v>4738</v>
      </c>
      <c r="D529" s="272"/>
      <c r="E529" s="272"/>
      <c r="F529" s="272"/>
      <c r="G529" s="272"/>
      <c r="H529" s="272"/>
      <c r="I529" s="272"/>
      <c r="J529" s="59" t="s">
        <v>4390</v>
      </c>
      <c r="K529" s="46">
        <v>5990000</v>
      </c>
      <c r="L529" s="2">
        <v>45265</v>
      </c>
      <c r="M529" s="32"/>
      <c r="N529" s="32">
        <v>3116460496</v>
      </c>
      <c r="O529" s="51" t="s">
        <v>390</v>
      </c>
      <c r="P529" s="52" t="s">
        <v>1876</v>
      </c>
    </row>
    <row r="530" spans="2:16" x14ac:dyDescent="0.25">
      <c r="B530" s="32">
        <v>517</v>
      </c>
      <c r="C530" s="229" t="s">
        <v>4739</v>
      </c>
      <c r="D530" s="229"/>
      <c r="E530" s="229"/>
      <c r="F530" s="229"/>
      <c r="G530" s="229"/>
      <c r="H530" s="229"/>
      <c r="I530" s="229"/>
      <c r="J530" s="59" t="s">
        <v>2743</v>
      </c>
      <c r="K530" s="46">
        <v>10910000</v>
      </c>
      <c r="L530" s="2">
        <v>45265</v>
      </c>
      <c r="M530" s="32"/>
      <c r="N530" s="32">
        <v>3175594091</v>
      </c>
      <c r="O530" s="51" t="s">
        <v>2045</v>
      </c>
      <c r="P530" s="52" t="s">
        <v>748</v>
      </c>
    </row>
    <row r="531" spans="2:16" x14ac:dyDescent="0.25">
      <c r="B531" s="32">
        <v>518</v>
      </c>
      <c r="C531" s="229" t="s">
        <v>4743</v>
      </c>
      <c r="D531" s="229"/>
      <c r="E531" s="229"/>
      <c r="F531" s="229"/>
      <c r="G531" s="229"/>
      <c r="H531" s="229"/>
      <c r="I531" s="229"/>
      <c r="J531" s="59" t="s">
        <v>4740</v>
      </c>
      <c r="K531" s="46">
        <v>5420000</v>
      </c>
      <c r="L531" s="2">
        <v>45265</v>
      </c>
      <c r="M531" s="32"/>
      <c r="N531" s="32">
        <v>3104551530</v>
      </c>
      <c r="O531" s="51" t="s">
        <v>4741</v>
      </c>
      <c r="P531" s="52" t="s">
        <v>4742</v>
      </c>
    </row>
    <row r="532" spans="2:16" x14ac:dyDescent="0.25">
      <c r="B532" s="32">
        <v>519</v>
      </c>
      <c r="C532" s="229" t="s">
        <v>4744</v>
      </c>
      <c r="D532" s="229"/>
      <c r="E532" s="229"/>
      <c r="F532" s="229"/>
      <c r="G532" s="229"/>
      <c r="H532" s="229"/>
      <c r="I532" s="229"/>
      <c r="J532" s="59" t="s">
        <v>4740</v>
      </c>
      <c r="K532" s="46">
        <v>9480000</v>
      </c>
      <c r="L532" s="2">
        <v>45265</v>
      </c>
      <c r="M532" s="32"/>
      <c r="N532" s="32">
        <v>3104551530</v>
      </c>
      <c r="O532" s="51" t="s">
        <v>4741</v>
      </c>
      <c r="P532" s="52" t="s">
        <v>4742</v>
      </c>
    </row>
    <row r="533" spans="2:16" x14ac:dyDescent="0.25">
      <c r="B533" s="32">
        <v>520</v>
      </c>
      <c r="C533" s="229" t="s">
        <v>4745</v>
      </c>
      <c r="D533" s="229"/>
      <c r="E533" s="229"/>
      <c r="F533" s="229"/>
      <c r="G533" s="229"/>
      <c r="H533" s="229"/>
      <c r="I533" s="229"/>
      <c r="J533" s="59" t="s">
        <v>1799</v>
      </c>
      <c r="K533" s="46">
        <v>3200000</v>
      </c>
      <c r="L533" s="2">
        <v>45265</v>
      </c>
      <c r="M533" s="32"/>
      <c r="N533" s="32" t="s">
        <v>1800</v>
      </c>
      <c r="O533" s="32" t="s">
        <v>1801</v>
      </c>
      <c r="P533" s="52" t="s">
        <v>1802</v>
      </c>
    </row>
    <row r="534" spans="2:16" x14ac:dyDescent="0.25">
      <c r="B534" s="32">
        <v>521</v>
      </c>
      <c r="C534" s="229" t="s">
        <v>4746</v>
      </c>
      <c r="D534" s="229"/>
      <c r="E534" s="229"/>
      <c r="F534" s="229"/>
      <c r="G534" s="229"/>
      <c r="H534" s="229"/>
      <c r="I534" s="229"/>
      <c r="J534" s="32" t="s">
        <v>2670</v>
      </c>
      <c r="K534" s="46"/>
      <c r="L534" s="2">
        <v>45266</v>
      </c>
      <c r="M534" s="32"/>
      <c r="N534" s="32" t="s">
        <v>4233</v>
      </c>
      <c r="O534" s="32" t="s">
        <v>2670</v>
      </c>
      <c r="P534" s="52"/>
    </row>
    <row r="535" spans="2:16" x14ac:dyDescent="0.25">
      <c r="B535" s="32">
        <v>522</v>
      </c>
      <c r="C535" s="229" t="s">
        <v>4748</v>
      </c>
      <c r="D535" s="229"/>
      <c r="E535" s="229"/>
      <c r="F535" s="229"/>
      <c r="G535" s="229"/>
      <c r="H535" s="229"/>
      <c r="I535" s="229"/>
      <c r="J535" s="59" t="s">
        <v>3961</v>
      </c>
      <c r="K535" s="46">
        <v>12450000</v>
      </c>
      <c r="L535" s="2">
        <v>45266</v>
      </c>
      <c r="M535" s="32"/>
      <c r="N535" s="32" t="s">
        <v>4747</v>
      </c>
      <c r="O535" s="51" t="s">
        <v>4572</v>
      </c>
      <c r="P535" s="52" t="s">
        <v>4573</v>
      </c>
    </row>
    <row r="536" spans="2:16" x14ac:dyDescent="0.25">
      <c r="B536" s="32">
        <v>523</v>
      </c>
      <c r="C536" s="229" t="s">
        <v>4751</v>
      </c>
      <c r="D536" s="229"/>
      <c r="E536" s="229"/>
      <c r="F536" s="229"/>
      <c r="G536" s="229"/>
      <c r="H536" s="229"/>
      <c r="I536" s="229"/>
      <c r="J536" s="59" t="s">
        <v>4749</v>
      </c>
      <c r="K536" s="46">
        <v>12350000</v>
      </c>
      <c r="L536" s="2">
        <v>45266</v>
      </c>
      <c r="M536" s="32"/>
      <c r="N536" s="32"/>
      <c r="O536" s="51" t="s">
        <v>4749</v>
      </c>
      <c r="P536" s="52" t="s">
        <v>4750</v>
      </c>
    </row>
    <row r="537" spans="2:16" x14ac:dyDescent="0.25">
      <c r="B537" s="32">
        <v>524</v>
      </c>
      <c r="C537" s="229" t="s">
        <v>4754</v>
      </c>
      <c r="D537" s="229"/>
      <c r="E537" s="229"/>
      <c r="F537" s="229"/>
      <c r="G537" s="229"/>
      <c r="H537" s="229"/>
      <c r="I537" s="229"/>
      <c r="J537" s="59" t="s">
        <v>4752</v>
      </c>
      <c r="K537" s="46">
        <v>16350000</v>
      </c>
      <c r="L537" s="2">
        <v>45266</v>
      </c>
      <c r="M537" s="32"/>
      <c r="N537" s="32"/>
      <c r="O537" s="51" t="s">
        <v>4753</v>
      </c>
      <c r="P537" s="52"/>
    </row>
    <row r="538" spans="2:16" x14ac:dyDescent="0.25">
      <c r="B538" s="32">
        <v>525</v>
      </c>
      <c r="C538" s="229" t="s">
        <v>4758</v>
      </c>
      <c r="D538" s="229"/>
      <c r="E538" s="229"/>
      <c r="F538" s="229"/>
      <c r="G538" s="229"/>
      <c r="H538" s="229"/>
      <c r="I538" s="229"/>
      <c r="J538" s="59" t="s">
        <v>1177</v>
      </c>
      <c r="K538" s="46">
        <v>21850000</v>
      </c>
      <c r="L538" s="2">
        <v>45272</v>
      </c>
      <c r="M538" s="32"/>
      <c r="N538" s="32" t="s">
        <v>4757</v>
      </c>
      <c r="O538" s="51" t="s">
        <v>4755</v>
      </c>
      <c r="P538" s="52" t="s">
        <v>4756</v>
      </c>
    </row>
    <row r="539" spans="2:16" ht="15" customHeight="1" x14ac:dyDescent="0.25">
      <c r="B539" s="32">
        <v>526</v>
      </c>
      <c r="C539" s="229" t="s">
        <v>4759</v>
      </c>
      <c r="D539" s="229"/>
      <c r="E539" s="229"/>
      <c r="F539" s="229"/>
      <c r="G539" s="229"/>
      <c r="H539" s="229"/>
      <c r="I539" s="229"/>
      <c r="J539" s="59" t="s">
        <v>851</v>
      </c>
      <c r="K539" s="46">
        <v>1650000</v>
      </c>
      <c r="L539" s="2">
        <v>45272</v>
      </c>
      <c r="M539" s="32"/>
      <c r="N539" s="32">
        <v>3014111727</v>
      </c>
      <c r="O539" s="32" t="s">
        <v>4270</v>
      </c>
      <c r="P539" s="52" t="s">
        <v>2235</v>
      </c>
    </row>
    <row r="540" spans="2:16" x14ac:dyDescent="0.25">
      <c r="B540" s="32">
        <v>527</v>
      </c>
      <c r="C540" s="229" t="s">
        <v>4763</v>
      </c>
      <c r="D540" s="229"/>
      <c r="E540" s="229"/>
      <c r="F540" s="229"/>
      <c r="G540" s="229"/>
      <c r="H540" s="229"/>
      <c r="I540" s="229"/>
      <c r="J540" s="59" t="s">
        <v>4760</v>
      </c>
      <c r="K540" s="46">
        <v>4400000</v>
      </c>
      <c r="L540" s="2">
        <v>45273</v>
      </c>
      <c r="M540" s="32"/>
      <c r="N540" s="32" t="s">
        <v>4762</v>
      </c>
      <c r="O540" s="51" t="s">
        <v>4764</v>
      </c>
      <c r="P540" s="52" t="s">
        <v>4761</v>
      </c>
    </row>
    <row r="541" spans="2:16" x14ac:dyDescent="0.25">
      <c r="B541" s="32">
        <v>528</v>
      </c>
      <c r="C541" s="229" t="s">
        <v>4767</v>
      </c>
      <c r="D541" s="229"/>
      <c r="E541" s="229"/>
      <c r="F541" s="229"/>
      <c r="G541" s="229"/>
      <c r="H541" s="229"/>
      <c r="I541" s="229"/>
      <c r="J541" s="59" t="s">
        <v>2602</v>
      </c>
      <c r="K541" s="46">
        <v>8700000</v>
      </c>
      <c r="L541" s="2">
        <v>45279</v>
      </c>
      <c r="M541" s="32"/>
      <c r="N541" s="32">
        <v>3014170260</v>
      </c>
      <c r="O541" s="51" t="s">
        <v>4765</v>
      </c>
      <c r="P541" s="38" t="s">
        <v>4766</v>
      </c>
    </row>
    <row r="542" spans="2:16" x14ac:dyDescent="0.25">
      <c r="B542" s="32">
        <v>529</v>
      </c>
      <c r="C542" s="229" t="s">
        <v>4768</v>
      </c>
      <c r="D542" s="229"/>
      <c r="E542" s="229"/>
      <c r="F542" s="229"/>
      <c r="G542" s="229"/>
      <c r="H542" s="229"/>
      <c r="I542" s="229"/>
      <c r="J542" s="59" t="s">
        <v>4390</v>
      </c>
      <c r="K542" s="46">
        <v>6900000</v>
      </c>
      <c r="L542" s="2">
        <v>45279</v>
      </c>
      <c r="M542" s="32"/>
      <c r="N542" s="32">
        <v>3113391008</v>
      </c>
      <c r="O542" s="51" t="s">
        <v>372</v>
      </c>
      <c r="P542" s="52" t="s">
        <v>2561</v>
      </c>
    </row>
    <row r="543" spans="2:16" x14ac:dyDescent="0.25">
      <c r="B543" s="32">
        <v>530</v>
      </c>
      <c r="C543" s="229" t="s">
        <v>4771</v>
      </c>
      <c r="D543" s="229"/>
      <c r="E543" s="229"/>
      <c r="F543" s="229"/>
      <c r="G543" s="229"/>
      <c r="H543" s="229"/>
      <c r="I543" s="229"/>
      <c r="J543" s="59" t="s">
        <v>712</v>
      </c>
      <c r="K543" s="46">
        <v>3000000</v>
      </c>
      <c r="L543" s="2">
        <v>45279</v>
      </c>
      <c r="M543" s="32"/>
      <c r="N543" s="32">
        <v>3234377957</v>
      </c>
      <c r="O543" s="51" t="s">
        <v>4770</v>
      </c>
      <c r="P543" s="52" t="s">
        <v>4769</v>
      </c>
    </row>
    <row r="544" spans="2:16" x14ac:dyDescent="0.25">
      <c r="B544" s="32">
        <v>531</v>
      </c>
      <c r="C544" s="229" t="s">
        <v>4773</v>
      </c>
      <c r="D544" s="229"/>
      <c r="E544" s="229"/>
      <c r="F544" s="229"/>
      <c r="G544" s="229"/>
      <c r="H544" s="229"/>
      <c r="I544" s="229"/>
      <c r="J544" s="59" t="s">
        <v>2743</v>
      </c>
      <c r="K544" s="46">
        <v>21700000</v>
      </c>
      <c r="L544" s="2">
        <v>45279</v>
      </c>
      <c r="M544" s="32"/>
      <c r="N544" s="32">
        <v>3175594091</v>
      </c>
      <c r="O544" s="32" t="s">
        <v>496</v>
      </c>
      <c r="P544" s="38" t="s">
        <v>748</v>
      </c>
    </row>
    <row r="545" spans="2:16" x14ac:dyDescent="0.25">
      <c r="B545" s="32">
        <v>532</v>
      </c>
      <c r="C545" s="229" t="s">
        <v>4772</v>
      </c>
      <c r="D545" s="229"/>
      <c r="E545" s="229"/>
      <c r="F545" s="229"/>
      <c r="G545" s="229"/>
      <c r="H545" s="229"/>
      <c r="I545" s="229"/>
      <c r="J545" s="59" t="s">
        <v>702</v>
      </c>
      <c r="K545" s="46">
        <v>6270000</v>
      </c>
      <c r="L545" s="2">
        <v>45279</v>
      </c>
      <c r="M545" s="32"/>
      <c r="N545" s="32">
        <v>3104165783</v>
      </c>
      <c r="O545" s="51" t="s">
        <v>4564</v>
      </c>
      <c r="P545" s="52" t="s">
        <v>4565</v>
      </c>
    </row>
    <row r="546" spans="2:16" x14ac:dyDescent="0.25">
      <c r="B546" s="32">
        <v>533</v>
      </c>
      <c r="C546" s="229" t="s">
        <v>4774</v>
      </c>
      <c r="D546" s="229"/>
      <c r="E546" s="229"/>
      <c r="F546" s="229"/>
      <c r="G546" s="229"/>
      <c r="H546" s="229"/>
      <c r="I546" s="229"/>
      <c r="J546" s="59" t="s">
        <v>702</v>
      </c>
      <c r="K546" s="46">
        <v>1700000</v>
      </c>
      <c r="L546" s="2">
        <v>45281</v>
      </c>
      <c r="M546" s="32"/>
      <c r="N546" s="32">
        <v>3104165783</v>
      </c>
      <c r="O546" s="51" t="s">
        <v>4564</v>
      </c>
      <c r="P546" s="52" t="s">
        <v>4565</v>
      </c>
    </row>
    <row r="547" spans="2:16" x14ac:dyDescent="0.25">
      <c r="B547" s="32">
        <v>534</v>
      </c>
      <c r="C547" s="271" t="s">
        <v>4776</v>
      </c>
      <c r="D547" s="272"/>
      <c r="E547" s="272"/>
      <c r="F547" s="272"/>
      <c r="G547" s="272"/>
      <c r="H547" s="272"/>
      <c r="I547" s="272"/>
      <c r="J547" s="59" t="s">
        <v>4775</v>
      </c>
      <c r="K547" s="46">
        <v>1500000</v>
      </c>
      <c r="L547" s="2">
        <v>45281</v>
      </c>
      <c r="M547" s="2"/>
      <c r="N547" s="32"/>
      <c r="O547" s="51"/>
      <c r="P547" s="55" t="s">
        <v>4777</v>
      </c>
    </row>
    <row r="548" spans="2:16" x14ac:dyDescent="0.25">
      <c r="B548" s="32">
        <v>535</v>
      </c>
      <c r="C548" s="271" t="s">
        <v>4778</v>
      </c>
      <c r="D548" s="272"/>
      <c r="E548" s="272"/>
      <c r="F548" s="272"/>
      <c r="G548" s="272"/>
      <c r="H548" s="272"/>
      <c r="I548" s="272"/>
      <c r="J548" s="59" t="s">
        <v>2611</v>
      </c>
      <c r="K548" s="46">
        <v>31500</v>
      </c>
      <c r="L548" s="2">
        <v>45281</v>
      </c>
      <c r="M548" s="32"/>
      <c r="N548" s="32" t="s">
        <v>3677</v>
      </c>
      <c r="O548" s="51" t="s">
        <v>1064</v>
      </c>
      <c r="P548" s="52" t="s">
        <v>2310</v>
      </c>
    </row>
    <row r="549" spans="2:16" x14ac:dyDescent="0.25">
      <c r="B549" s="32">
        <v>536</v>
      </c>
      <c r="C549" s="229" t="s">
        <v>4782</v>
      </c>
      <c r="D549" s="229"/>
      <c r="E549" s="229"/>
      <c r="F549" s="229"/>
      <c r="G549" s="229"/>
      <c r="H549" s="229"/>
      <c r="I549" s="229"/>
      <c r="J549" s="59" t="s">
        <v>4781</v>
      </c>
      <c r="K549" s="46">
        <v>12350000</v>
      </c>
      <c r="L549" s="2">
        <v>45281</v>
      </c>
      <c r="M549" s="32"/>
      <c r="N549" s="32">
        <v>3207256603</v>
      </c>
      <c r="O549" s="51" t="s">
        <v>4779</v>
      </c>
      <c r="P549" s="52" t="s">
        <v>4780</v>
      </c>
    </row>
    <row r="550" spans="2:16" x14ac:dyDescent="0.25">
      <c r="B550" s="32">
        <v>537</v>
      </c>
      <c r="C550" s="229" t="s">
        <v>4783</v>
      </c>
      <c r="D550" s="229"/>
      <c r="E550" s="229"/>
      <c r="F550" s="229"/>
      <c r="G550" s="229"/>
      <c r="H550" s="229"/>
      <c r="I550" s="229"/>
      <c r="J550" s="59" t="s">
        <v>2593</v>
      </c>
      <c r="K550" s="46">
        <v>3950000</v>
      </c>
      <c r="L550" s="2">
        <v>45281</v>
      </c>
      <c r="M550" s="2"/>
      <c r="N550" s="32" t="s">
        <v>4747</v>
      </c>
      <c r="O550" s="51" t="s">
        <v>4572</v>
      </c>
      <c r="P550" s="52" t="s">
        <v>4573</v>
      </c>
    </row>
    <row r="551" spans="2:16" x14ac:dyDescent="0.25">
      <c r="B551" s="32">
        <v>538</v>
      </c>
      <c r="C551" s="271" t="s">
        <v>4784</v>
      </c>
      <c r="D551" s="272"/>
      <c r="E551" s="272"/>
      <c r="F551" s="272"/>
      <c r="G551" s="272"/>
      <c r="H551" s="272"/>
      <c r="I551" s="272"/>
      <c r="J551" s="59" t="s">
        <v>3050</v>
      </c>
      <c r="K551" s="46"/>
      <c r="L551" s="2">
        <v>45286</v>
      </c>
      <c r="M551" s="32"/>
      <c r="N551" s="32">
        <v>3104131109</v>
      </c>
      <c r="O551" s="51" t="s">
        <v>3051</v>
      </c>
      <c r="P551" s="52" t="s">
        <v>3052</v>
      </c>
    </row>
    <row r="552" spans="2:16" x14ac:dyDescent="0.25">
      <c r="B552" s="32">
        <v>539</v>
      </c>
      <c r="C552" s="229" t="s">
        <v>4785</v>
      </c>
      <c r="D552" s="229"/>
      <c r="E552" s="229"/>
      <c r="F552" s="229"/>
      <c r="G552" s="229"/>
      <c r="H552" s="229"/>
      <c r="I552" s="229"/>
      <c r="J552" s="59" t="s">
        <v>4786</v>
      </c>
      <c r="K552" s="46">
        <v>5600000</v>
      </c>
      <c r="L552" s="2">
        <v>45288</v>
      </c>
      <c r="M552" s="32"/>
      <c r="N552" s="32" t="s">
        <v>4787</v>
      </c>
      <c r="O552" s="51" t="s">
        <v>4788</v>
      </c>
      <c r="P552" s="52" t="s">
        <v>4789</v>
      </c>
    </row>
    <row r="553" spans="2:16" x14ac:dyDescent="0.25">
      <c r="B553" s="32">
        <v>540</v>
      </c>
      <c r="C553" s="229" t="s">
        <v>4790</v>
      </c>
      <c r="D553" s="229"/>
      <c r="E553" s="229"/>
      <c r="F553" s="229"/>
      <c r="G553" s="229"/>
      <c r="H553" s="229"/>
      <c r="I553" s="229"/>
      <c r="J553" s="59" t="s">
        <v>805</v>
      </c>
      <c r="K553" s="46"/>
      <c r="L553" s="2">
        <v>45289</v>
      </c>
      <c r="M553" s="32"/>
      <c r="N553" s="32" t="s">
        <v>4385</v>
      </c>
      <c r="O553" s="51" t="s">
        <v>4791</v>
      </c>
      <c r="P553" s="52" t="s">
        <v>4384</v>
      </c>
    </row>
    <row r="554" spans="2:16" x14ac:dyDescent="0.25">
      <c r="B554" s="32">
        <v>541</v>
      </c>
      <c r="C554" s="229"/>
      <c r="D554" s="229"/>
      <c r="E554" s="229"/>
      <c r="F554" s="229"/>
      <c r="G554" s="229"/>
      <c r="H554" s="229"/>
      <c r="I554" s="229"/>
      <c r="J554" s="59"/>
      <c r="K554" s="46"/>
      <c r="L554" s="2"/>
      <c r="M554" s="32"/>
      <c r="N554" s="32"/>
      <c r="O554" s="51"/>
      <c r="P554" s="52"/>
    </row>
    <row r="555" spans="2:16" x14ac:dyDescent="0.25">
      <c r="B555" s="32">
        <v>542</v>
      </c>
      <c r="C555" s="229"/>
      <c r="D555" s="229"/>
      <c r="E555" s="229"/>
      <c r="F555" s="229"/>
      <c r="G555" s="229"/>
      <c r="H555" s="229"/>
      <c r="I555" s="229"/>
      <c r="J555" s="59"/>
      <c r="K555" s="46"/>
      <c r="L555" s="2"/>
      <c r="M555" s="32"/>
      <c r="N555" s="32"/>
      <c r="O555" s="51"/>
      <c r="P555" s="52"/>
    </row>
    <row r="556" spans="2:16" x14ac:dyDescent="0.25">
      <c r="B556" s="32">
        <v>543</v>
      </c>
      <c r="C556" s="229"/>
      <c r="D556" s="229"/>
      <c r="E556" s="229"/>
      <c r="F556" s="229"/>
      <c r="G556" s="229"/>
      <c r="H556" s="229"/>
      <c r="I556" s="229"/>
      <c r="J556" s="59"/>
      <c r="K556" s="1"/>
      <c r="L556" s="2"/>
      <c r="M556" s="32"/>
      <c r="N556" s="32"/>
      <c r="O556" s="51"/>
      <c r="P556" s="38"/>
    </row>
    <row r="557" spans="2:16" x14ac:dyDescent="0.25">
      <c r="B557" s="32">
        <v>544</v>
      </c>
      <c r="C557" s="229"/>
      <c r="D557" s="229"/>
      <c r="E557" s="229"/>
      <c r="F557" s="229"/>
      <c r="G557" s="229"/>
      <c r="H557" s="229"/>
      <c r="I557" s="229"/>
      <c r="J557" s="59"/>
      <c r="K557" s="1"/>
      <c r="L557" s="2"/>
      <c r="M557" s="32"/>
      <c r="N557" s="32"/>
      <c r="O557" s="51"/>
      <c r="P557" s="38"/>
    </row>
    <row r="558" spans="2:16" x14ac:dyDescent="0.25">
      <c r="B558" s="32">
        <v>545</v>
      </c>
      <c r="C558" s="263"/>
      <c r="D558" s="229"/>
      <c r="E558" s="229"/>
      <c r="F558" s="229"/>
      <c r="G558" s="229"/>
      <c r="H558" s="229"/>
      <c r="I558" s="229"/>
      <c r="J558" s="59"/>
      <c r="K558" s="1"/>
      <c r="L558" s="2"/>
      <c r="M558" s="32"/>
      <c r="N558" s="32"/>
      <c r="O558" s="51"/>
      <c r="P558" s="52"/>
    </row>
    <row r="559" spans="2:16" x14ac:dyDescent="0.25">
      <c r="B559" s="32">
        <v>546</v>
      </c>
      <c r="C559" s="229"/>
      <c r="D559" s="229"/>
      <c r="E559" s="229"/>
      <c r="F559" s="229"/>
      <c r="G559" s="229"/>
      <c r="H559" s="229"/>
      <c r="I559" s="229"/>
      <c r="J559" s="59"/>
      <c r="K559" s="1"/>
      <c r="L559" s="2"/>
      <c r="M559" s="32"/>
      <c r="N559" s="32"/>
      <c r="O559" s="51"/>
      <c r="P559" s="38"/>
    </row>
    <row r="560" spans="2:16" x14ac:dyDescent="0.25">
      <c r="B560" s="32">
        <v>547</v>
      </c>
      <c r="C560" s="229"/>
      <c r="D560" s="229"/>
      <c r="E560" s="229"/>
      <c r="F560" s="229"/>
      <c r="G560" s="229"/>
      <c r="H560" s="229"/>
      <c r="I560" s="229"/>
      <c r="J560" s="59"/>
      <c r="K560" s="1"/>
      <c r="L560" s="2"/>
      <c r="M560" s="32"/>
      <c r="N560" s="32"/>
      <c r="O560" s="51"/>
      <c r="P560" s="52"/>
    </row>
    <row r="561" spans="2:16" x14ac:dyDescent="0.25">
      <c r="B561" s="32">
        <v>548</v>
      </c>
      <c r="C561" s="263"/>
      <c r="D561" s="229"/>
      <c r="E561" s="229"/>
      <c r="F561" s="229"/>
      <c r="G561" s="229"/>
      <c r="H561" s="229"/>
      <c r="I561" s="229"/>
      <c r="J561" s="59"/>
      <c r="K561" s="1"/>
      <c r="L561" s="2"/>
      <c r="M561" s="32"/>
      <c r="N561" s="32"/>
      <c r="O561" s="51"/>
      <c r="P561" s="52"/>
    </row>
    <row r="562" spans="2:16" x14ac:dyDescent="0.25">
      <c r="B562" s="32">
        <v>549</v>
      </c>
      <c r="C562" s="229"/>
      <c r="D562" s="229"/>
      <c r="E562" s="229"/>
      <c r="F562" s="229"/>
      <c r="G562" s="229"/>
      <c r="H562" s="229"/>
      <c r="I562" s="229"/>
      <c r="J562" s="59"/>
      <c r="K562" s="1"/>
      <c r="L562" s="2"/>
      <c r="M562" s="32"/>
      <c r="N562" s="32"/>
      <c r="O562" s="51"/>
      <c r="P562" s="38"/>
    </row>
    <row r="563" spans="2:16" x14ac:dyDescent="0.25">
      <c r="B563" s="32">
        <v>550</v>
      </c>
      <c r="C563" s="229"/>
      <c r="D563" s="229"/>
      <c r="E563" s="229"/>
      <c r="F563" s="229"/>
      <c r="G563" s="229"/>
      <c r="H563" s="229"/>
      <c r="I563" s="229"/>
      <c r="J563" s="59"/>
      <c r="K563" s="1"/>
      <c r="L563" s="2"/>
      <c r="M563" s="32"/>
      <c r="N563" s="32"/>
      <c r="O563" s="51"/>
      <c r="P563" s="38"/>
    </row>
    <row r="564" spans="2:16" x14ac:dyDescent="0.25">
      <c r="B564" s="32">
        <v>551</v>
      </c>
      <c r="C564" s="229"/>
      <c r="D564" s="229"/>
      <c r="E564" s="229"/>
      <c r="F564" s="229"/>
      <c r="G564" s="229"/>
      <c r="H564" s="229"/>
      <c r="I564" s="229"/>
      <c r="J564" s="59"/>
      <c r="K564" s="1"/>
      <c r="L564" s="2"/>
      <c r="M564" s="32"/>
      <c r="N564" s="32"/>
      <c r="O564" s="51"/>
      <c r="P564" s="38"/>
    </row>
    <row r="565" spans="2:16" x14ac:dyDescent="0.25">
      <c r="B565" s="32">
        <v>552</v>
      </c>
      <c r="C565" s="229"/>
      <c r="D565" s="229"/>
      <c r="E565" s="229"/>
      <c r="F565" s="229"/>
      <c r="G565" s="229"/>
      <c r="H565" s="229"/>
      <c r="I565" s="229"/>
      <c r="J565" s="59"/>
      <c r="K565" s="73"/>
      <c r="L565" s="2"/>
      <c r="M565" s="32"/>
      <c r="N565" s="32"/>
      <c r="O565" s="51"/>
      <c r="P565" s="38"/>
    </row>
    <row r="566" spans="2:16" x14ac:dyDescent="0.25">
      <c r="B566" s="32">
        <v>553</v>
      </c>
      <c r="C566" s="229"/>
      <c r="D566" s="229"/>
      <c r="E566" s="229"/>
      <c r="F566" s="229"/>
      <c r="G566" s="229"/>
      <c r="H566" s="229"/>
      <c r="I566" s="229"/>
      <c r="J566" s="59"/>
      <c r="K566" s="1"/>
      <c r="L566" s="32"/>
      <c r="M566" s="32"/>
      <c r="N566" s="32"/>
      <c r="O566" s="51"/>
      <c r="P566" s="38"/>
    </row>
    <row r="567" spans="2:16" x14ac:dyDescent="0.25">
      <c r="B567" s="32">
        <v>554</v>
      </c>
      <c r="C567" s="229"/>
      <c r="D567" s="229"/>
      <c r="E567" s="229"/>
      <c r="F567" s="229"/>
      <c r="G567" s="229"/>
      <c r="H567" s="229"/>
      <c r="I567" s="229"/>
      <c r="J567" s="59"/>
      <c r="K567" s="1"/>
      <c r="L567" s="32"/>
      <c r="M567" s="32"/>
      <c r="N567" s="32"/>
      <c r="O567" s="51"/>
      <c r="P567" s="51"/>
    </row>
    <row r="568" spans="2:16" x14ac:dyDescent="0.25">
      <c r="B568" s="32">
        <v>555</v>
      </c>
      <c r="C568" s="229"/>
      <c r="D568" s="229"/>
      <c r="E568" s="229"/>
      <c r="F568" s="229"/>
      <c r="G568" s="229"/>
      <c r="H568" s="229"/>
      <c r="I568" s="229"/>
      <c r="J568" s="59"/>
      <c r="K568" s="1"/>
      <c r="L568" s="32"/>
      <c r="M568" s="32"/>
      <c r="N568" s="32"/>
      <c r="O568" s="51"/>
      <c r="P568" s="51"/>
    </row>
    <row r="569" spans="2:16" x14ac:dyDescent="0.25">
      <c r="B569" s="32">
        <v>556</v>
      </c>
      <c r="C569" s="229"/>
      <c r="D569" s="229"/>
      <c r="E569" s="229"/>
      <c r="F569" s="229"/>
      <c r="G569" s="229"/>
      <c r="H569" s="229"/>
      <c r="I569" s="229"/>
      <c r="J569" s="59"/>
      <c r="K569" s="1"/>
      <c r="L569" s="32"/>
      <c r="M569" s="32"/>
      <c r="N569" s="32"/>
      <c r="O569" s="51"/>
      <c r="P569" s="51"/>
    </row>
    <row r="570" spans="2:16" x14ac:dyDescent="0.25">
      <c r="B570" s="32">
        <v>557</v>
      </c>
      <c r="C570" s="229"/>
      <c r="D570" s="229"/>
      <c r="E570" s="229"/>
      <c r="F570" s="229"/>
      <c r="G570" s="229"/>
      <c r="H570" s="229"/>
      <c r="I570" s="229"/>
      <c r="J570" s="59"/>
      <c r="K570" s="1"/>
      <c r="L570" s="32"/>
      <c r="M570" s="32"/>
      <c r="N570" s="32"/>
      <c r="O570" s="51"/>
      <c r="P570" s="51"/>
    </row>
    <row r="571" spans="2:16" x14ac:dyDescent="0.25">
      <c r="B571" s="32">
        <v>558</v>
      </c>
      <c r="C571" s="229"/>
      <c r="D571" s="229"/>
      <c r="E571" s="229"/>
      <c r="F571" s="229"/>
      <c r="G571" s="229"/>
      <c r="H571" s="229"/>
      <c r="I571" s="229"/>
      <c r="J571" s="59"/>
      <c r="K571" s="1"/>
      <c r="L571" s="32"/>
      <c r="M571" s="32"/>
      <c r="N571" s="32"/>
      <c r="O571" s="51"/>
      <c r="P571" s="51"/>
    </row>
    <row r="572" spans="2:16" x14ac:dyDescent="0.25">
      <c r="B572" s="32">
        <v>559</v>
      </c>
      <c r="C572" s="229"/>
      <c r="D572" s="229"/>
      <c r="E572" s="229"/>
      <c r="F572" s="229"/>
      <c r="G572" s="229"/>
      <c r="H572" s="229"/>
      <c r="I572" s="229"/>
      <c r="J572" s="59"/>
      <c r="K572" s="1"/>
      <c r="L572" s="32"/>
      <c r="M572" s="32"/>
      <c r="N572" s="32"/>
      <c r="O572" s="51"/>
      <c r="P572" s="51"/>
    </row>
    <row r="573" spans="2:16" x14ac:dyDescent="0.25">
      <c r="B573" s="32">
        <v>560</v>
      </c>
      <c r="C573" s="229"/>
      <c r="D573" s="229"/>
      <c r="E573" s="229"/>
      <c r="F573" s="229"/>
      <c r="G573" s="229"/>
      <c r="H573" s="229"/>
      <c r="I573" s="229"/>
      <c r="J573" s="59"/>
      <c r="K573" s="1"/>
      <c r="L573" s="32"/>
      <c r="M573" s="32"/>
      <c r="N573" s="32"/>
      <c r="O573" s="51"/>
      <c r="P573" s="51"/>
    </row>
    <row r="574" spans="2:16" x14ac:dyDescent="0.25">
      <c r="B574" s="32">
        <v>561</v>
      </c>
      <c r="C574" s="229"/>
      <c r="D574" s="229"/>
      <c r="E574" s="229"/>
      <c r="F574" s="229"/>
      <c r="G574" s="229"/>
      <c r="H574" s="229"/>
      <c r="I574" s="229"/>
      <c r="J574" s="59"/>
      <c r="K574" s="1"/>
      <c r="L574" s="32"/>
      <c r="M574" s="32"/>
      <c r="N574" s="32"/>
      <c r="O574" s="51"/>
      <c r="P574" s="51"/>
    </row>
    <row r="575" spans="2:16" x14ac:dyDescent="0.25">
      <c r="B575" s="32"/>
      <c r="C575" s="229"/>
      <c r="D575" s="229"/>
      <c r="E575" s="229"/>
      <c r="F575" s="229"/>
      <c r="G575" s="229"/>
      <c r="H575" s="229"/>
      <c r="I575" s="229"/>
      <c r="J575" s="59"/>
      <c r="K575" s="1"/>
      <c r="L575" s="32"/>
      <c r="M575" s="32"/>
      <c r="N575" s="32"/>
      <c r="O575" s="51"/>
      <c r="P575" s="51"/>
    </row>
    <row r="576" spans="2:16" x14ac:dyDescent="0.25">
      <c r="B576" s="32"/>
      <c r="C576" s="229"/>
      <c r="D576" s="229"/>
      <c r="E576" s="229"/>
      <c r="F576" s="229"/>
      <c r="G576" s="229"/>
      <c r="H576" s="229"/>
      <c r="I576" s="229"/>
      <c r="J576" s="59"/>
      <c r="K576" s="1"/>
      <c r="L576" s="32"/>
      <c r="M576" s="32"/>
      <c r="N576" s="32"/>
      <c r="O576" s="51"/>
      <c r="P576" s="51"/>
    </row>
    <row r="577" spans="2:16" x14ac:dyDescent="0.25">
      <c r="B577" s="32"/>
      <c r="C577" s="229"/>
      <c r="D577" s="229"/>
      <c r="E577" s="229"/>
      <c r="F577" s="229"/>
      <c r="G577" s="229"/>
      <c r="H577" s="229"/>
      <c r="I577" s="229"/>
      <c r="J577" s="59"/>
      <c r="K577" s="1"/>
      <c r="L577" s="32"/>
      <c r="M577" s="32"/>
      <c r="N577" s="32"/>
      <c r="O577" s="51"/>
      <c r="P577" s="51"/>
    </row>
    <row r="578" spans="2:16" x14ac:dyDescent="0.25">
      <c r="B578" s="32"/>
      <c r="C578" s="229"/>
      <c r="D578" s="229"/>
      <c r="E578" s="229"/>
      <c r="F578" s="229"/>
      <c r="G578" s="229"/>
      <c r="H578" s="229"/>
      <c r="I578" s="229"/>
      <c r="J578" s="59"/>
      <c r="K578" s="1"/>
      <c r="L578" s="32"/>
      <c r="M578" s="32"/>
      <c r="N578" s="32"/>
      <c r="O578" s="51"/>
      <c r="P578" s="51"/>
    </row>
    <row r="579" spans="2:16" x14ac:dyDescent="0.25">
      <c r="B579" s="32"/>
      <c r="C579" s="229"/>
      <c r="D579" s="229"/>
      <c r="E579" s="229"/>
      <c r="F579" s="229"/>
      <c r="G579" s="229"/>
      <c r="H579" s="229"/>
      <c r="I579" s="229"/>
      <c r="J579" s="59"/>
      <c r="K579" s="1"/>
      <c r="L579" s="32"/>
      <c r="M579" s="32"/>
      <c r="N579" s="32"/>
      <c r="O579" s="51"/>
      <c r="P579" s="51"/>
    </row>
    <row r="580" spans="2:16" x14ac:dyDescent="0.25">
      <c r="B580" s="32"/>
      <c r="C580" s="229"/>
      <c r="D580" s="229"/>
      <c r="E580" s="229"/>
      <c r="F580" s="229"/>
      <c r="G580" s="229"/>
      <c r="H580" s="229"/>
      <c r="I580" s="229"/>
      <c r="J580" s="59"/>
      <c r="K580" s="1"/>
      <c r="L580" s="32"/>
      <c r="M580" s="32"/>
      <c r="N580" s="32"/>
      <c r="O580" s="51"/>
      <c r="P580" s="51"/>
    </row>
    <row r="581" spans="2:16" x14ac:dyDescent="0.25">
      <c r="B581" s="32"/>
      <c r="C581" s="229"/>
      <c r="D581" s="229"/>
      <c r="E581" s="229"/>
      <c r="F581" s="229"/>
      <c r="G581" s="229"/>
      <c r="H581" s="229"/>
      <c r="I581" s="229"/>
      <c r="J581" s="59"/>
      <c r="K581" s="1"/>
      <c r="L581" s="32"/>
      <c r="M581" s="32"/>
      <c r="N581" s="32"/>
      <c r="O581" s="51"/>
      <c r="P581" s="51"/>
    </row>
    <row r="582" spans="2:16" x14ac:dyDescent="0.25">
      <c r="B582" s="32"/>
      <c r="C582" s="229"/>
      <c r="D582" s="229"/>
      <c r="E582" s="229"/>
      <c r="F582" s="229"/>
      <c r="G582" s="229"/>
      <c r="H582" s="229"/>
      <c r="I582" s="229"/>
      <c r="J582" s="59"/>
      <c r="K582" s="1"/>
      <c r="L582" s="32"/>
      <c r="M582" s="32"/>
      <c r="N582" s="32"/>
      <c r="O582" s="51"/>
      <c r="P582" s="51"/>
    </row>
    <row r="583" spans="2:16" x14ac:dyDescent="0.25">
      <c r="B583" s="32"/>
      <c r="C583" s="229"/>
      <c r="D583" s="229"/>
      <c r="E583" s="229"/>
      <c r="F583" s="229"/>
      <c r="G583" s="229"/>
      <c r="H583" s="229"/>
      <c r="I583" s="229"/>
      <c r="J583" s="59"/>
      <c r="K583" s="1"/>
      <c r="L583" s="32"/>
      <c r="M583" s="32"/>
      <c r="N583" s="32"/>
      <c r="O583" s="51"/>
      <c r="P583" s="51"/>
    </row>
    <row r="584" spans="2:16" x14ac:dyDescent="0.25">
      <c r="B584" s="32"/>
      <c r="C584" s="229"/>
      <c r="D584" s="229"/>
      <c r="E584" s="229"/>
      <c r="F584" s="229"/>
      <c r="G584" s="229"/>
      <c r="H584" s="229"/>
      <c r="I584" s="229"/>
      <c r="J584" s="59"/>
      <c r="K584" s="1"/>
      <c r="L584" s="32"/>
      <c r="M584" s="32"/>
      <c r="N584" s="32"/>
      <c r="O584" s="51"/>
      <c r="P584" s="51"/>
    </row>
    <row r="585" spans="2:16" x14ac:dyDescent="0.25">
      <c r="B585" s="32"/>
      <c r="C585" s="229"/>
      <c r="D585" s="229"/>
      <c r="E585" s="229"/>
      <c r="F585" s="229"/>
      <c r="G585" s="229"/>
      <c r="H585" s="229"/>
      <c r="I585" s="229"/>
      <c r="J585" s="59"/>
      <c r="K585" s="1"/>
      <c r="L585" s="32"/>
      <c r="M585" s="32"/>
      <c r="N585" s="32"/>
      <c r="O585" s="51"/>
      <c r="P585" s="51"/>
    </row>
    <row r="586" spans="2:16" x14ac:dyDescent="0.25">
      <c r="B586" s="32"/>
      <c r="C586" s="229"/>
      <c r="D586" s="229"/>
      <c r="E586" s="229"/>
      <c r="F586" s="229"/>
      <c r="G586" s="229"/>
      <c r="H586" s="229"/>
      <c r="I586" s="229"/>
      <c r="J586" s="59"/>
      <c r="K586" s="1"/>
      <c r="L586" s="32"/>
      <c r="M586" s="32"/>
      <c r="N586" s="32"/>
      <c r="O586" s="51"/>
      <c r="P586" s="51"/>
    </row>
    <row r="587" spans="2:16" x14ac:dyDescent="0.25">
      <c r="B587" s="32"/>
      <c r="C587" s="229"/>
      <c r="D587" s="229"/>
      <c r="E587" s="229"/>
      <c r="F587" s="229"/>
      <c r="G587" s="229"/>
      <c r="H587" s="229"/>
      <c r="I587" s="229"/>
      <c r="J587" s="59"/>
      <c r="K587" s="1"/>
      <c r="L587" s="32"/>
      <c r="M587" s="32"/>
      <c r="N587" s="32"/>
      <c r="O587" s="51"/>
      <c r="P587" s="51"/>
    </row>
    <row r="588" spans="2:16" x14ac:dyDescent="0.25">
      <c r="B588" s="32"/>
      <c r="C588" s="229"/>
      <c r="D588" s="229"/>
      <c r="E588" s="229"/>
      <c r="F588" s="229"/>
      <c r="G588" s="229"/>
      <c r="H588" s="229"/>
      <c r="I588" s="229"/>
      <c r="J588" s="59"/>
      <c r="K588" s="1"/>
      <c r="L588" s="32"/>
      <c r="M588" s="32"/>
      <c r="N588" s="32"/>
      <c r="O588" s="51"/>
      <c r="P588" s="51"/>
    </row>
    <row r="589" spans="2:16" x14ac:dyDescent="0.25">
      <c r="B589" s="32"/>
      <c r="C589" s="229"/>
      <c r="D589" s="229"/>
      <c r="E589" s="229"/>
      <c r="F589" s="229"/>
      <c r="G589" s="229"/>
      <c r="H589" s="229"/>
      <c r="I589" s="229"/>
      <c r="J589" s="59"/>
      <c r="K589" s="1"/>
      <c r="L589" s="32"/>
      <c r="M589" s="32"/>
      <c r="N589" s="32"/>
      <c r="O589" s="51"/>
      <c r="P589" s="51"/>
    </row>
    <row r="590" spans="2:16" x14ac:dyDescent="0.25">
      <c r="B590" s="32"/>
      <c r="C590" s="229"/>
      <c r="D590" s="229"/>
      <c r="E590" s="229"/>
      <c r="F590" s="229"/>
      <c r="G590" s="229"/>
      <c r="H590" s="229"/>
      <c r="I590" s="229"/>
      <c r="J590" s="59"/>
      <c r="K590" s="1"/>
      <c r="L590" s="32"/>
      <c r="M590" s="32"/>
      <c r="N590" s="32"/>
      <c r="O590" s="51"/>
      <c r="P590" s="51"/>
    </row>
    <row r="591" spans="2:16" x14ac:dyDescent="0.25">
      <c r="B591" s="32"/>
      <c r="C591" s="229"/>
      <c r="D591" s="229"/>
      <c r="E591" s="229"/>
      <c r="F591" s="229"/>
      <c r="G591" s="229"/>
      <c r="H591" s="229"/>
      <c r="I591" s="229"/>
      <c r="J591" s="59"/>
      <c r="K591" s="1"/>
      <c r="L591" s="32"/>
      <c r="M591" s="32"/>
      <c r="N591" s="32"/>
      <c r="O591" s="51"/>
      <c r="P591" s="51"/>
    </row>
    <row r="592" spans="2:16" x14ac:dyDescent="0.25">
      <c r="B592" s="32"/>
      <c r="C592" s="229"/>
      <c r="D592" s="229"/>
      <c r="E592" s="229"/>
      <c r="F592" s="229"/>
      <c r="G592" s="229"/>
      <c r="H592" s="229"/>
      <c r="I592" s="229"/>
      <c r="J592" s="59"/>
      <c r="K592" s="1"/>
      <c r="L592" s="32"/>
      <c r="M592" s="32"/>
      <c r="N592" s="32"/>
      <c r="O592" s="51"/>
      <c r="P592" s="51"/>
    </row>
    <row r="593" spans="2:16" x14ac:dyDescent="0.25">
      <c r="B593" s="32"/>
      <c r="C593" s="229"/>
      <c r="D593" s="229"/>
      <c r="E593" s="229"/>
      <c r="F593" s="229"/>
      <c r="G593" s="229"/>
      <c r="H593" s="229"/>
      <c r="I593" s="229"/>
      <c r="J593" s="59"/>
      <c r="K593" s="1"/>
      <c r="L593" s="32"/>
      <c r="M593" s="32"/>
      <c r="N593" s="32"/>
      <c r="O593" s="51"/>
      <c r="P593" s="51"/>
    </row>
    <row r="594" spans="2:16" x14ac:dyDescent="0.25">
      <c r="B594" s="32"/>
      <c r="C594" s="229"/>
      <c r="D594" s="229"/>
      <c r="E594" s="229"/>
      <c r="F594" s="229"/>
      <c r="G594" s="229"/>
      <c r="H594" s="229"/>
      <c r="I594" s="229"/>
      <c r="J594" s="59"/>
      <c r="K594" s="1"/>
      <c r="L594" s="32"/>
      <c r="M594" s="32"/>
      <c r="N594" s="32"/>
      <c r="O594" s="51"/>
      <c r="P594" s="51"/>
    </row>
    <row r="595" spans="2:16" x14ac:dyDescent="0.25">
      <c r="B595" s="32"/>
      <c r="C595" s="229"/>
      <c r="D595" s="229"/>
      <c r="E595" s="229"/>
      <c r="F595" s="229"/>
      <c r="G595" s="229"/>
      <c r="H595" s="229"/>
      <c r="I595" s="229"/>
      <c r="J595" s="59"/>
      <c r="K595" s="1"/>
      <c r="L595" s="32"/>
      <c r="M595" s="32"/>
      <c r="N595" s="32"/>
      <c r="O595" s="51"/>
      <c r="P595" s="51"/>
    </row>
    <row r="596" spans="2:16" x14ac:dyDescent="0.25">
      <c r="B596" s="32"/>
      <c r="C596" s="229"/>
      <c r="D596" s="229"/>
      <c r="E596" s="229"/>
      <c r="F596" s="229"/>
      <c r="G596" s="229"/>
      <c r="H596" s="229"/>
      <c r="I596" s="229"/>
      <c r="J596" s="59"/>
      <c r="K596" s="1"/>
      <c r="L596" s="32"/>
      <c r="M596" s="32"/>
      <c r="N596" s="32"/>
      <c r="O596" s="51"/>
      <c r="P596" s="51"/>
    </row>
    <row r="597" spans="2:16" x14ac:dyDescent="0.25">
      <c r="B597" s="32"/>
      <c r="C597" s="229"/>
      <c r="D597" s="229"/>
      <c r="E597" s="229"/>
      <c r="F597" s="229"/>
      <c r="G597" s="229"/>
      <c r="H597" s="229"/>
      <c r="I597" s="229"/>
      <c r="J597" s="59"/>
      <c r="K597" s="1"/>
      <c r="L597" s="32"/>
      <c r="M597" s="32"/>
      <c r="N597" s="32"/>
      <c r="O597" s="51"/>
      <c r="P597" s="51"/>
    </row>
    <row r="598" spans="2:16" x14ac:dyDescent="0.25">
      <c r="B598" s="32"/>
      <c r="C598" s="229"/>
      <c r="D598" s="229"/>
      <c r="E598" s="229"/>
      <c r="F598" s="229"/>
      <c r="G598" s="229"/>
      <c r="H598" s="229"/>
      <c r="I598" s="229"/>
      <c r="J598" s="59"/>
      <c r="K598" s="1"/>
      <c r="L598" s="32"/>
      <c r="M598" s="32"/>
      <c r="N598" s="32"/>
      <c r="O598" s="51"/>
      <c r="P598" s="51"/>
    </row>
    <row r="599" spans="2:16" x14ac:dyDescent="0.25">
      <c r="B599" s="32"/>
      <c r="C599" s="229"/>
      <c r="D599" s="229"/>
      <c r="E599" s="229"/>
      <c r="F599" s="229"/>
      <c r="G599" s="229"/>
      <c r="H599" s="229"/>
      <c r="I599" s="229"/>
      <c r="J599" s="59"/>
      <c r="K599" s="1"/>
      <c r="L599" s="32"/>
      <c r="M599" s="32"/>
      <c r="N599" s="32"/>
      <c r="O599" s="51"/>
      <c r="P599" s="51"/>
    </row>
    <row r="600" spans="2:16" x14ac:dyDescent="0.25">
      <c r="B600" s="32"/>
      <c r="C600" s="229"/>
      <c r="D600" s="229"/>
      <c r="E600" s="229"/>
      <c r="F600" s="229"/>
      <c r="G600" s="229"/>
      <c r="H600" s="229"/>
      <c r="I600" s="229"/>
      <c r="J600" s="59"/>
      <c r="K600" s="1"/>
      <c r="L600" s="32"/>
      <c r="M600" s="32"/>
      <c r="N600" s="32"/>
      <c r="O600" s="51"/>
      <c r="P600" s="51"/>
    </row>
    <row r="601" spans="2:16" x14ac:dyDescent="0.25">
      <c r="B601" s="32"/>
      <c r="C601" s="229"/>
      <c r="D601" s="229"/>
      <c r="E601" s="229"/>
      <c r="F601" s="229"/>
      <c r="G601" s="229"/>
      <c r="H601" s="229"/>
      <c r="I601" s="229"/>
      <c r="J601" s="59"/>
      <c r="K601" s="1"/>
      <c r="L601" s="32"/>
      <c r="M601" s="32"/>
      <c r="N601" s="32"/>
      <c r="O601" s="51"/>
      <c r="P601" s="51"/>
    </row>
    <row r="602" spans="2:16" x14ac:dyDescent="0.25">
      <c r="B602" s="32"/>
      <c r="C602" s="229"/>
      <c r="D602" s="229"/>
      <c r="E602" s="229"/>
      <c r="F602" s="229"/>
      <c r="G602" s="229"/>
      <c r="H602" s="229"/>
      <c r="I602" s="229"/>
      <c r="J602" s="59"/>
      <c r="K602" s="1"/>
      <c r="L602" s="32"/>
      <c r="M602" s="32"/>
      <c r="N602" s="32"/>
      <c r="O602" s="51"/>
      <c r="P602" s="51"/>
    </row>
    <row r="603" spans="2:16" x14ac:dyDescent="0.25">
      <c r="B603" s="32"/>
      <c r="C603" s="229"/>
      <c r="D603" s="229"/>
      <c r="E603" s="229"/>
      <c r="F603" s="229"/>
      <c r="G603" s="229"/>
      <c r="H603" s="229"/>
      <c r="I603" s="229"/>
      <c r="J603" s="59"/>
      <c r="K603" s="1"/>
      <c r="L603" s="32"/>
      <c r="M603" s="32"/>
      <c r="N603" s="32"/>
      <c r="O603" s="51"/>
      <c r="P603" s="51"/>
    </row>
    <row r="604" spans="2:16" x14ac:dyDescent="0.25">
      <c r="B604" s="32"/>
      <c r="C604" s="229"/>
      <c r="D604" s="229"/>
      <c r="E604" s="229"/>
      <c r="F604" s="229"/>
      <c r="G604" s="229"/>
      <c r="H604" s="229"/>
      <c r="I604" s="229"/>
      <c r="J604" s="59"/>
      <c r="K604" s="1"/>
      <c r="L604" s="32"/>
      <c r="M604" s="32"/>
      <c r="N604" s="32"/>
      <c r="O604" s="51"/>
      <c r="P604" s="51"/>
    </row>
    <row r="605" spans="2:16" x14ac:dyDescent="0.25">
      <c r="B605" s="32"/>
      <c r="C605" s="229"/>
      <c r="D605" s="229"/>
      <c r="E605" s="229"/>
      <c r="F605" s="229"/>
      <c r="G605" s="229"/>
      <c r="H605" s="229"/>
      <c r="I605" s="229"/>
      <c r="J605" s="59"/>
      <c r="K605" s="1"/>
      <c r="L605" s="32"/>
      <c r="M605" s="32"/>
      <c r="N605" s="32"/>
      <c r="O605" s="51"/>
      <c r="P605" s="51"/>
    </row>
    <row r="606" spans="2:16" x14ac:dyDescent="0.25">
      <c r="B606" s="32"/>
      <c r="C606" s="229"/>
      <c r="D606" s="229"/>
      <c r="E606" s="229"/>
      <c r="F606" s="229"/>
      <c r="G606" s="229"/>
      <c r="H606" s="229"/>
      <c r="I606" s="229"/>
      <c r="J606" s="59"/>
      <c r="K606" s="1"/>
      <c r="L606" s="32"/>
      <c r="M606" s="32"/>
      <c r="N606" s="32"/>
      <c r="O606" s="51"/>
      <c r="P606" s="51"/>
    </row>
    <row r="607" spans="2:16" x14ac:dyDescent="0.25">
      <c r="B607" s="32"/>
      <c r="C607" s="229"/>
      <c r="D607" s="229"/>
      <c r="E607" s="229"/>
      <c r="F607" s="229"/>
      <c r="G607" s="229"/>
      <c r="H607" s="229"/>
      <c r="I607" s="229"/>
      <c r="J607" s="59"/>
      <c r="K607" s="1"/>
      <c r="L607" s="32"/>
      <c r="M607" s="32"/>
      <c r="N607" s="32"/>
      <c r="O607" s="51"/>
      <c r="P607" s="51"/>
    </row>
    <row r="608" spans="2:16" x14ac:dyDescent="0.25">
      <c r="B608" s="32"/>
      <c r="C608" s="229"/>
      <c r="D608" s="229"/>
      <c r="E608" s="229"/>
      <c r="F608" s="229"/>
      <c r="G608" s="229"/>
      <c r="H608" s="229"/>
      <c r="I608" s="229"/>
      <c r="J608" s="59"/>
      <c r="K608" s="1"/>
      <c r="L608" s="32"/>
      <c r="M608" s="32"/>
      <c r="N608" s="32"/>
      <c r="O608" s="51"/>
      <c r="P608" s="51"/>
    </row>
    <row r="609" spans="2:16" x14ac:dyDescent="0.25">
      <c r="B609" s="32"/>
      <c r="C609" s="229"/>
      <c r="D609" s="229"/>
      <c r="E609" s="229"/>
      <c r="F609" s="229"/>
      <c r="G609" s="229"/>
      <c r="H609" s="229"/>
      <c r="I609" s="229"/>
      <c r="J609" s="59"/>
      <c r="K609" s="1"/>
      <c r="L609" s="32"/>
      <c r="M609" s="32"/>
      <c r="N609" s="32"/>
      <c r="O609" s="51"/>
      <c r="P609" s="51"/>
    </row>
    <row r="610" spans="2:16" x14ac:dyDescent="0.25">
      <c r="B610" s="32"/>
      <c r="C610" s="229"/>
      <c r="D610" s="229"/>
      <c r="E610" s="229"/>
      <c r="F610" s="229"/>
      <c r="G610" s="229"/>
      <c r="H610" s="229"/>
      <c r="I610" s="229"/>
      <c r="J610" s="59"/>
      <c r="K610" s="1"/>
      <c r="L610" s="32"/>
      <c r="M610" s="32"/>
      <c r="N610" s="32"/>
      <c r="O610" s="51"/>
      <c r="P610" s="51"/>
    </row>
    <row r="611" spans="2:16" x14ac:dyDescent="0.25">
      <c r="B611" s="32"/>
      <c r="C611" s="229"/>
      <c r="D611" s="229"/>
      <c r="E611" s="229"/>
      <c r="F611" s="229"/>
      <c r="G611" s="229"/>
      <c r="H611" s="229"/>
      <c r="I611" s="229"/>
      <c r="J611" s="59"/>
      <c r="K611" s="1"/>
      <c r="L611" s="32"/>
      <c r="M611" s="32"/>
      <c r="N611" s="32"/>
      <c r="O611" s="51"/>
      <c r="P611" s="51"/>
    </row>
    <row r="612" spans="2:16" x14ac:dyDescent="0.25">
      <c r="B612" s="32"/>
      <c r="C612" s="229"/>
      <c r="D612" s="229"/>
      <c r="E612" s="229"/>
      <c r="F612" s="229"/>
      <c r="G612" s="229"/>
      <c r="H612" s="229"/>
      <c r="I612" s="229"/>
      <c r="J612" s="59"/>
      <c r="K612" s="1"/>
      <c r="L612" s="32"/>
      <c r="M612" s="32"/>
      <c r="N612" s="32"/>
      <c r="O612" s="51"/>
      <c r="P612" s="51"/>
    </row>
    <row r="613" spans="2:16" x14ac:dyDescent="0.25">
      <c r="B613" s="32"/>
      <c r="C613" s="229"/>
      <c r="D613" s="229"/>
      <c r="E613" s="229"/>
      <c r="F613" s="229"/>
      <c r="G613" s="229"/>
      <c r="H613" s="229"/>
      <c r="I613" s="229"/>
      <c r="J613" s="59"/>
      <c r="K613" s="1"/>
      <c r="L613" s="32"/>
      <c r="M613" s="32"/>
      <c r="N613" s="32"/>
      <c r="O613" s="51"/>
      <c r="P613" s="51"/>
    </row>
    <row r="614" spans="2:16" x14ac:dyDescent="0.25">
      <c r="B614" s="32"/>
      <c r="C614" s="229"/>
      <c r="D614" s="229"/>
      <c r="E614" s="229"/>
      <c r="F614" s="229"/>
      <c r="G614" s="229"/>
      <c r="H614" s="229"/>
      <c r="I614" s="229"/>
      <c r="J614" s="59"/>
      <c r="K614" s="1"/>
      <c r="L614" s="32"/>
      <c r="M614" s="32"/>
      <c r="N614" s="32"/>
      <c r="O614" s="51"/>
      <c r="P614" s="51"/>
    </row>
    <row r="615" spans="2:16" x14ac:dyDescent="0.25">
      <c r="B615" s="32"/>
      <c r="C615" s="229"/>
      <c r="D615" s="229"/>
      <c r="E615" s="229"/>
      <c r="F615" s="229"/>
      <c r="G615" s="229"/>
      <c r="H615" s="229"/>
      <c r="I615" s="229"/>
      <c r="J615" s="59"/>
      <c r="K615" s="1"/>
      <c r="L615" s="32"/>
      <c r="M615" s="32"/>
      <c r="N615" s="32"/>
      <c r="O615" s="51"/>
      <c r="P615" s="51"/>
    </row>
    <row r="616" spans="2:16" x14ac:dyDescent="0.25">
      <c r="B616" s="32"/>
      <c r="C616" s="229"/>
      <c r="D616" s="229"/>
      <c r="E616" s="229"/>
      <c r="F616" s="229"/>
      <c r="G616" s="229"/>
      <c r="H616" s="229"/>
      <c r="I616" s="229"/>
      <c r="J616" s="59"/>
      <c r="K616" s="1"/>
      <c r="L616" s="32"/>
      <c r="M616" s="32"/>
      <c r="N616" s="32"/>
      <c r="O616" s="51"/>
      <c r="P616" s="51"/>
    </row>
    <row r="617" spans="2:16" x14ac:dyDescent="0.25">
      <c r="B617" s="32"/>
      <c r="C617" s="229"/>
      <c r="D617" s="229"/>
      <c r="E617" s="229"/>
      <c r="F617" s="229"/>
      <c r="G617" s="229"/>
      <c r="H617" s="229"/>
      <c r="I617" s="229"/>
      <c r="J617" s="59"/>
      <c r="K617" s="1"/>
      <c r="L617" s="32"/>
      <c r="M617" s="32"/>
      <c r="N617" s="32"/>
      <c r="O617" s="51"/>
      <c r="P617" s="51"/>
    </row>
    <row r="618" spans="2:16" x14ac:dyDescent="0.25">
      <c r="B618" s="32"/>
      <c r="C618" s="229"/>
      <c r="D618" s="229"/>
      <c r="E618" s="229"/>
      <c r="F618" s="229"/>
      <c r="G618" s="229"/>
      <c r="H618" s="229"/>
      <c r="I618" s="229"/>
      <c r="J618" s="59"/>
      <c r="K618" s="1"/>
      <c r="L618" s="32"/>
      <c r="M618" s="32"/>
      <c r="N618" s="32"/>
      <c r="O618" s="51"/>
      <c r="P618" s="51"/>
    </row>
    <row r="619" spans="2:16" x14ac:dyDescent="0.25">
      <c r="B619" s="32"/>
      <c r="C619" s="229"/>
      <c r="D619" s="229"/>
      <c r="E619" s="229"/>
      <c r="F619" s="229"/>
      <c r="G619" s="229"/>
      <c r="H619" s="229"/>
      <c r="I619" s="229"/>
      <c r="J619" s="59"/>
      <c r="K619" s="1"/>
      <c r="L619" s="32"/>
      <c r="M619" s="32"/>
      <c r="N619" s="32"/>
      <c r="O619" s="51"/>
      <c r="P619" s="51"/>
    </row>
    <row r="620" spans="2:16" x14ac:dyDescent="0.25">
      <c r="B620" s="32"/>
      <c r="C620" s="229"/>
      <c r="D620" s="229"/>
      <c r="E620" s="229"/>
      <c r="F620" s="229"/>
      <c r="G620" s="229"/>
      <c r="H620" s="229"/>
      <c r="I620" s="229"/>
      <c r="J620" s="59"/>
      <c r="K620" s="1"/>
      <c r="L620" s="32"/>
      <c r="M620" s="32"/>
      <c r="N620" s="32"/>
      <c r="O620" s="51"/>
      <c r="P620" s="51"/>
    </row>
    <row r="621" spans="2:16" x14ac:dyDescent="0.25">
      <c r="B621" s="32"/>
      <c r="C621" s="229"/>
      <c r="D621" s="229"/>
      <c r="E621" s="229"/>
      <c r="F621" s="229"/>
      <c r="G621" s="229"/>
      <c r="H621" s="229"/>
      <c r="I621" s="229"/>
      <c r="J621" s="59"/>
      <c r="K621" s="1"/>
      <c r="L621" s="32"/>
      <c r="M621" s="32"/>
      <c r="N621" s="32"/>
      <c r="O621" s="51"/>
      <c r="P621" s="51"/>
    </row>
    <row r="622" spans="2:16" x14ac:dyDescent="0.25">
      <c r="B622" s="32"/>
      <c r="C622" s="229"/>
      <c r="D622" s="229"/>
      <c r="E622" s="229"/>
      <c r="F622" s="229"/>
      <c r="G622" s="229"/>
      <c r="H622" s="229"/>
      <c r="I622" s="229"/>
      <c r="J622" s="59"/>
      <c r="K622" s="1"/>
      <c r="L622" s="32"/>
      <c r="M622" s="32"/>
      <c r="N622" s="32"/>
      <c r="O622" s="51"/>
      <c r="P622" s="51"/>
    </row>
    <row r="623" spans="2:16" x14ac:dyDescent="0.25">
      <c r="B623" s="32"/>
      <c r="C623" s="229"/>
      <c r="D623" s="229"/>
      <c r="E623" s="229"/>
      <c r="F623" s="229"/>
      <c r="G623" s="229"/>
      <c r="H623" s="229"/>
      <c r="I623" s="229"/>
      <c r="J623" s="59"/>
      <c r="K623" s="1"/>
      <c r="L623" s="32"/>
      <c r="M623" s="32"/>
      <c r="N623" s="32"/>
      <c r="O623" s="51"/>
      <c r="P623" s="51"/>
    </row>
    <row r="624" spans="2:16" x14ac:dyDescent="0.25">
      <c r="B624" s="32"/>
      <c r="C624" s="229"/>
      <c r="D624" s="229"/>
      <c r="E624" s="229"/>
      <c r="F624" s="229"/>
      <c r="G624" s="229"/>
      <c r="H624" s="229"/>
      <c r="I624" s="229"/>
      <c r="J624" s="59"/>
      <c r="K624" s="1"/>
      <c r="L624" s="32"/>
      <c r="M624" s="32"/>
      <c r="N624" s="32"/>
      <c r="O624" s="51"/>
      <c r="P624" s="51"/>
    </row>
    <row r="625" spans="2:16" x14ac:dyDescent="0.25">
      <c r="B625" s="32"/>
      <c r="C625" s="229"/>
      <c r="D625" s="229"/>
      <c r="E625" s="229"/>
      <c r="F625" s="229"/>
      <c r="G625" s="229"/>
      <c r="H625" s="229"/>
      <c r="I625" s="229"/>
      <c r="J625" s="59"/>
      <c r="K625" s="1"/>
      <c r="L625" s="32"/>
      <c r="M625" s="32"/>
      <c r="N625" s="32"/>
      <c r="O625" s="51"/>
      <c r="P625" s="51"/>
    </row>
    <row r="626" spans="2:16" x14ac:dyDescent="0.25">
      <c r="B626" s="32"/>
      <c r="C626" s="229"/>
      <c r="D626" s="229"/>
      <c r="E626" s="229"/>
      <c r="F626" s="229"/>
      <c r="G626" s="229"/>
      <c r="H626" s="229"/>
      <c r="I626" s="229"/>
      <c r="J626" s="59"/>
      <c r="K626" s="1"/>
      <c r="L626" s="32"/>
      <c r="M626" s="32"/>
      <c r="N626" s="32"/>
      <c r="O626" s="51"/>
      <c r="P626" s="51"/>
    </row>
    <row r="627" spans="2:16" x14ac:dyDescent="0.25">
      <c r="B627" s="32"/>
      <c r="C627" s="229"/>
      <c r="D627" s="229"/>
      <c r="E627" s="229"/>
      <c r="F627" s="229"/>
      <c r="G627" s="229"/>
      <c r="H627" s="229"/>
      <c r="I627" s="229"/>
      <c r="J627" s="59"/>
      <c r="K627" s="1"/>
      <c r="L627" s="32"/>
      <c r="M627" s="32"/>
      <c r="N627" s="32"/>
      <c r="O627" s="51"/>
      <c r="P627" s="51"/>
    </row>
    <row r="628" spans="2:16" x14ac:dyDescent="0.25">
      <c r="B628" s="32"/>
      <c r="C628" s="229"/>
      <c r="D628" s="229"/>
      <c r="E628" s="229"/>
      <c r="F628" s="229"/>
      <c r="G628" s="229"/>
      <c r="H628" s="229"/>
      <c r="I628" s="229"/>
      <c r="J628" s="59"/>
      <c r="K628" s="1"/>
      <c r="L628" s="32"/>
      <c r="M628" s="32"/>
      <c r="N628" s="32"/>
      <c r="O628" s="51"/>
      <c r="P628" s="51"/>
    </row>
    <row r="629" spans="2:16" x14ac:dyDescent="0.25">
      <c r="B629" s="32"/>
      <c r="C629" s="229"/>
      <c r="D629" s="229"/>
      <c r="E629" s="229"/>
      <c r="F629" s="229"/>
      <c r="G629" s="229"/>
      <c r="H629" s="229"/>
      <c r="I629" s="229"/>
      <c r="J629" s="59"/>
      <c r="K629" s="1"/>
      <c r="L629" s="32"/>
      <c r="M629" s="32"/>
      <c r="N629" s="32"/>
      <c r="O629" s="51"/>
      <c r="P629" s="51"/>
    </row>
    <row r="630" spans="2:16" x14ac:dyDescent="0.25">
      <c r="B630" s="32"/>
      <c r="C630" s="229"/>
      <c r="D630" s="229"/>
      <c r="E630" s="229"/>
      <c r="F630" s="229"/>
      <c r="G630" s="229"/>
      <c r="H630" s="229"/>
      <c r="I630" s="229"/>
      <c r="J630" s="59"/>
      <c r="K630" s="1"/>
      <c r="L630" s="32"/>
      <c r="M630" s="32"/>
      <c r="N630" s="32"/>
      <c r="O630" s="51"/>
      <c r="P630" s="51"/>
    </row>
    <row r="631" spans="2:16" x14ac:dyDescent="0.25">
      <c r="B631" s="32"/>
      <c r="C631" s="229"/>
      <c r="D631" s="229"/>
      <c r="E631" s="229"/>
      <c r="F631" s="229"/>
      <c r="G631" s="229"/>
      <c r="H631" s="229"/>
      <c r="I631" s="229"/>
      <c r="J631" s="59"/>
      <c r="K631" s="1"/>
      <c r="L631" s="32"/>
      <c r="M631" s="32"/>
      <c r="N631" s="32"/>
      <c r="O631" s="51"/>
      <c r="P631" s="51"/>
    </row>
    <row r="632" spans="2:16" x14ac:dyDescent="0.25">
      <c r="B632" s="32"/>
      <c r="C632" s="229"/>
      <c r="D632" s="229"/>
      <c r="E632" s="229"/>
      <c r="F632" s="229"/>
      <c r="G632" s="229"/>
      <c r="H632" s="229"/>
      <c r="I632" s="229"/>
      <c r="J632" s="59"/>
      <c r="K632" s="1"/>
      <c r="L632" s="32"/>
      <c r="M632" s="32"/>
      <c r="N632" s="32"/>
      <c r="O632" s="51"/>
      <c r="P632" s="51"/>
    </row>
    <row r="633" spans="2:16" x14ac:dyDescent="0.25">
      <c r="B633" s="32"/>
      <c r="C633" s="229"/>
      <c r="D633" s="229"/>
      <c r="E633" s="229"/>
      <c r="F633" s="229"/>
      <c r="G633" s="229"/>
      <c r="H633" s="229"/>
      <c r="I633" s="229"/>
      <c r="J633" s="59"/>
      <c r="K633" s="1"/>
      <c r="L633" s="32"/>
      <c r="M633" s="32"/>
      <c r="N633" s="32"/>
      <c r="O633" s="51"/>
      <c r="P633" s="51"/>
    </row>
    <row r="634" spans="2:16" x14ac:dyDescent="0.25">
      <c r="B634" s="32"/>
      <c r="C634" s="229"/>
      <c r="D634" s="229"/>
      <c r="E634" s="229"/>
      <c r="F634" s="229"/>
      <c r="G634" s="229"/>
      <c r="H634" s="229"/>
      <c r="I634" s="229"/>
      <c r="J634" s="59"/>
      <c r="K634" s="1"/>
      <c r="L634" s="32"/>
      <c r="M634" s="32"/>
      <c r="N634" s="32"/>
      <c r="O634" s="51"/>
      <c r="P634" s="51"/>
    </row>
    <row r="635" spans="2:16" x14ac:dyDescent="0.25">
      <c r="B635" s="32"/>
      <c r="C635" s="229"/>
      <c r="D635" s="229"/>
      <c r="E635" s="229"/>
      <c r="F635" s="229"/>
      <c r="G635" s="229"/>
      <c r="H635" s="229"/>
      <c r="I635" s="229"/>
      <c r="J635" s="59"/>
      <c r="K635" s="1"/>
      <c r="L635" s="32"/>
      <c r="M635" s="32"/>
      <c r="N635" s="32"/>
      <c r="O635" s="51"/>
      <c r="P635" s="51"/>
    </row>
    <row r="636" spans="2:16" x14ac:dyDescent="0.25">
      <c r="B636" s="32"/>
      <c r="C636" s="229"/>
      <c r="D636" s="229"/>
      <c r="E636" s="229"/>
      <c r="F636" s="229"/>
      <c r="G636" s="229"/>
      <c r="H636" s="229"/>
      <c r="I636" s="229"/>
      <c r="J636" s="59"/>
      <c r="K636" s="1"/>
      <c r="L636" s="32"/>
      <c r="M636" s="32"/>
      <c r="N636" s="32"/>
      <c r="O636" s="51"/>
      <c r="P636" s="51"/>
    </row>
    <row r="637" spans="2:16" x14ac:dyDescent="0.25">
      <c r="B637" s="32"/>
      <c r="C637" s="229"/>
      <c r="D637" s="229"/>
      <c r="E637" s="229"/>
      <c r="F637" s="229"/>
      <c r="G637" s="229"/>
      <c r="H637" s="229"/>
      <c r="I637" s="229"/>
      <c r="J637" s="59"/>
      <c r="K637" s="1"/>
      <c r="L637" s="32"/>
      <c r="M637" s="32"/>
      <c r="N637" s="32"/>
      <c r="O637" s="51"/>
      <c r="P637" s="51"/>
    </row>
    <row r="638" spans="2:16" x14ac:dyDescent="0.25">
      <c r="B638" s="32"/>
      <c r="C638" s="229"/>
      <c r="D638" s="229"/>
      <c r="E638" s="229"/>
      <c r="F638" s="229"/>
      <c r="G638" s="229"/>
      <c r="H638" s="229"/>
      <c r="I638" s="229"/>
      <c r="J638" s="59"/>
      <c r="K638" s="1"/>
      <c r="L638" s="32"/>
      <c r="M638" s="32"/>
      <c r="N638" s="32"/>
      <c r="O638" s="51"/>
      <c r="P638" s="51"/>
    </row>
    <row r="639" spans="2:16" x14ac:dyDescent="0.25">
      <c r="B639" s="32"/>
      <c r="C639" s="229"/>
      <c r="D639" s="229"/>
      <c r="E639" s="229"/>
      <c r="F639" s="229"/>
      <c r="G639" s="229"/>
      <c r="H639" s="229"/>
      <c r="I639" s="229"/>
      <c r="J639" s="59"/>
      <c r="K639" s="1"/>
      <c r="L639" s="32"/>
      <c r="M639" s="32"/>
      <c r="N639" s="32"/>
      <c r="O639" s="51"/>
      <c r="P639" s="51"/>
    </row>
    <row r="640" spans="2:16" x14ac:dyDescent="0.25">
      <c r="B640" s="32"/>
      <c r="C640" s="229"/>
      <c r="D640" s="229"/>
      <c r="E640" s="229"/>
      <c r="F640" s="229"/>
      <c r="G640" s="229"/>
      <c r="H640" s="229"/>
      <c r="I640" s="229"/>
      <c r="J640" s="59"/>
      <c r="K640" s="1"/>
      <c r="L640" s="32"/>
      <c r="M640" s="32"/>
      <c r="N640" s="32"/>
      <c r="O640" s="51"/>
      <c r="P640" s="51"/>
    </row>
    <row r="641" spans="2:16" x14ac:dyDescent="0.25">
      <c r="B641" s="32"/>
      <c r="C641" s="229"/>
      <c r="D641" s="229"/>
      <c r="E641" s="229"/>
      <c r="F641" s="229"/>
      <c r="G641" s="229"/>
      <c r="H641" s="229"/>
      <c r="I641" s="229"/>
      <c r="J641" s="59"/>
      <c r="K641" s="1"/>
      <c r="L641" s="32"/>
      <c r="M641" s="32"/>
      <c r="N641" s="32"/>
      <c r="O641" s="51"/>
      <c r="P641" s="51"/>
    </row>
    <row r="642" spans="2:16" x14ac:dyDescent="0.25">
      <c r="B642" s="32"/>
      <c r="C642" s="229"/>
      <c r="D642" s="229"/>
      <c r="E642" s="229"/>
      <c r="F642" s="229"/>
      <c r="G642" s="229"/>
      <c r="H642" s="229"/>
      <c r="I642" s="229"/>
      <c r="J642" s="59"/>
      <c r="K642" s="1"/>
      <c r="L642" s="32"/>
      <c r="M642" s="32"/>
      <c r="N642" s="32"/>
      <c r="O642" s="51"/>
      <c r="P642" s="51"/>
    </row>
    <row r="643" spans="2:16" x14ac:dyDescent="0.25">
      <c r="B643" s="32"/>
      <c r="C643" s="229"/>
      <c r="D643" s="229"/>
      <c r="E643" s="229"/>
      <c r="F643" s="229"/>
      <c r="G643" s="229"/>
      <c r="H643" s="229"/>
      <c r="I643" s="229"/>
      <c r="J643" s="59"/>
      <c r="K643" s="1"/>
      <c r="L643" s="32"/>
      <c r="M643" s="32"/>
      <c r="N643" s="32"/>
      <c r="O643" s="51"/>
      <c r="P643" s="51"/>
    </row>
    <row r="644" spans="2:16" x14ac:dyDescent="0.25">
      <c r="B644" s="32"/>
      <c r="C644" s="229"/>
      <c r="D644" s="229"/>
      <c r="E644" s="229"/>
      <c r="F644" s="229"/>
      <c r="G644" s="229"/>
      <c r="H644" s="229"/>
      <c r="I644" s="229"/>
      <c r="J644" s="59"/>
      <c r="K644" s="1"/>
      <c r="L644" s="32"/>
      <c r="M644" s="32"/>
      <c r="N644" s="32"/>
      <c r="O644" s="51"/>
      <c r="P644" s="51"/>
    </row>
    <row r="645" spans="2:16" x14ac:dyDescent="0.25">
      <c r="B645" s="32"/>
      <c r="C645" s="229"/>
      <c r="D645" s="229"/>
      <c r="E645" s="229"/>
      <c r="F645" s="229"/>
      <c r="G645" s="229"/>
      <c r="H645" s="229"/>
      <c r="I645" s="229"/>
      <c r="J645" s="59"/>
      <c r="K645" s="1"/>
      <c r="L645" s="32"/>
      <c r="M645" s="32"/>
      <c r="N645" s="32"/>
      <c r="O645" s="51"/>
      <c r="P645" s="51"/>
    </row>
    <row r="646" spans="2:16" x14ac:dyDescent="0.25">
      <c r="B646" s="32"/>
      <c r="C646" s="229"/>
      <c r="D646" s="229"/>
      <c r="E646" s="229"/>
      <c r="F646" s="229"/>
      <c r="G646" s="229"/>
      <c r="H646" s="229"/>
      <c r="I646" s="229"/>
      <c r="J646" s="59"/>
      <c r="K646" s="1"/>
      <c r="L646" s="32"/>
      <c r="M646" s="32"/>
      <c r="N646" s="32"/>
      <c r="O646" s="51"/>
      <c r="P646" s="51"/>
    </row>
    <row r="647" spans="2:16" x14ac:dyDescent="0.25">
      <c r="B647" s="32"/>
      <c r="C647" s="229"/>
      <c r="D647" s="229"/>
      <c r="E647" s="229"/>
      <c r="F647" s="229"/>
      <c r="G647" s="229"/>
      <c r="H647" s="229"/>
      <c r="I647" s="229"/>
      <c r="J647" s="59"/>
      <c r="K647" s="1"/>
      <c r="L647" s="32"/>
      <c r="M647" s="32"/>
      <c r="N647" s="32"/>
      <c r="O647" s="51"/>
      <c r="P647" s="51"/>
    </row>
    <row r="648" spans="2:16" x14ac:dyDescent="0.25">
      <c r="B648" s="32"/>
      <c r="C648" s="229"/>
      <c r="D648" s="229"/>
      <c r="E648" s="229"/>
      <c r="F648" s="229"/>
      <c r="G648" s="229"/>
      <c r="H648" s="229"/>
      <c r="I648" s="229"/>
      <c r="J648" s="59"/>
      <c r="K648" s="1"/>
      <c r="L648" s="32"/>
      <c r="M648" s="32"/>
      <c r="N648" s="32"/>
      <c r="O648" s="51"/>
      <c r="P648" s="51"/>
    </row>
    <row r="649" spans="2:16" x14ac:dyDescent="0.25">
      <c r="B649" s="32"/>
      <c r="C649" s="229"/>
      <c r="D649" s="229"/>
      <c r="E649" s="229"/>
      <c r="F649" s="229"/>
      <c r="G649" s="229"/>
      <c r="H649" s="229"/>
      <c r="I649" s="229"/>
      <c r="J649" s="59"/>
      <c r="K649" s="1"/>
      <c r="L649" s="32"/>
      <c r="M649" s="32"/>
      <c r="N649" s="32"/>
      <c r="O649" s="51"/>
      <c r="P649" s="51"/>
    </row>
    <row r="650" spans="2:16" x14ac:dyDescent="0.25">
      <c r="B650" s="32"/>
      <c r="C650" s="229"/>
      <c r="D650" s="229"/>
      <c r="E650" s="229"/>
      <c r="F650" s="229"/>
      <c r="G650" s="229"/>
      <c r="H650" s="229"/>
      <c r="I650" s="229"/>
      <c r="J650" s="59"/>
      <c r="K650" s="1"/>
      <c r="L650" s="32"/>
      <c r="M650" s="32"/>
      <c r="N650" s="32"/>
      <c r="O650" s="51"/>
      <c r="P650" s="51"/>
    </row>
    <row r="651" spans="2:16" x14ac:dyDescent="0.25">
      <c r="B651" s="32"/>
      <c r="C651" s="229"/>
      <c r="D651" s="229"/>
      <c r="E651" s="229"/>
      <c r="F651" s="229"/>
      <c r="G651" s="229"/>
      <c r="H651" s="229"/>
      <c r="I651" s="229"/>
      <c r="J651" s="59"/>
      <c r="K651" s="1"/>
      <c r="L651" s="32"/>
      <c r="M651" s="32"/>
      <c r="N651" s="32"/>
      <c r="O651" s="51"/>
      <c r="P651" s="51"/>
    </row>
    <row r="652" spans="2:16" x14ac:dyDescent="0.25">
      <c r="B652" s="32"/>
      <c r="C652" s="229"/>
      <c r="D652" s="229"/>
      <c r="E652" s="229"/>
      <c r="F652" s="229"/>
      <c r="G652" s="229"/>
      <c r="H652" s="229"/>
      <c r="I652" s="229"/>
      <c r="J652" s="59"/>
      <c r="K652" s="1"/>
      <c r="L652" s="32"/>
      <c r="M652" s="32"/>
      <c r="N652" s="32"/>
      <c r="O652" s="51"/>
      <c r="P652" s="51"/>
    </row>
    <row r="653" spans="2:16" x14ac:dyDescent="0.25">
      <c r="B653" s="32"/>
      <c r="C653" s="229"/>
      <c r="D653" s="229"/>
      <c r="E653" s="229"/>
      <c r="F653" s="229"/>
      <c r="G653" s="229"/>
      <c r="H653" s="229"/>
      <c r="I653" s="229"/>
      <c r="J653" s="59"/>
      <c r="K653" s="1"/>
      <c r="L653" s="32"/>
      <c r="M653" s="32"/>
      <c r="N653" s="32"/>
      <c r="O653" s="51"/>
      <c r="P653" s="51"/>
    </row>
    <row r="654" spans="2:16" x14ac:dyDescent="0.25">
      <c r="B654" s="32"/>
      <c r="C654" s="229"/>
      <c r="D654" s="229"/>
      <c r="E654" s="229"/>
      <c r="F654" s="229"/>
      <c r="G654" s="229"/>
      <c r="H654" s="229"/>
      <c r="I654" s="229"/>
      <c r="J654" s="59"/>
      <c r="K654" s="1"/>
      <c r="L654" s="32"/>
      <c r="M654" s="32"/>
      <c r="N654" s="32"/>
      <c r="O654" s="51"/>
      <c r="P654" s="51"/>
    </row>
    <row r="655" spans="2:16" x14ac:dyDescent="0.25">
      <c r="B655" s="32"/>
      <c r="C655" s="229"/>
      <c r="D655" s="229"/>
      <c r="E655" s="229"/>
      <c r="F655" s="229"/>
      <c r="G655" s="229"/>
      <c r="H655" s="229"/>
      <c r="I655" s="229"/>
      <c r="J655" s="59"/>
      <c r="K655" s="1"/>
      <c r="L655" s="32"/>
      <c r="M655" s="32"/>
      <c r="N655" s="32"/>
      <c r="O655" s="51"/>
      <c r="P655" s="51"/>
    </row>
    <row r="656" spans="2:16" x14ac:dyDescent="0.25">
      <c r="B656" s="32"/>
      <c r="C656" s="229"/>
      <c r="D656" s="229"/>
      <c r="E656" s="229"/>
      <c r="F656" s="229"/>
      <c r="G656" s="229"/>
      <c r="H656" s="229"/>
      <c r="I656" s="229"/>
      <c r="J656" s="59"/>
      <c r="K656" s="1"/>
      <c r="L656" s="32"/>
      <c r="M656" s="32"/>
      <c r="N656" s="32"/>
      <c r="O656" s="51"/>
      <c r="P656" s="51"/>
    </row>
    <row r="657" spans="2:16" x14ac:dyDescent="0.25">
      <c r="B657" s="32"/>
      <c r="C657" s="229"/>
      <c r="D657" s="229"/>
      <c r="E657" s="229"/>
      <c r="F657" s="229"/>
      <c r="G657" s="229"/>
      <c r="H657" s="229"/>
      <c r="I657" s="229"/>
      <c r="J657" s="59"/>
      <c r="K657" s="1"/>
      <c r="L657" s="32"/>
      <c r="M657" s="32"/>
      <c r="N657" s="32"/>
      <c r="O657" s="51"/>
      <c r="P657" s="51"/>
    </row>
    <row r="658" spans="2:16" x14ac:dyDescent="0.25">
      <c r="B658" s="32"/>
      <c r="C658" s="229"/>
      <c r="D658" s="229"/>
      <c r="E658" s="229"/>
      <c r="F658" s="229"/>
      <c r="G658" s="229"/>
      <c r="H658" s="229"/>
      <c r="I658" s="229"/>
      <c r="J658" s="59"/>
      <c r="K658" s="1"/>
      <c r="L658" s="32"/>
      <c r="M658" s="32"/>
      <c r="N658" s="32"/>
      <c r="O658" s="51"/>
      <c r="P658" s="51"/>
    </row>
    <row r="659" spans="2:16" x14ac:dyDescent="0.25">
      <c r="B659" s="32"/>
      <c r="C659" s="229"/>
      <c r="D659" s="229"/>
      <c r="E659" s="229"/>
      <c r="F659" s="229"/>
      <c r="G659" s="229"/>
      <c r="H659" s="229"/>
      <c r="I659" s="229"/>
      <c r="J659" s="59"/>
      <c r="K659" s="1"/>
      <c r="L659" s="32"/>
      <c r="M659" s="32"/>
      <c r="N659" s="32"/>
      <c r="O659" s="51"/>
      <c r="P659" s="51"/>
    </row>
    <row r="660" spans="2:16" x14ac:dyDescent="0.25">
      <c r="B660" s="32"/>
      <c r="C660" s="229"/>
      <c r="D660" s="229"/>
      <c r="E660" s="229"/>
      <c r="F660" s="229"/>
      <c r="G660" s="229"/>
      <c r="H660" s="229"/>
      <c r="I660" s="229"/>
      <c r="J660" s="59"/>
      <c r="K660" s="1"/>
      <c r="L660" s="32"/>
      <c r="M660" s="32"/>
      <c r="N660" s="32"/>
      <c r="O660" s="51"/>
      <c r="P660" s="51"/>
    </row>
    <row r="661" spans="2:16" x14ac:dyDescent="0.25">
      <c r="B661" s="32"/>
      <c r="C661" s="229"/>
      <c r="D661" s="229"/>
      <c r="E661" s="229"/>
      <c r="F661" s="229"/>
      <c r="G661" s="229"/>
      <c r="H661" s="229"/>
      <c r="I661" s="229"/>
      <c r="J661" s="59"/>
      <c r="K661" s="1"/>
      <c r="L661" s="32"/>
      <c r="M661" s="32"/>
      <c r="N661" s="32"/>
      <c r="O661" s="51"/>
      <c r="P661" s="51"/>
    </row>
    <row r="662" spans="2:16" x14ac:dyDescent="0.25">
      <c r="B662" s="32"/>
      <c r="C662" s="229"/>
      <c r="D662" s="229"/>
      <c r="E662" s="229"/>
      <c r="F662" s="229"/>
      <c r="G662" s="229"/>
      <c r="H662" s="229"/>
      <c r="I662" s="229"/>
      <c r="J662" s="59"/>
      <c r="K662" s="1"/>
      <c r="L662" s="32"/>
      <c r="M662" s="32"/>
      <c r="N662" s="32"/>
      <c r="O662" s="51"/>
      <c r="P662" s="51"/>
    </row>
    <row r="663" spans="2:16" x14ac:dyDescent="0.25">
      <c r="B663" s="32"/>
      <c r="C663" s="229"/>
      <c r="D663" s="229"/>
      <c r="E663" s="229"/>
      <c r="F663" s="229"/>
      <c r="G663" s="229"/>
      <c r="H663" s="229"/>
      <c r="I663" s="229"/>
      <c r="J663" s="59"/>
      <c r="K663" s="1"/>
      <c r="L663" s="32"/>
      <c r="M663" s="32"/>
      <c r="N663" s="32"/>
      <c r="O663" s="51"/>
      <c r="P663" s="51"/>
    </row>
    <row r="664" spans="2:16" x14ac:dyDescent="0.25">
      <c r="B664" s="32"/>
      <c r="C664" s="229"/>
      <c r="D664" s="229"/>
      <c r="E664" s="229"/>
      <c r="F664" s="229"/>
      <c r="G664" s="229"/>
      <c r="H664" s="229"/>
      <c r="I664" s="229"/>
      <c r="J664" s="59"/>
      <c r="K664" s="1"/>
      <c r="L664" s="32"/>
      <c r="M664" s="32"/>
      <c r="N664" s="32"/>
      <c r="O664" s="51"/>
      <c r="P664" s="51"/>
    </row>
    <row r="665" spans="2:16" x14ac:dyDescent="0.25">
      <c r="B665" s="32"/>
      <c r="C665" s="229"/>
      <c r="D665" s="229"/>
      <c r="E665" s="229"/>
      <c r="F665" s="229"/>
      <c r="G665" s="229"/>
      <c r="H665" s="229"/>
      <c r="I665" s="229"/>
      <c r="J665" s="59"/>
      <c r="K665" s="1"/>
      <c r="L665" s="32"/>
      <c r="M665" s="32"/>
      <c r="N665" s="32"/>
      <c r="O665" s="51"/>
      <c r="P665" s="51"/>
    </row>
    <row r="666" spans="2:16" x14ac:dyDescent="0.25">
      <c r="B666" s="32"/>
      <c r="C666" s="229"/>
      <c r="D666" s="229"/>
      <c r="E666" s="229"/>
      <c r="F666" s="229"/>
      <c r="G666" s="229"/>
      <c r="H666" s="229"/>
      <c r="I666" s="229"/>
      <c r="J666" s="59"/>
      <c r="K666" s="1"/>
      <c r="L666" s="32"/>
      <c r="M666" s="32"/>
      <c r="N666" s="32"/>
      <c r="O666" s="51"/>
      <c r="P666" s="51"/>
    </row>
    <row r="667" spans="2:16" x14ac:dyDescent="0.25">
      <c r="B667" s="32"/>
      <c r="C667" s="229"/>
      <c r="D667" s="229"/>
      <c r="E667" s="229"/>
      <c r="F667" s="229"/>
      <c r="G667" s="229"/>
      <c r="H667" s="229"/>
      <c r="I667" s="229"/>
      <c r="J667" s="59"/>
      <c r="K667" s="1"/>
      <c r="L667" s="32"/>
      <c r="M667" s="32"/>
      <c r="N667" s="32"/>
      <c r="O667" s="51"/>
      <c r="P667" s="51"/>
    </row>
    <row r="668" spans="2:16" x14ac:dyDescent="0.25">
      <c r="B668" s="32"/>
      <c r="C668" s="229"/>
      <c r="D668" s="229"/>
      <c r="E668" s="229"/>
      <c r="F668" s="229"/>
      <c r="G668" s="229"/>
      <c r="H668" s="229"/>
      <c r="I668" s="229"/>
      <c r="J668" s="59"/>
      <c r="K668" s="1"/>
      <c r="L668" s="32"/>
      <c r="M668" s="32"/>
      <c r="N668" s="32"/>
      <c r="O668" s="51"/>
      <c r="P668" s="51"/>
    </row>
    <row r="669" spans="2:16" x14ac:dyDescent="0.25">
      <c r="B669" s="32"/>
      <c r="C669" s="229"/>
      <c r="D669" s="229"/>
      <c r="E669" s="229"/>
      <c r="F669" s="229"/>
      <c r="G669" s="229"/>
      <c r="H669" s="229"/>
      <c r="I669" s="229"/>
      <c r="J669" s="59"/>
      <c r="K669" s="1"/>
      <c r="L669" s="32"/>
      <c r="M669" s="32"/>
      <c r="N669" s="32"/>
      <c r="O669" s="51"/>
      <c r="P669" s="51"/>
    </row>
    <row r="670" spans="2:16" x14ac:dyDescent="0.25">
      <c r="B670" s="32"/>
      <c r="C670" s="229"/>
      <c r="D670" s="229"/>
      <c r="E670" s="229"/>
      <c r="F670" s="229"/>
      <c r="G670" s="229"/>
      <c r="H670" s="229"/>
      <c r="I670" s="229"/>
      <c r="J670" s="59"/>
      <c r="K670" s="1"/>
      <c r="L670" s="32"/>
      <c r="M670" s="32"/>
      <c r="N670" s="32"/>
      <c r="O670" s="51"/>
      <c r="P670" s="51"/>
    </row>
    <row r="671" spans="2:16" x14ac:dyDescent="0.25">
      <c r="B671" s="32"/>
      <c r="C671" s="229"/>
      <c r="D671" s="229"/>
      <c r="E671" s="229"/>
      <c r="F671" s="229"/>
      <c r="G671" s="229"/>
      <c r="H671" s="229"/>
      <c r="I671" s="229"/>
      <c r="J671" s="59"/>
      <c r="K671" s="1"/>
      <c r="L671" s="32"/>
      <c r="M671" s="32"/>
      <c r="N671" s="32"/>
      <c r="O671" s="51"/>
      <c r="P671" s="51"/>
    </row>
    <row r="672" spans="2:16" x14ac:dyDescent="0.25">
      <c r="B672" s="32"/>
      <c r="C672" s="229"/>
      <c r="D672" s="229"/>
      <c r="E672" s="229"/>
      <c r="F672" s="229"/>
      <c r="G672" s="229"/>
      <c r="H672" s="229"/>
      <c r="I672" s="229"/>
      <c r="J672" s="59"/>
      <c r="K672" s="1"/>
      <c r="L672" s="32"/>
      <c r="M672" s="32"/>
      <c r="N672" s="32"/>
      <c r="O672" s="51"/>
      <c r="P672" s="51"/>
    </row>
    <row r="673" spans="2:16" x14ac:dyDescent="0.25">
      <c r="B673" s="32"/>
      <c r="C673" s="229"/>
      <c r="D673" s="229"/>
      <c r="E673" s="229"/>
      <c r="F673" s="229"/>
      <c r="G673" s="229"/>
      <c r="H673" s="229"/>
      <c r="I673" s="229"/>
      <c r="J673" s="59"/>
      <c r="K673" s="1"/>
      <c r="L673" s="32"/>
      <c r="M673" s="32"/>
      <c r="N673" s="32"/>
      <c r="O673" s="51"/>
      <c r="P673" s="51"/>
    </row>
    <row r="674" spans="2:16" x14ac:dyDescent="0.25">
      <c r="B674" s="32"/>
      <c r="C674" s="229"/>
      <c r="D674" s="229"/>
      <c r="E674" s="229"/>
      <c r="F674" s="229"/>
      <c r="G674" s="229"/>
      <c r="H674" s="229"/>
      <c r="I674" s="229"/>
      <c r="J674" s="59"/>
      <c r="K674" s="1"/>
      <c r="L674" s="32"/>
      <c r="M674" s="32"/>
      <c r="N674" s="32"/>
      <c r="O674" s="51"/>
      <c r="P674" s="51"/>
    </row>
    <row r="675" spans="2:16" x14ac:dyDescent="0.25">
      <c r="B675" s="32"/>
      <c r="C675" s="229"/>
      <c r="D675" s="229"/>
      <c r="E675" s="229"/>
      <c r="F675" s="229"/>
      <c r="G675" s="229"/>
      <c r="H675" s="229"/>
      <c r="I675" s="229"/>
      <c r="J675" s="59"/>
      <c r="K675" s="1"/>
      <c r="L675" s="32"/>
      <c r="M675" s="32"/>
      <c r="N675" s="32"/>
      <c r="O675" s="51"/>
      <c r="P675" s="51"/>
    </row>
    <row r="676" spans="2:16" x14ac:dyDescent="0.25">
      <c r="B676" s="32"/>
      <c r="C676" s="229"/>
      <c r="D676" s="229"/>
      <c r="E676" s="229"/>
      <c r="F676" s="229"/>
      <c r="G676" s="229"/>
      <c r="H676" s="229"/>
      <c r="I676" s="229"/>
      <c r="J676" s="59"/>
      <c r="K676" s="1"/>
      <c r="L676" s="32"/>
      <c r="M676" s="32"/>
      <c r="N676" s="32"/>
      <c r="O676" s="51"/>
      <c r="P676" s="51"/>
    </row>
    <row r="677" spans="2:16" x14ac:dyDescent="0.25">
      <c r="B677" s="32"/>
      <c r="C677" s="229"/>
      <c r="D677" s="229"/>
      <c r="E677" s="229"/>
      <c r="F677" s="229"/>
      <c r="G677" s="229"/>
      <c r="H677" s="229"/>
      <c r="I677" s="229"/>
      <c r="J677" s="59"/>
      <c r="K677" s="1"/>
      <c r="L677" s="32"/>
      <c r="M677" s="32"/>
      <c r="N677" s="32"/>
      <c r="O677" s="51"/>
      <c r="P677" s="51"/>
    </row>
    <row r="678" spans="2:16" x14ac:dyDescent="0.25">
      <c r="B678" s="32"/>
      <c r="C678" s="229"/>
      <c r="D678" s="229"/>
      <c r="E678" s="229"/>
      <c r="F678" s="229"/>
      <c r="G678" s="229"/>
      <c r="H678" s="229"/>
      <c r="I678" s="229"/>
      <c r="J678" s="59"/>
      <c r="K678" s="1"/>
      <c r="L678" s="32"/>
      <c r="M678" s="32"/>
      <c r="N678" s="32"/>
      <c r="O678" s="51"/>
      <c r="P678" s="51"/>
    </row>
    <row r="679" spans="2:16" x14ac:dyDescent="0.25">
      <c r="B679" s="32"/>
      <c r="C679" s="229"/>
      <c r="D679" s="229"/>
      <c r="E679" s="229"/>
      <c r="F679" s="229"/>
      <c r="G679" s="229"/>
      <c r="H679" s="229"/>
      <c r="I679" s="229"/>
      <c r="J679" s="59"/>
      <c r="K679" s="1"/>
      <c r="L679" s="32"/>
      <c r="M679" s="32"/>
      <c r="N679" s="32"/>
      <c r="O679" s="51"/>
      <c r="P679" s="51"/>
    </row>
    <row r="680" spans="2:16" x14ac:dyDescent="0.25">
      <c r="B680" s="32"/>
      <c r="C680" s="229"/>
      <c r="D680" s="229"/>
      <c r="E680" s="229"/>
      <c r="F680" s="229"/>
      <c r="G680" s="229"/>
      <c r="H680" s="229"/>
      <c r="I680" s="229"/>
      <c r="J680" s="59"/>
      <c r="K680" s="1"/>
      <c r="L680" s="32"/>
      <c r="M680" s="32"/>
      <c r="N680" s="32"/>
      <c r="O680" s="51"/>
      <c r="P680" s="51"/>
    </row>
    <row r="681" spans="2:16" x14ac:dyDescent="0.25">
      <c r="B681" s="32"/>
      <c r="C681" s="229"/>
      <c r="D681" s="229"/>
      <c r="E681" s="229"/>
      <c r="F681" s="229"/>
      <c r="G681" s="229"/>
      <c r="H681" s="229"/>
      <c r="I681" s="229"/>
      <c r="J681" s="59"/>
      <c r="K681" s="1"/>
      <c r="L681" s="32"/>
      <c r="M681" s="32"/>
      <c r="N681" s="32"/>
      <c r="O681" s="51"/>
      <c r="P681" s="51"/>
    </row>
    <row r="682" spans="2:16" x14ac:dyDescent="0.25">
      <c r="B682" s="32"/>
      <c r="C682" s="229"/>
      <c r="D682" s="229"/>
      <c r="E682" s="229"/>
      <c r="F682" s="229"/>
      <c r="G682" s="229"/>
      <c r="H682" s="229"/>
      <c r="I682" s="229"/>
      <c r="J682" s="59"/>
      <c r="K682" s="1"/>
      <c r="L682" s="32"/>
      <c r="M682" s="32"/>
      <c r="N682" s="32"/>
      <c r="O682" s="51"/>
      <c r="P682" s="51"/>
    </row>
    <row r="683" spans="2:16" x14ac:dyDescent="0.25">
      <c r="B683" s="32"/>
      <c r="C683" s="229"/>
      <c r="D683" s="229"/>
      <c r="E683" s="229"/>
      <c r="F683" s="229"/>
      <c r="G683" s="229"/>
      <c r="H683" s="229"/>
      <c r="I683" s="229"/>
      <c r="J683" s="59"/>
      <c r="K683" s="1"/>
      <c r="L683" s="32"/>
      <c r="M683" s="32"/>
      <c r="N683" s="32"/>
      <c r="O683" s="51"/>
      <c r="P683" s="51"/>
    </row>
    <row r="684" spans="2:16" x14ac:dyDescent="0.25">
      <c r="B684" s="32"/>
      <c r="C684" s="229"/>
      <c r="D684" s="229"/>
      <c r="E684" s="229"/>
      <c r="F684" s="229"/>
      <c r="G684" s="229"/>
      <c r="H684" s="229"/>
      <c r="I684" s="229"/>
      <c r="J684" s="59"/>
      <c r="K684" s="1"/>
      <c r="L684" s="32"/>
      <c r="M684" s="32"/>
      <c r="N684" s="32"/>
      <c r="O684" s="51"/>
      <c r="P684" s="51"/>
    </row>
    <row r="685" spans="2:16" x14ac:dyDescent="0.25">
      <c r="B685" s="32"/>
      <c r="C685" s="229"/>
      <c r="D685" s="229"/>
      <c r="E685" s="229"/>
      <c r="F685" s="229"/>
      <c r="G685" s="229"/>
      <c r="H685" s="229"/>
      <c r="I685" s="229"/>
      <c r="J685" s="59"/>
      <c r="K685" s="1"/>
      <c r="L685" s="32"/>
      <c r="M685" s="32"/>
      <c r="N685" s="32"/>
      <c r="O685" s="51"/>
      <c r="P685" s="51"/>
    </row>
    <row r="686" spans="2:16" x14ac:dyDescent="0.25">
      <c r="B686" s="32"/>
      <c r="C686" s="229"/>
      <c r="D686" s="229"/>
      <c r="E686" s="229"/>
      <c r="F686" s="229"/>
      <c r="G686" s="229"/>
      <c r="H686" s="229"/>
      <c r="I686" s="229"/>
      <c r="J686" s="59"/>
      <c r="K686" s="1"/>
      <c r="L686" s="32"/>
      <c r="M686" s="32"/>
      <c r="N686" s="32"/>
      <c r="O686" s="51"/>
      <c r="P686" s="51"/>
    </row>
    <row r="687" spans="2:16" x14ac:dyDescent="0.25">
      <c r="B687" s="32"/>
      <c r="C687" s="229"/>
      <c r="D687" s="229"/>
      <c r="E687" s="229"/>
      <c r="F687" s="229"/>
      <c r="G687" s="229"/>
      <c r="H687" s="229"/>
      <c r="I687" s="229"/>
      <c r="J687" s="59"/>
      <c r="K687" s="1"/>
      <c r="L687" s="32"/>
      <c r="M687" s="32"/>
      <c r="N687" s="32"/>
      <c r="O687" s="51"/>
      <c r="P687" s="51"/>
    </row>
    <row r="688" spans="2:16" x14ac:dyDescent="0.25">
      <c r="B688" s="32"/>
      <c r="C688" s="229"/>
      <c r="D688" s="229"/>
      <c r="E688" s="229"/>
      <c r="F688" s="229"/>
      <c r="G688" s="229"/>
      <c r="H688" s="229"/>
      <c r="I688" s="229"/>
      <c r="J688" s="59"/>
      <c r="K688" s="1"/>
      <c r="L688" s="32"/>
      <c r="M688" s="32"/>
      <c r="N688" s="32"/>
      <c r="O688" s="51"/>
      <c r="P688" s="51"/>
    </row>
    <row r="689" spans="2:16" x14ac:dyDescent="0.25">
      <c r="B689" s="32"/>
      <c r="C689" s="229"/>
      <c r="D689" s="229"/>
      <c r="E689" s="229"/>
      <c r="F689" s="229"/>
      <c r="G689" s="229"/>
      <c r="H689" s="229"/>
      <c r="I689" s="229"/>
      <c r="J689" s="59"/>
      <c r="K689" s="1"/>
      <c r="L689" s="32"/>
      <c r="M689" s="32"/>
      <c r="N689" s="32"/>
      <c r="O689" s="51"/>
      <c r="P689" s="51"/>
    </row>
    <row r="690" spans="2:16" x14ac:dyDescent="0.25">
      <c r="B690" s="32"/>
      <c r="C690" s="229"/>
      <c r="D690" s="229"/>
      <c r="E690" s="229"/>
      <c r="F690" s="229"/>
      <c r="G690" s="229"/>
      <c r="H690" s="229"/>
      <c r="I690" s="229"/>
      <c r="J690" s="59"/>
      <c r="K690" s="1"/>
      <c r="L690" s="32"/>
      <c r="M690" s="32"/>
      <c r="N690" s="32"/>
      <c r="O690" s="51"/>
      <c r="P690" s="51"/>
    </row>
    <row r="691" spans="2:16" x14ac:dyDescent="0.25">
      <c r="B691" s="32"/>
      <c r="C691" s="229"/>
      <c r="D691" s="229"/>
      <c r="E691" s="229"/>
      <c r="F691" s="229"/>
      <c r="G691" s="229"/>
      <c r="H691" s="229"/>
      <c r="I691" s="229"/>
      <c r="J691" s="59"/>
      <c r="K691" s="1"/>
      <c r="L691" s="32"/>
      <c r="M691" s="32"/>
      <c r="N691" s="32"/>
      <c r="O691" s="51"/>
      <c r="P691" s="51"/>
    </row>
    <row r="692" spans="2:16" x14ac:dyDescent="0.25">
      <c r="B692" s="32"/>
      <c r="C692" s="229"/>
      <c r="D692" s="229"/>
      <c r="E692" s="229"/>
      <c r="F692" s="229"/>
      <c r="G692" s="229"/>
      <c r="H692" s="229"/>
      <c r="I692" s="229"/>
      <c r="J692" s="59"/>
      <c r="K692" s="1"/>
      <c r="L692" s="32"/>
      <c r="M692" s="32"/>
      <c r="N692" s="32"/>
      <c r="O692" s="51"/>
      <c r="P692" s="51"/>
    </row>
    <row r="693" spans="2:16" x14ac:dyDescent="0.25">
      <c r="B693" s="32"/>
      <c r="C693" s="229"/>
      <c r="D693" s="229"/>
      <c r="E693" s="229"/>
      <c r="F693" s="229"/>
      <c r="G693" s="229"/>
      <c r="H693" s="229"/>
      <c r="I693" s="229"/>
      <c r="J693" s="59"/>
      <c r="K693" s="1"/>
      <c r="L693" s="32"/>
      <c r="M693" s="32"/>
      <c r="N693" s="32"/>
      <c r="O693" s="51"/>
      <c r="P693" s="51"/>
    </row>
    <row r="694" spans="2:16" x14ac:dyDescent="0.25">
      <c r="B694" s="32"/>
      <c r="C694" s="229"/>
      <c r="D694" s="229"/>
      <c r="E694" s="229"/>
      <c r="F694" s="229"/>
      <c r="G694" s="229"/>
      <c r="H694" s="229"/>
      <c r="I694" s="229"/>
      <c r="J694" s="59"/>
      <c r="K694" s="1"/>
      <c r="L694" s="32"/>
      <c r="M694" s="32"/>
      <c r="N694" s="32"/>
      <c r="O694" s="51"/>
      <c r="P694" s="51"/>
    </row>
    <row r="695" spans="2:16" x14ac:dyDescent="0.25">
      <c r="B695" s="32"/>
      <c r="C695" s="229"/>
      <c r="D695" s="229"/>
      <c r="E695" s="229"/>
      <c r="F695" s="229"/>
      <c r="G695" s="229"/>
      <c r="H695" s="229"/>
      <c r="I695" s="229"/>
      <c r="J695" s="59"/>
      <c r="K695" s="1"/>
      <c r="L695" s="32"/>
      <c r="M695" s="32"/>
      <c r="N695" s="32"/>
      <c r="O695" s="51"/>
      <c r="P695" s="51"/>
    </row>
    <row r="696" spans="2:16" x14ac:dyDescent="0.25">
      <c r="B696" s="32"/>
      <c r="C696" s="229"/>
      <c r="D696" s="229"/>
      <c r="E696" s="229"/>
      <c r="F696" s="229"/>
      <c r="G696" s="229"/>
      <c r="H696" s="229"/>
      <c r="I696" s="229"/>
      <c r="J696" s="59"/>
      <c r="K696" s="1"/>
      <c r="L696" s="32"/>
      <c r="M696" s="32"/>
      <c r="N696" s="32"/>
      <c r="O696" s="51"/>
      <c r="P696" s="51"/>
    </row>
    <row r="697" spans="2:16" x14ac:dyDescent="0.25">
      <c r="B697" s="32"/>
      <c r="C697" s="229"/>
      <c r="D697" s="229"/>
      <c r="E697" s="229"/>
      <c r="F697" s="229"/>
      <c r="G697" s="229"/>
      <c r="H697" s="229"/>
      <c r="I697" s="229"/>
      <c r="J697" s="59"/>
      <c r="K697" s="1"/>
      <c r="L697" s="32"/>
      <c r="M697" s="32"/>
      <c r="N697" s="32"/>
      <c r="O697" s="51"/>
      <c r="P697" s="51"/>
    </row>
    <row r="698" spans="2:16" x14ac:dyDescent="0.25">
      <c r="B698" s="32"/>
      <c r="C698" s="229"/>
      <c r="D698" s="229"/>
      <c r="E698" s="229"/>
      <c r="F698" s="229"/>
      <c r="G698" s="229"/>
      <c r="H698" s="229"/>
      <c r="I698" s="229"/>
      <c r="J698" s="59"/>
      <c r="K698" s="1"/>
      <c r="L698" s="32"/>
      <c r="M698" s="32"/>
      <c r="N698" s="32"/>
      <c r="O698" s="51"/>
      <c r="P698" s="51"/>
    </row>
    <row r="699" spans="2:16" x14ac:dyDescent="0.25">
      <c r="B699" s="32"/>
      <c r="C699" s="229"/>
      <c r="D699" s="229"/>
      <c r="E699" s="229"/>
      <c r="F699" s="229"/>
      <c r="G699" s="229"/>
      <c r="H699" s="229"/>
      <c r="I699" s="229"/>
      <c r="J699" s="59"/>
      <c r="K699" s="1"/>
      <c r="L699" s="32"/>
      <c r="M699" s="32"/>
      <c r="N699" s="32"/>
      <c r="O699" s="51"/>
      <c r="P699" s="51"/>
    </row>
    <row r="700" spans="2:16" x14ac:dyDescent="0.25">
      <c r="B700" s="32"/>
      <c r="C700" s="229"/>
      <c r="D700" s="229"/>
      <c r="E700" s="229"/>
      <c r="F700" s="229"/>
      <c r="G700" s="229"/>
      <c r="H700" s="229"/>
      <c r="I700" s="229"/>
      <c r="J700" s="59"/>
      <c r="K700" s="1"/>
      <c r="L700" s="32"/>
      <c r="M700" s="32"/>
      <c r="N700" s="32"/>
      <c r="O700" s="51"/>
      <c r="P700" s="51"/>
    </row>
    <row r="701" spans="2:16" x14ac:dyDescent="0.25">
      <c r="B701" s="32"/>
      <c r="C701" s="229"/>
      <c r="D701" s="229"/>
      <c r="E701" s="229"/>
      <c r="F701" s="229"/>
      <c r="G701" s="229"/>
      <c r="H701" s="229"/>
      <c r="I701" s="229"/>
      <c r="J701" s="59"/>
      <c r="K701" s="1"/>
      <c r="L701" s="32"/>
      <c r="M701" s="32"/>
      <c r="N701" s="32"/>
      <c r="O701" s="51"/>
      <c r="P701" s="51"/>
    </row>
    <row r="702" spans="2:16" x14ac:dyDescent="0.25">
      <c r="B702" s="32"/>
      <c r="C702" s="229"/>
      <c r="D702" s="229"/>
      <c r="E702" s="229"/>
      <c r="F702" s="229"/>
      <c r="G702" s="229"/>
      <c r="H702" s="229"/>
      <c r="I702" s="229"/>
      <c r="J702" s="59"/>
      <c r="K702" s="1"/>
      <c r="L702" s="32"/>
      <c r="M702" s="32"/>
      <c r="N702" s="32"/>
      <c r="O702" s="51"/>
      <c r="P702" s="51"/>
    </row>
    <row r="703" spans="2:16" x14ac:dyDescent="0.25">
      <c r="B703" s="32"/>
      <c r="C703" s="229"/>
      <c r="D703" s="229"/>
      <c r="E703" s="229"/>
      <c r="F703" s="229"/>
      <c r="G703" s="229"/>
      <c r="H703" s="229"/>
      <c r="I703" s="229"/>
      <c r="J703" s="59"/>
      <c r="K703" s="1"/>
      <c r="L703" s="32"/>
      <c r="M703" s="32"/>
      <c r="N703" s="32"/>
      <c r="O703" s="51"/>
      <c r="P703" s="51"/>
    </row>
    <row r="704" spans="2:16" x14ac:dyDescent="0.25">
      <c r="B704" s="32"/>
      <c r="C704" s="229"/>
      <c r="D704" s="229"/>
      <c r="E704" s="229"/>
      <c r="F704" s="229"/>
      <c r="G704" s="229"/>
      <c r="H704" s="229"/>
      <c r="I704" s="229"/>
      <c r="J704" s="59"/>
      <c r="K704" s="1"/>
      <c r="L704" s="32"/>
      <c r="M704" s="32"/>
      <c r="N704" s="32"/>
      <c r="O704" s="51"/>
      <c r="P704" s="51"/>
    </row>
    <row r="705" spans="2:16" x14ac:dyDescent="0.25">
      <c r="B705" s="32"/>
      <c r="C705" s="229"/>
      <c r="D705" s="229"/>
      <c r="E705" s="229"/>
      <c r="F705" s="229"/>
      <c r="G705" s="229"/>
      <c r="H705" s="229"/>
      <c r="I705" s="229"/>
      <c r="J705" s="59"/>
      <c r="K705" s="1"/>
      <c r="L705" s="32"/>
      <c r="M705" s="32"/>
      <c r="N705" s="32"/>
      <c r="O705" s="51"/>
      <c r="P705" s="51"/>
    </row>
    <row r="706" spans="2:16" x14ac:dyDescent="0.25">
      <c r="B706" s="32"/>
      <c r="C706" s="229"/>
      <c r="D706" s="229"/>
      <c r="E706" s="229"/>
      <c r="F706" s="229"/>
      <c r="G706" s="229"/>
      <c r="H706" s="229"/>
      <c r="I706" s="229"/>
      <c r="J706" s="59"/>
      <c r="K706" s="1"/>
      <c r="L706" s="32"/>
      <c r="M706" s="32"/>
      <c r="N706" s="32"/>
      <c r="O706" s="51"/>
      <c r="P706" s="51"/>
    </row>
    <row r="707" spans="2:16" x14ac:dyDescent="0.25">
      <c r="B707" s="32"/>
      <c r="C707" s="229"/>
      <c r="D707" s="229"/>
      <c r="E707" s="229"/>
      <c r="F707" s="229"/>
      <c r="G707" s="229"/>
      <c r="H707" s="229"/>
      <c r="I707" s="229"/>
      <c r="J707" s="59"/>
      <c r="K707" s="1"/>
      <c r="L707" s="32"/>
      <c r="M707" s="32"/>
      <c r="N707" s="32"/>
      <c r="O707" s="51"/>
      <c r="P707" s="51"/>
    </row>
    <row r="708" spans="2:16" x14ac:dyDescent="0.25">
      <c r="B708" s="32"/>
      <c r="C708" s="229"/>
      <c r="D708" s="229"/>
      <c r="E708" s="229"/>
      <c r="F708" s="229"/>
      <c r="G708" s="229"/>
      <c r="H708" s="229"/>
      <c r="I708" s="229"/>
      <c r="J708" s="59"/>
      <c r="K708" s="1"/>
      <c r="L708" s="32"/>
      <c r="M708" s="32"/>
      <c r="N708" s="32"/>
      <c r="O708" s="51"/>
      <c r="P708" s="51"/>
    </row>
    <row r="709" spans="2:16" x14ac:dyDescent="0.25">
      <c r="B709" s="32"/>
      <c r="C709" s="229"/>
      <c r="D709" s="229"/>
      <c r="E709" s="229"/>
      <c r="F709" s="229"/>
      <c r="G709" s="229"/>
      <c r="H709" s="229"/>
      <c r="I709" s="229"/>
      <c r="J709" s="59"/>
      <c r="K709" s="1"/>
      <c r="L709" s="32"/>
      <c r="M709" s="32"/>
      <c r="N709" s="32"/>
      <c r="O709" s="51"/>
      <c r="P709" s="51"/>
    </row>
    <row r="710" spans="2:16" x14ac:dyDescent="0.25">
      <c r="B710" s="32"/>
      <c r="C710" s="229"/>
      <c r="D710" s="229"/>
      <c r="E710" s="229"/>
      <c r="F710" s="229"/>
      <c r="G710" s="229"/>
      <c r="H710" s="229"/>
      <c r="I710" s="229"/>
      <c r="J710" s="59"/>
      <c r="K710" s="1"/>
      <c r="L710" s="32"/>
      <c r="M710" s="32"/>
      <c r="N710" s="32"/>
      <c r="O710" s="51"/>
      <c r="P710" s="51"/>
    </row>
    <row r="711" spans="2:16" x14ac:dyDescent="0.25">
      <c r="B711" s="32"/>
      <c r="C711" s="229"/>
      <c r="D711" s="229"/>
      <c r="E711" s="229"/>
      <c r="F711" s="229"/>
      <c r="G711" s="229"/>
      <c r="H711" s="229"/>
      <c r="I711" s="229"/>
      <c r="J711" s="59"/>
      <c r="K711" s="1"/>
      <c r="L711" s="32"/>
      <c r="M711" s="32"/>
      <c r="N711" s="32"/>
      <c r="O711" s="51"/>
      <c r="P711" s="51"/>
    </row>
    <row r="712" spans="2:16" x14ac:dyDescent="0.25">
      <c r="B712" s="32"/>
      <c r="C712" s="229"/>
      <c r="D712" s="229"/>
      <c r="E712" s="229"/>
      <c r="F712" s="229"/>
      <c r="G712" s="229"/>
      <c r="H712" s="229"/>
      <c r="I712" s="229"/>
      <c r="J712" s="59"/>
      <c r="K712" s="1"/>
      <c r="L712" s="32"/>
      <c r="M712" s="32"/>
      <c r="N712" s="32"/>
      <c r="O712" s="51"/>
      <c r="P712" s="51"/>
    </row>
    <row r="713" spans="2:16" x14ac:dyDescent="0.25">
      <c r="B713" s="32"/>
      <c r="C713" s="229"/>
      <c r="D713" s="229"/>
      <c r="E713" s="229"/>
      <c r="F713" s="229"/>
      <c r="G713" s="229"/>
      <c r="H713" s="229"/>
      <c r="I713" s="229"/>
      <c r="J713" s="59"/>
      <c r="K713" s="1"/>
      <c r="L713" s="32"/>
      <c r="M713" s="32"/>
      <c r="N713" s="32"/>
      <c r="O713" s="51"/>
      <c r="P713" s="51"/>
    </row>
    <row r="714" spans="2:16" x14ac:dyDescent="0.25">
      <c r="B714" s="32"/>
      <c r="C714" s="229"/>
      <c r="D714" s="229"/>
      <c r="E714" s="229"/>
      <c r="F714" s="229"/>
      <c r="G714" s="229"/>
      <c r="H714" s="229"/>
      <c r="I714" s="229"/>
      <c r="J714" s="59"/>
      <c r="K714" s="1"/>
      <c r="L714" s="32"/>
      <c r="M714" s="32"/>
      <c r="N714" s="32"/>
      <c r="O714" s="51"/>
      <c r="P714" s="51"/>
    </row>
    <row r="715" spans="2:16" x14ac:dyDescent="0.25">
      <c r="B715" s="32"/>
      <c r="C715" s="229"/>
      <c r="D715" s="229"/>
      <c r="E715" s="229"/>
      <c r="F715" s="229"/>
      <c r="G715" s="229"/>
      <c r="H715" s="229"/>
      <c r="I715" s="229"/>
      <c r="J715" s="59"/>
      <c r="K715" s="1"/>
      <c r="L715" s="32"/>
      <c r="M715" s="32"/>
      <c r="N715" s="32"/>
      <c r="O715" s="51"/>
      <c r="P715" s="51"/>
    </row>
    <row r="716" spans="2:16" x14ac:dyDescent="0.25">
      <c r="B716" s="32"/>
      <c r="C716" s="229"/>
      <c r="D716" s="229"/>
      <c r="E716" s="229"/>
      <c r="F716" s="229"/>
      <c r="G716" s="229"/>
      <c r="H716" s="229"/>
      <c r="I716" s="229"/>
      <c r="J716" s="59"/>
      <c r="K716" s="1"/>
      <c r="L716" s="32"/>
      <c r="M716" s="32"/>
      <c r="N716" s="32"/>
      <c r="O716" s="51"/>
      <c r="P716" s="51"/>
    </row>
    <row r="717" spans="2:16" x14ac:dyDescent="0.25">
      <c r="B717" s="32"/>
      <c r="C717" s="229"/>
      <c r="D717" s="229"/>
      <c r="E717" s="229"/>
      <c r="F717" s="229"/>
      <c r="G717" s="229"/>
      <c r="H717" s="229"/>
      <c r="I717" s="229"/>
      <c r="J717" s="59"/>
      <c r="K717" s="1"/>
      <c r="L717" s="32"/>
      <c r="M717" s="32"/>
      <c r="N717" s="32"/>
      <c r="O717" s="51"/>
      <c r="P717" s="51"/>
    </row>
    <row r="718" spans="2:16" x14ac:dyDescent="0.25">
      <c r="B718" s="32"/>
      <c r="C718" s="229"/>
      <c r="D718" s="229"/>
      <c r="E718" s="229"/>
      <c r="F718" s="229"/>
      <c r="G718" s="229"/>
      <c r="H718" s="229"/>
      <c r="I718" s="229"/>
      <c r="J718" s="59"/>
      <c r="K718" s="1"/>
      <c r="L718" s="32"/>
      <c r="M718" s="32"/>
      <c r="N718" s="32"/>
      <c r="O718" s="51"/>
      <c r="P718" s="51"/>
    </row>
    <row r="719" spans="2:16" x14ac:dyDescent="0.25">
      <c r="B719" s="32"/>
      <c r="C719" s="229"/>
      <c r="D719" s="229"/>
      <c r="E719" s="229"/>
      <c r="F719" s="229"/>
      <c r="G719" s="229"/>
      <c r="H719" s="229"/>
      <c r="I719" s="229"/>
      <c r="J719" s="59"/>
      <c r="K719" s="1"/>
      <c r="L719" s="32"/>
      <c r="M719" s="32"/>
      <c r="N719" s="32"/>
      <c r="O719" s="51"/>
      <c r="P719" s="51"/>
    </row>
    <row r="720" spans="2:16" x14ac:dyDescent="0.25">
      <c r="B720" s="32"/>
      <c r="C720" s="229"/>
      <c r="D720" s="229"/>
      <c r="E720" s="229"/>
      <c r="F720" s="229"/>
      <c r="G720" s="229"/>
      <c r="H720" s="229"/>
      <c r="I720" s="229"/>
      <c r="J720" s="59"/>
      <c r="K720" s="1"/>
      <c r="L720" s="32"/>
      <c r="M720" s="32"/>
      <c r="N720" s="32"/>
      <c r="O720" s="51"/>
      <c r="P720" s="51"/>
    </row>
    <row r="721" spans="2:16" x14ac:dyDescent="0.25">
      <c r="B721" s="32"/>
      <c r="C721" s="229"/>
      <c r="D721" s="229"/>
      <c r="E721" s="229"/>
      <c r="F721" s="229"/>
      <c r="G721" s="229"/>
      <c r="H721" s="229"/>
      <c r="I721" s="229"/>
      <c r="J721" s="59"/>
      <c r="K721" s="1"/>
      <c r="L721" s="32"/>
      <c r="M721" s="32"/>
      <c r="N721" s="32"/>
      <c r="O721" s="51"/>
      <c r="P721" s="51"/>
    </row>
    <row r="722" spans="2:16" x14ac:dyDescent="0.25">
      <c r="B722" s="32"/>
      <c r="C722" s="229"/>
      <c r="D722" s="229"/>
      <c r="E722" s="229"/>
      <c r="F722" s="229"/>
      <c r="G722" s="229"/>
      <c r="H722" s="229"/>
      <c r="I722" s="229"/>
      <c r="J722" s="59"/>
      <c r="K722" s="1"/>
      <c r="L722" s="32"/>
      <c r="M722" s="32"/>
      <c r="N722" s="32"/>
      <c r="O722" s="51"/>
      <c r="P722" s="51"/>
    </row>
    <row r="723" spans="2:16" x14ac:dyDescent="0.25">
      <c r="B723" s="32"/>
      <c r="C723" s="229"/>
      <c r="D723" s="229"/>
      <c r="E723" s="229"/>
      <c r="F723" s="229"/>
      <c r="G723" s="229"/>
      <c r="H723" s="229"/>
      <c r="I723" s="229"/>
      <c r="J723" s="59"/>
      <c r="K723" s="1"/>
      <c r="L723" s="32"/>
      <c r="M723" s="32"/>
      <c r="N723" s="32"/>
      <c r="O723" s="51"/>
      <c r="P723" s="51"/>
    </row>
    <row r="724" spans="2:16" x14ac:dyDescent="0.25">
      <c r="B724" s="32"/>
      <c r="C724" s="229"/>
      <c r="D724" s="229"/>
      <c r="E724" s="229"/>
      <c r="F724" s="229"/>
      <c r="G724" s="229"/>
      <c r="H724" s="229"/>
      <c r="I724" s="229"/>
      <c r="J724" s="59"/>
      <c r="K724" s="1"/>
      <c r="L724" s="32"/>
      <c r="M724" s="32"/>
      <c r="N724" s="32"/>
      <c r="O724" s="51"/>
      <c r="P724" s="51"/>
    </row>
    <row r="725" spans="2:16" x14ac:dyDescent="0.25">
      <c r="B725" s="32"/>
      <c r="C725" s="229"/>
      <c r="D725" s="229"/>
      <c r="E725" s="229"/>
      <c r="F725" s="229"/>
      <c r="G725" s="229"/>
      <c r="H725" s="229"/>
      <c r="I725" s="229"/>
      <c r="J725" s="59"/>
      <c r="K725" s="1"/>
      <c r="L725" s="32"/>
      <c r="M725" s="32"/>
      <c r="N725" s="32"/>
      <c r="O725" s="51"/>
      <c r="P725" s="51"/>
    </row>
    <row r="726" spans="2:16" x14ac:dyDescent="0.25">
      <c r="B726" s="32"/>
      <c r="C726" s="229"/>
      <c r="D726" s="229"/>
      <c r="E726" s="229"/>
      <c r="F726" s="229"/>
      <c r="G726" s="229"/>
      <c r="H726" s="229"/>
      <c r="I726" s="229"/>
      <c r="J726" s="59"/>
      <c r="K726" s="1"/>
      <c r="L726" s="32"/>
      <c r="M726" s="32"/>
      <c r="N726" s="32"/>
      <c r="O726" s="51"/>
      <c r="P726" s="51"/>
    </row>
    <row r="727" spans="2:16" x14ac:dyDescent="0.25">
      <c r="B727" s="32"/>
      <c r="C727" s="229"/>
      <c r="D727" s="229"/>
      <c r="E727" s="229"/>
      <c r="F727" s="229"/>
      <c r="G727" s="229"/>
      <c r="H727" s="229"/>
      <c r="I727" s="229"/>
      <c r="J727" s="59"/>
      <c r="K727" s="1"/>
      <c r="L727" s="32"/>
      <c r="M727" s="32"/>
      <c r="N727" s="32"/>
      <c r="O727" s="51"/>
      <c r="P727" s="51"/>
    </row>
    <row r="728" spans="2:16" x14ac:dyDescent="0.25">
      <c r="B728" s="32"/>
      <c r="C728" s="229"/>
      <c r="D728" s="229"/>
      <c r="E728" s="229"/>
      <c r="F728" s="229"/>
      <c r="G728" s="229"/>
      <c r="H728" s="229"/>
      <c r="I728" s="229"/>
      <c r="J728" s="59"/>
      <c r="K728" s="1"/>
      <c r="L728" s="32"/>
      <c r="M728" s="32"/>
      <c r="N728" s="32"/>
      <c r="O728" s="51"/>
      <c r="P728" s="51"/>
    </row>
    <row r="729" spans="2:16" x14ac:dyDescent="0.25">
      <c r="B729" s="32"/>
      <c r="C729" s="229"/>
      <c r="D729" s="229"/>
      <c r="E729" s="229"/>
      <c r="F729" s="229"/>
      <c r="G729" s="229"/>
      <c r="H729" s="229"/>
      <c r="I729" s="229"/>
      <c r="J729" s="59"/>
      <c r="K729" s="1"/>
      <c r="L729" s="32"/>
      <c r="M729" s="32"/>
      <c r="N729" s="32"/>
      <c r="O729" s="51"/>
      <c r="P729" s="51"/>
    </row>
    <row r="730" spans="2:16" x14ac:dyDescent="0.25">
      <c r="B730" s="32"/>
      <c r="C730" s="229"/>
      <c r="D730" s="229"/>
      <c r="E730" s="229"/>
      <c r="F730" s="229"/>
      <c r="G730" s="229"/>
      <c r="H730" s="229"/>
      <c r="I730" s="229"/>
      <c r="J730" s="59"/>
      <c r="K730" s="1"/>
      <c r="L730" s="32"/>
      <c r="M730" s="32"/>
      <c r="N730" s="32"/>
      <c r="O730" s="51"/>
      <c r="P730" s="51"/>
    </row>
    <row r="731" spans="2:16" x14ac:dyDescent="0.25">
      <c r="B731" s="32"/>
      <c r="C731" s="229"/>
      <c r="D731" s="229"/>
      <c r="E731" s="229"/>
      <c r="F731" s="229"/>
      <c r="G731" s="229"/>
      <c r="H731" s="229"/>
      <c r="I731" s="229"/>
      <c r="J731" s="59"/>
      <c r="K731" s="1"/>
      <c r="L731" s="32"/>
      <c r="M731" s="32"/>
      <c r="N731" s="32"/>
      <c r="O731" s="51"/>
      <c r="P731" s="51"/>
    </row>
    <row r="732" spans="2:16" x14ac:dyDescent="0.25">
      <c r="B732" s="32"/>
      <c r="C732" s="229"/>
      <c r="D732" s="229"/>
      <c r="E732" s="229"/>
      <c r="F732" s="229"/>
      <c r="G732" s="229"/>
      <c r="H732" s="229"/>
      <c r="I732" s="229"/>
      <c r="J732" s="59"/>
      <c r="K732" s="1"/>
      <c r="L732" s="32"/>
      <c r="M732" s="32"/>
      <c r="N732" s="32"/>
      <c r="O732" s="51"/>
      <c r="P732" s="51"/>
    </row>
    <row r="733" spans="2:16" x14ac:dyDescent="0.25">
      <c r="B733" s="32"/>
      <c r="C733" s="229"/>
      <c r="D733" s="229"/>
      <c r="E733" s="229"/>
      <c r="F733" s="229"/>
      <c r="G733" s="229"/>
      <c r="H733" s="229"/>
      <c r="I733" s="229"/>
      <c r="J733" s="59"/>
      <c r="K733" s="1"/>
      <c r="L733" s="32"/>
      <c r="M733" s="32"/>
      <c r="N733" s="32"/>
      <c r="O733" s="51"/>
      <c r="P733" s="51"/>
    </row>
    <row r="734" spans="2:16" x14ac:dyDescent="0.25">
      <c r="B734" s="32"/>
      <c r="C734" s="229"/>
      <c r="D734" s="229"/>
      <c r="E734" s="229"/>
      <c r="F734" s="229"/>
      <c r="G734" s="229"/>
      <c r="H734" s="229"/>
      <c r="I734" s="229"/>
      <c r="J734" s="59"/>
      <c r="K734" s="1"/>
      <c r="L734" s="32"/>
      <c r="M734" s="32"/>
      <c r="N734" s="32"/>
      <c r="O734" s="51"/>
      <c r="P734" s="51"/>
    </row>
    <row r="735" spans="2:16" x14ac:dyDescent="0.25">
      <c r="B735" s="32"/>
      <c r="C735" s="229"/>
      <c r="D735" s="229"/>
      <c r="E735" s="229"/>
      <c r="F735" s="229"/>
      <c r="G735" s="229"/>
      <c r="H735" s="229"/>
      <c r="I735" s="229"/>
      <c r="J735" s="59"/>
      <c r="K735" s="1"/>
      <c r="L735" s="32"/>
      <c r="M735" s="32"/>
      <c r="N735" s="32"/>
      <c r="O735" s="51"/>
      <c r="P735" s="51"/>
    </row>
    <row r="736" spans="2:16" x14ac:dyDescent="0.25">
      <c r="B736" s="32"/>
      <c r="C736" s="229"/>
      <c r="D736" s="229"/>
      <c r="E736" s="229"/>
      <c r="F736" s="229"/>
      <c r="G736" s="229"/>
      <c r="H736" s="229"/>
      <c r="I736" s="229"/>
      <c r="J736" s="59"/>
      <c r="K736" s="1"/>
      <c r="L736" s="32"/>
      <c r="M736" s="32"/>
      <c r="N736" s="32"/>
      <c r="O736" s="51"/>
      <c r="P736" s="51"/>
    </row>
    <row r="737" spans="2:16" x14ac:dyDescent="0.25">
      <c r="B737" s="32"/>
      <c r="C737" s="229"/>
      <c r="D737" s="229"/>
      <c r="E737" s="229"/>
      <c r="F737" s="229"/>
      <c r="G737" s="229"/>
      <c r="H737" s="229"/>
      <c r="I737" s="229"/>
      <c r="J737" s="59"/>
      <c r="K737" s="1"/>
      <c r="L737" s="32"/>
      <c r="M737" s="32"/>
      <c r="N737" s="32"/>
      <c r="O737" s="51"/>
      <c r="P737" s="51"/>
    </row>
    <row r="738" spans="2:16" x14ac:dyDescent="0.25">
      <c r="B738" s="32"/>
      <c r="C738" s="229"/>
      <c r="D738" s="229"/>
      <c r="E738" s="229"/>
      <c r="F738" s="229"/>
      <c r="G738" s="229"/>
      <c r="H738" s="229"/>
      <c r="I738" s="229"/>
      <c r="J738" s="59"/>
      <c r="K738" s="1"/>
      <c r="L738" s="32"/>
      <c r="M738" s="32"/>
      <c r="N738" s="32"/>
      <c r="O738" s="51"/>
      <c r="P738" s="51"/>
    </row>
    <row r="739" spans="2:16" x14ac:dyDescent="0.25">
      <c r="B739" s="32"/>
      <c r="C739" s="229"/>
      <c r="D739" s="229"/>
      <c r="E739" s="229"/>
      <c r="F739" s="229"/>
      <c r="G739" s="229"/>
      <c r="H739" s="229"/>
      <c r="I739" s="229"/>
      <c r="J739" s="59"/>
      <c r="K739" s="1"/>
      <c r="L739" s="32"/>
      <c r="M739" s="32"/>
      <c r="N739" s="32"/>
      <c r="O739" s="51"/>
      <c r="P739" s="51"/>
    </row>
    <row r="740" spans="2:16" x14ac:dyDescent="0.25">
      <c r="B740" s="32"/>
      <c r="C740" s="229"/>
      <c r="D740" s="229"/>
      <c r="E740" s="229"/>
      <c r="F740" s="229"/>
      <c r="G740" s="229"/>
      <c r="H740" s="229"/>
      <c r="I740" s="229"/>
      <c r="J740" s="59"/>
      <c r="K740" s="1"/>
      <c r="L740" s="32"/>
      <c r="M740" s="32"/>
      <c r="N740" s="32"/>
      <c r="O740" s="51"/>
      <c r="P740" s="51"/>
    </row>
    <row r="741" spans="2:16" x14ac:dyDescent="0.25">
      <c r="B741" s="32"/>
      <c r="C741" s="229"/>
      <c r="D741" s="229"/>
      <c r="E741" s="229"/>
      <c r="F741" s="229"/>
      <c r="G741" s="229"/>
      <c r="H741" s="229"/>
      <c r="I741" s="229"/>
      <c r="J741" s="59"/>
      <c r="K741" s="1"/>
      <c r="L741" s="32"/>
      <c r="M741" s="32"/>
      <c r="N741" s="32"/>
      <c r="O741" s="51"/>
      <c r="P741" s="51"/>
    </row>
    <row r="742" spans="2:16" x14ac:dyDescent="0.25">
      <c r="B742" s="32"/>
      <c r="C742" s="229"/>
      <c r="D742" s="229"/>
      <c r="E742" s="229"/>
      <c r="F742" s="229"/>
      <c r="G742" s="229"/>
      <c r="H742" s="229"/>
      <c r="I742" s="229"/>
      <c r="J742" s="59"/>
      <c r="K742" s="1"/>
      <c r="L742" s="32"/>
      <c r="M742" s="32"/>
      <c r="N742" s="32"/>
      <c r="O742" s="51"/>
      <c r="P742" s="51"/>
    </row>
    <row r="743" spans="2:16" x14ac:dyDescent="0.25">
      <c r="B743" s="32"/>
      <c r="C743" s="229"/>
      <c r="D743" s="229"/>
      <c r="E743" s="229"/>
      <c r="F743" s="229"/>
      <c r="G743" s="229"/>
      <c r="H743" s="229"/>
      <c r="I743" s="229"/>
      <c r="J743" s="59"/>
      <c r="K743" s="1"/>
      <c r="L743" s="32"/>
      <c r="M743" s="32"/>
      <c r="N743" s="32"/>
      <c r="O743" s="51"/>
      <c r="P743" s="51"/>
    </row>
    <row r="744" spans="2:16" x14ac:dyDescent="0.25">
      <c r="B744" s="32"/>
      <c r="C744" s="229"/>
      <c r="D744" s="229"/>
      <c r="E744" s="229"/>
      <c r="F744" s="229"/>
      <c r="G744" s="229"/>
      <c r="H744" s="229"/>
      <c r="I744" s="229"/>
      <c r="J744" s="59"/>
      <c r="K744" s="1"/>
      <c r="L744" s="32"/>
      <c r="M744" s="32"/>
      <c r="N744" s="32"/>
      <c r="O744" s="51"/>
      <c r="P744" s="51"/>
    </row>
    <row r="745" spans="2:16" x14ac:dyDescent="0.25">
      <c r="B745" s="32"/>
      <c r="C745" s="229"/>
      <c r="D745" s="229"/>
      <c r="E745" s="229"/>
      <c r="F745" s="229"/>
      <c r="G745" s="229"/>
      <c r="H745" s="229"/>
      <c r="I745" s="229"/>
      <c r="J745" s="59"/>
      <c r="K745" s="1"/>
      <c r="L745" s="32"/>
      <c r="M745" s="32"/>
      <c r="N745" s="32"/>
      <c r="O745" s="51"/>
      <c r="P745" s="51"/>
    </row>
    <row r="746" spans="2:16" x14ac:dyDescent="0.25">
      <c r="B746" s="32"/>
      <c r="C746" s="229"/>
      <c r="D746" s="229"/>
      <c r="E746" s="229"/>
      <c r="F746" s="229"/>
      <c r="G746" s="229"/>
      <c r="H746" s="229"/>
      <c r="I746" s="229"/>
      <c r="J746" s="59"/>
      <c r="K746" s="1"/>
      <c r="L746" s="32"/>
      <c r="M746" s="32"/>
      <c r="N746" s="32"/>
      <c r="O746" s="51"/>
      <c r="P746" s="51"/>
    </row>
    <row r="747" spans="2:16" x14ac:dyDescent="0.25">
      <c r="B747" s="32"/>
      <c r="C747" s="229"/>
      <c r="D747" s="229"/>
      <c r="E747" s="229"/>
      <c r="F747" s="229"/>
      <c r="G747" s="229"/>
      <c r="H747" s="229"/>
      <c r="I747" s="229"/>
      <c r="J747" s="59"/>
      <c r="K747" s="1"/>
      <c r="L747" s="32"/>
      <c r="M747" s="32"/>
      <c r="N747" s="32"/>
      <c r="O747" s="51"/>
      <c r="P747" s="51"/>
    </row>
    <row r="748" spans="2:16" x14ac:dyDescent="0.25">
      <c r="B748" s="32"/>
      <c r="C748" s="229"/>
      <c r="D748" s="229"/>
      <c r="E748" s="229"/>
      <c r="F748" s="229"/>
      <c r="G748" s="229"/>
      <c r="H748" s="229"/>
      <c r="I748" s="229"/>
      <c r="J748" s="59"/>
      <c r="K748" s="1"/>
      <c r="L748" s="32"/>
      <c r="M748" s="32"/>
      <c r="N748" s="32"/>
      <c r="O748" s="51"/>
      <c r="P748" s="51"/>
    </row>
    <row r="749" spans="2:16" x14ac:dyDescent="0.25">
      <c r="B749" s="32"/>
      <c r="C749" s="229"/>
      <c r="D749" s="229"/>
      <c r="E749" s="229"/>
      <c r="F749" s="229"/>
      <c r="G749" s="229"/>
      <c r="H749" s="229"/>
      <c r="I749" s="229"/>
      <c r="J749" s="59"/>
      <c r="K749" s="1"/>
      <c r="L749" s="32"/>
      <c r="M749" s="32"/>
      <c r="N749" s="32"/>
      <c r="O749" s="51"/>
      <c r="P749" s="51"/>
    </row>
    <row r="750" spans="2:16" x14ac:dyDescent="0.25">
      <c r="B750" s="32"/>
      <c r="C750" s="229"/>
      <c r="D750" s="229"/>
      <c r="E750" s="229"/>
      <c r="F750" s="229"/>
      <c r="G750" s="229"/>
      <c r="H750" s="229"/>
      <c r="I750" s="229"/>
      <c r="J750" s="59"/>
      <c r="K750" s="1"/>
      <c r="L750" s="32"/>
      <c r="M750" s="32"/>
      <c r="N750" s="32"/>
      <c r="O750" s="51"/>
      <c r="P750" s="51"/>
    </row>
    <row r="751" spans="2:16" x14ac:dyDescent="0.25">
      <c r="B751" s="32"/>
      <c r="C751" s="229"/>
      <c r="D751" s="229"/>
      <c r="E751" s="229"/>
      <c r="F751" s="229"/>
      <c r="G751" s="229"/>
      <c r="H751" s="229"/>
      <c r="I751" s="229"/>
      <c r="J751" s="59"/>
      <c r="K751" s="1"/>
      <c r="L751" s="32"/>
      <c r="M751" s="32"/>
      <c r="N751" s="32"/>
      <c r="O751" s="51"/>
      <c r="P751" s="51"/>
    </row>
    <row r="752" spans="2:16" x14ac:dyDescent="0.25">
      <c r="B752" s="32"/>
      <c r="C752" s="229"/>
      <c r="D752" s="229"/>
      <c r="E752" s="229"/>
      <c r="F752" s="229"/>
      <c r="G752" s="229"/>
      <c r="H752" s="229"/>
      <c r="I752" s="229"/>
      <c r="J752" s="59"/>
      <c r="K752" s="1"/>
      <c r="L752" s="32"/>
      <c r="M752" s="32"/>
      <c r="N752" s="32"/>
      <c r="O752" s="51"/>
      <c r="P752" s="51"/>
    </row>
    <row r="753" spans="2:16" x14ac:dyDescent="0.25">
      <c r="B753" s="32"/>
      <c r="C753" s="229"/>
      <c r="D753" s="229"/>
      <c r="E753" s="229"/>
      <c r="F753" s="229"/>
      <c r="G753" s="229"/>
      <c r="H753" s="229"/>
      <c r="I753" s="229"/>
      <c r="J753" s="59"/>
      <c r="K753" s="1"/>
      <c r="L753" s="32"/>
      <c r="M753" s="32"/>
      <c r="N753" s="32"/>
      <c r="O753" s="51"/>
      <c r="P753" s="51"/>
    </row>
    <row r="754" spans="2:16" x14ac:dyDescent="0.25">
      <c r="B754" s="32"/>
      <c r="C754" s="229"/>
      <c r="D754" s="229"/>
      <c r="E754" s="229"/>
      <c r="F754" s="229"/>
      <c r="G754" s="229"/>
      <c r="H754" s="229"/>
      <c r="I754" s="229"/>
      <c r="J754" s="59"/>
      <c r="K754" s="1"/>
      <c r="L754" s="32"/>
      <c r="M754" s="32"/>
      <c r="N754" s="32"/>
      <c r="O754" s="51"/>
      <c r="P754" s="51"/>
    </row>
    <row r="755" spans="2:16" x14ac:dyDescent="0.25">
      <c r="B755" s="32"/>
      <c r="C755" s="229"/>
      <c r="D755" s="229"/>
      <c r="E755" s="229"/>
      <c r="F755" s="229"/>
      <c r="G755" s="229"/>
      <c r="H755" s="229"/>
      <c r="I755" s="229"/>
      <c r="J755" s="59"/>
      <c r="K755" s="1"/>
      <c r="L755" s="32"/>
      <c r="M755" s="32"/>
      <c r="N755" s="32"/>
      <c r="O755" s="51"/>
      <c r="P755" s="51"/>
    </row>
    <row r="756" spans="2:16" x14ac:dyDescent="0.25">
      <c r="B756" s="32"/>
      <c r="C756" s="229"/>
      <c r="D756" s="229"/>
      <c r="E756" s="229"/>
      <c r="F756" s="229"/>
      <c r="G756" s="229"/>
      <c r="H756" s="229"/>
      <c r="I756" s="229"/>
      <c r="J756" s="59"/>
      <c r="K756" s="1"/>
      <c r="L756" s="32"/>
      <c r="M756" s="32"/>
      <c r="N756" s="32"/>
      <c r="O756" s="51"/>
      <c r="P756" s="51"/>
    </row>
    <row r="757" spans="2:16" x14ac:dyDescent="0.25">
      <c r="B757" s="32"/>
      <c r="C757" s="229"/>
      <c r="D757" s="229"/>
      <c r="E757" s="229"/>
      <c r="F757" s="229"/>
      <c r="G757" s="229"/>
      <c r="H757" s="229"/>
      <c r="I757" s="229"/>
      <c r="J757" s="59"/>
      <c r="K757" s="1"/>
      <c r="L757" s="32"/>
      <c r="M757" s="32"/>
      <c r="N757" s="32"/>
      <c r="O757" s="51"/>
      <c r="P757" s="51"/>
    </row>
    <row r="758" spans="2:16" x14ac:dyDescent="0.25">
      <c r="B758" s="32"/>
      <c r="C758" s="229"/>
      <c r="D758" s="229"/>
      <c r="E758" s="229"/>
      <c r="F758" s="229"/>
      <c r="G758" s="229"/>
      <c r="H758" s="229"/>
      <c r="I758" s="229"/>
      <c r="J758" s="59"/>
      <c r="K758" s="1"/>
      <c r="L758" s="32"/>
      <c r="M758" s="32"/>
      <c r="N758" s="32"/>
      <c r="O758" s="51"/>
      <c r="P758" s="51"/>
    </row>
    <row r="759" spans="2:16" x14ac:dyDescent="0.25">
      <c r="B759" s="32"/>
      <c r="C759" s="229"/>
      <c r="D759" s="229"/>
      <c r="E759" s="229"/>
      <c r="F759" s="229"/>
      <c r="G759" s="229"/>
      <c r="H759" s="229"/>
      <c r="I759" s="229"/>
      <c r="J759" s="59"/>
      <c r="K759" s="1"/>
      <c r="L759" s="32"/>
      <c r="M759" s="32"/>
      <c r="N759" s="32"/>
      <c r="O759" s="51"/>
      <c r="P759" s="51"/>
    </row>
    <row r="760" spans="2:16" x14ac:dyDescent="0.25">
      <c r="B760" s="32"/>
      <c r="C760" s="229"/>
      <c r="D760" s="229"/>
      <c r="E760" s="229"/>
      <c r="F760" s="229"/>
      <c r="G760" s="229"/>
      <c r="H760" s="229"/>
      <c r="I760" s="229"/>
      <c r="J760" s="59"/>
      <c r="K760" s="1"/>
      <c r="L760" s="32"/>
      <c r="M760" s="32"/>
      <c r="N760" s="32"/>
      <c r="O760" s="51"/>
      <c r="P760" s="51"/>
    </row>
    <row r="761" spans="2:16" x14ac:dyDescent="0.25">
      <c r="B761" s="32"/>
      <c r="C761" s="229"/>
      <c r="D761" s="229"/>
      <c r="E761" s="229"/>
      <c r="F761" s="229"/>
      <c r="G761" s="229"/>
      <c r="H761" s="229"/>
      <c r="I761" s="229"/>
      <c r="J761" s="59"/>
      <c r="K761" s="1"/>
      <c r="L761" s="32"/>
      <c r="M761" s="32"/>
      <c r="N761" s="32"/>
      <c r="O761" s="51"/>
      <c r="P761" s="51"/>
    </row>
    <row r="762" spans="2:16" x14ac:dyDescent="0.25">
      <c r="B762" s="32"/>
      <c r="C762" s="229"/>
      <c r="D762" s="229"/>
      <c r="E762" s="229"/>
      <c r="F762" s="229"/>
      <c r="G762" s="229"/>
      <c r="H762" s="229"/>
      <c r="I762" s="229"/>
      <c r="J762" s="59"/>
      <c r="K762" s="1"/>
      <c r="L762" s="32"/>
      <c r="M762" s="32"/>
      <c r="N762" s="32"/>
      <c r="O762" s="51"/>
      <c r="P762" s="51"/>
    </row>
    <row r="763" spans="2:16" x14ac:dyDescent="0.25">
      <c r="J763" s="59"/>
      <c r="N763" s="32"/>
      <c r="O763" s="51"/>
      <c r="P763" s="51"/>
    </row>
    <row r="764" spans="2:16" x14ac:dyDescent="0.25">
      <c r="J764" s="59"/>
    </row>
    <row r="765" spans="2:16" x14ac:dyDescent="0.25">
      <c r="J765" s="59"/>
    </row>
  </sheetData>
  <autoFilter ref="B11:P574" xr:uid="{70CD793E-41C6-4E5E-839B-5D82507A0299}"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752">
    <mergeCell ref="C426:I426"/>
    <mergeCell ref="C12:I12"/>
    <mergeCell ref="C13:I13"/>
    <mergeCell ref="C14:I14"/>
    <mergeCell ref="C15:I15"/>
    <mergeCell ref="B3:D10"/>
    <mergeCell ref="E3:P10"/>
    <mergeCell ref="C11:I11"/>
    <mergeCell ref="C22:I22"/>
    <mergeCell ref="C23:I23"/>
    <mergeCell ref="C24:I24"/>
    <mergeCell ref="C25:I25"/>
    <mergeCell ref="C26:I26"/>
    <mergeCell ref="C27:I27"/>
    <mergeCell ref="C16:I16"/>
    <mergeCell ref="C17:I17"/>
    <mergeCell ref="C18:I18"/>
    <mergeCell ref="C19:I19"/>
    <mergeCell ref="C20:I20"/>
    <mergeCell ref="C21:I21"/>
    <mergeCell ref="C35:I35"/>
    <mergeCell ref="C36:I36"/>
    <mergeCell ref="C37:I37"/>
    <mergeCell ref="C38:I38"/>
    <mergeCell ref="C39:I39"/>
    <mergeCell ref="C40:I40"/>
    <mergeCell ref="C28:I28"/>
    <mergeCell ref="C30:I30"/>
    <mergeCell ref="C31:I31"/>
    <mergeCell ref="C32:I32"/>
    <mergeCell ref="C33:I33"/>
    <mergeCell ref="C34:I34"/>
    <mergeCell ref="C47:I47"/>
    <mergeCell ref="C48:I48"/>
    <mergeCell ref="C49:I49"/>
    <mergeCell ref="C50:I50"/>
    <mergeCell ref="C51:I51"/>
    <mergeCell ref="C52:I52"/>
    <mergeCell ref="C41:I41"/>
    <mergeCell ref="C42:I42"/>
    <mergeCell ref="C43:I43"/>
    <mergeCell ref="C44:I44"/>
    <mergeCell ref="C45:I45"/>
    <mergeCell ref="C46:I46"/>
    <mergeCell ref="C61:I61"/>
    <mergeCell ref="C62:I62"/>
    <mergeCell ref="C64:I64"/>
    <mergeCell ref="C53:I53"/>
    <mergeCell ref="C54:I54"/>
    <mergeCell ref="C55:I55"/>
    <mergeCell ref="C56:I56"/>
    <mergeCell ref="C57:I57"/>
    <mergeCell ref="C59:I59"/>
    <mergeCell ref="C58:I58"/>
    <mergeCell ref="C63:I63"/>
    <mergeCell ref="C71:I71"/>
    <mergeCell ref="C72:I72"/>
    <mergeCell ref="C73:I73"/>
    <mergeCell ref="C74:I74"/>
    <mergeCell ref="C75:I75"/>
    <mergeCell ref="C76:I76"/>
    <mergeCell ref="C65:I65"/>
    <mergeCell ref="C66:I66"/>
    <mergeCell ref="C67:I67"/>
    <mergeCell ref="C68:I68"/>
    <mergeCell ref="C69:I69"/>
    <mergeCell ref="C70:I70"/>
    <mergeCell ref="C83:I83"/>
    <mergeCell ref="C84:I84"/>
    <mergeCell ref="C85:I85"/>
    <mergeCell ref="C86:I86"/>
    <mergeCell ref="C87:I87"/>
    <mergeCell ref="C88:I88"/>
    <mergeCell ref="C77:I77"/>
    <mergeCell ref="C78:I78"/>
    <mergeCell ref="C79:I79"/>
    <mergeCell ref="C80:I80"/>
    <mergeCell ref="C81:I81"/>
    <mergeCell ref="C82:I82"/>
    <mergeCell ref="C95:I95"/>
    <mergeCell ref="C96:I96"/>
    <mergeCell ref="C97:I97"/>
    <mergeCell ref="C98:I98"/>
    <mergeCell ref="C99:I99"/>
    <mergeCell ref="C100:I100"/>
    <mergeCell ref="C89:I89"/>
    <mergeCell ref="C90:I90"/>
    <mergeCell ref="C91:I91"/>
    <mergeCell ref="C92:I92"/>
    <mergeCell ref="C93:I93"/>
    <mergeCell ref="C94:I94"/>
    <mergeCell ref="C107:I107"/>
    <mergeCell ref="C108:I108"/>
    <mergeCell ref="C109:I109"/>
    <mergeCell ref="C110:I110"/>
    <mergeCell ref="C111:I111"/>
    <mergeCell ref="C112:I112"/>
    <mergeCell ref="C101:I101"/>
    <mergeCell ref="C102:I102"/>
    <mergeCell ref="C103:I103"/>
    <mergeCell ref="C104:I104"/>
    <mergeCell ref="C105:I105"/>
    <mergeCell ref="C106:I106"/>
    <mergeCell ref="C119:I119"/>
    <mergeCell ref="C120:I120"/>
    <mergeCell ref="C121:I121"/>
    <mergeCell ref="C122:I122"/>
    <mergeCell ref="C123:I123"/>
    <mergeCell ref="C124:I124"/>
    <mergeCell ref="C113:I113"/>
    <mergeCell ref="C114:I114"/>
    <mergeCell ref="C115:I115"/>
    <mergeCell ref="C116:I116"/>
    <mergeCell ref="C117:I117"/>
    <mergeCell ref="C118:I118"/>
    <mergeCell ref="C131:I131"/>
    <mergeCell ref="C132:I132"/>
    <mergeCell ref="C133:I133"/>
    <mergeCell ref="C134:I134"/>
    <mergeCell ref="C135:I135"/>
    <mergeCell ref="C136:I136"/>
    <mergeCell ref="C125:I125"/>
    <mergeCell ref="C126:I126"/>
    <mergeCell ref="C127:I127"/>
    <mergeCell ref="C128:I128"/>
    <mergeCell ref="C129:I129"/>
    <mergeCell ref="C130:I130"/>
    <mergeCell ref="C143:I143"/>
    <mergeCell ref="C144:I144"/>
    <mergeCell ref="C145:I145"/>
    <mergeCell ref="C146:I146"/>
    <mergeCell ref="C147:I147"/>
    <mergeCell ref="C148:I148"/>
    <mergeCell ref="C137:I137"/>
    <mergeCell ref="C138:I138"/>
    <mergeCell ref="C139:I139"/>
    <mergeCell ref="C140:I140"/>
    <mergeCell ref="C141:I141"/>
    <mergeCell ref="C142:I142"/>
    <mergeCell ref="C155:I155"/>
    <mergeCell ref="C156:I156"/>
    <mergeCell ref="C157:I157"/>
    <mergeCell ref="C158:I158"/>
    <mergeCell ref="C159:I159"/>
    <mergeCell ref="C149:I149"/>
    <mergeCell ref="C150:I150"/>
    <mergeCell ref="C151:I151"/>
    <mergeCell ref="C152:I152"/>
    <mergeCell ref="C153:I153"/>
    <mergeCell ref="C154:I154"/>
    <mergeCell ref="C166:I166"/>
    <mergeCell ref="C167:I167"/>
    <mergeCell ref="C168:I168"/>
    <mergeCell ref="C169:I169"/>
    <mergeCell ref="C170:I170"/>
    <mergeCell ref="C171:I171"/>
    <mergeCell ref="C160:I160"/>
    <mergeCell ref="C161:I161"/>
    <mergeCell ref="C162:I162"/>
    <mergeCell ref="C163:I163"/>
    <mergeCell ref="C164:I164"/>
    <mergeCell ref="C165:I165"/>
    <mergeCell ref="C180:I180"/>
    <mergeCell ref="C181:I181"/>
    <mergeCell ref="C182:I182"/>
    <mergeCell ref="C183:I183"/>
    <mergeCell ref="C184:I184"/>
    <mergeCell ref="C185:I185"/>
    <mergeCell ref="C172:I172"/>
    <mergeCell ref="C175:I175"/>
    <mergeCell ref="C176:I176"/>
    <mergeCell ref="C177:I177"/>
    <mergeCell ref="C178:I178"/>
    <mergeCell ref="C179:I179"/>
    <mergeCell ref="C174:I174"/>
    <mergeCell ref="C173:I173"/>
    <mergeCell ref="C192:I192"/>
    <mergeCell ref="C193:I193"/>
    <mergeCell ref="C194:I194"/>
    <mergeCell ref="C195:I195"/>
    <mergeCell ref="C196:I196"/>
    <mergeCell ref="C197:I197"/>
    <mergeCell ref="C186:I186"/>
    <mergeCell ref="C187:I187"/>
    <mergeCell ref="C188:I188"/>
    <mergeCell ref="C189:I189"/>
    <mergeCell ref="C190:I190"/>
    <mergeCell ref="C191:I191"/>
    <mergeCell ref="C204:I204"/>
    <mergeCell ref="C205:I205"/>
    <mergeCell ref="C206:I206"/>
    <mergeCell ref="C207:I207"/>
    <mergeCell ref="C208:I208"/>
    <mergeCell ref="C209:I209"/>
    <mergeCell ref="C198:I198"/>
    <mergeCell ref="C199:I199"/>
    <mergeCell ref="C200:I200"/>
    <mergeCell ref="C201:I201"/>
    <mergeCell ref="C202:I202"/>
    <mergeCell ref="C203:I203"/>
    <mergeCell ref="C216:I216"/>
    <mergeCell ref="C217:I217"/>
    <mergeCell ref="C218:I218"/>
    <mergeCell ref="C219:I219"/>
    <mergeCell ref="C220:I220"/>
    <mergeCell ref="C221:I221"/>
    <mergeCell ref="C210:I210"/>
    <mergeCell ref="C211:I211"/>
    <mergeCell ref="C212:I212"/>
    <mergeCell ref="C213:I213"/>
    <mergeCell ref="C214:I214"/>
    <mergeCell ref="C215:I215"/>
    <mergeCell ref="C228:I228"/>
    <mergeCell ref="C229:I229"/>
    <mergeCell ref="C230:I230"/>
    <mergeCell ref="C231:I231"/>
    <mergeCell ref="C232:I232"/>
    <mergeCell ref="C233:I233"/>
    <mergeCell ref="C222:I222"/>
    <mergeCell ref="C223:I223"/>
    <mergeCell ref="C224:I224"/>
    <mergeCell ref="C225:I225"/>
    <mergeCell ref="C226:I226"/>
    <mergeCell ref="C227:I227"/>
    <mergeCell ref="C240:I240"/>
    <mergeCell ref="C241:I241"/>
    <mergeCell ref="C242:I242"/>
    <mergeCell ref="C243:I243"/>
    <mergeCell ref="C244:I244"/>
    <mergeCell ref="C245:I245"/>
    <mergeCell ref="C234:I234"/>
    <mergeCell ref="C235:I235"/>
    <mergeCell ref="C236:I236"/>
    <mergeCell ref="C237:I237"/>
    <mergeCell ref="C238:I238"/>
    <mergeCell ref="C239:I239"/>
    <mergeCell ref="C252:I252"/>
    <mergeCell ref="C253:I253"/>
    <mergeCell ref="C254:I254"/>
    <mergeCell ref="C255:I255"/>
    <mergeCell ref="C256:I256"/>
    <mergeCell ref="C257:I257"/>
    <mergeCell ref="C246:I246"/>
    <mergeCell ref="C247:I247"/>
    <mergeCell ref="C248:I248"/>
    <mergeCell ref="C249:I249"/>
    <mergeCell ref="C250:I250"/>
    <mergeCell ref="C251:I251"/>
    <mergeCell ref="C264:I264"/>
    <mergeCell ref="C265:I265"/>
    <mergeCell ref="C266:I266"/>
    <mergeCell ref="C267:I267"/>
    <mergeCell ref="C268:I268"/>
    <mergeCell ref="C269:I269"/>
    <mergeCell ref="C258:I258"/>
    <mergeCell ref="C259:I259"/>
    <mergeCell ref="C260:I260"/>
    <mergeCell ref="C261:I261"/>
    <mergeCell ref="C262:I262"/>
    <mergeCell ref="C263:I263"/>
    <mergeCell ref="C276:I276"/>
    <mergeCell ref="C277:I277"/>
    <mergeCell ref="C278:I278"/>
    <mergeCell ref="C279:I279"/>
    <mergeCell ref="C280:I280"/>
    <mergeCell ref="C281:I281"/>
    <mergeCell ref="C270:I270"/>
    <mergeCell ref="C271:I271"/>
    <mergeCell ref="C272:I272"/>
    <mergeCell ref="C273:I273"/>
    <mergeCell ref="C274:I274"/>
    <mergeCell ref="C275:I275"/>
    <mergeCell ref="C288:I288"/>
    <mergeCell ref="C289:I289"/>
    <mergeCell ref="C290:I290"/>
    <mergeCell ref="C291:I291"/>
    <mergeCell ref="C292:I292"/>
    <mergeCell ref="C293:I293"/>
    <mergeCell ref="C282:I282"/>
    <mergeCell ref="C283:I283"/>
    <mergeCell ref="C284:I284"/>
    <mergeCell ref="C285:I285"/>
    <mergeCell ref="C286:I286"/>
    <mergeCell ref="C287:I287"/>
    <mergeCell ref="C300:I300"/>
    <mergeCell ref="C301:I301"/>
    <mergeCell ref="C302:I302"/>
    <mergeCell ref="C303:I303"/>
    <mergeCell ref="C304:I304"/>
    <mergeCell ref="C305:I305"/>
    <mergeCell ref="C294:I294"/>
    <mergeCell ref="C295:I295"/>
    <mergeCell ref="C296:I296"/>
    <mergeCell ref="C297:I297"/>
    <mergeCell ref="C298:I298"/>
    <mergeCell ref="C299:I299"/>
    <mergeCell ref="C313:I313"/>
    <mergeCell ref="C314:I314"/>
    <mergeCell ref="C315:I315"/>
    <mergeCell ref="C316:I316"/>
    <mergeCell ref="C317:I317"/>
    <mergeCell ref="C306:I306"/>
    <mergeCell ref="C307:I307"/>
    <mergeCell ref="C308:I308"/>
    <mergeCell ref="C309:I309"/>
    <mergeCell ref="C310:I310"/>
    <mergeCell ref="C312:I312"/>
    <mergeCell ref="C311:I311"/>
    <mergeCell ref="C324:I324"/>
    <mergeCell ref="C325:I325"/>
    <mergeCell ref="C326:I326"/>
    <mergeCell ref="C327:I327"/>
    <mergeCell ref="C328:I328"/>
    <mergeCell ref="C329:I329"/>
    <mergeCell ref="C318:I318"/>
    <mergeCell ref="C319:I319"/>
    <mergeCell ref="C320:I320"/>
    <mergeCell ref="C321:I321"/>
    <mergeCell ref="C322:I322"/>
    <mergeCell ref="C323:I323"/>
    <mergeCell ref="C336:I336"/>
    <mergeCell ref="C337:I337"/>
    <mergeCell ref="C338:I338"/>
    <mergeCell ref="C339:I339"/>
    <mergeCell ref="C340:I340"/>
    <mergeCell ref="C341:I341"/>
    <mergeCell ref="C330:I330"/>
    <mergeCell ref="C331:I331"/>
    <mergeCell ref="C332:I332"/>
    <mergeCell ref="C333:I333"/>
    <mergeCell ref="C334:I334"/>
    <mergeCell ref="C335:I335"/>
    <mergeCell ref="C348:I348"/>
    <mergeCell ref="C349:I349"/>
    <mergeCell ref="C350:I350"/>
    <mergeCell ref="C351:I351"/>
    <mergeCell ref="C352:I352"/>
    <mergeCell ref="C353:I353"/>
    <mergeCell ref="C342:I342"/>
    <mergeCell ref="C343:I343"/>
    <mergeCell ref="C344:I344"/>
    <mergeCell ref="C345:I345"/>
    <mergeCell ref="C346:I346"/>
    <mergeCell ref="C347:I347"/>
    <mergeCell ref="C360:I360"/>
    <mergeCell ref="C361:I361"/>
    <mergeCell ref="C362:I362"/>
    <mergeCell ref="C363:I363"/>
    <mergeCell ref="C364:I364"/>
    <mergeCell ref="C365:I365"/>
    <mergeCell ref="C354:I354"/>
    <mergeCell ref="C355:I355"/>
    <mergeCell ref="C356:I356"/>
    <mergeCell ref="C357:I357"/>
    <mergeCell ref="C358:I358"/>
    <mergeCell ref="C359:I359"/>
    <mergeCell ref="C372:I372"/>
    <mergeCell ref="C373:I373"/>
    <mergeCell ref="C374:I374"/>
    <mergeCell ref="C375:I375"/>
    <mergeCell ref="C376:I376"/>
    <mergeCell ref="C377:I377"/>
    <mergeCell ref="C366:I366"/>
    <mergeCell ref="C367:I367"/>
    <mergeCell ref="C368:I368"/>
    <mergeCell ref="C369:I369"/>
    <mergeCell ref="C370:I370"/>
    <mergeCell ref="C371:I371"/>
    <mergeCell ref="C384:I384"/>
    <mergeCell ref="C385:I385"/>
    <mergeCell ref="C386:I386"/>
    <mergeCell ref="C387:I387"/>
    <mergeCell ref="C388:I388"/>
    <mergeCell ref="C389:I389"/>
    <mergeCell ref="C378:I378"/>
    <mergeCell ref="C379:I379"/>
    <mergeCell ref="C380:I380"/>
    <mergeCell ref="C381:I381"/>
    <mergeCell ref="C382:I382"/>
    <mergeCell ref="C383:I383"/>
    <mergeCell ref="C396:I396"/>
    <mergeCell ref="C397:I397"/>
    <mergeCell ref="C398:I398"/>
    <mergeCell ref="C399:I399"/>
    <mergeCell ref="C400:I400"/>
    <mergeCell ref="C401:I401"/>
    <mergeCell ref="C390:I390"/>
    <mergeCell ref="C391:I391"/>
    <mergeCell ref="C392:I392"/>
    <mergeCell ref="C393:I393"/>
    <mergeCell ref="C394:I394"/>
    <mergeCell ref="C395:I395"/>
    <mergeCell ref="C408:I408"/>
    <mergeCell ref="C409:I409"/>
    <mergeCell ref="C410:I410"/>
    <mergeCell ref="C411:I411"/>
    <mergeCell ref="C412:I412"/>
    <mergeCell ref="C413:I413"/>
    <mergeCell ref="C402:I402"/>
    <mergeCell ref="C403:I403"/>
    <mergeCell ref="C404:I404"/>
    <mergeCell ref="C405:I405"/>
    <mergeCell ref="C406:I406"/>
    <mergeCell ref="C407:I407"/>
    <mergeCell ref="C420:I420"/>
    <mergeCell ref="C421:I421"/>
    <mergeCell ref="C422:I422"/>
    <mergeCell ref="C423:I423"/>
    <mergeCell ref="C424:I424"/>
    <mergeCell ref="C425:I425"/>
    <mergeCell ref="C414:I414"/>
    <mergeCell ref="C415:I415"/>
    <mergeCell ref="C416:I416"/>
    <mergeCell ref="C417:I417"/>
    <mergeCell ref="C418:I418"/>
    <mergeCell ref="C419:I419"/>
    <mergeCell ref="C432:I432"/>
    <mergeCell ref="C433:I433"/>
    <mergeCell ref="C434:I434"/>
    <mergeCell ref="C435:I435"/>
    <mergeCell ref="C436:I436"/>
    <mergeCell ref="C437:I437"/>
    <mergeCell ref="C427:I427"/>
    <mergeCell ref="C428:I428"/>
    <mergeCell ref="C429:I429"/>
    <mergeCell ref="C430:I430"/>
    <mergeCell ref="C431:I431"/>
    <mergeCell ref="C444:I444"/>
    <mergeCell ref="C445:I445"/>
    <mergeCell ref="C446:I446"/>
    <mergeCell ref="C447:I447"/>
    <mergeCell ref="C448:I448"/>
    <mergeCell ref="C449:I449"/>
    <mergeCell ref="C438:I438"/>
    <mergeCell ref="C439:I439"/>
    <mergeCell ref="C440:I440"/>
    <mergeCell ref="C441:I441"/>
    <mergeCell ref="C442:I442"/>
    <mergeCell ref="C443:I443"/>
    <mergeCell ref="C456:I456"/>
    <mergeCell ref="C457:I457"/>
    <mergeCell ref="C458:I458"/>
    <mergeCell ref="C459:I459"/>
    <mergeCell ref="C460:I460"/>
    <mergeCell ref="C461:I461"/>
    <mergeCell ref="C450:I450"/>
    <mergeCell ref="C451:I451"/>
    <mergeCell ref="C452:I452"/>
    <mergeCell ref="C453:I453"/>
    <mergeCell ref="C454:I454"/>
    <mergeCell ref="C455:I455"/>
    <mergeCell ref="C468:I468"/>
    <mergeCell ref="C469:I469"/>
    <mergeCell ref="C471:I471"/>
    <mergeCell ref="C472:I472"/>
    <mergeCell ref="C473:I473"/>
    <mergeCell ref="C474:I474"/>
    <mergeCell ref="C462:I462"/>
    <mergeCell ref="C463:I463"/>
    <mergeCell ref="C464:I464"/>
    <mergeCell ref="C465:I465"/>
    <mergeCell ref="C466:I466"/>
    <mergeCell ref="C467:I467"/>
    <mergeCell ref="C470:I470"/>
    <mergeCell ref="C481:I481"/>
    <mergeCell ref="C482:I482"/>
    <mergeCell ref="C483:I483"/>
    <mergeCell ref="C484:I484"/>
    <mergeCell ref="C485:I485"/>
    <mergeCell ref="C486:I486"/>
    <mergeCell ref="C475:I475"/>
    <mergeCell ref="C476:I476"/>
    <mergeCell ref="C477:I477"/>
    <mergeCell ref="C478:I478"/>
    <mergeCell ref="C479:I479"/>
    <mergeCell ref="C480:I480"/>
    <mergeCell ref="C493:I493"/>
    <mergeCell ref="C494:I494"/>
    <mergeCell ref="C495:I495"/>
    <mergeCell ref="C496:I496"/>
    <mergeCell ref="C497:I497"/>
    <mergeCell ref="C498:I498"/>
    <mergeCell ref="C487:I487"/>
    <mergeCell ref="C488:I488"/>
    <mergeCell ref="C489:I489"/>
    <mergeCell ref="C490:I490"/>
    <mergeCell ref="C491:I491"/>
    <mergeCell ref="C492:I492"/>
    <mergeCell ref="C505:I505"/>
    <mergeCell ref="C506:I506"/>
    <mergeCell ref="C507:I507"/>
    <mergeCell ref="C508:I508"/>
    <mergeCell ref="C509:I509"/>
    <mergeCell ref="C510:I510"/>
    <mergeCell ref="C499:I499"/>
    <mergeCell ref="C500:I500"/>
    <mergeCell ref="C501:I501"/>
    <mergeCell ref="C502:I502"/>
    <mergeCell ref="C503:I503"/>
    <mergeCell ref="C504:I504"/>
    <mergeCell ref="C517:I517"/>
    <mergeCell ref="C518:I518"/>
    <mergeCell ref="C519:I519"/>
    <mergeCell ref="C520:I520"/>
    <mergeCell ref="C521:I521"/>
    <mergeCell ref="C522:I522"/>
    <mergeCell ref="C511:I511"/>
    <mergeCell ref="C512:I512"/>
    <mergeCell ref="C513:I513"/>
    <mergeCell ref="C514:I514"/>
    <mergeCell ref="C515:I515"/>
    <mergeCell ref="C516:I516"/>
    <mergeCell ref="C529:I529"/>
    <mergeCell ref="C530:I530"/>
    <mergeCell ref="C531:I531"/>
    <mergeCell ref="C532:I532"/>
    <mergeCell ref="C533:I533"/>
    <mergeCell ref="C534:I534"/>
    <mergeCell ref="C523:I523"/>
    <mergeCell ref="C524:I524"/>
    <mergeCell ref="C525:I525"/>
    <mergeCell ref="C526:I526"/>
    <mergeCell ref="C527:I527"/>
    <mergeCell ref="C528:I528"/>
    <mergeCell ref="C541:I541"/>
    <mergeCell ref="C542:I542"/>
    <mergeCell ref="C543:I543"/>
    <mergeCell ref="C544:I544"/>
    <mergeCell ref="C545:I545"/>
    <mergeCell ref="C546:I546"/>
    <mergeCell ref="C535:I535"/>
    <mergeCell ref="C536:I536"/>
    <mergeCell ref="C537:I537"/>
    <mergeCell ref="C538:I538"/>
    <mergeCell ref="C539:I539"/>
    <mergeCell ref="C540:I540"/>
    <mergeCell ref="C553:I553"/>
    <mergeCell ref="C554:I554"/>
    <mergeCell ref="C555:I555"/>
    <mergeCell ref="C556:I556"/>
    <mergeCell ref="C557:I557"/>
    <mergeCell ref="C558:I558"/>
    <mergeCell ref="C547:I547"/>
    <mergeCell ref="C548:I548"/>
    <mergeCell ref="C549:I549"/>
    <mergeCell ref="C550:I550"/>
    <mergeCell ref="C551:I551"/>
    <mergeCell ref="C552:I552"/>
    <mergeCell ref="C565:I565"/>
    <mergeCell ref="C566:I566"/>
    <mergeCell ref="C567:I567"/>
    <mergeCell ref="C568:I568"/>
    <mergeCell ref="C569:I569"/>
    <mergeCell ref="C570:I570"/>
    <mergeCell ref="C559:I559"/>
    <mergeCell ref="C560:I560"/>
    <mergeCell ref="C561:I561"/>
    <mergeCell ref="C562:I562"/>
    <mergeCell ref="C563:I563"/>
    <mergeCell ref="C564:I564"/>
    <mergeCell ref="C577:I577"/>
    <mergeCell ref="C578:I578"/>
    <mergeCell ref="C579:I579"/>
    <mergeCell ref="C580:I580"/>
    <mergeCell ref="C581:I581"/>
    <mergeCell ref="C582:I582"/>
    <mergeCell ref="C571:I571"/>
    <mergeCell ref="C572:I572"/>
    <mergeCell ref="C573:I573"/>
    <mergeCell ref="C574:I574"/>
    <mergeCell ref="C575:I575"/>
    <mergeCell ref="C576:I576"/>
    <mergeCell ref="C589:I589"/>
    <mergeCell ref="C590:I590"/>
    <mergeCell ref="C591:I591"/>
    <mergeCell ref="C592:I592"/>
    <mergeCell ref="C593:I593"/>
    <mergeCell ref="C594:I594"/>
    <mergeCell ref="C583:I583"/>
    <mergeCell ref="C584:I584"/>
    <mergeCell ref="C585:I585"/>
    <mergeCell ref="C586:I586"/>
    <mergeCell ref="C587:I587"/>
    <mergeCell ref="C588:I588"/>
    <mergeCell ref="C601:I601"/>
    <mergeCell ref="C602:I602"/>
    <mergeCell ref="C603:I603"/>
    <mergeCell ref="C604:I604"/>
    <mergeCell ref="C605:I605"/>
    <mergeCell ref="C606:I606"/>
    <mergeCell ref="C595:I595"/>
    <mergeCell ref="C596:I596"/>
    <mergeCell ref="C597:I597"/>
    <mergeCell ref="C598:I598"/>
    <mergeCell ref="C599:I599"/>
    <mergeCell ref="C600:I600"/>
    <mergeCell ref="C613:I613"/>
    <mergeCell ref="C614:I614"/>
    <mergeCell ref="C615:I615"/>
    <mergeCell ref="C616:I616"/>
    <mergeCell ref="C617:I617"/>
    <mergeCell ref="C618:I618"/>
    <mergeCell ref="C607:I607"/>
    <mergeCell ref="C608:I608"/>
    <mergeCell ref="C609:I609"/>
    <mergeCell ref="C610:I610"/>
    <mergeCell ref="C611:I611"/>
    <mergeCell ref="C612:I612"/>
    <mergeCell ref="C625:I625"/>
    <mergeCell ref="C626:I626"/>
    <mergeCell ref="C627:I627"/>
    <mergeCell ref="C628:I628"/>
    <mergeCell ref="C629:I629"/>
    <mergeCell ref="C630:I630"/>
    <mergeCell ref="C619:I619"/>
    <mergeCell ref="C620:I620"/>
    <mergeCell ref="C621:I621"/>
    <mergeCell ref="C622:I622"/>
    <mergeCell ref="C623:I623"/>
    <mergeCell ref="C624:I624"/>
    <mergeCell ref="C637:I637"/>
    <mergeCell ref="C638:I638"/>
    <mergeCell ref="C639:I639"/>
    <mergeCell ref="C640:I640"/>
    <mergeCell ref="C641:I641"/>
    <mergeCell ref="C642:I642"/>
    <mergeCell ref="C631:I631"/>
    <mergeCell ref="C632:I632"/>
    <mergeCell ref="C633:I633"/>
    <mergeCell ref="C634:I634"/>
    <mergeCell ref="C635:I635"/>
    <mergeCell ref="C636:I636"/>
    <mergeCell ref="C649:I649"/>
    <mergeCell ref="C650:I650"/>
    <mergeCell ref="C651:I651"/>
    <mergeCell ref="C652:I652"/>
    <mergeCell ref="C653:I653"/>
    <mergeCell ref="C654:I654"/>
    <mergeCell ref="C643:I643"/>
    <mergeCell ref="C644:I644"/>
    <mergeCell ref="C645:I645"/>
    <mergeCell ref="C646:I646"/>
    <mergeCell ref="C647:I647"/>
    <mergeCell ref="C648:I648"/>
    <mergeCell ref="C661:I661"/>
    <mergeCell ref="C662:I662"/>
    <mergeCell ref="C663:I663"/>
    <mergeCell ref="C664:I664"/>
    <mergeCell ref="C665:I665"/>
    <mergeCell ref="C666:I666"/>
    <mergeCell ref="C655:I655"/>
    <mergeCell ref="C656:I656"/>
    <mergeCell ref="C657:I657"/>
    <mergeCell ref="C658:I658"/>
    <mergeCell ref="C659:I659"/>
    <mergeCell ref="C660:I660"/>
    <mergeCell ref="C673:I673"/>
    <mergeCell ref="C674:I674"/>
    <mergeCell ref="C675:I675"/>
    <mergeCell ref="C676:I676"/>
    <mergeCell ref="C677:I677"/>
    <mergeCell ref="C678:I678"/>
    <mergeCell ref="C667:I667"/>
    <mergeCell ref="C668:I668"/>
    <mergeCell ref="C669:I669"/>
    <mergeCell ref="C670:I670"/>
    <mergeCell ref="C671:I671"/>
    <mergeCell ref="C672:I672"/>
    <mergeCell ref="C685:I685"/>
    <mergeCell ref="C686:I686"/>
    <mergeCell ref="C687:I687"/>
    <mergeCell ref="C688:I688"/>
    <mergeCell ref="C689:I689"/>
    <mergeCell ref="C690:I690"/>
    <mergeCell ref="C679:I679"/>
    <mergeCell ref="C680:I680"/>
    <mergeCell ref="C681:I681"/>
    <mergeCell ref="C682:I682"/>
    <mergeCell ref="C683:I683"/>
    <mergeCell ref="C684:I684"/>
    <mergeCell ref="C697:I697"/>
    <mergeCell ref="C698:I698"/>
    <mergeCell ref="C699:I699"/>
    <mergeCell ref="C700:I700"/>
    <mergeCell ref="C701:I701"/>
    <mergeCell ref="C702:I702"/>
    <mergeCell ref="C691:I691"/>
    <mergeCell ref="C692:I692"/>
    <mergeCell ref="C693:I693"/>
    <mergeCell ref="C694:I694"/>
    <mergeCell ref="C695:I695"/>
    <mergeCell ref="C696:I696"/>
    <mergeCell ref="C709:I709"/>
    <mergeCell ref="C710:I710"/>
    <mergeCell ref="C711:I711"/>
    <mergeCell ref="C712:I712"/>
    <mergeCell ref="C713:I713"/>
    <mergeCell ref="C714:I714"/>
    <mergeCell ref="C703:I703"/>
    <mergeCell ref="C704:I704"/>
    <mergeCell ref="C705:I705"/>
    <mergeCell ref="C706:I706"/>
    <mergeCell ref="C707:I707"/>
    <mergeCell ref="C708:I708"/>
    <mergeCell ref="C721:I721"/>
    <mergeCell ref="C722:I722"/>
    <mergeCell ref="C723:I723"/>
    <mergeCell ref="C724:I724"/>
    <mergeCell ref="C725:I725"/>
    <mergeCell ref="C726:I726"/>
    <mergeCell ref="C715:I715"/>
    <mergeCell ref="C716:I716"/>
    <mergeCell ref="C717:I717"/>
    <mergeCell ref="C718:I718"/>
    <mergeCell ref="C719:I719"/>
    <mergeCell ref="C720:I720"/>
    <mergeCell ref="C733:I733"/>
    <mergeCell ref="C734:I734"/>
    <mergeCell ref="C735:I735"/>
    <mergeCell ref="C736:I736"/>
    <mergeCell ref="C737:I737"/>
    <mergeCell ref="C738:I738"/>
    <mergeCell ref="C727:I727"/>
    <mergeCell ref="C728:I728"/>
    <mergeCell ref="C729:I729"/>
    <mergeCell ref="C730:I730"/>
    <mergeCell ref="C731:I731"/>
    <mergeCell ref="C732:I732"/>
    <mergeCell ref="C745:I745"/>
    <mergeCell ref="C746:I746"/>
    <mergeCell ref="C747:I747"/>
    <mergeCell ref="C748:I748"/>
    <mergeCell ref="C749:I749"/>
    <mergeCell ref="C750:I750"/>
    <mergeCell ref="C739:I739"/>
    <mergeCell ref="C740:I740"/>
    <mergeCell ref="C741:I741"/>
    <mergeCell ref="C742:I742"/>
    <mergeCell ref="C743:I743"/>
    <mergeCell ref="C744:I744"/>
    <mergeCell ref="C757:I757"/>
    <mergeCell ref="C758:I758"/>
    <mergeCell ref="C759:I759"/>
    <mergeCell ref="C760:I760"/>
    <mergeCell ref="C761:I761"/>
    <mergeCell ref="C762:I762"/>
    <mergeCell ref="C751:I751"/>
    <mergeCell ref="C752:I752"/>
    <mergeCell ref="C753:I753"/>
    <mergeCell ref="C754:I754"/>
    <mergeCell ref="C755:I755"/>
    <mergeCell ref="C756:I756"/>
  </mergeCells>
  <phoneticPr fontId="10" type="noConversion"/>
  <hyperlinks>
    <hyperlink ref="P13" r:id="rId1" xr:uid="{A70AB1BC-50F2-4798-B0E5-75E19EFB9B8D}"/>
    <hyperlink ref="P14" r:id="rId2" xr:uid="{B953E969-0C44-4FA1-8F06-F0EFF017B706}"/>
    <hyperlink ref="P12" r:id="rId3" xr:uid="{F4C14FBF-F5B3-4BA9-8504-6E5C6F99862E}"/>
    <hyperlink ref="P16" r:id="rId4" xr:uid="{FF124EA3-9ECD-4E3A-A46C-AB2B724F6358}"/>
    <hyperlink ref="P18" r:id="rId5" xr:uid="{A679371C-45E3-4483-9636-C869E1F58E39}"/>
    <hyperlink ref="P19" r:id="rId6" xr:uid="{BA2BFC15-E11F-4996-A480-475A04E6E111}"/>
    <hyperlink ref="P17" r:id="rId7" xr:uid="{11DF6E2A-C85F-404F-A6AE-C7EAE51D5278}"/>
    <hyperlink ref="P20" r:id="rId8" xr:uid="{97ADEC0A-F2E2-41B2-9FF8-A33121CF75BF}"/>
    <hyperlink ref="P21" r:id="rId9" xr:uid="{F19C4497-5360-4A19-8F18-FFA997D0FD39}"/>
    <hyperlink ref="P22" r:id="rId10" xr:uid="{501D1147-EBF7-485A-91DE-C458DFF382D6}"/>
    <hyperlink ref="P23" r:id="rId11" xr:uid="{AEDF3E9C-24B7-4661-9606-0EFB06492C07}"/>
    <hyperlink ref="P24" r:id="rId12" xr:uid="{B2ECCBAC-638A-4E77-B249-6BC813DEF11C}"/>
    <hyperlink ref="P25" r:id="rId13" xr:uid="{15A44FB8-BBEC-4622-B6CB-20645C4F51D6}"/>
    <hyperlink ref="P26" r:id="rId14" xr:uid="{F0A4BF92-932C-494E-A1D6-AC5ADD62CC97}"/>
    <hyperlink ref="P27" r:id="rId15" xr:uid="{693E3E17-B9ED-47C2-B749-5A3B603E7012}"/>
    <hyperlink ref="P28" r:id="rId16" xr:uid="{77DF5B6D-CD89-464E-93BD-8ED27965331E}"/>
    <hyperlink ref="P30" r:id="rId17" xr:uid="{3D914F7E-A663-4103-B365-7EC6C505882E}"/>
    <hyperlink ref="P32" r:id="rId18" xr:uid="{69DB6A09-28E6-44D5-A0D1-2A9F05C88AED}"/>
    <hyperlink ref="P33" r:id="rId19" xr:uid="{6A5BEC67-986E-4910-B509-F9DD929BD723}"/>
    <hyperlink ref="P34" r:id="rId20" xr:uid="{25759137-3C90-454D-A8D7-E93C5226E1C4}"/>
    <hyperlink ref="P35" r:id="rId21" xr:uid="{F2042F27-C1B7-42D2-933D-CB8B7FA35F65}"/>
    <hyperlink ref="P31" r:id="rId22" xr:uid="{ADCC5D97-8A2A-4C93-B2C0-91DB4F9C434A}"/>
    <hyperlink ref="P36" r:id="rId23" xr:uid="{08B51DAF-8650-4ACB-B32D-30156E66A145}"/>
    <hyperlink ref="P38" r:id="rId24" xr:uid="{1CBF7C3D-2B7C-418F-8401-F732C3693CE4}"/>
    <hyperlink ref="P39" r:id="rId25" xr:uid="{B7FA7CD8-068D-412F-9404-0E9FD55C10E5}"/>
    <hyperlink ref="P40" r:id="rId26" xr:uid="{4E5A2600-9B48-43A0-ADDA-8A839071A76F}"/>
    <hyperlink ref="P42" r:id="rId27" xr:uid="{62390D5A-B58E-48CE-BAF3-05311BA01FF8}"/>
    <hyperlink ref="P43" r:id="rId28" xr:uid="{77D8CFD7-C813-4E63-81FB-3C03CCBF8EE5}"/>
    <hyperlink ref="P44" r:id="rId29" xr:uid="{92393FCA-93F6-4DE8-8E6C-BBDE5982EDB0}"/>
    <hyperlink ref="P45" r:id="rId30" xr:uid="{C48945DF-4CFD-4189-8836-A2B9CD86F554}"/>
    <hyperlink ref="P47" r:id="rId31" xr:uid="{8B5C8EAA-0D0E-4CD7-8992-E5A004673D6D}"/>
    <hyperlink ref="P29" r:id="rId32" xr:uid="{97519AA1-DE82-447B-B679-E46B9415B006}"/>
    <hyperlink ref="P48" r:id="rId33" xr:uid="{91B14704-9A8F-4D2F-9F4D-70C25774A198}"/>
    <hyperlink ref="P49" r:id="rId34" xr:uid="{A641FC21-3604-48DD-B828-598905AD45DB}"/>
    <hyperlink ref="P51" r:id="rId35" xr:uid="{070B5740-ED3D-4DCE-AFBE-A41C14F3BD54}"/>
    <hyperlink ref="P52" r:id="rId36" xr:uid="{E15AB073-69F4-4639-BE78-3CD56E7670B2}"/>
    <hyperlink ref="P53" r:id="rId37" xr:uid="{59B0A59D-0AB4-4654-BEF7-CC568753974C}"/>
    <hyperlink ref="P15" r:id="rId38" xr:uid="{5AB1E975-D6B4-487E-A5CB-9C5C73AAC77F}"/>
    <hyperlink ref="P54" r:id="rId39" xr:uid="{DF9E7EA7-6894-4C29-81D5-BE75BAD0785F}"/>
    <hyperlink ref="P55" r:id="rId40" xr:uid="{76AA09B8-2D18-4451-BAF6-6F178609EC3B}"/>
    <hyperlink ref="P56" r:id="rId41" xr:uid="{12603AD3-831E-4CB3-AE81-136CAD438C2C}"/>
    <hyperlink ref="P57" r:id="rId42" xr:uid="{0E69C443-4579-4F32-808F-AB4A2E836A95}"/>
    <hyperlink ref="P59" r:id="rId43" xr:uid="{CD8EE56E-8185-44BA-BECD-7D211513AE59}"/>
    <hyperlink ref="P60" r:id="rId44" xr:uid="{17761251-5DB4-4D0E-B7EC-AAEA33B0DFCB}"/>
    <hyperlink ref="P58" r:id="rId45" xr:uid="{D838E6D1-2D26-4D9F-9F92-31CC3EF66881}"/>
    <hyperlink ref="P61" r:id="rId46" xr:uid="{C7CB9DAA-7774-48A0-BD46-12FDDB51F1B8}"/>
    <hyperlink ref="P63" r:id="rId47" xr:uid="{19AC6E2D-6B76-4ED0-A48F-89C16C3235CC}"/>
    <hyperlink ref="P64" r:id="rId48" xr:uid="{FEAB47D3-0080-417E-B892-93E66FBFD79A}"/>
    <hyperlink ref="P65" r:id="rId49" xr:uid="{EE034D7F-28C0-426B-A1C1-A555E948A102}"/>
    <hyperlink ref="P66" r:id="rId50" xr:uid="{FC712A3D-7B25-489B-828D-0655C17D1301}"/>
    <hyperlink ref="P67" r:id="rId51" xr:uid="{6271164A-DFDB-4E19-832A-A6A3289C54AD}"/>
    <hyperlink ref="P68" r:id="rId52" xr:uid="{BCC62FFA-528B-4885-94F1-260FCE31F1DE}"/>
    <hyperlink ref="P69" r:id="rId53" xr:uid="{E439E7D4-F61D-4D71-A492-08BCC3C231FC}"/>
    <hyperlink ref="P70" r:id="rId54" xr:uid="{89875A0C-8FF5-47AA-BB5A-1F2A9B537621}"/>
    <hyperlink ref="P71" r:id="rId55" xr:uid="{FDCA1B59-274C-473F-9F41-FC9FB700FFBB}"/>
    <hyperlink ref="P72" r:id="rId56" xr:uid="{3C1B14AB-22D7-439A-AFDC-6FA65C334CB1}"/>
    <hyperlink ref="P73" r:id="rId57" xr:uid="{D78D73F2-1FFF-4B54-9B7C-E312B096601B}"/>
    <hyperlink ref="P74" r:id="rId58" xr:uid="{0620F237-D256-489C-928F-44FECB526F5F}"/>
    <hyperlink ref="P75" r:id="rId59" xr:uid="{C46D1A65-E50D-4354-9C45-191966E4BAE9}"/>
    <hyperlink ref="P76" r:id="rId60" xr:uid="{158518C9-9249-418B-8EF7-5199FE41208A}"/>
    <hyperlink ref="P77" r:id="rId61" xr:uid="{38050DAA-1AF2-4FEE-AB98-21B199D53870}"/>
    <hyperlink ref="P78" r:id="rId62" xr:uid="{9BAAF78C-A9BD-44EE-9666-1AEF89078A19}"/>
    <hyperlink ref="P79" r:id="rId63" xr:uid="{56DEA25F-1DC5-4324-9CD8-C67987EECA94}"/>
    <hyperlink ref="P80" r:id="rId64" xr:uid="{906A74D5-1379-4528-BBE4-58CA00C67889}"/>
    <hyperlink ref="P81" r:id="rId65" xr:uid="{27070F45-4F0E-4A52-9032-5817D4284327}"/>
    <hyperlink ref="P82" r:id="rId66" xr:uid="{8089E381-1A0A-49EF-938B-EE9D22D42B0E}"/>
    <hyperlink ref="P83" r:id="rId67" xr:uid="{E8CA09AB-57B3-4A94-9017-C74649FEF01F}"/>
    <hyperlink ref="P84" r:id="rId68" xr:uid="{1F05E458-127E-4E80-97B5-D4DE41413F83}"/>
    <hyperlink ref="P85" r:id="rId69" xr:uid="{073901B2-762D-45FE-A44D-E46A3BC7BD71}"/>
    <hyperlink ref="P86" r:id="rId70" xr:uid="{B2D9466D-B500-4BDD-8662-CEEE5F027E38}"/>
    <hyperlink ref="P87" r:id="rId71" xr:uid="{3F64F346-C77D-4752-BC92-9E4E1A463551}"/>
    <hyperlink ref="P88" r:id="rId72" xr:uid="{94C84BD3-0301-4FF8-9557-40BD43712264}"/>
    <hyperlink ref="P89" r:id="rId73" xr:uid="{274ADABE-00CC-48AD-BA63-75261ACA5AF1}"/>
    <hyperlink ref="P90" r:id="rId74" xr:uid="{F647718D-BC99-42BB-8446-F9952E3BB0C1}"/>
    <hyperlink ref="P91" r:id="rId75" xr:uid="{B46A4170-E311-4A6B-9196-D93B2812F6E3}"/>
    <hyperlink ref="P92" r:id="rId76" xr:uid="{99184187-8652-4B91-9AEF-84E3ACA60F38}"/>
    <hyperlink ref="P93" r:id="rId77" xr:uid="{6E1A5D27-D8CB-499F-BC2D-C2C64138DBC8}"/>
    <hyperlink ref="P94" r:id="rId78" xr:uid="{7C235BCC-BD3D-43AA-AAB2-9557F6B6CC36}"/>
    <hyperlink ref="P95" r:id="rId79" xr:uid="{9AD1B0FB-4DED-4CCD-B2FA-AB54B695DF75}"/>
    <hyperlink ref="P96" r:id="rId80" xr:uid="{86088618-5356-4833-8C8F-D69E42A409E9}"/>
    <hyperlink ref="P97" r:id="rId81" xr:uid="{8EB84412-76F9-454C-95A8-1D56D5AD9C42}"/>
    <hyperlink ref="P98" r:id="rId82" xr:uid="{5D422AEC-3A7E-40D9-B928-9EA4F40C61C8}"/>
    <hyperlink ref="P99" r:id="rId83" xr:uid="{8A66A655-272B-4A27-8CEE-A606C1CC2E08}"/>
    <hyperlink ref="P100" r:id="rId84" xr:uid="{DCB61A17-180F-4874-A74F-C0EAD0C239A5}"/>
    <hyperlink ref="P101" r:id="rId85" xr:uid="{8437BF4D-A138-410D-A1CF-14752A53A5FA}"/>
    <hyperlink ref="P102" r:id="rId86" xr:uid="{8D1F9FAD-6F22-437D-8654-5B1E6ACFF200}"/>
    <hyperlink ref="P103" r:id="rId87" xr:uid="{ABB4D03D-BB60-40F9-9DF9-F4B198979600}"/>
    <hyperlink ref="P104" r:id="rId88" xr:uid="{EF9FE1FA-F6F9-4389-9044-331971E6E16B}"/>
    <hyperlink ref="P105" r:id="rId89" xr:uid="{C0655DC4-44B7-4BB5-B099-3DE57DFBD957}"/>
    <hyperlink ref="P106" r:id="rId90" xr:uid="{21100266-58C8-4992-8D37-C55F3F722B02}"/>
    <hyperlink ref="P107" r:id="rId91" xr:uid="{1AC1D73C-3601-41B8-8323-49A9934A4CB2}"/>
    <hyperlink ref="P109" r:id="rId92" xr:uid="{F57B860D-9CBC-4E55-849C-648F48A4D190}"/>
    <hyperlink ref="P110" r:id="rId93" xr:uid="{28A3B2D8-FEE7-42F6-84AB-F08D98346CCD}"/>
    <hyperlink ref="P111" r:id="rId94" xr:uid="{3300CE0C-8F73-4D88-9706-478311B20F5E}"/>
    <hyperlink ref="P114" r:id="rId95" xr:uid="{331F56A5-9AC4-408E-857B-11394302D4DB}"/>
    <hyperlink ref="P115" r:id="rId96" xr:uid="{AAF37795-C7C1-482B-A845-5147BB9F7A79}"/>
    <hyperlink ref="P116" r:id="rId97" xr:uid="{E9BF5975-5B11-45F3-B59C-E4D891CE50AD}"/>
    <hyperlink ref="P117" r:id="rId98" xr:uid="{00658DDA-68C8-4D83-BE0B-8BD6D9BDFE05}"/>
    <hyperlink ref="P112" r:id="rId99" xr:uid="{B90FA1A4-21C4-4D3B-B18F-FBF0468C965D}"/>
    <hyperlink ref="P118" r:id="rId100" xr:uid="{EF7EB8CF-D475-46CB-8FEA-9243142FAE85}"/>
    <hyperlink ref="P120" r:id="rId101" xr:uid="{16926756-F59E-4418-95DA-0B803DF8647E}"/>
    <hyperlink ref="P121" r:id="rId102" xr:uid="{1375244E-A0FA-41FC-A8B6-E3AD1D40A508}"/>
    <hyperlink ref="P122" r:id="rId103" xr:uid="{6A6B670D-6D74-4D5E-8856-77CAFC657B71}"/>
    <hyperlink ref="P123" r:id="rId104" xr:uid="{717B75D0-BCDA-4566-9A42-576F7ADFFEAC}"/>
    <hyperlink ref="P124" r:id="rId105" xr:uid="{EC5C3260-7140-473D-8AE5-9AD4938685FA}"/>
    <hyperlink ref="P125" r:id="rId106" xr:uid="{278B05E4-4CDA-48A1-92B2-7F27EFC43D92}"/>
    <hyperlink ref="P126" r:id="rId107" xr:uid="{EB0158B8-BEDE-48BC-A0AF-D8C4E527FF48}"/>
    <hyperlink ref="P127" r:id="rId108" xr:uid="{82780A83-A106-42E9-8955-11D56789A692}"/>
    <hyperlink ref="P128" r:id="rId109" xr:uid="{BDEBF88C-429A-483C-80DA-B6DA907B7A10}"/>
    <hyperlink ref="P129" r:id="rId110" xr:uid="{66591956-4ECC-4816-85ED-756D726C4F8A}"/>
    <hyperlink ref="P131" r:id="rId111" xr:uid="{904D07ED-9D47-4008-B1B2-1C8A6E4843B6}"/>
    <hyperlink ref="P130" r:id="rId112" xr:uid="{985961D3-D4DF-4BCB-B900-434F9356D7F8}"/>
    <hyperlink ref="P132" r:id="rId113" xr:uid="{5DB1C72F-CDA7-4BAE-9B9B-144576FB89F6}"/>
    <hyperlink ref="P133" r:id="rId114" xr:uid="{7966F537-2D22-48F2-8333-F1A3B8F84916}"/>
    <hyperlink ref="P134" r:id="rId115" xr:uid="{3D9989D2-5D98-40FB-A507-38B8C070E272}"/>
    <hyperlink ref="P135" r:id="rId116" xr:uid="{C70E9D26-7F2A-4850-B7B0-7DACB321E7D7}"/>
    <hyperlink ref="P136" r:id="rId117" xr:uid="{81B8CD87-9F97-49B4-BA6B-DBA138FCF196}"/>
    <hyperlink ref="P137" r:id="rId118" xr:uid="{A0D6ADF6-A306-4BA4-A455-ED39241A1F4C}"/>
    <hyperlink ref="P138" r:id="rId119" xr:uid="{8EBB3A45-6DD3-486D-8213-D298E195BC80}"/>
    <hyperlink ref="P139" r:id="rId120" xr:uid="{3C8607CF-610A-4062-8F0F-ECBF2393BCD5}"/>
    <hyperlink ref="P140" r:id="rId121" xr:uid="{F357415C-D136-4D09-A9D1-7CC12A3F0754}"/>
    <hyperlink ref="P143" r:id="rId122" xr:uid="{CFBDD3C9-D4BB-48B8-AD85-46B66741D427}"/>
    <hyperlink ref="P145" r:id="rId123" xr:uid="{F0EEED0B-60F2-4B61-88BF-A4DC22E47D9B}"/>
    <hyperlink ref="P144" r:id="rId124" xr:uid="{55975197-6FAD-4FEF-933D-7DD3AAB56FBE}"/>
    <hyperlink ref="P147" r:id="rId125" xr:uid="{EE417B93-AE9A-46C1-942D-40BB4BFE0D91}"/>
    <hyperlink ref="P149" r:id="rId126" xr:uid="{3E191C39-1A88-4724-B11F-59F618BADB57}"/>
    <hyperlink ref="P150" r:id="rId127" xr:uid="{CC6C8D0B-B90E-4075-97D9-4A0DD0A209E9}"/>
    <hyperlink ref="P151" r:id="rId128" xr:uid="{CDD6BFB4-3A60-4467-A209-469BB7AA3A61}"/>
    <hyperlink ref="P152" r:id="rId129" xr:uid="{64A91CB0-2549-45EE-802B-364E7FC83602}"/>
    <hyperlink ref="P153" r:id="rId130" xr:uid="{C1121043-CC88-451E-8399-D40ED0BA8A5B}"/>
    <hyperlink ref="P154" r:id="rId131" xr:uid="{8EB8C633-D6FE-486B-B910-DF426C007592}"/>
    <hyperlink ref="P155" r:id="rId132" xr:uid="{5B365E73-B315-4FDF-A4F3-6716FFE4A3C2}"/>
    <hyperlink ref="P156" r:id="rId133" xr:uid="{F23CE391-4915-480B-BED6-A835669FC94F}"/>
    <hyperlink ref="P157" r:id="rId134" xr:uid="{EFECD89D-890D-4012-B918-8247C37BF46C}"/>
    <hyperlink ref="P160" r:id="rId135" xr:uid="{FDBD801F-45E9-4E41-BE20-6AB6D920A4D5}"/>
    <hyperlink ref="P161" r:id="rId136" xr:uid="{8B950309-E123-45FB-AD1A-19205459EA05}"/>
    <hyperlink ref="P162" r:id="rId137" xr:uid="{5BB53349-C382-442A-B85B-8DEE0D9D4553}"/>
    <hyperlink ref="P163" r:id="rId138" xr:uid="{C1EE54B7-27FC-487D-BC35-CFE0D04EDBB8}"/>
    <hyperlink ref="P164" r:id="rId139" xr:uid="{A5963B39-922F-408D-94C0-332A4D11EB24}"/>
    <hyperlink ref="P165" r:id="rId140" xr:uid="{86F913CB-F6E0-49CD-A9A4-39CFD88CDF8E}"/>
    <hyperlink ref="P166" r:id="rId141" xr:uid="{EFABE05E-6FFD-427B-8060-55B71BD55EBC}"/>
    <hyperlink ref="P168" r:id="rId142" xr:uid="{C2ADD88B-58CD-4610-BE35-8923B24CD078}"/>
    <hyperlink ref="P169" r:id="rId143" xr:uid="{0330C636-378C-44A8-93F3-F1C01F7C2E2F}"/>
    <hyperlink ref="P170" r:id="rId144" xr:uid="{81005096-B0A7-46B1-94D3-3F795876A070}"/>
    <hyperlink ref="P171" r:id="rId145" xr:uid="{25438C8E-C225-4725-863A-08F19E20A8E4}"/>
    <hyperlink ref="P172" r:id="rId146" xr:uid="{9C943CF7-8B05-44AE-90F9-36517F1F1D59}"/>
    <hyperlink ref="P173" r:id="rId147" xr:uid="{486050CF-DB9C-4061-9491-53EA32498F31}"/>
    <hyperlink ref="P174" r:id="rId148" xr:uid="{7FAE8890-E335-4D74-A18C-FE110DB122FB}"/>
    <hyperlink ref="P175" r:id="rId149" xr:uid="{08C1C763-1A36-4175-AA36-DA4012F6A9B0}"/>
    <hyperlink ref="P176" r:id="rId150" xr:uid="{C35AA8B6-BDC7-406F-B1AB-C8206BBC39AA}"/>
    <hyperlink ref="P177" r:id="rId151" xr:uid="{1E9C367A-63A0-4E30-B5BE-E317C8732D67}"/>
    <hyperlink ref="P178" r:id="rId152" xr:uid="{A99D7E7F-B7B6-4AC1-9CD5-A2410EC0CFE6}"/>
    <hyperlink ref="P179" r:id="rId153" xr:uid="{BB72B6AE-70F6-4FCE-B56D-A3BAE66AE364}"/>
    <hyperlink ref="P180" r:id="rId154" xr:uid="{4368204D-82A6-4D49-95C9-3ACB9905E61F}"/>
    <hyperlink ref="P181" r:id="rId155" xr:uid="{40086DE5-B12D-4EED-B04D-773E833839F2}"/>
    <hyperlink ref="P182" r:id="rId156" xr:uid="{4F45C8B7-86B8-459E-8DF4-2F228FB5F56F}"/>
    <hyperlink ref="P183" r:id="rId157" xr:uid="{7CBA0218-B3F3-44C6-A5DD-8A86DBD083AA}"/>
    <hyperlink ref="P184" r:id="rId158" xr:uid="{03EF07E0-C1B7-4810-BC7C-55DEA1075E2A}"/>
    <hyperlink ref="P185" r:id="rId159" xr:uid="{59C3799E-1750-4142-9F43-7EDE05864247}"/>
    <hyperlink ref="P187" r:id="rId160" xr:uid="{58DB63DC-AA6B-4066-8B0B-4964A9922478}"/>
    <hyperlink ref="P188" r:id="rId161" xr:uid="{B184CCC5-B2C3-4F84-BF99-88A5233669B4}"/>
    <hyperlink ref="P189" r:id="rId162" xr:uid="{044585C6-695D-43D6-B42E-74EF96160DE3}"/>
    <hyperlink ref="P190" r:id="rId163" xr:uid="{B03AB5CE-815C-4AFA-BA30-DEDA4A27AF69}"/>
    <hyperlink ref="P191" r:id="rId164" xr:uid="{030E4B76-17F1-483E-A987-F02751049BA9}"/>
    <hyperlink ref="P192" r:id="rId165" xr:uid="{72B09AF8-7CCF-434E-8765-B0FFD8DFF1E4}"/>
    <hyperlink ref="P195" r:id="rId166" xr:uid="{102E8D33-48A3-4BE7-A2DF-0297A4CB545F}"/>
    <hyperlink ref="P196" r:id="rId167" xr:uid="{C1F2936F-E665-45F3-B6B2-6714B2E87173}"/>
    <hyperlink ref="P197" r:id="rId168" xr:uid="{887C8A20-CBC2-4916-BCEC-3BE7DA28D7E5}"/>
    <hyperlink ref="P198" r:id="rId169" xr:uid="{4DA30408-186C-4A39-B67E-3D6185A8E2FD}"/>
    <hyperlink ref="P199" r:id="rId170" xr:uid="{19FC234D-7731-453D-9F9A-52D743F23D3E}"/>
    <hyperlink ref="P200" r:id="rId171" xr:uid="{36924927-8428-4172-B437-FA3F52B10348}"/>
    <hyperlink ref="P201" r:id="rId172" xr:uid="{FF83D540-FFD8-42A0-87CB-11FA190DB459}"/>
    <hyperlink ref="P202" r:id="rId173" xr:uid="{BE89630A-8368-40BE-AE2B-F50BEA145380}"/>
    <hyperlink ref="P203" r:id="rId174" xr:uid="{DF9CD1AD-84CF-4DB6-99A3-1B0558767027}"/>
    <hyperlink ref="P204" r:id="rId175" xr:uid="{A8B77C7E-30DF-4CD6-8B30-8011FF3C740A}"/>
    <hyperlink ref="P205" r:id="rId176" xr:uid="{9FE33BEE-1606-474D-BBAF-B6F2877FD0D7}"/>
    <hyperlink ref="P206" r:id="rId177" xr:uid="{8FE215C3-1F04-408C-BB41-6EAAA3890506}"/>
    <hyperlink ref="P207" r:id="rId178" xr:uid="{AD603F60-F0F2-4FBB-8FBB-DF9D4F4F650F}"/>
    <hyperlink ref="P208" r:id="rId179" xr:uid="{7CFAE067-EA96-4BF1-8B71-0583CD318F10}"/>
    <hyperlink ref="P210" r:id="rId180" xr:uid="{E43B0754-A31A-43D9-A194-A05CB8E9E364}"/>
    <hyperlink ref="P211" r:id="rId181" xr:uid="{4BD38A18-C48D-45A3-A274-BD2F317BEA04}"/>
    <hyperlink ref="P212" r:id="rId182" xr:uid="{57FB5AD2-9505-4BA8-AD9C-22D31A3120EC}"/>
    <hyperlink ref="P213" r:id="rId183" xr:uid="{652DC380-8F84-4B99-8D98-73FE06C9C62D}"/>
    <hyperlink ref="P214" r:id="rId184" xr:uid="{D1F68CF3-F4B0-411A-AB31-2B86E115D12C}"/>
    <hyperlink ref="P215" r:id="rId185" xr:uid="{5BB9908E-6C5D-4D0E-8D99-FC8829AD8733}"/>
    <hyperlink ref="P216" r:id="rId186" xr:uid="{7BA5907E-E548-4242-9287-6A8C19E7BAF0}"/>
    <hyperlink ref="P217" r:id="rId187" xr:uid="{10E9A5A4-3487-4EC4-823E-193B1250CD4C}"/>
    <hyperlink ref="P218" r:id="rId188" xr:uid="{94B1AECA-5543-492D-9842-A4152A1EFC6B}"/>
    <hyperlink ref="P219" r:id="rId189" xr:uid="{C9D79F53-92A1-4211-B611-4A439516C477}"/>
    <hyperlink ref="P220" r:id="rId190" xr:uid="{065008D3-863B-4337-B1A7-6CB9142E0397}"/>
    <hyperlink ref="P221" r:id="rId191" xr:uid="{8A11A69E-39B6-4653-9F84-1BA035103656}"/>
    <hyperlink ref="P222" r:id="rId192" xr:uid="{8DCEE8E5-BEB0-467D-84D8-4707EA141B35}"/>
    <hyperlink ref="P223" r:id="rId193" xr:uid="{1524EF67-3C5B-4C86-91C3-2ED72A5843F2}"/>
    <hyperlink ref="P224" r:id="rId194" xr:uid="{49C8A3C2-5073-4D5C-9344-ECF46012CD98}"/>
    <hyperlink ref="P225" r:id="rId195" xr:uid="{0DF0AAD1-9E7D-4879-BD84-651F0F3B71B5}"/>
    <hyperlink ref="P226" r:id="rId196" xr:uid="{3CF0E6FF-FBAB-452C-9AFB-4633CA9F2F48}"/>
    <hyperlink ref="P227" r:id="rId197" xr:uid="{5FE0B36D-6F74-4A2D-B33C-E97E30ED01FC}"/>
    <hyperlink ref="P228" r:id="rId198" xr:uid="{FB3BA8DB-3E10-416C-9392-08250B1C6D16}"/>
    <hyperlink ref="P231" r:id="rId199" xr:uid="{80889688-7AB7-4D50-976A-6EFEC97466FC}"/>
    <hyperlink ref="P232" r:id="rId200" xr:uid="{413484E7-3CE9-43F7-8E0D-CF7309C3C3B3}"/>
    <hyperlink ref="P233" r:id="rId201" xr:uid="{6E97CCDE-09E9-44E3-AE41-1127D4865CA6}"/>
    <hyperlink ref="P234" r:id="rId202" xr:uid="{074745C4-F225-49E5-9E5B-45A346A00E55}"/>
    <hyperlink ref="P235" r:id="rId203" xr:uid="{AC4B72B3-10CC-4D38-9B5A-6EF0CE1DE2B9}"/>
    <hyperlink ref="P236" r:id="rId204" xr:uid="{7B94B2B9-B9A1-47CB-98B6-FBEBB23FEF40}"/>
    <hyperlink ref="P237" r:id="rId205" xr:uid="{9E640E5F-304B-47C6-BDA6-51C2EC8570E6}"/>
    <hyperlink ref="P240" r:id="rId206" xr:uid="{13706C61-1A68-4E01-99F2-294CD645D653}"/>
    <hyperlink ref="P239" r:id="rId207" xr:uid="{5A41FD89-945C-4474-ACFA-6730B8446153}"/>
    <hyperlink ref="P241" r:id="rId208" xr:uid="{1B21519F-0B1A-48A4-8001-F7655DB40BBF}"/>
    <hyperlink ref="P242" r:id="rId209" xr:uid="{6FDE4184-53F6-4469-B319-22F1956B2871}"/>
    <hyperlink ref="P243" r:id="rId210" xr:uid="{5278F5BE-E59A-4CAB-AA83-DE3ADC6DB251}"/>
    <hyperlink ref="P245" r:id="rId211" xr:uid="{12A37AF4-5D80-4B0C-853F-84D10A076646}"/>
    <hyperlink ref="P246" r:id="rId212" xr:uid="{03F53609-9B94-4C5B-90C0-920EF3D1BA5D}"/>
    <hyperlink ref="P247" r:id="rId213" xr:uid="{1DEC1BF4-9C3B-4DFF-A839-60E4B90BBEDC}"/>
    <hyperlink ref="P248" r:id="rId214" xr:uid="{23CAA830-79B9-47FF-834B-862C636DDBE8}"/>
    <hyperlink ref="P249" r:id="rId215" xr:uid="{C1477314-9708-4FA4-B3F9-BF4313901CEF}"/>
    <hyperlink ref="P251" r:id="rId216" xr:uid="{1D535379-EA60-4F7B-98DA-E3F3D8576F0B}"/>
    <hyperlink ref="P252" r:id="rId217" xr:uid="{4CB737E1-BF5E-4F56-9730-CE441A3935A2}"/>
    <hyperlink ref="P253" r:id="rId218" xr:uid="{CE607AAC-E0CF-4F83-871F-87FD4DFC8092}"/>
    <hyperlink ref="P255" r:id="rId219" xr:uid="{644895DC-0363-4AAC-A09F-299D7EF97D45}"/>
    <hyperlink ref="P256" r:id="rId220" xr:uid="{7F507638-8637-4783-87EC-64AC19A3969E}"/>
    <hyperlink ref="P257" r:id="rId221" xr:uid="{093AFE8B-9BC1-46F0-AD13-F7D785F090DC}"/>
    <hyperlink ref="P258" r:id="rId222" xr:uid="{B8C1A3DC-A92F-49D9-81BA-EFBC563A5E7A}"/>
    <hyperlink ref="P259" r:id="rId223" xr:uid="{4C9FD85B-907B-4326-A788-055C03819424}"/>
    <hyperlink ref="P260" r:id="rId224" xr:uid="{5F45A180-FBE3-431A-95A9-64AA499CEB82}"/>
    <hyperlink ref="P261" r:id="rId225" xr:uid="{61C3738B-29F0-4991-8F89-C7E6ACE4E6C1}"/>
    <hyperlink ref="P262" r:id="rId226" xr:uid="{CC4F8DD1-9C77-4B03-AE09-B92721519DA6}"/>
    <hyperlink ref="P264" r:id="rId227" xr:uid="{987C41E5-AAFF-4014-8C4C-B7F978B6157E}"/>
    <hyperlink ref="P265" r:id="rId228" xr:uid="{E2276115-1D07-4FD2-AF78-41640594C7AB}"/>
    <hyperlink ref="P266" r:id="rId229" xr:uid="{9A367DEE-319A-460B-817B-A43EE28AE631}"/>
    <hyperlink ref="P267" r:id="rId230" xr:uid="{860BBBDC-EBDB-4279-B9AD-4F34AA2113F5}"/>
    <hyperlink ref="P268" r:id="rId231" xr:uid="{4FF0E1D4-4B48-457D-A193-12082292BD53}"/>
    <hyperlink ref="P269" r:id="rId232" xr:uid="{4BB7FA35-AC42-42E4-9CD4-67B92F85535A}"/>
    <hyperlink ref="P270" r:id="rId233" xr:uid="{06823A0D-B75A-444C-B9F3-E7884F933644}"/>
    <hyperlink ref="P271" r:id="rId234" xr:uid="{8B39E743-6DEA-4A49-98B0-A68864843F4A}"/>
    <hyperlink ref="P272" r:id="rId235" xr:uid="{3882853B-D8B5-4B2F-93ED-12B45068E74F}"/>
    <hyperlink ref="P273" r:id="rId236" xr:uid="{6DE1E94E-111B-4FEC-AD26-0CDD4D2E1404}"/>
    <hyperlink ref="P274" r:id="rId237" xr:uid="{BB617F01-2FC9-4C7B-8F97-3BF0A7A6EAE1}"/>
    <hyperlink ref="P275" r:id="rId238" xr:uid="{479927B0-DE4F-454F-81BA-C593ED3E3643}"/>
    <hyperlink ref="P277" r:id="rId239" xr:uid="{23B82D14-DE8A-43B3-949B-57C59E38813A}"/>
    <hyperlink ref="P278" r:id="rId240" xr:uid="{27850027-1F00-4CF6-9D49-E71552B26E87}"/>
    <hyperlink ref="P279" r:id="rId241" xr:uid="{D46B8AEC-D23E-4821-BF44-40290EF589DB}"/>
    <hyperlink ref="P280" r:id="rId242" xr:uid="{BCFCA588-C85C-42CF-A109-98B86A35FBA3}"/>
    <hyperlink ref="P281" r:id="rId243" xr:uid="{FC629F60-E975-4BA3-8915-72F740AEB5E6}"/>
    <hyperlink ref="P282" r:id="rId244" xr:uid="{C5AFFE82-0405-4091-BB59-C00BAE96C2A2}"/>
    <hyperlink ref="P283" r:id="rId245" xr:uid="{1061E9E9-61AB-4C18-B3E8-B16C7786AF1D}"/>
    <hyperlink ref="P284" r:id="rId246" xr:uid="{EED90DCE-AA8B-410F-A69D-07F7455B7BC2}"/>
    <hyperlink ref="P285" r:id="rId247" xr:uid="{E71852B9-70DC-41C2-9F17-BFF2EB430A8D}"/>
    <hyperlink ref="P286" r:id="rId248" xr:uid="{20AE7E77-DB22-4640-893E-241F6E6D4CE8}"/>
    <hyperlink ref="P287" r:id="rId249" xr:uid="{5669B6A0-6905-42E4-A5AA-E17413EDA167}"/>
    <hyperlink ref="P288" r:id="rId250" xr:uid="{07DBC3CA-260D-4D06-A96E-126FB13E399A}"/>
    <hyperlink ref="P289" r:id="rId251" xr:uid="{0ECBC1CA-9FCD-4C71-A7A2-D55EA22896D1}"/>
    <hyperlink ref="P290" r:id="rId252" xr:uid="{2ECCEF77-085C-4074-885F-4CCD165E2FC4}"/>
    <hyperlink ref="P291" r:id="rId253" xr:uid="{1308988E-47C6-4335-B3FF-9FAE0CFDEAB8}"/>
    <hyperlink ref="P292" r:id="rId254" xr:uid="{16442C6E-6682-498F-BFEC-6F6D5F197191}"/>
    <hyperlink ref="P293" r:id="rId255" xr:uid="{6E3CC528-18FC-4042-88FD-013A0E6F5C6E}"/>
    <hyperlink ref="P295" r:id="rId256" xr:uid="{195C92D1-E859-4A93-8464-7768ACD2B5F0}"/>
    <hyperlink ref="P296" r:id="rId257" xr:uid="{9B8C46F4-D2CC-4BBF-9D54-441B119CD04F}"/>
    <hyperlink ref="P297" r:id="rId258" xr:uid="{CCAF9E47-6473-429C-BDA6-E46CF6A68D8E}"/>
    <hyperlink ref="P298" r:id="rId259" xr:uid="{4912BDF3-9186-44D0-B7C1-83E7F20199D5}"/>
    <hyperlink ref="P299" r:id="rId260" xr:uid="{468C4A1E-6FE8-42C7-9858-0A2A2DBA8FC1}"/>
    <hyperlink ref="P300" r:id="rId261" xr:uid="{F0155C68-2232-4616-980D-D6AC6ED352E2}"/>
    <hyperlink ref="P301" r:id="rId262" xr:uid="{23969718-2E86-43E4-A4C6-094CD0C3BF2A}"/>
    <hyperlink ref="P302" r:id="rId263" xr:uid="{158546E1-4532-48B7-945F-6E6F30F9E893}"/>
    <hyperlink ref="P303" r:id="rId264" xr:uid="{09C784DC-E04D-452D-B7C3-9F8656CAB9E8}"/>
    <hyperlink ref="P304" r:id="rId265" xr:uid="{ECA8983D-1760-49B1-8A6D-975B21D24383}"/>
    <hyperlink ref="P305" r:id="rId266" xr:uid="{DD802F9D-7862-4739-94DF-580B48745394}"/>
    <hyperlink ref="P306" r:id="rId267" xr:uid="{7F509B91-BBC3-4637-B437-9804CA05375C}"/>
    <hyperlink ref="P307" r:id="rId268" xr:uid="{2611BB34-6601-4258-A895-510758CC7709}"/>
    <hyperlink ref="P308" r:id="rId269" xr:uid="{511311EC-3CD2-494A-8C11-EDA98A139EB5}"/>
    <hyperlink ref="P309" r:id="rId270" xr:uid="{3B8C9C74-2905-4D2B-98DF-7F15522F8027}"/>
    <hyperlink ref="P294" r:id="rId271" xr:uid="{68A612E7-4EAB-4995-9A00-C073C71D19C2}"/>
    <hyperlink ref="P312" r:id="rId272" xr:uid="{9ED91386-9E9D-407F-828F-E186E1943155}"/>
    <hyperlink ref="P311" r:id="rId273" xr:uid="{9FAFBB3F-EBCE-4EC8-8EAA-CAC6A3554363}"/>
    <hyperlink ref="P313" r:id="rId274" xr:uid="{93EE774A-7DAA-4477-8B1A-B44682602441}"/>
    <hyperlink ref="P314" r:id="rId275" xr:uid="{66CFA772-6A59-4539-AC69-98E354A4BDDB}"/>
    <hyperlink ref="P315" r:id="rId276" xr:uid="{48BBDE3A-A4CF-4E2C-8B70-81CC70D16C3F}"/>
    <hyperlink ref="P316" r:id="rId277" xr:uid="{1759E106-D774-4638-8746-61DEC8A24944}"/>
    <hyperlink ref="P317" r:id="rId278" xr:uid="{C20A83B2-E68E-4CB1-95FA-419858A87998}"/>
    <hyperlink ref="P318" r:id="rId279" xr:uid="{B6532782-07C8-4C04-AB22-4B68FC2BCBC2}"/>
    <hyperlink ref="P319" r:id="rId280" xr:uid="{80CF4467-295A-4DE4-BB98-4B6CC6555604}"/>
    <hyperlink ref="P320" r:id="rId281" xr:uid="{7F801A86-2F68-48C6-84D3-10B64C6DF761}"/>
    <hyperlink ref="P321" r:id="rId282" xr:uid="{4EE7722C-793F-4363-BA28-CB070AA10875}"/>
    <hyperlink ref="P322" r:id="rId283" xr:uid="{535CFD01-39C4-46B4-BD48-5B7786EE5C07}"/>
    <hyperlink ref="P323" r:id="rId284" xr:uid="{A687F44D-130B-4FF7-8AC6-7DB24E7E0972}"/>
    <hyperlink ref="P324" r:id="rId285" xr:uid="{C859846C-B40C-4B93-9E78-D2BC7A81B8A4}"/>
    <hyperlink ref="P325" r:id="rId286" xr:uid="{1A0EF0BD-0FAD-417E-B9A9-EC68B948FC37}"/>
    <hyperlink ref="P327" r:id="rId287" xr:uid="{FFB0C2EE-4F9B-41C3-A9FE-552F4A3EADA6}"/>
    <hyperlink ref="P328" r:id="rId288" xr:uid="{DA004CB0-EBD3-4A5D-B320-9E52E964E695}"/>
    <hyperlink ref="P329" r:id="rId289" xr:uid="{33879B3E-57FC-4810-9319-1F29CDDDD74D}"/>
    <hyperlink ref="P330" r:id="rId290" xr:uid="{2DC3F25C-2B7B-402E-BEB1-49763174885D}"/>
    <hyperlink ref="P331" r:id="rId291" xr:uid="{E99715AB-5326-497E-8ACF-DC81A698E89C}"/>
    <hyperlink ref="P332" r:id="rId292" xr:uid="{DD463BA9-D007-43F2-AC8B-B57141C14C5F}"/>
    <hyperlink ref="P333" r:id="rId293" xr:uid="{821A1A3B-EE8B-488D-9576-CC8D4A50D48A}"/>
    <hyperlink ref="P335" r:id="rId294" xr:uid="{D088358E-C54E-44E1-8A18-403CABB1C01B}"/>
    <hyperlink ref="P336" r:id="rId295" xr:uid="{7555EB3B-3515-4402-9A96-5783F2DD61AE}"/>
    <hyperlink ref="P337" r:id="rId296" xr:uid="{313A6EF2-3CBC-4619-B7A5-B182230852D5}"/>
    <hyperlink ref="P338" r:id="rId297" xr:uid="{72BD2719-DA78-46C7-B44E-C54302568C09}"/>
    <hyperlink ref="P339" r:id="rId298" xr:uid="{DF5DA752-DC9B-4DE5-9217-F1C5DE5CB37E}"/>
    <hyperlink ref="P340" r:id="rId299" xr:uid="{22B4CC20-934A-49D3-A647-592007656ABC}"/>
    <hyperlink ref="P341" r:id="rId300" xr:uid="{B3DFDC06-162F-41FF-8B69-BFCE7E08AFD0}"/>
    <hyperlink ref="P342" r:id="rId301" xr:uid="{FBA2C838-5ECA-4335-87C7-DD79D72D971C}"/>
    <hyperlink ref="P344" r:id="rId302" xr:uid="{B30B9602-8DC8-406F-AA7E-8CA6F63D5CE0}"/>
    <hyperlink ref="P345" r:id="rId303" xr:uid="{9E255498-E077-4F3C-B6B3-B8B8D76A3F5F}"/>
    <hyperlink ref="P346" r:id="rId304" xr:uid="{C1B416E2-F816-4D79-9266-97C9273737D6}"/>
    <hyperlink ref="P347" r:id="rId305" xr:uid="{566BA702-AFE2-4441-A1BA-BE990A14A9FA}"/>
    <hyperlink ref="P348" r:id="rId306" xr:uid="{DAC598A9-70E4-47A3-9C4F-E479744857DD}"/>
    <hyperlink ref="P349" r:id="rId307" xr:uid="{F5428C2B-A01F-4942-A2AF-C842F8DDAE7A}"/>
    <hyperlink ref="P350" r:id="rId308" xr:uid="{57EC6569-A93E-4AF7-B723-D5DED7893460}"/>
    <hyperlink ref="P351" r:id="rId309" xr:uid="{50B52A51-F166-47BC-87B7-D7D5F480650D}"/>
    <hyperlink ref="P352" r:id="rId310" xr:uid="{E7A98993-EC17-4E6D-8939-16385C3D90C6}"/>
    <hyperlink ref="P353" r:id="rId311" xr:uid="{19BA24E8-5429-4425-969A-C834C3E1690B}"/>
    <hyperlink ref="P354" r:id="rId312" xr:uid="{693D9BC8-1B3A-4B16-967A-66C71E26BF0D}"/>
    <hyperlink ref="P355" r:id="rId313" xr:uid="{A4AABF55-CCBD-4D41-826D-B67E74B7D325}"/>
    <hyperlink ref="P356" r:id="rId314" xr:uid="{C0531E65-F56D-43D7-9D82-316AED9D8686}"/>
    <hyperlink ref="P357" r:id="rId315" xr:uid="{4E5F86C4-05FE-41E1-8518-5FECC9722B12}"/>
    <hyperlink ref="P358" r:id="rId316" xr:uid="{5F2DC978-A050-491D-B0A6-C3B2D06C2375}"/>
    <hyperlink ref="P359" r:id="rId317" xr:uid="{A197401C-CA8B-40CE-B622-9A6BDB36F11C}"/>
    <hyperlink ref="P360" r:id="rId318" xr:uid="{E59FD3FD-1B91-40E7-8511-150704815CFB}"/>
    <hyperlink ref="P361" r:id="rId319" xr:uid="{3855ECB1-807F-44F3-8595-289292385E49}"/>
    <hyperlink ref="P362" r:id="rId320" xr:uid="{F0656942-EE31-48F8-A38D-930F636005DD}"/>
    <hyperlink ref="P363" r:id="rId321" xr:uid="{F77FF4B6-ED58-47A9-AD98-E66AAA5A234E}"/>
    <hyperlink ref="P364" r:id="rId322" xr:uid="{BD3983CA-3221-4235-921E-C1BAE411A073}"/>
    <hyperlink ref="O365" r:id="rId323" display="dbetancur@aia.com.co" xr:uid="{067A12A5-49CB-4BD7-8049-463EBFD0ACDD}"/>
    <hyperlink ref="P365" r:id="rId324" xr:uid="{2C16D945-5295-4480-B90E-0293259686DE}"/>
    <hyperlink ref="P366" r:id="rId325" xr:uid="{21D71EB6-1248-4D54-83F2-1CF16179FEBA}"/>
    <hyperlink ref="P367" r:id="rId326" xr:uid="{9B520EBF-6398-4FC2-9B49-C86BD68EBC9F}"/>
    <hyperlink ref="P368" r:id="rId327" xr:uid="{58EB7BF8-B562-4209-835B-C580552B9F67}"/>
    <hyperlink ref="P369" r:id="rId328" xr:uid="{12BDB24F-2F1C-4584-AEAF-B007AB868FDD}"/>
    <hyperlink ref="P370" r:id="rId329" xr:uid="{AC7A62FF-A35C-404B-BFCA-4436E3D6A40A}"/>
    <hyperlink ref="P371" r:id="rId330" xr:uid="{EFB18534-AD97-4E04-A05A-15BD7838E373}"/>
    <hyperlink ref="P372" r:id="rId331" xr:uid="{EAF756B7-4EDA-449E-98C7-B6C912A8CEE3}"/>
    <hyperlink ref="P373" r:id="rId332" xr:uid="{34DFF315-2F2A-4265-AFEF-656DA8A4534D}"/>
    <hyperlink ref="P374" r:id="rId333" xr:uid="{B35E43C8-F641-4EE6-98C0-A7EE5892E354}"/>
    <hyperlink ref="P375" r:id="rId334" xr:uid="{168A2539-5DC8-480A-8FE2-DD05D472247E}"/>
    <hyperlink ref="P376" r:id="rId335" xr:uid="{50E61E5E-79E6-4AC7-9C0F-17DE92C9616E}"/>
    <hyperlink ref="P377" r:id="rId336" xr:uid="{99F1EC9E-9BE3-4138-996F-72E6CD923C18}"/>
    <hyperlink ref="P378" r:id="rId337" xr:uid="{23D7392B-20B2-4612-9821-88AF658E25EA}"/>
    <hyperlink ref="P379" r:id="rId338" xr:uid="{793594E1-3A92-453D-A00D-3E1CEA5B9B7C}"/>
    <hyperlink ref="P380" r:id="rId339" xr:uid="{F5D10EFA-AF47-409F-9C30-4B7D7734D0F5}"/>
    <hyperlink ref="P382" r:id="rId340" xr:uid="{4500016F-E93F-44EB-8BFE-C68109A5FC31}"/>
    <hyperlink ref="P383" r:id="rId341" xr:uid="{E15E70F8-FCF7-4194-9600-AA51AB76A3F7}"/>
    <hyperlink ref="P384" r:id="rId342" xr:uid="{D50774D6-BBAA-4903-9FC8-9BFA0F32FB2B}"/>
    <hyperlink ref="P385" r:id="rId343" xr:uid="{D9FE9077-C920-48BE-A8A9-1DF0828CDE47}"/>
    <hyperlink ref="P386" r:id="rId344" xr:uid="{74980E88-B075-4F8F-A702-8627BD9D342C}"/>
    <hyperlink ref="P387" r:id="rId345" xr:uid="{A3A1685B-7BC3-4FAB-8411-381E15B77A84}"/>
    <hyperlink ref="P389" r:id="rId346" xr:uid="{878B6924-5F5D-41C1-9217-D462F78D9A5F}"/>
    <hyperlink ref="P390" r:id="rId347" xr:uid="{086325FF-D4D9-43AF-B618-57FD0FA7780E}"/>
    <hyperlink ref="P391" r:id="rId348" xr:uid="{A20925F5-4A55-4300-AA69-941C6423B8B4}"/>
    <hyperlink ref="P392" r:id="rId349" xr:uid="{49054A25-ECC3-4484-98F3-FC27B185B5F4}"/>
    <hyperlink ref="P393" r:id="rId350" xr:uid="{397210A1-1FAD-4386-9FF6-AE1ED31451CA}"/>
    <hyperlink ref="P394" r:id="rId351" xr:uid="{DE05D5FB-2B9D-4935-9B88-EB3BA1D2A0DA}"/>
    <hyperlink ref="P395" r:id="rId352" xr:uid="{126B1EC3-69C6-443F-8C37-08D1C24EBE0D}"/>
    <hyperlink ref="P396" r:id="rId353" xr:uid="{560B624A-8F57-4366-B5CE-8215A4806CD0}"/>
    <hyperlink ref="P399" r:id="rId354" xr:uid="{591E1778-8747-4E1C-8633-C054AC193008}"/>
    <hyperlink ref="P400" r:id="rId355" xr:uid="{A519CE57-CECD-4564-B78D-FCE4D8772A7B}"/>
    <hyperlink ref="P401" r:id="rId356" xr:uid="{FDA68C68-C6EB-44D4-9274-153643553387}"/>
    <hyperlink ref="P403" r:id="rId357" xr:uid="{AAAC0685-9879-4AE7-9B20-F8B37090927C}"/>
    <hyperlink ref="P404" r:id="rId358" xr:uid="{E7044D4C-A602-470B-B084-C19BD524D8D6}"/>
    <hyperlink ref="P405" r:id="rId359" xr:uid="{937F426A-1E9C-4B72-B4C0-42F13310E261}"/>
    <hyperlink ref="P406" r:id="rId360" xr:uid="{884BA762-5346-4CEE-9B5C-8B072AFA6B2A}"/>
    <hyperlink ref="P407" r:id="rId361" xr:uid="{AA2F0A80-581E-448A-AB57-EF0E7906954B}"/>
    <hyperlink ref="P408" r:id="rId362" xr:uid="{D2DFB031-AD87-4EB5-9E50-A0C7EB374740}"/>
    <hyperlink ref="P409" r:id="rId363" xr:uid="{19E5DB44-F118-4A14-A9B9-8A0211F59032}"/>
    <hyperlink ref="O410" r:id="rId364" display="dbetancur@aia.com.co" xr:uid="{057CBB34-F309-45B7-AC62-2E446F134CEE}"/>
    <hyperlink ref="P410" r:id="rId365" xr:uid="{0724E9FB-D2DA-42AA-9E17-A6A074238F2D}"/>
    <hyperlink ref="P411" r:id="rId366" xr:uid="{81832B20-F3D7-4876-B06C-1F91D531FBDE}"/>
    <hyperlink ref="P413" r:id="rId367" xr:uid="{76B744D9-7A5C-4D0E-B7FA-BEAA97B0B93A}"/>
    <hyperlink ref="P414" r:id="rId368" xr:uid="{0B80D199-1E74-4672-8F4D-3185508B9E58}"/>
    <hyperlink ref="P415" r:id="rId369" xr:uid="{D59729B6-27B5-4D79-91EC-12D636B0C0F2}"/>
    <hyperlink ref="P416" r:id="rId370" xr:uid="{4CE6FB76-F16B-4DAC-A767-BCBFAC03B568}"/>
    <hyperlink ref="P417" r:id="rId371" xr:uid="{74BBAFDB-E88F-411B-8FEA-89D989586754}"/>
    <hyperlink ref="P418" r:id="rId372" xr:uid="{6BC49846-ECD6-402B-9125-DD5F859B38A4}"/>
    <hyperlink ref="P420" r:id="rId373" xr:uid="{FBAAE978-B4B1-437C-B2AA-48B16E9C1AB4}"/>
    <hyperlink ref="P419" r:id="rId374" xr:uid="{6DD7806F-AB12-472A-9A65-CE8D4E8B085C}"/>
    <hyperlink ref="P421" r:id="rId375" xr:uid="{3EB69EAC-6A81-41B6-896F-8F538D3E605B}"/>
    <hyperlink ref="P422" r:id="rId376" xr:uid="{15E24B60-D7EC-43C1-81FA-4F08E2BB9A4B}"/>
    <hyperlink ref="P423" r:id="rId377" xr:uid="{AED8117E-CBBA-46CC-8229-BFE1C854CCF7}"/>
    <hyperlink ref="P424" r:id="rId378" xr:uid="{76C12E35-A1E5-48E8-992D-0C09C1637290}"/>
    <hyperlink ref="P425" r:id="rId379" xr:uid="{51C16BE1-5303-485E-9C15-582191F36C37}"/>
    <hyperlink ref="P427" r:id="rId380" xr:uid="{53D34B07-A116-4FE8-AD56-1266A9B5FE3F}"/>
    <hyperlink ref="P426" r:id="rId381" xr:uid="{183EDAB0-563A-4CC2-B78D-CEB03AEF3C6A}"/>
    <hyperlink ref="P429" r:id="rId382" xr:uid="{21B38D62-B76F-43D9-B35F-FCEE7F12B4CD}"/>
    <hyperlink ref="P430" r:id="rId383" xr:uid="{2093C9A5-670A-4173-8A69-67285AF1FC99}"/>
    <hyperlink ref="P434" r:id="rId384" xr:uid="{B644B19D-EFA8-4156-95EC-AD625E0E4091}"/>
    <hyperlink ref="P435" r:id="rId385" xr:uid="{9A6C552C-F526-446B-9E29-894725FC3B78}"/>
    <hyperlink ref="P433" r:id="rId386" xr:uid="{28F1B1F9-4F45-4CEA-B8F3-21A8DB71FEC3}"/>
    <hyperlink ref="P432" r:id="rId387" xr:uid="{EBFA2C04-B1AB-481C-8FF2-9B5E3C96F283}"/>
    <hyperlink ref="P437" r:id="rId388" xr:uid="{E86F78F1-786B-46C6-839A-C6FF69C47BEB}"/>
    <hyperlink ref="P436" r:id="rId389" xr:uid="{7D7C5646-90E5-46E9-90C8-8D87E336D67A}"/>
    <hyperlink ref="P438" r:id="rId390" xr:uid="{E0695C2F-DF58-4885-A739-996CCD4887EE}"/>
    <hyperlink ref="P439" r:id="rId391" xr:uid="{290BBDC4-EE74-4104-A133-9F481EFDF8C2}"/>
    <hyperlink ref="P440" r:id="rId392" xr:uid="{7930956F-5B7F-4BF0-889B-82DB1FE0A22F}"/>
    <hyperlink ref="P441" r:id="rId393" xr:uid="{33533E1F-B60E-4C9E-8B15-32F6B81F2B81}"/>
    <hyperlink ref="P442" r:id="rId394" xr:uid="{C34A9A65-13B6-4040-92AA-B8B9B81EAC6F}"/>
    <hyperlink ref="P443" r:id="rId395" xr:uid="{5B7CADC9-967D-4FE1-AEC4-E158397D53E9}"/>
    <hyperlink ref="P444" r:id="rId396" xr:uid="{34CA68C1-B38C-4A9F-8F91-F3CF3C87828F}"/>
    <hyperlink ref="P445" r:id="rId397" xr:uid="{EF61ADEE-CDBD-41D0-811F-A800EA815C8E}"/>
    <hyperlink ref="P446" r:id="rId398" xr:uid="{91CFCCDB-FB10-424B-9DF9-82F7E557CF1B}"/>
    <hyperlink ref="P447" r:id="rId399" xr:uid="{9B0DEA68-63FD-4F69-B062-A14E62F12620}"/>
    <hyperlink ref="P448" r:id="rId400" xr:uid="{6E2D6436-936B-46A3-ADB9-9F8A26C00630}"/>
    <hyperlink ref="P449" r:id="rId401" xr:uid="{9D150957-39F8-4151-B250-551BF2C141B1}"/>
    <hyperlink ref="P450" r:id="rId402" xr:uid="{6B54C27E-E561-40FE-8915-CCA0DD47E931}"/>
    <hyperlink ref="P451" r:id="rId403" xr:uid="{DA2AF7FF-F0AF-4AF2-9FA3-7E738D2E7A11}"/>
    <hyperlink ref="P452" r:id="rId404" xr:uid="{6247C5E6-0F3F-427C-B3E9-693825E54885}"/>
    <hyperlink ref="P453" r:id="rId405" xr:uid="{3E035EC2-85F2-4C42-BB7C-57639104CFE2}"/>
    <hyperlink ref="P454" r:id="rId406" xr:uid="{728F6F48-66B9-452D-939A-F0FB80ABECE2}"/>
    <hyperlink ref="P455" r:id="rId407" xr:uid="{1D8952BF-69E6-47DA-8A2A-1BD8C5507964}"/>
    <hyperlink ref="P456" r:id="rId408" xr:uid="{5820E2D5-A375-4687-B583-674DA8E394A9}"/>
    <hyperlink ref="P457" r:id="rId409" xr:uid="{D0E24A9F-13AD-4D65-A251-D4BA7AA57E91}"/>
    <hyperlink ref="P458" r:id="rId410" xr:uid="{FF42A691-25F1-442B-B741-52BF73248ED3}"/>
    <hyperlink ref="P460" r:id="rId411" xr:uid="{725F33D0-651B-44DC-BAF2-1B21E5D0DBF0}"/>
    <hyperlink ref="P461" r:id="rId412" xr:uid="{1BD72B3A-F63C-439A-85C4-7FEA3E304710}"/>
    <hyperlink ref="P462" r:id="rId413" xr:uid="{7935ABC0-71FB-4105-AFCE-BAB7255164BF}"/>
    <hyperlink ref="P463" r:id="rId414" xr:uid="{84038935-DD8C-4CB1-924D-6E8D9FB4D3EF}"/>
    <hyperlink ref="P464" r:id="rId415" xr:uid="{860F8A25-6A0E-4E71-AD75-635074A93F98}"/>
    <hyperlink ref="P465" r:id="rId416" xr:uid="{866EF641-B4A3-4A7E-9171-1517F6E3F452}"/>
    <hyperlink ref="P466" r:id="rId417" xr:uid="{971BEC99-03A9-4CFB-9FD9-3BDEA95C91D2}"/>
    <hyperlink ref="P467" r:id="rId418" xr:uid="{15C6FC37-BF06-441E-833B-E920159DABCA}"/>
    <hyperlink ref="P468" r:id="rId419" xr:uid="{2D63A5D6-C052-4AED-B07C-FB7984A6EEF7}"/>
    <hyperlink ref="P469" r:id="rId420" xr:uid="{46541687-8821-4D6D-AB66-7B1C074759A7}"/>
    <hyperlink ref="P471" r:id="rId421" xr:uid="{F558F87F-8704-4C2A-8E77-1FE240B8572C}"/>
    <hyperlink ref="P470" r:id="rId422" xr:uid="{3746EA15-D79A-46C7-8564-6845686508D6}"/>
    <hyperlink ref="P473" r:id="rId423" xr:uid="{FC358C92-506F-494B-832B-53138D9D3A06}"/>
    <hyperlink ref="P474" r:id="rId424" xr:uid="{D3F44E17-173B-4D25-9E16-5A0236C8A3AF}"/>
    <hyperlink ref="P475" r:id="rId425" xr:uid="{C0A6D4F6-4764-4297-B932-E2C8AD38874C}"/>
    <hyperlink ref="P476" r:id="rId426" xr:uid="{C5932216-6668-447D-85B6-A6658C189E8C}"/>
    <hyperlink ref="P477" r:id="rId427" xr:uid="{EDCE01E7-3863-446F-BEC4-8C29955974CB}"/>
    <hyperlink ref="P478" r:id="rId428" xr:uid="{687343B4-3040-4F5C-98BE-347CA694965E}"/>
    <hyperlink ref="P479" r:id="rId429" xr:uid="{2D9240F6-454E-4984-9C9D-6E534344BE83}"/>
    <hyperlink ref="P480" r:id="rId430" xr:uid="{DFBEC92B-BDA0-455D-BB69-56D430D05024}"/>
    <hyperlink ref="P481" r:id="rId431" xr:uid="{DCD2AE38-178D-4FAE-AEC9-0FFD55BFB494}"/>
    <hyperlink ref="P482" r:id="rId432" xr:uid="{48D285AF-7310-4550-AB95-925625784C29}"/>
    <hyperlink ref="P483" r:id="rId433" xr:uid="{EA8C7C1A-8A9C-4A0F-9278-8606F6E8C66A}"/>
    <hyperlink ref="P485" r:id="rId434" xr:uid="{55E17D73-DC04-4264-B743-D543BC52ED10}"/>
    <hyperlink ref="P486" r:id="rId435" xr:uid="{80FF2228-4D38-4F57-B689-EADE019F205F}"/>
    <hyperlink ref="P487" r:id="rId436" xr:uid="{3A9DA580-FD42-4CA7-906C-978757F707A4}"/>
    <hyperlink ref="P488" r:id="rId437" xr:uid="{79C9F69D-83C0-425B-A1B7-31DEA1D3EB81}"/>
    <hyperlink ref="P489" r:id="rId438" xr:uid="{C7106CB0-7659-458C-847F-FC405EBA16BD}"/>
    <hyperlink ref="P490" r:id="rId439" xr:uid="{28A9BB93-16B7-4709-BD2C-185D00DB47B0}"/>
    <hyperlink ref="P491" r:id="rId440" xr:uid="{2070EE91-8FA6-41FE-94AD-2E5307D83D8B}"/>
    <hyperlink ref="P492" r:id="rId441" xr:uid="{8767C6A7-015C-47C4-8C39-B29F4465E363}"/>
    <hyperlink ref="P493" r:id="rId442" xr:uid="{13CC4533-1BA1-43ED-9328-CA45CAF9733B}"/>
    <hyperlink ref="P494" r:id="rId443" xr:uid="{EC6D7DAF-C422-46F2-8B12-7C08E9137A6E}"/>
    <hyperlink ref="P495" r:id="rId444" xr:uid="{F83923D6-ED88-47CA-B93B-24C6917D5D5A}"/>
    <hyperlink ref="P496" r:id="rId445" xr:uid="{9863AEF8-E648-48F7-BB2C-97B07A62B082}"/>
    <hyperlink ref="P497" r:id="rId446" xr:uid="{EEBFB785-566D-4171-B238-99E3395DD844}"/>
    <hyperlink ref="P498" r:id="rId447" xr:uid="{0F845619-4E22-4E73-9902-31DE18C9B0B7}"/>
    <hyperlink ref="P499" r:id="rId448" xr:uid="{0DEE7BDD-6BC1-4CAE-8F33-363B13392C29}"/>
    <hyperlink ref="P500" r:id="rId449" xr:uid="{3C6BE5CD-F430-422F-B904-89DB127FD70C}"/>
    <hyperlink ref="P501" r:id="rId450" xr:uid="{6097DE38-D598-48B4-AB9C-BD7037C8679F}"/>
    <hyperlink ref="P503" r:id="rId451" xr:uid="{2FBFFDA7-44D3-47D9-8CB7-FDB504A206AB}"/>
    <hyperlink ref="P504" r:id="rId452" xr:uid="{8D1512D0-2585-44BD-8E01-2ABBB17664C0}"/>
    <hyperlink ref="P505" r:id="rId453" xr:uid="{FBE680A1-58F9-400A-BAE7-6F0E35A3A5F7}"/>
    <hyperlink ref="P506" r:id="rId454" xr:uid="{FA3BD78C-153E-47F4-B1D4-2265B7FF461B}"/>
    <hyperlink ref="P507" r:id="rId455" xr:uid="{95047570-29DA-44EB-A672-8B671B19D1D0}"/>
    <hyperlink ref="P508" r:id="rId456" xr:uid="{A64B1FC7-B085-4793-84F7-D5DF3B21768E}"/>
    <hyperlink ref="P509" r:id="rId457" xr:uid="{5C496ED3-DC9C-4196-891A-D33494371704}"/>
    <hyperlink ref="P510" r:id="rId458" xr:uid="{56772633-AA19-4084-AD02-983F46D3FBA5}"/>
    <hyperlink ref="P511" r:id="rId459" xr:uid="{543B4E84-17D9-4CB4-863A-8D44A67B9B07}"/>
    <hyperlink ref="P513" r:id="rId460" xr:uid="{AE4B962D-4DC8-457F-A426-D104BA96EE1F}"/>
    <hyperlink ref="P514" r:id="rId461" xr:uid="{5558C444-2880-482A-9B81-6A9BA7211155}"/>
    <hyperlink ref="P516" r:id="rId462" xr:uid="{3429F9D5-6F58-4321-A9E1-77D6377C84D9}"/>
    <hyperlink ref="P517" r:id="rId463" xr:uid="{6DBB12B7-E580-403A-9A6A-93EA2F592F74}"/>
    <hyperlink ref="P518" r:id="rId464" xr:uid="{AF8F5474-27A0-4CED-8EDA-B80866132519}"/>
    <hyperlink ref="P519" r:id="rId465" xr:uid="{C13B8C11-590B-423F-98E4-11FC135FE1B1}"/>
    <hyperlink ref="P520" r:id="rId466" xr:uid="{B8D92245-77B7-4B0D-AE69-10CA489C2793}"/>
    <hyperlink ref="P522" r:id="rId467" xr:uid="{E030BDC7-00C8-436A-BA4A-3387D7B61EDB}"/>
    <hyperlink ref="P523" r:id="rId468" xr:uid="{D5EF3C3B-4A66-408E-941E-D2CD786E2C56}"/>
    <hyperlink ref="P524" r:id="rId469" xr:uid="{ABDFEA3B-5920-4886-914E-880416B3FDBF}"/>
    <hyperlink ref="P526" r:id="rId470" xr:uid="{09FF92E2-75A6-4C75-BE19-A6F954DE70C7}"/>
    <hyperlink ref="P527" r:id="rId471" xr:uid="{0CF33A69-CB91-425A-B8EF-7FE32D145616}"/>
    <hyperlink ref="P528" r:id="rId472" xr:uid="{17CC7C36-17B6-4FC1-8BBF-BAFCE83F285D}"/>
    <hyperlink ref="P529" r:id="rId473" xr:uid="{5B0F525F-C753-41B8-81D2-2A3463663AAF}"/>
    <hyperlink ref="P530" r:id="rId474" xr:uid="{EA116E1E-4A75-4491-920B-7DB0EC315BC9}"/>
    <hyperlink ref="P531" r:id="rId475" xr:uid="{82B5127A-69DE-4987-B29D-2747518D510E}"/>
    <hyperlink ref="P532" r:id="rId476" xr:uid="{E784C62F-931F-412B-84AC-18E8001012BD}"/>
    <hyperlink ref="P533" r:id="rId477" xr:uid="{F84DDFC7-02DE-4082-9944-E177D7C29D3A}"/>
    <hyperlink ref="P535" r:id="rId478" xr:uid="{3CAFA655-EE86-4D14-BAB3-5408E2980DB5}"/>
    <hyperlink ref="P536" r:id="rId479" xr:uid="{BC41601D-4C45-4A22-A059-941415658F45}"/>
    <hyperlink ref="P119" r:id="rId480" xr:uid="{A9529DCF-754C-4692-B3C6-0FFFBDA3D385}"/>
    <hyperlink ref="P538" r:id="rId481" xr:uid="{06BDE946-82C2-4C19-A842-4B16E4D1608F}"/>
    <hyperlink ref="P539" r:id="rId482" xr:uid="{D81934A5-BA1B-4302-870F-EB0CAAD78BBC}"/>
    <hyperlink ref="P540" r:id="rId483" xr:uid="{8D15D2AE-7B96-4C3F-A352-9F6566D9CA49}"/>
    <hyperlink ref="P541" r:id="rId484" xr:uid="{B1096472-F7D9-48A7-85F1-3770B5F1C937}"/>
    <hyperlink ref="P542" r:id="rId485" xr:uid="{15FB906D-462B-488E-9DA8-01617D0704BB}"/>
    <hyperlink ref="P543" r:id="rId486" xr:uid="{BEE2729D-BECD-4D1C-8EC9-9459C7054247}"/>
    <hyperlink ref="P544" r:id="rId487" xr:uid="{0D8D775C-356D-4D66-8534-B42B12E0A653}"/>
    <hyperlink ref="P545" r:id="rId488" xr:uid="{6A3963A6-9552-4880-9A38-8EF54503E582}"/>
    <hyperlink ref="P546" r:id="rId489" xr:uid="{DF061A2C-FD78-4FBC-B7D4-10A10E53DF6A}"/>
    <hyperlink ref="P547" r:id="rId490" xr:uid="{A2145C9F-B635-464F-BBEA-C08E0E2FD998}"/>
    <hyperlink ref="P548" r:id="rId491" xr:uid="{ED821783-C534-43DD-BA3A-3EA5B7B474E2}"/>
    <hyperlink ref="P549" r:id="rId492" xr:uid="{95AC05DB-BB44-44B2-BFD3-BB2E7E9CEC7B}"/>
    <hyperlink ref="P550" r:id="rId493" xr:uid="{6386EDD1-6EE8-489A-A11B-61EE5F7EDAFB}"/>
    <hyperlink ref="P551" r:id="rId494" xr:uid="{E31C44A0-99C6-4EDF-8AF4-39EE65A406E3}"/>
    <hyperlink ref="P552" r:id="rId495" xr:uid="{5A1E6F29-DA37-4AEE-A538-CA7563BF0B67}"/>
    <hyperlink ref="P553" r:id="rId496" xr:uid="{47BDE87F-2AE2-4843-BDDA-8FC0D302B692}"/>
  </hyperlinks>
  <pageMargins left="0.7" right="0.7" top="0.75" bottom="0.75" header="0.3" footer="0.3"/>
  <pageSetup orientation="portrait" horizontalDpi="4294967293" r:id="rId497"/>
  <drawing r:id="rId498"/>
  <legacyDrawing r:id="rId49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B8923-D53D-4A37-A197-F25430EA8E57}">
  <dimension ref="B2:P765"/>
  <sheetViews>
    <sheetView topLeftCell="A243" zoomScale="85" zoomScaleNormal="85" workbookViewId="0">
      <selection activeCell="C257" sqref="C257:I257"/>
    </sheetView>
  </sheetViews>
  <sheetFormatPr baseColWidth="10" defaultColWidth="11.42578125" defaultRowHeight="15" x14ac:dyDescent="0.25"/>
  <cols>
    <col min="1" max="1" width="3.140625" customWidth="1"/>
    <col min="2" max="2" width="12.42578125" customWidth="1"/>
    <col min="9" max="9" width="48.5703125" customWidth="1"/>
    <col min="10" max="10" width="26.5703125" customWidth="1"/>
    <col min="11" max="11" width="18.85546875" customWidth="1"/>
    <col min="12" max="12" width="11.42578125" customWidth="1"/>
    <col min="13" max="13" width="22" bestFit="1" customWidth="1"/>
    <col min="14" max="14" width="14.140625" customWidth="1"/>
    <col min="15" max="15" width="33.140625" bestFit="1" customWidth="1"/>
    <col min="16" max="16" width="37.140625" customWidth="1"/>
  </cols>
  <sheetData>
    <row r="2" spans="2:16" ht="15.75" thickBot="1" x14ac:dyDescent="0.3">
      <c r="B2" s="30"/>
      <c r="C2" s="7"/>
      <c r="D2" s="7"/>
      <c r="E2" s="7"/>
      <c r="F2" s="7"/>
      <c r="G2" s="7"/>
      <c r="H2" s="7"/>
      <c r="I2" s="7"/>
      <c r="J2" s="7"/>
      <c r="K2" s="30"/>
      <c r="L2" s="30"/>
      <c r="M2" s="30"/>
      <c r="N2" s="30"/>
      <c r="O2" s="30"/>
      <c r="P2" s="30"/>
    </row>
    <row r="3" spans="2:16" x14ac:dyDescent="0.25">
      <c r="B3" s="234"/>
      <c r="C3" s="235"/>
      <c r="D3" s="235"/>
      <c r="E3" s="169" t="s">
        <v>0</v>
      </c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1"/>
    </row>
    <row r="4" spans="2:16" x14ac:dyDescent="0.25">
      <c r="B4" s="236"/>
      <c r="C4" s="237"/>
      <c r="D4" s="237"/>
      <c r="E4" s="172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4"/>
    </row>
    <row r="5" spans="2:16" x14ac:dyDescent="0.25">
      <c r="B5" s="236"/>
      <c r="C5" s="237"/>
      <c r="D5" s="237"/>
      <c r="E5" s="172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4"/>
    </row>
    <row r="6" spans="2:16" x14ac:dyDescent="0.25">
      <c r="B6" s="236"/>
      <c r="C6" s="237"/>
      <c r="D6" s="237"/>
      <c r="E6" s="172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4"/>
    </row>
    <row r="7" spans="2:16" x14ac:dyDescent="0.25">
      <c r="B7" s="236"/>
      <c r="C7" s="237"/>
      <c r="D7" s="237"/>
      <c r="E7" s="172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4"/>
    </row>
    <row r="8" spans="2:16" x14ac:dyDescent="0.25">
      <c r="B8" s="236"/>
      <c r="C8" s="237"/>
      <c r="D8" s="237"/>
      <c r="E8" s="172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4"/>
    </row>
    <row r="9" spans="2:16" x14ac:dyDescent="0.25">
      <c r="B9" s="236"/>
      <c r="C9" s="237"/>
      <c r="D9" s="237"/>
      <c r="E9" s="172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4"/>
    </row>
    <row r="10" spans="2:16" ht="15.75" thickBot="1" x14ac:dyDescent="0.3">
      <c r="B10" s="238"/>
      <c r="C10" s="239"/>
      <c r="D10" s="239"/>
      <c r="E10" s="175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7"/>
    </row>
    <row r="11" spans="2:16" ht="28.5" x14ac:dyDescent="0.25">
      <c r="B11" s="120" t="s">
        <v>1</v>
      </c>
      <c r="C11" s="178" t="s">
        <v>2</v>
      </c>
      <c r="D11" s="179"/>
      <c r="E11" s="179"/>
      <c r="F11" s="179"/>
      <c r="G11" s="180"/>
      <c r="H11" s="181"/>
      <c r="I11" s="182"/>
      <c r="J11" s="119" t="s">
        <v>696</v>
      </c>
      <c r="K11" s="121" t="s">
        <v>3</v>
      </c>
      <c r="L11" s="122" t="s">
        <v>4</v>
      </c>
      <c r="M11" s="122" t="s">
        <v>3924</v>
      </c>
      <c r="N11" s="123" t="s">
        <v>6</v>
      </c>
      <c r="O11" s="123" t="s">
        <v>7</v>
      </c>
      <c r="P11" s="123" t="s">
        <v>8</v>
      </c>
    </row>
    <row r="12" spans="2:16" x14ac:dyDescent="0.25">
      <c r="B12" s="32">
        <v>1</v>
      </c>
      <c r="C12" s="271"/>
      <c r="D12" s="272"/>
      <c r="E12" s="272"/>
      <c r="F12" s="272"/>
      <c r="G12" s="272"/>
      <c r="H12" s="272"/>
      <c r="I12" s="272"/>
      <c r="J12" s="59"/>
      <c r="K12" s="46"/>
      <c r="L12" s="2"/>
      <c r="M12" s="32"/>
      <c r="N12" s="32"/>
      <c r="O12" s="103"/>
      <c r="P12" s="52"/>
    </row>
    <row r="13" spans="2:16" x14ac:dyDescent="0.25">
      <c r="B13" s="32">
        <v>2</v>
      </c>
      <c r="C13" s="271" t="s">
        <v>4784</v>
      </c>
      <c r="D13" s="272"/>
      <c r="E13" s="272"/>
      <c r="F13" s="272"/>
      <c r="G13" s="272"/>
      <c r="H13" s="272"/>
      <c r="I13" s="272"/>
      <c r="J13" s="59" t="s">
        <v>3050</v>
      </c>
      <c r="K13" s="46">
        <v>34950000</v>
      </c>
      <c r="L13" s="2">
        <v>45303</v>
      </c>
      <c r="M13" s="32"/>
      <c r="N13" s="32">
        <v>3104131109</v>
      </c>
      <c r="O13" s="103" t="s">
        <v>3051</v>
      </c>
      <c r="P13" s="52" t="s">
        <v>3052</v>
      </c>
    </row>
    <row r="14" spans="2:16" x14ac:dyDescent="0.25">
      <c r="B14" s="32">
        <v>3</v>
      </c>
      <c r="C14" s="229" t="s">
        <v>4792</v>
      </c>
      <c r="D14" s="229"/>
      <c r="E14" s="229"/>
      <c r="F14" s="229"/>
      <c r="G14" s="229"/>
      <c r="H14" s="229"/>
      <c r="I14" s="229"/>
      <c r="J14" s="59" t="s">
        <v>4537</v>
      </c>
      <c r="K14" s="46">
        <v>6950000</v>
      </c>
      <c r="L14" s="2">
        <v>45303</v>
      </c>
      <c r="M14" s="32"/>
      <c r="N14" s="32"/>
      <c r="O14" s="103" t="s">
        <v>4538</v>
      </c>
      <c r="P14" s="52" t="s">
        <v>4539</v>
      </c>
    </row>
    <row r="15" spans="2:16" x14ac:dyDescent="0.25">
      <c r="B15" s="32">
        <v>4</v>
      </c>
      <c r="C15" s="229" t="s">
        <v>4793</v>
      </c>
      <c r="D15" s="229"/>
      <c r="E15" s="229"/>
      <c r="F15" s="229"/>
      <c r="G15" s="229"/>
      <c r="H15" s="229"/>
      <c r="I15" s="229"/>
      <c r="J15" s="59" t="s">
        <v>4794</v>
      </c>
      <c r="K15" s="46">
        <v>11950000</v>
      </c>
      <c r="L15" s="2">
        <v>45303</v>
      </c>
      <c r="M15" s="32"/>
      <c r="N15" s="32"/>
      <c r="O15" s="103" t="s">
        <v>4727</v>
      </c>
      <c r="P15" s="38" t="s">
        <v>4795</v>
      </c>
    </row>
    <row r="16" spans="2:16" x14ac:dyDescent="0.25">
      <c r="B16" s="32">
        <v>5</v>
      </c>
      <c r="C16" s="229" t="s">
        <v>4796</v>
      </c>
      <c r="D16" s="229"/>
      <c r="E16" s="229"/>
      <c r="F16" s="229"/>
      <c r="G16" s="229"/>
      <c r="H16" s="229"/>
      <c r="I16" s="229"/>
      <c r="J16" s="59" t="s">
        <v>4797</v>
      </c>
      <c r="K16" s="46">
        <v>4250000</v>
      </c>
      <c r="L16" s="2">
        <v>45303</v>
      </c>
      <c r="M16" s="32"/>
      <c r="N16" s="32">
        <v>3164313039</v>
      </c>
      <c r="O16" s="103" t="s">
        <v>4798</v>
      </c>
      <c r="P16" s="52" t="s">
        <v>4799</v>
      </c>
    </row>
    <row r="17" spans="2:16" x14ac:dyDescent="0.25">
      <c r="B17" s="32">
        <v>6</v>
      </c>
      <c r="C17" s="271" t="s">
        <v>4809</v>
      </c>
      <c r="D17" s="272"/>
      <c r="E17" s="272"/>
      <c r="F17" s="272"/>
      <c r="G17" s="272"/>
      <c r="H17" s="272"/>
      <c r="I17" s="272"/>
      <c r="J17" s="59" t="s">
        <v>702</v>
      </c>
      <c r="K17" s="46">
        <v>2830000</v>
      </c>
      <c r="L17" s="2">
        <v>45308</v>
      </c>
      <c r="M17" s="32"/>
      <c r="N17" s="32">
        <v>3104165783</v>
      </c>
      <c r="O17" s="103" t="s">
        <v>4632</v>
      </c>
      <c r="P17" s="52" t="s">
        <v>4565</v>
      </c>
    </row>
    <row r="18" spans="2:16" x14ac:dyDescent="0.25">
      <c r="B18" s="32">
        <v>7</v>
      </c>
      <c r="C18" s="229" t="s">
        <v>4800</v>
      </c>
      <c r="D18" s="229"/>
      <c r="E18" s="229"/>
      <c r="F18" s="229"/>
      <c r="G18" s="229"/>
      <c r="H18" s="229"/>
      <c r="I18" s="229"/>
      <c r="J18" s="59" t="s">
        <v>702</v>
      </c>
      <c r="K18" s="46">
        <v>1000000</v>
      </c>
      <c r="L18" s="2">
        <v>45308</v>
      </c>
      <c r="M18" s="32"/>
      <c r="N18" s="32">
        <v>3104165783</v>
      </c>
      <c r="O18" s="103" t="s">
        <v>4632</v>
      </c>
      <c r="P18" s="52" t="s">
        <v>4565</v>
      </c>
    </row>
    <row r="19" spans="2:16" x14ac:dyDescent="0.25">
      <c r="B19" s="32">
        <v>8</v>
      </c>
      <c r="C19" s="229" t="s">
        <v>4801</v>
      </c>
      <c r="D19" s="229"/>
      <c r="E19" s="229"/>
      <c r="F19" s="229"/>
      <c r="G19" s="229"/>
      <c r="H19" s="229"/>
      <c r="I19" s="229"/>
      <c r="J19" s="59" t="s">
        <v>1875</v>
      </c>
      <c r="K19" s="46">
        <v>7950000</v>
      </c>
      <c r="L19" s="2">
        <v>45306</v>
      </c>
      <c r="M19" s="2"/>
      <c r="N19" s="32">
        <v>3113391008</v>
      </c>
      <c r="O19" s="103" t="s">
        <v>372</v>
      </c>
      <c r="P19" s="52" t="s">
        <v>2561</v>
      </c>
    </row>
    <row r="20" spans="2:16" x14ac:dyDescent="0.25">
      <c r="B20" s="32">
        <v>9</v>
      </c>
      <c r="C20" s="229" t="s">
        <v>4803</v>
      </c>
      <c r="D20" s="229"/>
      <c r="E20" s="229"/>
      <c r="F20" s="229"/>
      <c r="G20" s="229"/>
      <c r="H20" s="229"/>
      <c r="I20" s="229"/>
      <c r="J20" s="59" t="s">
        <v>3871</v>
      </c>
      <c r="K20" s="46">
        <v>11950000</v>
      </c>
      <c r="L20" s="2">
        <v>45306</v>
      </c>
      <c r="M20" s="32"/>
      <c r="N20" s="32" t="s">
        <v>4802</v>
      </c>
      <c r="O20" s="103" t="s">
        <v>4383</v>
      </c>
      <c r="P20" s="52" t="s">
        <v>4384</v>
      </c>
    </row>
    <row r="21" spans="2:16" x14ac:dyDescent="0.25">
      <c r="B21" s="32">
        <v>10</v>
      </c>
      <c r="C21" s="229" t="s">
        <v>4418</v>
      </c>
      <c r="D21" s="229"/>
      <c r="E21" s="229"/>
      <c r="F21" s="229"/>
      <c r="G21" s="229"/>
      <c r="H21" s="229"/>
      <c r="I21" s="229"/>
      <c r="J21" s="59" t="s">
        <v>3269</v>
      </c>
      <c r="K21" s="46">
        <v>14950000</v>
      </c>
      <c r="L21" s="2">
        <v>45307</v>
      </c>
      <c r="M21" s="35"/>
      <c r="N21" s="32" t="s">
        <v>4804</v>
      </c>
      <c r="O21" s="103" t="s">
        <v>646</v>
      </c>
      <c r="P21" s="52" t="s">
        <v>3274</v>
      </c>
    </row>
    <row r="22" spans="2:16" x14ac:dyDescent="0.25">
      <c r="B22" s="32">
        <v>11</v>
      </c>
      <c r="C22" s="271" t="s">
        <v>4805</v>
      </c>
      <c r="D22" s="272"/>
      <c r="E22" s="272"/>
      <c r="F22" s="272"/>
      <c r="G22" s="272"/>
      <c r="H22" s="272"/>
      <c r="I22" s="272"/>
      <c r="J22" s="59" t="s">
        <v>831</v>
      </c>
      <c r="K22" s="46">
        <v>7950000</v>
      </c>
      <c r="L22" s="2">
        <v>45308</v>
      </c>
      <c r="M22" s="32"/>
      <c r="N22" s="32">
        <v>3194913179</v>
      </c>
      <c r="O22" s="103" t="s">
        <v>3495</v>
      </c>
      <c r="P22" s="52" t="s">
        <v>3496</v>
      </c>
    </row>
    <row r="23" spans="2:16" x14ac:dyDescent="0.25">
      <c r="B23" s="32">
        <v>12</v>
      </c>
      <c r="C23" s="229" t="s">
        <v>4808</v>
      </c>
      <c r="D23" s="229"/>
      <c r="E23" s="229"/>
      <c r="F23" s="229"/>
      <c r="G23" s="229"/>
      <c r="H23" s="229"/>
      <c r="I23" s="229"/>
      <c r="J23" s="59" t="s">
        <v>702</v>
      </c>
      <c r="K23" s="46">
        <v>2950000</v>
      </c>
      <c r="L23" s="2">
        <v>45308</v>
      </c>
      <c r="M23" s="32"/>
      <c r="N23" s="32">
        <v>3229057647</v>
      </c>
      <c r="O23" s="103" t="s">
        <v>4806</v>
      </c>
      <c r="P23" s="52" t="s">
        <v>4807</v>
      </c>
    </row>
    <row r="24" spans="2:16" x14ac:dyDescent="0.25">
      <c r="B24" s="32">
        <v>13</v>
      </c>
      <c r="C24" s="229" t="s">
        <v>4821</v>
      </c>
      <c r="D24" s="229"/>
      <c r="E24" s="229"/>
      <c r="F24" s="229"/>
      <c r="G24" s="229"/>
      <c r="H24" s="229"/>
      <c r="I24" s="229"/>
      <c r="J24" s="59" t="s">
        <v>1659</v>
      </c>
      <c r="K24" s="46">
        <v>9950000</v>
      </c>
      <c r="L24" s="2">
        <v>45310</v>
      </c>
      <c r="M24" s="32"/>
      <c r="N24" s="32" t="s">
        <v>4811</v>
      </c>
      <c r="O24" s="103" t="s">
        <v>4810</v>
      </c>
      <c r="P24" s="52" t="s">
        <v>1662</v>
      </c>
    </row>
    <row r="25" spans="2:16" x14ac:dyDescent="0.25">
      <c r="B25" s="32">
        <v>14</v>
      </c>
      <c r="C25" s="229" t="s">
        <v>4814</v>
      </c>
      <c r="D25" s="229"/>
      <c r="E25" s="229"/>
      <c r="F25" s="229"/>
      <c r="G25" s="229"/>
      <c r="H25" s="229"/>
      <c r="I25" s="229"/>
      <c r="J25" s="59" t="s">
        <v>4812</v>
      </c>
      <c r="K25" s="46">
        <v>19940000</v>
      </c>
      <c r="L25" s="2">
        <v>45309</v>
      </c>
      <c r="M25" s="2"/>
      <c r="N25" s="32" t="s">
        <v>4233</v>
      </c>
      <c r="O25" s="103" t="s">
        <v>4813</v>
      </c>
      <c r="P25" s="38"/>
    </row>
    <row r="26" spans="2:16" x14ac:dyDescent="0.25">
      <c r="B26" s="32">
        <v>15</v>
      </c>
      <c r="C26" s="229" t="s">
        <v>4815</v>
      </c>
      <c r="D26" s="229"/>
      <c r="E26" s="229"/>
      <c r="F26" s="229"/>
      <c r="G26" s="229"/>
      <c r="H26" s="229"/>
      <c r="I26" s="229"/>
      <c r="J26" s="59" t="s">
        <v>4812</v>
      </c>
      <c r="K26" s="46">
        <v>4760000</v>
      </c>
      <c r="L26" s="2">
        <v>45309</v>
      </c>
      <c r="M26" s="2"/>
      <c r="N26" s="32" t="s">
        <v>4233</v>
      </c>
      <c r="O26" s="103" t="s">
        <v>4813</v>
      </c>
      <c r="P26" s="52"/>
    </row>
    <row r="27" spans="2:16" x14ac:dyDescent="0.25">
      <c r="B27" s="32">
        <v>16</v>
      </c>
      <c r="C27" s="271" t="s">
        <v>4816</v>
      </c>
      <c r="D27" s="272"/>
      <c r="E27" s="272"/>
      <c r="F27" s="272"/>
      <c r="G27" s="272"/>
      <c r="H27" s="272"/>
      <c r="I27" s="272"/>
      <c r="J27" s="59" t="s">
        <v>712</v>
      </c>
      <c r="K27" s="46">
        <v>2500000</v>
      </c>
      <c r="L27" s="2">
        <v>45309</v>
      </c>
      <c r="M27" s="2"/>
      <c r="N27" s="32">
        <v>3137851941</v>
      </c>
      <c r="O27" s="103" t="s">
        <v>4126</v>
      </c>
      <c r="P27" s="52" t="s">
        <v>713</v>
      </c>
    </row>
    <row r="28" spans="2:16" x14ac:dyDescent="0.25">
      <c r="B28" s="32">
        <v>17</v>
      </c>
      <c r="C28" s="271" t="s">
        <v>4817</v>
      </c>
      <c r="D28" s="272"/>
      <c r="E28" s="272"/>
      <c r="F28" s="272"/>
      <c r="G28" s="272"/>
      <c r="H28" s="272"/>
      <c r="I28" s="272"/>
      <c r="J28" s="59" t="s">
        <v>1439</v>
      </c>
      <c r="K28" s="46">
        <v>19950000</v>
      </c>
      <c r="L28" s="2">
        <v>45313</v>
      </c>
      <c r="M28" s="32"/>
      <c r="N28" s="32">
        <v>3104145629</v>
      </c>
      <c r="O28" s="103" t="s">
        <v>3481</v>
      </c>
      <c r="P28" s="52" t="s">
        <v>2021</v>
      </c>
    </row>
    <row r="29" spans="2:16" x14ac:dyDescent="0.25">
      <c r="B29" s="32">
        <v>18</v>
      </c>
      <c r="C29" s="229" t="s">
        <v>4820</v>
      </c>
      <c r="D29" s="229"/>
      <c r="E29" s="229"/>
      <c r="F29" s="229"/>
      <c r="G29" s="229"/>
      <c r="H29" s="229"/>
      <c r="I29" s="229"/>
      <c r="J29" s="59" t="s">
        <v>4818</v>
      </c>
      <c r="K29" s="46">
        <v>1880000</v>
      </c>
      <c r="L29" s="2">
        <v>45313</v>
      </c>
      <c r="M29" s="32"/>
      <c r="N29" s="32">
        <v>3113507944</v>
      </c>
      <c r="O29" s="102" t="s">
        <v>4819</v>
      </c>
      <c r="P29" s="52"/>
    </row>
    <row r="30" spans="2:16" x14ac:dyDescent="0.25">
      <c r="B30" s="32">
        <v>19</v>
      </c>
      <c r="C30" s="229" t="s">
        <v>4824</v>
      </c>
      <c r="D30" s="229"/>
      <c r="E30" s="229"/>
      <c r="F30" s="229"/>
      <c r="G30" s="229"/>
      <c r="H30" s="229"/>
      <c r="I30" s="229"/>
      <c r="J30" s="59" t="s">
        <v>2664</v>
      </c>
      <c r="K30" s="46">
        <v>7530000</v>
      </c>
      <c r="L30" s="2">
        <v>45314</v>
      </c>
      <c r="M30" s="32"/>
      <c r="N30" s="32">
        <v>3182079204</v>
      </c>
      <c r="O30" s="102" t="s">
        <v>4822</v>
      </c>
      <c r="P30" s="52" t="s">
        <v>4823</v>
      </c>
    </row>
    <row r="31" spans="2:16" x14ac:dyDescent="0.25">
      <c r="B31" s="32">
        <v>20</v>
      </c>
      <c r="C31" s="229" t="s">
        <v>4825</v>
      </c>
      <c r="D31" s="229"/>
      <c r="E31" s="229"/>
      <c r="F31" s="229"/>
      <c r="G31" s="229"/>
      <c r="H31" s="229"/>
      <c r="I31" s="229"/>
      <c r="J31" s="59" t="s">
        <v>2664</v>
      </c>
      <c r="K31" s="46">
        <v>14430000</v>
      </c>
      <c r="L31" s="2">
        <v>45314</v>
      </c>
      <c r="M31" s="32"/>
      <c r="N31" s="32">
        <v>3182079204</v>
      </c>
      <c r="O31" s="102" t="s">
        <v>4822</v>
      </c>
      <c r="P31" s="52" t="s">
        <v>4823</v>
      </c>
    </row>
    <row r="32" spans="2:16" x14ac:dyDescent="0.25">
      <c r="B32" s="32">
        <v>21</v>
      </c>
      <c r="C32" s="229" t="s">
        <v>4827</v>
      </c>
      <c r="D32" s="229"/>
      <c r="E32" s="229"/>
      <c r="F32" s="229"/>
      <c r="G32" s="229"/>
      <c r="H32" s="229"/>
      <c r="I32" s="229"/>
      <c r="J32" s="59" t="s">
        <v>4826</v>
      </c>
      <c r="K32" s="46">
        <v>6250000</v>
      </c>
      <c r="L32" s="2">
        <v>45314</v>
      </c>
      <c r="M32" s="2"/>
      <c r="N32" s="32">
        <v>3175179593</v>
      </c>
      <c r="O32" s="102" t="s">
        <v>4668</v>
      </c>
      <c r="P32" s="52" t="s">
        <v>4022</v>
      </c>
    </row>
    <row r="33" spans="2:16" x14ac:dyDescent="0.25">
      <c r="B33" s="32">
        <v>22</v>
      </c>
      <c r="C33" s="229" t="s">
        <v>4829</v>
      </c>
      <c r="D33" s="229"/>
      <c r="E33" s="229"/>
      <c r="F33" s="229"/>
      <c r="G33" s="229"/>
      <c r="H33" s="229"/>
      <c r="I33" s="229"/>
      <c r="J33" s="59" t="s">
        <v>702</v>
      </c>
      <c r="K33" s="46">
        <v>3150000</v>
      </c>
      <c r="L33" s="2">
        <v>45315</v>
      </c>
      <c r="M33" s="32"/>
      <c r="N33" s="32" t="s">
        <v>2745</v>
      </c>
      <c r="O33" s="102" t="s">
        <v>2746</v>
      </c>
      <c r="P33" s="52" t="s">
        <v>703</v>
      </c>
    </row>
    <row r="34" spans="2:16" x14ac:dyDescent="0.25">
      <c r="B34" s="32">
        <v>23</v>
      </c>
      <c r="C34" s="263" t="s">
        <v>4830</v>
      </c>
      <c r="D34" s="229"/>
      <c r="E34" s="229"/>
      <c r="F34" s="229"/>
      <c r="G34" s="229"/>
      <c r="H34" s="229"/>
      <c r="I34" s="229"/>
      <c r="J34" s="59" t="s">
        <v>2664</v>
      </c>
      <c r="K34" s="46">
        <v>2750000</v>
      </c>
      <c r="L34" s="2">
        <v>45315</v>
      </c>
      <c r="M34" s="32"/>
      <c r="N34" s="32">
        <v>3006731128</v>
      </c>
      <c r="O34" s="102" t="s">
        <v>4831</v>
      </c>
      <c r="P34" s="52" t="s">
        <v>4833</v>
      </c>
    </row>
    <row r="35" spans="2:16" x14ac:dyDescent="0.25">
      <c r="B35" s="32">
        <v>24</v>
      </c>
      <c r="C35" s="229" t="s">
        <v>4832</v>
      </c>
      <c r="D35" s="229"/>
      <c r="E35" s="229"/>
      <c r="F35" s="229"/>
      <c r="G35" s="229"/>
      <c r="H35" s="229"/>
      <c r="I35" s="229"/>
      <c r="J35" s="59" t="s">
        <v>747</v>
      </c>
      <c r="K35" s="46">
        <v>6500000</v>
      </c>
      <c r="L35" s="2">
        <v>45316</v>
      </c>
      <c r="M35" s="32"/>
      <c r="N35" s="32">
        <v>3175594091</v>
      </c>
      <c r="O35" s="103" t="s">
        <v>2045</v>
      </c>
      <c r="P35" s="52" t="s">
        <v>748</v>
      </c>
    </row>
    <row r="36" spans="2:16" ht="15" customHeight="1" x14ac:dyDescent="0.25">
      <c r="B36" s="32">
        <v>25</v>
      </c>
      <c r="C36" s="271" t="s">
        <v>4836</v>
      </c>
      <c r="D36" s="272"/>
      <c r="E36" s="272"/>
      <c r="F36" s="272"/>
      <c r="G36" s="272"/>
      <c r="H36" s="272"/>
      <c r="I36" s="272"/>
      <c r="J36" s="59" t="s">
        <v>4835</v>
      </c>
      <c r="K36" s="46">
        <v>26350000</v>
      </c>
      <c r="L36" s="2">
        <v>45317</v>
      </c>
      <c r="M36" s="32"/>
      <c r="N36" s="32">
        <v>3104057513</v>
      </c>
      <c r="O36" s="103" t="s">
        <v>4834</v>
      </c>
      <c r="P36" s="52" t="s">
        <v>1301</v>
      </c>
    </row>
    <row r="37" spans="2:16" x14ac:dyDescent="0.25">
      <c r="B37" s="32">
        <v>26</v>
      </c>
      <c r="C37" s="263" t="s">
        <v>4839</v>
      </c>
      <c r="D37" s="229"/>
      <c r="E37" s="229"/>
      <c r="F37" s="229"/>
      <c r="G37" s="229"/>
      <c r="H37" s="229"/>
      <c r="I37" s="229"/>
      <c r="J37" s="59" t="s">
        <v>4120</v>
      </c>
      <c r="K37" s="46">
        <v>5650000</v>
      </c>
      <c r="L37" s="2">
        <v>45317</v>
      </c>
      <c r="M37" s="32"/>
      <c r="N37" s="32" t="s">
        <v>4838</v>
      </c>
      <c r="O37" s="102" t="s">
        <v>4837</v>
      </c>
      <c r="P37" s="38" t="s">
        <v>2554</v>
      </c>
    </row>
    <row r="38" spans="2:16" x14ac:dyDescent="0.25">
      <c r="B38" s="32">
        <v>27</v>
      </c>
      <c r="C38" s="271" t="s">
        <v>4843</v>
      </c>
      <c r="D38" s="272"/>
      <c r="E38" s="272"/>
      <c r="F38" s="272"/>
      <c r="G38" s="272"/>
      <c r="H38" s="272"/>
      <c r="I38" s="272"/>
      <c r="J38" s="59" t="s">
        <v>4840</v>
      </c>
      <c r="K38" s="46">
        <v>1450000</v>
      </c>
      <c r="L38" s="2">
        <v>45317</v>
      </c>
      <c r="M38" s="32"/>
      <c r="N38" s="32"/>
      <c r="O38" s="102" t="s">
        <v>4841</v>
      </c>
      <c r="P38" s="52" t="s">
        <v>4842</v>
      </c>
    </row>
    <row r="39" spans="2:16" x14ac:dyDescent="0.25">
      <c r="B39" s="32">
        <v>28</v>
      </c>
      <c r="C39" s="229" t="s">
        <v>4845</v>
      </c>
      <c r="D39" s="229"/>
      <c r="E39" s="229"/>
      <c r="F39" s="229"/>
      <c r="G39" s="229"/>
      <c r="H39" s="229"/>
      <c r="I39" s="229"/>
      <c r="J39" s="59" t="s">
        <v>4844</v>
      </c>
      <c r="K39" s="46">
        <v>4950000</v>
      </c>
      <c r="L39" s="2">
        <v>45317</v>
      </c>
      <c r="M39" s="32"/>
      <c r="N39" s="32">
        <v>3175179593</v>
      </c>
      <c r="O39" s="102" t="s">
        <v>4021</v>
      </c>
      <c r="P39" s="52" t="s">
        <v>4022</v>
      </c>
    </row>
    <row r="40" spans="2:16" x14ac:dyDescent="0.25">
      <c r="B40" s="32">
        <v>29</v>
      </c>
      <c r="C40" s="229" t="s">
        <v>4847</v>
      </c>
      <c r="D40" s="229"/>
      <c r="E40" s="229"/>
      <c r="F40" s="229"/>
      <c r="G40" s="229"/>
      <c r="H40" s="229"/>
      <c r="I40" s="229"/>
      <c r="J40" s="59" t="s">
        <v>2445</v>
      </c>
      <c r="K40" s="46">
        <v>59950000</v>
      </c>
      <c r="L40" s="2">
        <v>45317</v>
      </c>
      <c r="M40" s="32"/>
      <c r="N40" s="32">
        <v>3127218621</v>
      </c>
      <c r="O40" s="102" t="s">
        <v>4846</v>
      </c>
      <c r="P40" s="52" t="s">
        <v>3668</v>
      </c>
    </row>
    <row r="41" spans="2:16" x14ac:dyDescent="0.25">
      <c r="B41" s="32">
        <v>30</v>
      </c>
      <c r="C41" s="229" t="s">
        <v>4848</v>
      </c>
      <c r="D41" s="229"/>
      <c r="E41" s="229"/>
      <c r="F41" s="229"/>
      <c r="G41" s="229"/>
      <c r="H41" s="229"/>
      <c r="I41" s="229"/>
      <c r="J41" s="59" t="s">
        <v>702</v>
      </c>
      <c r="K41" s="46">
        <v>7170000</v>
      </c>
      <c r="L41" s="2">
        <v>45318</v>
      </c>
      <c r="M41" s="32"/>
      <c r="N41" s="32">
        <v>3137546144</v>
      </c>
      <c r="O41" s="102" t="s">
        <v>3996</v>
      </c>
      <c r="P41" s="52" t="s">
        <v>2504</v>
      </c>
    </row>
    <row r="42" spans="2:16" x14ac:dyDescent="0.25">
      <c r="B42" s="32">
        <v>31</v>
      </c>
      <c r="C42" s="263" t="s">
        <v>4849</v>
      </c>
      <c r="D42" s="229"/>
      <c r="E42" s="229"/>
      <c r="F42" s="229"/>
      <c r="G42" s="229"/>
      <c r="H42" s="229"/>
      <c r="I42" s="229"/>
      <c r="J42" s="59" t="s">
        <v>1139</v>
      </c>
      <c r="K42" s="46">
        <v>8500000</v>
      </c>
      <c r="L42" s="2">
        <v>45320</v>
      </c>
      <c r="M42" s="32"/>
      <c r="N42" s="32">
        <v>3003404902</v>
      </c>
      <c r="O42" s="102" t="s">
        <v>2049</v>
      </c>
      <c r="P42" s="52" t="s">
        <v>2881</v>
      </c>
    </row>
    <row r="43" spans="2:16" ht="15" customHeight="1" x14ac:dyDescent="0.25">
      <c r="B43" s="32">
        <v>32</v>
      </c>
      <c r="C43" s="263" t="s">
        <v>4850</v>
      </c>
      <c r="D43" s="229"/>
      <c r="E43" s="229"/>
      <c r="F43" s="229"/>
      <c r="G43" s="229"/>
      <c r="H43" s="229"/>
      <c r="I43" s="229"/>
      <c r="J43" s="59" t="s">
        <v>4855</v>
      </c>
      <c r="K43" s="46">
        <v>6250000</v>
      </c>
      <c r="L43" s="2">
        <v>45320</v>
      </c>
      <c r="M43" s="32"/>
      <c r="N43" s="32">
        <v>3137687548</v>
      </c>
      <c r="O43" s="102" t="s">
        <v>4851</v>
      </c>
      <c r="P43" s="6"/>
    </row>
    <row r="44" spans="2:16" x14ac:dyDescent="0.25">
      <c r="B44" s="32">
        <v>33</v>
      </c>
      <c r="C44" s="229" t="s">
        <v>4853</v>
      </c>
      <c r="D44" s="229"/>
      <c r="E44" s="229"/>
      <c r="F44" s="229"/>
      <c r="G44" s="229"/>
      <c r="H44" s="229"/>
      <c r="I44" s="229"/>
      <c r="J44" s="59" t="s">
        <v>4852</v>
      </c>
      <c r="K44" s="46">
        <v>4350000</v>
      </c>
      <c r="L44" s="2">
        <v>45321</v>
      </c>
      <c r="M44" s="32"/>
      <c r="N44" s="32" t="s">
        <v>4459</v>
      </c>
      <c r="O44" s="102" t="s">
        <v>3535</v>
      </c>
      <c r="P44" s="52" t="s">
        <v>3533</v>
      </c>
    </row>
    <row r="45" spans="2:16" x14ac:dyDescent="0.25">
      <c r="B45" s="32">
        <v>34</v>
      </c>
      <c r="C45" s="263" t="s">
        <v>4854</v>
      </c>
      <c r="D45" s="229"/>
      <c r="E45" s="229"/>
      <c r="F45" s="229"/>
      <c r="G45" s="229"/>
      <c r="H45" s="229"/>
      <c r="I45" s="229"/>
      <c r="J45" s="59" t="s">
        <v>702</v>
      </c>
      <c r="K45" s="46">
        <v>750000</v>
      </c>
      <c r="L45" s="2">
        <v>45321</v>
      </c>
      <c r="M45" s="32"/>
      <c r="N45" s="32">
        <v>3137546144</v>
      </c>
      <c r="O45" s="102" t="s">
        <v>3996</v>
      </c>
      <c r="P45" s="52" t="s">
        <v>2504</v>
      </c>
    </row>
    <row r="46" spans="2:16" x14ac:dyDescent="0.25">
      <c r="B46" s="32">
        <v>35</v>
      </c>
      <c r="C46" s="229" t="s">
        <v>4801</v>
      </c>
      <c r="D46" s="229"/>
      <c r="E46" s="229"/>
      <c r="F46" s="229"/>
      <c r="G46" s="229"/>
      <c r="H46" s="229"/>
      <c r="I46" s="229"/>
      <c r="J46" s="59" t="s">
        <v>1875</v>
      </c>
      <c r="K46" s="46">
        <v>6950000</v>
      </c>
      <c r="L46" s="2">
        <v>45323</v>
      </c>
      <c r="M46" s="2"/>
      <c r="N46" s="32">
        <v>3113391008</v>
      </c>
      <c r="O46" s="103" t="s">
        <v>372</v>
      </c>
      <c r="P46" s="52" t="s">
        <v>2561</v>
      </c>
    </row>
    <row r="47" spans="2:16" x14ac:dyDescent="0.25">
      <c r="B47" s="32">
        <v>36</v>
      </c>
      <c r="C47" s="229" t="s">
        <v>4856</v>
      </c>
      <c r="D47" s="229"/>
      <c r="E47" s="229"/>
      <c r="F47" s="229"/>
      <c r="G47" s="229"/>
      <c r="H47" s="229"/>
      <c r="I47" s="229"/>
      <c r="J47" s="59" t="s">
        <v>2204</v>
      </c>
      <c r="K47" s="46">
        <v>214500000</v>
      </c>
      <c r="L47" s="2">
        <v>45324</v>
      </c>
      <c r="M47" s="32"/>
      <c r="N47" s="32">
        <v>3117208541</v>
      </c>
      <c r="O47" s="102" t="s">
        <v>2240</v>
      </c>
      <c r="P47" s="52" t="s">
        <v>2241</v>
      </c>
    </row>
    <row r="48" spans="2:16" x14ac:dyDescent="0.25">
      <c r="B48" s="32">
        <v>37</v>
      </c>
      <c r="C48" s="263" t="s">
        <v>4859</v>
      </c>
      <c r="D48" s="229"/>
      <c r="E48" s="229"/>
      <c r="F48" s="229"/>
      <c r="G48" s="229"/>
      <c r="H48" s="229"/>
      <c r="I48" s="229"/>
      <c r="J48" s="59" t="s">
        <v>4857</v>
      </c>
      <c r="K48" s="46">
        <v>7520000</v>
      </c>
      <c r="L48" s="2">
        <v>45324</v>
      </c>
      <c r="M48" s="2"/>
      <c r="N48" s="32">
        <v>3123770102</v>
      </c>
      <c r="O48" s="102" t="s">
        <v>4857</v>
      </c>
      <c r="P48" s="52" t="s">
        <v>4858</v>
      </c>
    </row>
    <row r="49" spans="2:16" x14ac:dyDescent="0.25">
      <c r="B49" s="32">
        <v>38</v>
      </c>
      <c r="C49" s="229" t="s">
        <v>4862</v>
      </c>
      <c r="D49" s="229"/>
      <c r="E49" s="229"/>
      <c r="F49" s="229"/>
      <c r="G49" s="229"/>
      <c r="H49" s="229"/>
      <c r="I49" s="229"/>
      <c r="J49" s="59" t="s">
        <v>4861</v>
      </c>
      <c r="K49" s="46">
        <v>56500000</v>
      </c>
      <c r="L49" s="2">
        <v>45324</v>
      </c>
      <c r="M49" s="2"/>
      <c r="N49" s="32"/>
      <c r="O49" s="102" t="s">
        <v>4860</v>
      </c>
      <c r="P49" s="52" t="s">
        <v>4863</v>
      </c>
    </row>
    <row r="50" spans="2:16" ht="15" customHeight="1" x14ac:dyDescent="0.25">
      <c r="B50" s="32">
        <v>39</v>
      </c>
      <c r="C50" s="229" t="s">
        <v>4875</v>
      </c>
      <c r="D50" s="229"/>
      <c r="E50" s="229"/>
      <c r="F50" s="229"/>
      <c r="G50" s="229"/>
      <c r="H50" s="229"/>
      <c r="I50" s="229"/>
      <c r="J50" s="59" t="s">
        <v>1875</v>
      </c>
      <c r="K50" s="46">
        <v>58500000</v>
      </c>
      <c r="L50" s="2">
        <v>45324</v>
      </c>
      <c r="M50" s="2"/>
      <c r="N50" s="32">
        <v>3113391008</v>
      </c>
      <c r="O50" s="102" t="s">
        <v>4864</v>
      </c>
      <c r="P50" s="52" t="s">
        <v>2561</v>
      </c>
    </row>
    <row r="51" spans="2:16" ht="15" customHeight="1" x14ac:dyDescent="0.25">
      <c r="B51" s="32">
        <v>40</v>
      </c>
      <c r="C51" s="229" t="s">
        <v>4866</v>
      </c>
      <c r="D51" s="229"/>
      <c r="E51" s="229"/>
      <c r="F51" s="229"/>
      <c r="G51" s="229"/>
      <c r="H51" s="229"/>
      <c r="I51" s="229"/>
      <c r="J51" s="59" t="s">
        <v>3269</v>
      </c>
      <c r="K51" s="46">
        <v>21850000</v>
      </c>
      <c r="L51" s="2">
        <v>45324</v>
      </c>
      <c r="M51" s="32"/>
      <c r="N51" s="84" t="s">
        <v>4865</v>
      </c>
      <c r="O51" s="102" t="s">
        <v>646</v>
      </c>
      <c r="P51" s="52" t="s">
        <v>3274</v>
      </c>
    </row>
    <row r="52" spans="2:16" x14ac:dyDescent="0.25">
      <c r="B52" s="32">
        <v>41</v>
      </c>
      <c r="C52" s="263" t="s">
        <v>4867</v>
      </c>
      <c r="D52" s="263"/>
      <c r="E52" s="263"/>
      <c r="F52" s="263"/>
      <c r="G52" s="263"/>
      <c r="H52" s="263"/>
      <c r="I52" s="263"/>
      <c r="J52" s="59" t="s">
        <v>702</v>
      </c>
      <c r="K52" s="46">
        <v>27380000</v>
      </c>
      <c r="L52" s="2">
        <v>45324</v>
      </c>
      <c r="M52" s="2"/>
      <c r="N52" s="32" t="s">
        <v>2745</v>
      </c>
      <c r="O52" s="102" t="s">
        <v>2746</v>
      </c>
      <c r="P52" s="52" t="s">
        <v>703</v>
      </c>
    </row>
    <row r="53" spans="2:16" x14ac:dyDescent="0.25">
      <c r="B53" s="32">
        <v>42</v>
      </c>
      <c r="C53" s="229" t="s">
        <v>4877</v>
      </c>
      <c r="D53" s="229"/>
      <c r="E53" s="229"/>
      <c r="F53" s="229"/>
      <c r="G53" s="229"/>
      <c r="H53" s="229"/>
      <c r="I53" s="229"/>
      <c r="J53" s="59" t="s">
        <v>4868</v>
      </c>
      <c r="K53" s="46">
        <v>5990000</v>
      </c>
      <c r="L53" s="2">
        <v>45325</v>
      </c>
      <c r="M53" s="2"/>
      <c r="N53" s="32"/>
      <c r="O53" s="102" t="s">
        <v>4871</v>
      </c>
      <c r="P53" s="52" t="s">
        <v>4872</v>
      </c>
    </row>
    <row r="54" spans="2:16" x14ac:dyDescent="0.25">
      <c r="B54" s="32">
        <v>43</v>
      </c>
      <c r="C54" s="229" t="s">
        <v>4876</v>
      </c>
      <c r="D54" s="229"/>
      <c r="E54" s="229"/>
      <c r="F54" s="229"/>
      <c r="G54" s="229"/>
      <c r="H54" s="229"/>
      <c r="I54" s="229"/>
      <c r="J54" s="59" t="s">
        <v>1262</v>
      </c>
      <c r="K54" s="46">
        <v>2970000</v>
      </c>
      <c r="L54" s="2">
        <v>45325</v>
      </c>
      <c r="M54" s="32"/>
      <c r="N54" s="32">
        <v>3007701428</v>
      </c>
      <c r="O54" s="103" t="s">
        <v>2368</v>
      </c>
      <c r="P54" s="52" t="s">
        <v>1264</v>
      </c>
    </row>
    <row r="55" spans="2:16" x14ac:dyDescent="0.25">
      <c r="B55" s="32">
        <v>44</v>
      </c>
      <c r="C55" s="263" t="s">
        <v>4869</v>
      </c>
      <c r="D55" s="229"/>
      <c r="E55" s="229"/>
      <c r="F55" s="229"/>
      <c r="G55" s="229"/>
      <c r="H55" s="229"/>
      <c r="I55" s="229"/>
      <c r="J55" s="59" t="s">
        <v>4870</v>
      </c>
      <c r="K55" s="46">
        <v>7150000</v>
      </c>
      <c r="L55" s="2">
        <v>45324</v>
      </c>
      <c r="M55" s="32"/>
      <c r="N55" s="32">
        <v>3187346703</v>
      </c>
      <c r="O55" s="102" t="s">
        <v>4874</v>
      </c>
      <c r="P55" s="52" t="s">
        <v>4873</v>
      </c>
    </row>
    <row r="56" spans="2:16" x14ac:dyDescent="0.25">
      <c r="B56" s="32">
        <v>45</v>
      </c>
      <c r="C56" s="271" t="s">
        <v>4880</v>
      </c>
      <c r="D56" s="272"/>
      <c r="E56" s="272"/>
      <c r="F56" s="272"/>
      <c r="G56" s="272"/>
      <c r="H56" s="272"/>
      <c r="I56" s="272"/>
      <c r="J56" s="59" t="s">
        <v>4878</v>
      </c>
      <c r="K56" s="46">
        <v>6350000</v>
      </c>
      <c r="L56" s="2">
        <v>45327</v>
      </c>
      <c r="M56" s="32"/>
      <c r="N56" s="32" t="s">
        <v>2145</v>
      </c>
      <c r="O56" s="102" t="s">
        <v>4879</v>
      </c>
      <c r="P56" s="52"/>
    </row>
    <row r="57" spans="2:16" x14ac:dyDescent="0.25">
      <c r="B57" s="32">
        <v>46</v>
      </c>
      <c r="C57" s="271" t="s">
        <v>4883</v>
      </c>
      <c r="D57" s="272"/>
      <c r="E57" s="272"/>
      <c r="F57" s="272"/>
      <c r="G57" s="272"/>
      <c r="H57" s="272"/>
      <c r="I57" s="272"/>
      <c r="J57" s="59" t="s">
        <v>1139</v>
      </c>
      <c r="K57" s="46">
        <v>4950000</v>
      </c>
      <c r="L57" s="2">
        <v>45328</v>
      </c>
      <c r="M57" s="32"/>
      <c r="N57" s="32" t="s">
        <v>4882</v>
      </c>
      <c r="O57" s="103" t="s">
        <v>4881</v>
      </c>
      <c r="P57" s="38" t="s">
        <v>3645</v>
      </c>
    </row>
    <row r="58" spans="2:16" x14ac:dyDescent="0.25">
      <c r="B58" s="32">
        <v>47</v>
      </c>
      <c r="C58" s="263" t="s">
        <v>4885</v>
      </c>
      <c r="D58" s="229"/>
      <c r="E58" s="229"/>
      <c r="F58" s="229"/>
      <c r="G58" s="229"/>
      <c r="H58" s="229"/>
      <c r="I58" s="229"/>
      <c r="J58" s="59" t="s">
        <v>4884</v>
      </c>
      <c r="K58" s="46">
        <v>25000000</v>
      </c>
      <c r="L58" s="2">
        <v>45328</v>
      </c>
      <c r="M58" s="2"/>
      <c r="N58" s="32" t="s">
        <v>4910</v>
      </c>
      <c r="O58" s="103" t="s">
        <v>4635</v>
      </c>
      <c r="P58" s="52" t="s">
        <v>4636</v>
      </c>
    </row>
    <row r="59" spans="2:16" x14ac:dyDescent="0.25">
      <c r="B59" s="32">
        <v>48</v>
      </c>
      <c r="C59" s="229" t="s">
        <v>4886</v>
      </c>
      <c r="D59" s="229"/>
      <c r="E59" s="229"/>
      <c r="F59" s="229"/>
      <c r="G59" s="229"/>
      <c r="H59" s="229"/>
      <c r="I59" s="229"/>
      <c r="J59" s="59" t="s">
        <v>4884</v>
      </c>
      <c r="K59" s="46">
        <v>8000000</v>
      </c>
      <c r="L59" s="2">
        <v>45328</v>
      </c>
      <c r="N59" s="32" t="s">
        <v>4910</v>
      </c>
      <c r="O59" s="103" t="s">
        <v>4635</v>
      </c>
      <c r="P59" s="52" t="s">
        <v>4636</v>
      </c>
    </row>
    <row r="60" spans="2:16" x14ac:dyDescent="0.25">
      <c r="B60" s="32">
        <v>49</v>
      </c>
      <c r="C60" s="229" t="s">
        <v>4887</v>
      </c>
      <c r="D60" s="229"/>
      <c r="E60" s="229"/>
      <c r="F60" s="229"/>
      <c r="G60" s="229"/>
      <c r="H60" s="229"/>
      <c r="I60" s="229"/>
      <c r="J60" s="59" t="s">
        <v>4888</v>
      </c>
      <c r="K60" s="46">
        <v>16350000</v>
      </c>
      <c r="L60" s="2">
        <v>45328</v>
      </c>
      <c r="M60" s="32"/>
      <c r="N60" s="32">
        <v>3202767</v>
      </c>
      <c r="O60" s="103" t="s">
        <v>4889</v>
      </c>
      <c r="P60" s="52"/>
    </row>
    <row r="61" spans="2:16" x14ac:dyDescent="0.25">
      <c r="B61" s="32">
        <v>50</v>
      </c>
      <c r="C61" s="230" t="s">
        <v>4890</v>
      </c>
      <c r="D61" s="231"/>
      <c r="E61" s="231"/>
      <c r="F61" s="231"/>
      <c r="G61" s="231"/>
      <c r="H61" s="231"/>
      <c r="I61" s="232"/>
      <c r="J61" s="59" t="s">
        <v>1875</v>
      </c>
      <c r="K61" s="46">
        <v>7990000</v>
      </c>
      <c r="L61" s="2">
        <v>45330</v>
      </c>
      <c r="M61" s="32"/>
      <c r="N61" s="32">
        <v>3113391008</v>
      </c>
      <c r="O61" s="103" t="s">
        <v>372</v>
      </c>
      <c r="P61" s="52" t="s">
        <v>2561</v>
      </c>
    </row>
    <row r="62" spans="2:16" x14ac:dyDescent="0.25">
      <c r="B62" s="32">
        <v>51</v>
      </c>
      <c r="C62" s="271" t="s">
        <v>4892</v>
      </c>
      <c r="D62" s="272"/>
      <c r="E62" s="272"/>
      <c r="F62" s="272"/>
      <c r="G62" s="272"/>
      <c r="H62" s="272"/>
      <c r="I62" s="272"/>
      <c r="J62" s="59" t="s">
        <v>2664</v>
      </c>
      <c r="K62" s="46">
        <v>3550000</v>
      </c>
      <c r="L62" s="2">
        <v>45330</v>
      </c>
      <c r="M62" s="32"/>
      <c r="N62" s="32" t="s">
        <v>4911</v>
      </c>
      <c r="O62" s="102" t="s">
        <v>4891</v>
      </c>
      <c r="P62" s="52"/>
    </row>
    <row r="63" spans="2:16" x14ac:dyDescent="0.25">
      <c r="B63" s="32">
        <v>52</v>
      </c>
      <c r="C63" s="229" t="s">
        <v>4895</v>
      </c>
      <c r="D63" s="229"/>
      <c r="E63" s="229"/>
      <c r="F63" s="229"/>
      <c r="G63" s="229"/>
      <c r="H63" s="229"/>
      <c r="I63" s="229"/>
      <c r="J63" s="59" t="s">
        <v>4893</v>
      </c>
      <c r="K63" s="46">
        <v>6270000</v>
      </c>
      <c r="L63" s="2">
        <v>45330</v>
      </c>
      <c r="M63" s="2"/>
      <c r="N63" s="32" t="s">
        <v>4899</v>
      </c>
      <c r="O63" s="102" t="s">
        <v>4894</v>
      </c>
      <c r="P63" s="52" t="s">
        <v>4898</v>
      </c>
    </row>
    <row r="64" spans="2:16" x14ac:dyDescent="0.25">
      <c r="B64" s="32">
        <v>53</v>
      </c>
      <c r="C64" s="280" t="s">
        <v>4897</v>
      </c>
      <c r="D64" s="286"/>
      <c r="E64" s="286"/>
      <c r="F64" s="286"/>
      <c r="G64" s="286"/>
      <c r="H64" s="286"/>
      <c r="I64" s="287"/>
      <c r="J64" s="59" t="s">
        <v>1875</v>
      </c>
      <c r="K64" s="46">
        <v>14950000</v>
      </c>
      <c r="L64" s="2">
        <v>45330</v>
      </c>
      <c r="M64" s="32"/>
      <c r="N64" s="32">
        <v>3113391008</v>
      </c>
      <c r="O64" s="102" t="s">
        <v>4896</v>
      </c>
      <c r="P64" s="52" t="s">
        <v>2561</v>
      </c>
    </row>
    <row r="65" spans="2:16" x14ac:dyDescent="0.25">
      <c r="B65" s="32">
        <v>54</v>
      </c>
      <c r="C65" s="271" t="s">
        <v>4900</v>
      </c>
      <c r="D65" s="272"/>
      <c r="E65" s="272"/>
      <c r="F65" s="272"/>
      <c r="G65" s="272"/>
      <c r="H65" s="272"/>
      <c r="I65" s="272"/>
      <c r="J65" s="59" t="s">
        <v>702</v>
      </c>
      <c r="K65" s="46">
        <v>500000</v>
      </c>
      <c r="L65" s="2">
        <v>45330</v>
      </c>
      <c r="M65" s="2"/>
      <c r="N65" s="32">
        <v>3137546144</v>
      </c>
      <c r="O65" s="102" t="s">
        <v>3996</v>
      </c>
      <c r="P65" s="52" t="s">
        <v>2504</v>
      </c>
    </row>
    <row r="66" spans="2:16" x14ac:dyDescent="0.25">
      <c r="B66" s="32">
        <v>55</v>
      </c>
      <c r="C66" s="229" t="s">
        <v>4901</v>
      </c>
      <c r="D66" s="229"/>
      <c r="E66" s="229"/>
      <c r="F66" s="229"/>
      <c r="G66" s="229"/>
      <c r="H66" s="229"/>
      <c r="I66" s="229"/>
      <c r="J66" s="59" t="s">
        <v>1875</v>
      </c>
      <c r="K66" s="46">
        <v>7500000</v>
      </c>
      <c r="L66" s="2">
        <v>45330</v>
      </c>
      <c r="M66" s="2"/>
      <c r="N66" s="32">
        <v>3113391008</v>
      </c>
      <c r="O66" s="103" t="s">
        <v>372</v>
      </c>
      <c r="P66" s="52" t="s">
        <v>2561</v>
      </c>
    </row>
    <row r="67" spans="2:16" x14ac:dyDescent="0.25">
      <c r="B67" s="32">
        <v>56</v>
      </c>
      <c r="C67" s="229" t="s">
        <v>4903</v>
      </c>
      <c r="D67" s="229"/>
      <c r="E67" s="229"/>
      <c r="F67" s="229"/>
      <c r="G67" s="229"/>
      <c r="H67" s="229"/>
      <c r="I67" s="229"/>
      <c r="J67" s="59" t="s">
        <v>4902</v>
      </c>
      <c r="K67" s="46">
        <v>7520000</v>
      </c>
      <c r="L67" s="2">
        <v>45334</v>
      </c>
      <c r="M67" s="2"/>
      <c r="N67" s="32" t="s">
        <v>1897</v>
      </c>
      <c r="O67" s="102" t="s">
        <v>2076</v>
      </c>
      <c r="P67" s="38" t="s">
        <v>1899</v>
      </c>
    </row>
    <row r="68" spans="2:16" x14ac:dyDescent="0.25">
      <c r="B68" s="32">
        <v>57</v>
      </c>
      <c r="C68" s="263" t="s">
        <v>4931</v>
      </c>
      <c r="D68" s="229"/>
      <c r="E68" s="229"/>
      <c r="F68" s="229"/>
      <c r="G68" s="229"/>
      <c r="H68" s="229"/>
      <c r="I68" s="229"/>
      <c r="J68" s="59" t="s">
        <v>1659</v>
      </c>
      <c r="K68" s="46">
        <v>13550000</v>
      </c>
      <c r="L68" s="2">
        <v>45334</v>
      </c>
      <c r="M68" s="2"/>
      <c r="N68" s="32" t="s">
        <v>4811</v>
      </c>
      <c r="O68" s="102" t="s">
        <v>4810</v>
      </c>
      <c r="P68" s="52" t="s">
        <v>1662</v>
      </c>
    </row>
    <row r="69" spans="2:16" x14ac:dyDescent="0.25">
      <c r="B69" s="32">
        <v>58</v>
      </c>
      <c r="C69" s="229" t="s">
        <v>4904</v>
      </c>
      <c r="D69" s="229"/>
      <c r="E69" s="229"/>
      <c r="F69" s="229"/>
      <c r="G69" s="229"/>
      <c r="H69" s="229"/>
      <c r="I69" s="229"/>
      <c r="J69" s="59" t="s">
        <v>1659</v>
      </c>
      <c r="K69" s="46">
        <v>12920000</v>
      </c>
      <c r="L69" s="2">
        <v>45334</v>
      </c>
      <c r="M69" s="2"/>
      <c r="N69" s="32" t="s">
        <v>4811</v>
      </c>
      <c r="O69" s="102" t="s">
        <v>4810</v>
      </c>
      <c r="P69" s="52" t="s">
        <v>1662</v>
      </c>
    </row>
    <row r="70" spans="2:16" ht="15" customHeight="1" x14ac:dyDescent="0.25">
      <c r="B70" s="32">
        <v>59</v>
      </c>
      <c r="C70" s="229" t="s">
        <v>4907</v>
      </c>
      <c r="D70" s="229"/>
      <c r="E70" s="229"/>
      <c r="F70" s="229"/>
      <c r="G70" s="229"/>
      <c r="H70" s="229"/>
      <c r="I70" s="229"/>
      <c r="J70" s="59" t="s">
        <v>774</v>
      </c>
      <c r="K70" s="46">
        <v>5930000</v>
      </c>
      <c r="L70" s="2">
        <v>45334</v>
      </c>
      <c r="M70" s="32"/>
      <c r="N70" s="32">
        <v>3007582159</v>
      </c>
      <c r="O70" s="102" t="s">
        <v>4905</v>
      </c>
      <c r="P70" s="52" t="s">
        <v>4906</v>
      </c>
    </row>
    <row r="71" spans="2:16" x14ac:dyDescent="0.25">
      <c r="B71" s="32">
        <v>60</v>
      </c>
      <c r="C71" s="229" t="s">
        <v>3060</v>
      </c>
      <c r="D71" s="229"/>
      <c r="E71" s="229"/>
      <c r="F71" s="229"/>
      <c r="G71" s="229"/>
      <c r="H71" s="229"/>
      <c r="I71" s="229"/>
      <c r="J71" s="59" t="s">
        <v>3061</v>
      </c>
      <c r="K71" s="46">
        <v>15650000</v>
      </c>
      <c r="L71" s="2">
        <v>45334</v>
      </c>
      <c r="M71" s="32"/>
      <c r="N71" s="81">
        <v>3127463275</v>
      </c>
      <c r="O71" s="102" t="s">
        <v>3062</v>
      </c>
      <c r="P71" s="52" t="s">
        <v>3062</v>
      </c>
    </row>
    <row r="72" spans="2:16" x14ac:dyDescent="0.25">
      <c r="B72" s="32">
        <v>61</v>
      </c>
      <c r="C72" s="263" t="s">
        <v>4909</v>
      </c>
      <c r="D72" s="229"/>
      <c r="E72" s="229"/>
      <c r="F72" s="229"/>
      <c r="G72" s="229"/>
      <c r="H72" s="229"/>
      <c r="I72" s="229"/>
      <c r="J72" s="59" t="s">
        <v>1991</v>
      </c>
      <c r="K72" s="46">
        <v>19990000</v>
      </c>
      <c r="L72" s="2">
        <v>45334</v>
      </c>
      <c r="M72" s="32"/>
      <c r="N72" s="32">
        <v>3014170260</v>
      </c>
      <c r="O72" s="102" t="s">
        <v>4765</v>
      </c>
      <c r="P72" s="52" t="s">
        <v>4766</v>
      </c>
    </row>
    <row r="73" spans="2:16" x14ac:dyDescent="0.25">
      <c r="B73" s="32">
        <v>62</v>
      </c>
      <c r="C73" s="271" t="s">
        <v>4915</v>
      </c>
      <c r="D73" s="272"/>
      <c r="E73" s="272"/>
      <c r="F73" s="272"/>
      <c r="G73" s="272"/>
      <c r="H73" s="272"/>
      <c r="I73" s="272"/>
      <c r="J73" s="59" t="s">
        <v>4912</v>
      </c>
      <c r="K73" s="46">
        <v>2310000</v>
      </c>
      <c r="L73" s="2">
        <v>45335</v>
      </c>
      <c r="M73" s="2"/>
      <c r="N73" s="32">
        <v>3004531110</v>
      </c>
      <c r="O73" s="102" t="s">
        <v>4913</v>
      </c>
      <c r="P73" s="52" t="s">
        <v>4914</v>
      </c>
    </row>
    <row r="74" spans="2:16" ht="15" customHeight="1" x14ac:dyDescent="0.25">
      <c r="B74" s="32">
        <v>63</v>
      </c>
      <c r="C74" s="271" t="s">
        <v>4920</v>
      </c>
      <c r="D74" s="272"/>
      <c r="E74" s="272"/>
      <c r="F74" s="272"/>
      <c r="G74" s="272"/>
      <c r="H74" s="272"/>
      <c r="I74" s="272"/>
      <c r="J74" s="59" t="s">
        <v>4916</v>
      </c>
      <c r="K74" s="46">
        <v>5550000</v>
      </c>
      <c r="L74" s="2">
        <v>45335</v>
      </c>
      <c r="M74" s="32"/>
      <c r="N74" s="32" t="s">
        <v>4918</v>
      </c>
      <c r="O74" s="102" t="s">
        <v>4917</v>
      </c>
      <c r="P74" s="52" t="s">
        <v>4919</v>
      </c>
    </row>
    <row r="75" spans="2:16" x14ac:dyDescent="0.25">
      <c r="B75" s="32">
        <v>64</v>
      </c>
      <c r="C75" s="229" t="s">
        <v>4922</v>
      </c>
      <c r="D75" s="229"/>
      <c r="E75" s="229"/>
      <c r="F75" s="229"/>
      <c r="G75" s="229"/>
      <c r="H75" s="229"/>
      <c r="I75" s="229"/>
      <c r="J75" s="59" t="s">
        <v>4921</v>
      </c>
      <c r="K75" s="46">
        <v>9410000</v>
      </c>
      <c r="L75" s="2">
        <v>45335</v>
      </c>
      <c r="M75" s="2"/>
      <c r="N75" s="32"/>
      <c r="O75" s="102" t="s">
        <v>4930</v>
      </c>
      <c r="P75" s="52" t="s">
        <v>3748</v>
      </c>
    </row>
    <row r="76" spans="2:16" x14ac:dyDescent="0.25">
      <c r="B76" s="32">
        <v>65</v>
      </c>
      <c r="C76" s="271" t="s">
        <v>4924</v>
      </c>
      <c r="D76" s="272"/>
      <c r="E76" s="272"/>
      <c r="F76" s="272"/>
      <c r="G76" s="272"/>
      <c r="H76" s="272"/>
      <c r="I76" s="272"/>
      <c r="J76" s="59" t="s">
        <v>702</v>
      </c>
      <c r="K76" s="46">
        <v>2850000</v>
      </c>
      <c r="L76" s="2">
        <v>45336</v>
      </c>
      <c r="M76" s="32"/>
      <c r="N76" s="32">
        <v>3104680508</v>
      </c>
      <c r="O76" s="102" t="s">
        <v>4923</v>
      </c>
      <c r="P76" s="52" t="s">
        <v>703</v>
      </c>
    </row>
    <row r="77" spans="2:16" x14ac:dyDescent="0.25">
      <c r="B77" s="32">
        <v>66</v>
      </c>
      <c r="C77" s="229" t="s">
        <v>4928</v>
      </c>
      <c r="D77" s="229"/>
      <c r="E77" s="229"/>
      <c r="F77" s="229"/>
      <c r="G77" s="229"/>
      <c r="H77" s="229"/>
      <c r="I77" s="229"/>
      <c r="J77" s="59" t="s">
        <v>4925</v>
      </c>
      <c r="K77" s="46">
        <v>4640000</v>
      </c>
      <c r="L77" s="2">
        <v>45336</v>
      </c>
      <c r="M77" s="2"/>
      <c r="N77" s="32" t="s">
        <v>4926</v>
      </c>
      <c r="O77" s="103" t="s">
        <v>4927</v>
      </c>
      <c r="P77" s="52"/>
    </row>
    <row r="78" spans="2:16" x14ac:dyDescent="0.25">
      <c r="B78" s="32">
        <v>67</v>
      </c>
      <c r="C78" s="229" t="s">
        <v>4929</v>
      </c>
      <c r="D78" s="229"/>
      <c r="E78" s="229"/>
      <c r="F78" s="229"/>
      <c r="G78" s="229"/>
      <c r="H78" s="229"/>
      <c r="I78" s="229"/>
      <c r="J78" s="59" t="s">
        <v>702</v>
      </c>
      <c r="K78" s="46">
        <v>8970000</v>
      </c>
      <c r="L78" s="2">
        <v>45336</v>
      </c>
      <c r="M78" s="2"/>
      <c r="N78" s="32">
        <v>3137546144</v>
      </c>
      <c r="O78" s="102" t="s">
        <v>186</v>
      </c>
      <c r="P78" s="52" t="s">
        <v>2504</v>
      </c>
    </row>
    <row r="79" spans="2:16" x14ac:dyDescent="0.25">
      <c r="B79" s="32">
        <v>68</v>
      </c>
      <c r="C79" s="229" t="s">
        <v>4932</v>
      </c>
      <c r="D79" s="229"/>
      <c r="E79" s="229"/>
      <c r="F79" s="229"/>
      <c r="G79" s="229"/>
      <c r="H79" s="229"/>
      <c r="I79" s="229"/>
      <c r="J79" s="59" t="s">
        <v>702</v>
      </c>
      <c r="K79" s="46">
        <v>4760000</v>
      </c>
      <c r="L79" s="2">
        <v>45336</v>
      </c>
      <c r="M79" s="2"/>
      <c r="N79" s="32">
        <v>3104165783</v>
      </c>
      <c r="O79" s="103" t="s">
        <v>4632</v>
      </c>
      <c r="P79" s="52" t="s">
        <v>4565</v>
      </c>
    </row>
    <row r="80" spans="2:16" x14ac:dyDescent="0.25">
      <c r="B80" s="32">
        <v>69</v>
      </c>
      <c r="C80" s="263" t="s">
        <v>4933</v>
      </c>
      <c r="D80" s="229"/>
      <c r="E80" s="229"/>
      <c r="F80" s="229"/>
      <c r="G80" s="229"/>
      <c r="H80" s="229"/>
      <c r="I80" s="229"/>
      <c r="J80" s="59" t="s">
        <v>1875</v>
      </c>
      <c r="K80" s="46">
        <v>2510000</v>
      </c>
      <c r="L80" s="2">
        <v>45338</v>
      </c>
      <c r="M80" s="32"/>
      <c r="N80" s="32">
        <v>3113391008</v>
      </c>
      <c r="O80" s="102" t="s">
        <v>4896</v>
      </c>
      <c r="P80" s="52" t="s">
        <v>2561</v>
      </c>
    </row>
    <row r="81" spans="2:16" x14ac:dyDescent="0.25">
      <c r="B81" s="32">
        <v>70</v>
      </c>
      <c r="C81" s="229" t="s">
        <v>4934</v>
      </c>
      <c r="D81" s="229"/>
      <c r="E81" s="229"/>
      <c r="F81" s="229"/>
      <c r="G81" s="229"/>
      <c r="H81" s="229"/>
      <c r="I81" s="229"/>
      <c r="J81" s="59" t="s">
        <v>1875</v>
      </c>
      <c r="K81" s="46">
        <v>12400000</v>
      </c>
      <c r="L81" s="2">
        <v>45337</v>
      </c>
      <c r="M81" s="2"/>
      <c r="N81" s="32">
        <v>3113391008</v>
      </c>
      <c r="O81" s="102" t="s">
        <v>4896</v>
      </c>
      <c r="P81" s="52" t="s">
        <v>2561</v>
      </c>
    </row>
    <row r="82" spans="2:16" ht="15" customHeight="1" x14ac:dyDescent="0.25">
      <c r="B82" s="32">
        <v>71</v>
      </c>
      <c r="C82" s="229" t="s">
        <v>4937</v>
      </c>
      <c r="D82" s="229"/>
      <c r="E82" s="229"/>
      <c r="F82" s="229"/>
      <c r="G82" s="229"/>
      <c r="H82" s="229"/>
      <c r="I82" s="229"/>
      <c r="J82" s="59" t="s">
        <v>4935</v>
      </c>
      <c r="K82" s="46">
        <v>19950000</v>
      </c>
      <c r="L82" s="2">
        <v>45337</v>
      </c>
      <c r="M82" s="2"/>
      <c r="N82" s="32">
        <v>3218527044</v>
      </c>
      <c r="O82" s="102" t="s">
        <v>4936</v>
      </c>
      <c r="P82" s="52" t="s">
        <v>4938</v>
      </c>
    </row>
    <row r="83" spans="2:16" x14ac:dyDescent="0.25">
      <c r="B83" s="32">
        <v>72</v>
      </c>
      <c r="C83" s="229" t="s">
        <v>4940</v>
      </c>
      <c r="D83" s="229"/>
      <c r="E83" s="229"/>
      <c r="F83" s="229"/>
      <c r="G83" s="229"/>
      <c r="H83" s="229"/>
      <c r="I83" s="229"/>
      <c r="J83" s="59" t="s">
        <v>4939</v>
      </c>
      <c r="K83" s="46">
        <v>9950000</v>
      </c>
      <c r="L83" s="2">
        <v>45337</v>
      </c>
      <c r="M83" s="32"/>
      <c r="N83" s="32">
        <v>3014111727</v>
      </c>
      <c r="O83" s="102" t="s">
        <v>4270</v>
      </c>
      <c r="P83" s="52" t="s">
        <v>2235</v>
      </c>
    </row>
    <row r="84" spans="2:16" x14ac:dyDescent="0.25">
      <c r="B84" s="32">
        <v>73</v>
      </c>
      <c r="C84" s="229" t="s">
        <v>4941</v>
      </c>
      <c r="D84" s="229"/>
      <c r="E84" s="229"/>
      <c r="F84" s="229"/>
      <c r="G84" s="229"/>
      <c r="H84" s="229"/>
      <c r="I84" s="229"/>
      <c r="J84" s="59" t="s">
        <v>1875</v>
      </c>
      <c r="K84" s="46">
        <v>29970000</v>
      </c>
      <c r="L84" s="2">
        <v>45338</v>
      </c>
      <c r="M84" s="2"/>
      <c r="N84" s="32">
        <v>3113391008</v>
      </c>
      <c r="O84" s="102" t="s">
        <v>4896</v>
      </c>
      <c r="P84" s="52" t="s">
        <v>2561</v>
      </c>
    </row>
    <row r="85" spans="2:16" x14ac:dyDescent="0.25">
      <c r="B85" s="32">
        <v>74</v>
      </c>
      <c r="C85" s="263" t="s">
        <v>4944</v>
      </c>
      <c r="D85" s="229"/>
      <c r="E85" s="229"/>
      <c r="F85" s="229"/>
      <c r="G85" s="229"/>
      <c r="H85" s="229"/>
      <c r="I85" s="229"/>
      <c r="J85" s="59" t="s">
        <v>4473</v>
      </c>
      <c r="K85" s="46">
        <v>15950000</v>
      </c>
      <c r="L85" s="2">
        <v>45338</v>
      </c>
      <c r="M85" s="32"/>
      <c r="N85" s="32">
        <v>3123618</v>
      </c>
      <c r="O85" s="102" t="s">
        <v>4942</v>
      </c>
      <c r="P85" s="52" t="s">
        <v>4943</v>
      </c>
    </row>
    <row r="86" spans="2:16" x14ac:dyDescent="0.25">
      <c r="B86" s="32">
        <v>75</v>
      </c>
      <c r="C86" s="229" t="s">
        <v>4945</v>
      </c>
      <c r="D86" s="229"/>
      <c r="E86" s="229"/>
      <c r="F86" s="229"/>
      <c r="G86" s="229"/>
      <c r="H86" s="229"/>
      <c r="I86" s="229"/>
      <c r="J86" s="59" t="s">
        <v>4947</v>
      </c>
      <c r="K86" s="46">
        <v>25160000</v>
      </c>
      <c r="L86" s="2">
        <v>45338</v>
      </c>
      <c r="M86" s="32"/>
      <c r="N86" s="32" t="s">
        <v>4946</v>
      </c>
      <c r="O86" s="102" t="s">
        <v>4834</v>
      </c>
      <c r="P86" s="52" t="s">
        <v>1301</v>
      </c>
    </row>
    <row r="87" spans="2:16" x14ac:dyDescent="0.25">
      <c r="B87" s="32">
        <v>76</v>
      </c>
      <c r="C87" s="263" t="s">
        <v>4948</v>
      </c>
      <c r="D87" s="229"/>
      <c r="E87" s="229"/>
      <c r="F87" s="229"/>
      <c r="G87" s="229"/>
      <c r="H87" s="229"/>
      <c r="I87" s="229"/>
      <c r="J87" s="59" t="s">
        <v>4949</v>
      </c>
      <c r="K87" s="46">
        <v>4950000</v>
      </c>
      <c r="L87" s="2">
        <v>45341</v>
      </c>
      <c r="M87" s="32"/>
      <c r="N87" s="32" t="s">
        <v>4950</v>
      </c>
      <c r="O87" s="102" t="s">
        <v>400</v>
      </c>
      <c r="P87" s="52" t="s">
        <v>4777</v>
      </c>
    </row>
    <row r="88" spans="2:16" x14ac:dyDescent="0.25">
      <c r="B88" s="32">
        <v>77</v>
      </c>
      <c r="C88" s="229" t="s">
        <v>4951</v>
      </c>
      <c r="D88" s="229"/>
      <c r="E88" s="229"/>
      <c r="F88" s="229"/>
      <c r="G88" s="229"/>
      <c r="H88" s="229"/>
      <c r="I88" s="229"/>
      <c r="J88" s="59" t="s">
        <v>702</v>
      </c>
      <c r="K88" s="46">
        <v>3300000</v>
      </c>
      <c r="L88" s="2">
        <v>45342</v>
      </c>
      <c r="M88" s="32"/>
      <c r="N88" s="32"/>
      <c r="O88" s="102" t="s">
        <v>229</v>
      </c>
      <c r="P88" s="52" t="s">
        <v>2504</v>
      </c>
    </row>
    <row r="89" spans="2:16" x14ac:dyDescent="0.25">
      <c r="B89" s="32">
        <v>78</v>
      </c>
      <c r="C89" s="271" t="s">
        <v>4952</v>
      </c>
      <c r="D89" s="272"/>
      <c r="E89" s="272"/>
      <c r="F89" s="272"/>
      <c r="G89" s="272"/>
      <c r="H89" s="272"/>
      <c r="I89" s="272"/>
      <c r="J89" s="59" t="s">
        <v>2009</v>
      </c>
      <c r="K89" s="46">
        <v>250000</v>
      </c>
      <c r="L89" s="2">
        <v>45342</v>
      </c>
      <c r="M89" s="32"/>
      <c r="N89" s="32" t="s">
        <v>4954</v>
      </c>
      <c r="O89" s="102" t="s">
        <v>4953</v>
      </c>
      <c r="P89" s="52" t="s">
        <v>4955</v>
      </c>
    </row>
    <row r="90" spans="2:16" x14ac:dyDescent="0.25">
      <c r="B90" s="32">
        <v>79</v>
      </c>
      <c r="C90" s="271" t="s">
        <v>4958</v>
      </c>
      <c r="D90" s="272"/>
      <c r="E90" s="272"/>
      <c r="F90" s="272"/>
      <c r="G90" s="272"/>
      <c r="H90" s="272"/>
      <c r="I90" s="272"/>
      <c r="J90" s="59" t="s">
        <v>4957</v>
      </c>
      <c r="K90" s="46">
        <v>9950000</v>
      </c>
      <c r="L90" s="2">
        <v>45342</v>
      </c>
      <c r="M90" s="32"/>
      <c r="N90" s="32"/>
      <c r="O90" s="102" t="s">
        <v>4956</v>
      </c>
      <c r="P90" s="87" t="s">
        <v>4494</v>
      </c>
    </row>
    <row r="91" spans="2:16" x14ac:dyDescent="0.25">
      <c r="B91" s="32">
        <v>80</v>
      </c>
      <c r="C91" s="229" t="s">
        <v>4959</v>
      </c>
      <c r="D91" s="229"/>
      <c r="E91" s="229"/>
      <c r="F91" s="229"/>
      <c r="G91" s="229"/>
      <c r="H91" s="229"/>
      <c r="I91" s="229"/>
      <c r="J91" s="59" t="s">
        <v>1139</v>
      </c>
      <c r="K91" s="46">
        <v>6960000</v>
      </c>
      <c r="L91" s="2">
        <v>45343</v>
      </c>
      <c r="M91" s="32"/>
      <c r="N91" s="32" t="s">
        <v>4882</v>
      </c>
      <c r="O91" s="102" t="s">
        <v>4881</v>
      </c>
      <c r="P91" s="52" t="s">
        <v>3645</v>
      </c>
    </row>
    <row r="92" spans="2:16" x14ac:dyDescent="0.25">
      <c r="B92" s="32">
        <v>81</v>
      </c>
      <c r="C92" s="229" t="s">
        <v>4962</v>
      </c>
      <c r="D92" s="229"/>
      <c r="E92" s="229"/>
      <c r="F92" s="229"/>
      <c r="G92" s="229"/>
      <c r="H92" s="229"/>
      <c r="I92" s="229"/>
      <c r="J92" s="59" t="s">
        <v>4961</v>
      </c>
      <c r="K92" s="46">
        <v>19940000</v>
      </c>
      <c r="L92" s="2">
        <v>45343</v>
      </c>
      <c r="M92" s="32"/>
      <c r="N92" s="32" t="s">
        <v>2908</v>
      </c>
      <c r="O92" s="102" t="s">
        <v>4963</v>
      </c>
      <c r="P92" s="52" t="s">
        <v>4960</v>
      </c>
    </row>
    <row r="93" spans="2:16" x14ac:dyDescent="0.25">
      <c r="B93" s="32">
        <v>82</v>
      </c>
      <c r="C93" s="229" t="s">
        <v>2699</v>
      </c>
      <c r="D93" s="229"/>
      <c r="E93" s="229"/>
      <c r="F93" s="229"/>
      <c r="G93" s="229"/>
      <c r="H93" s="229"/>
      <c r="I93" s="229"/>
      <c r="J93" s="59" t="s">
        <v>805</v>
      </c>
      <c r="K93" s="46">
        <v>18950000</v>
      </c>
      <c r="L93" s="2">
        <v>44613</v>
      </c>
      <c r="M93" s="32"/>
      <c r="N93" s="32" t="s">
        <v>2700</v>
      </c>
      <c r="O93" s="102" t="s">
        <v>2701</v>
      </c>
      <c r="P93" s="52" t="s">
        <v>2702</v>
      </c>
    </row>
    <row r="94" spans="2:16" x14ac:dyDescent="0.25">
      <c r="B94" s="32">
        <v>83</v>
      </c>
      <c r="C94" s="229" t="s">
        <v>4965</v>
      </c>
      <c r="D94" s="229"/>
      <c r="E94" s="229"/>
      <c r="F94" s="229"/>
      <c r="G94" s="229"/>
      <c r="H94" s="229"/>
      <c r="I94" s="229"/>
      <c r="J94" s="59" t="s">
        <v>702</v>
      </c>
      <c r="K94" s="46">
        <v>2510000</v>
      </c>
      <c r="L94" s="2">
        <v>45343</v>
      </c>
      <c r="M94" s="32"/>
      <c r="N94" s="32">
        <v>3137546144</v>
      </c>
      <c r="O94" s="102" t="s">
        <v>4964</v>
      </c>
      <c r="P94" s="52" t="s">
        <v>2504</v>
      </c>
    </row>
    <row r="95" spans="2:16" x14ac:dyDescent="0.25">
      <c r="B95" s="32">
        <v>84</v>
      </c>
      <c r="C95" s="263" t="s">
        <v>4981</v>
      </c>
      <c r="D95" s="229"/>
      <c r="E95" s="229"/>
      <c r="F95" s="229"/>
      <c r="G95" s="229"/>
      <c r="H95" s="229"/>
      <c r="I95" s="229"/>
      <c r="J95" s="59" t="s">
        <v>4969</v>
      </c>
      <c r="K95" s="46">
        <v>9900000</v>
      </c>
      <c r="L95" s="2">
        <v>45344</v>
      </c>
      <c r="M95" s="32"/>
      <c r="N95" s="32" t="s">
        <v>4732</v>
      </c>
      <c r="O95" s="102" t="s">
        <v>4966</v>
      </c>
      <c r="P95" s="52" t="s">
        <v>4967</v>
      </c>
    </row>
    <row r="96" spans="2:16" x14ac:dyDescent="0.25">
      <c r="B96" s="32">
        <v>85</v>
      </c>
      <c r="C96" s="229" t="s">
        <v>4968</v>
      </c>
      <c r="D96" s="229"/>
      <c r="E96" s="229"/>
      <c r="F96" s="229"/>
      <c r="G96" s="229"/>
      <c r="H96" s="229"/>
      <c r="I96" s="229"/>
      <c r="J96" s="59" t="s">
        <v>2009</v>
      </c>
      <c r="K96" s="46">
        <v>15000000</v>
      </c>
      <c r="L96" s="2">
        <v>45344</v>
      </c>
      <c r="M96" s="35"/>
      <c r="N96" s="32" t="s">
        <v>4954</v>
      </c>
      <c r="O96" s="102" t="s">
        <v>4953</v>
      </c>
      <c r="P96" s="52" t="s">
        <v>4955</v>
      </c>
    </row>
    <row r="97" spans="2:16" x14ac:dyDescent="0.25">
      <c r="B97" s="32">
        <v>86</v>
      </c>
      <c r="C97" s="263" t="s">
        <v>4970</v>
      </c>
      <c r="D97" s="229"/>
      <c r="E97" s="229"/>
      <c r="F97" s="229"/>
      <c r="G97" s="229"/>
      <c r="H97" s="229"/>
      <c r="I97" s="229"/>
      <c r="J97" s="59" t="s">
        <v>4971</v>
      </c>
      <c r="K97" s="46">
        <v>4950000</v>
      </c>
      <c r="L97" s="2">
        <v>45348</v>
      </c>
      <c r="M97" s="32"/>
      <c r="N97" s="32"/>
      <c r="O97" s="102" t="s">
        <v>4972</v>
      </c>
      <c r="P97" s="52"/>
    </row>
    <row r="98" spans="2:16" x14ac:dyDescent="0.25">
      <c r="B98" s="32">
        <v>87</v>
      </c>
      <c r="C98" s="229" t="s">
        <v>4973</v>
      </c>
      <c r="D98" s="229"/>
      <c r="E98" s="229"/>
      <c r="F98" s="229"/>
      <c r="G98" s="229"/>
      <c r="H98" s="229"/>
      <c r="I98" s="229"/>
      <c r="J98" s="59" t="s">
        <v>702</v>
      </c>
      <c r="K98" s="46">
        <v>6880000</v>
      </c>
      <c r="L98" s="2">
        <v>45348</v>
      </c>
      <c r="M98" s="2"/>
      <c r="N98" s="32">
        <v>3137546144</v>
      </c>
      <c r="O98" s="102" t="s">
        <v>229</v>
      </c>
      <c r="P98" s="52" t="s">
        <v>2504</v>
      </c>
    </row>
    <row r="99" spans="2:16" x14ac:dyDescent="0.25">
      <c r="B99" s="32">
        <v>88</v>
      </c>
      <c r="C99" s="229" t="s">
        <v>4974</v>
      </c>
      <c r="D99" s="229"/>
      <c r="E99" s="229"/>
      <c r="F99" s="229"/>
      <c r="G99" s="229"/>
      <c r="H99" s="229"/>
      <c r="I99" s="229"/>
      <c r="J99" s="59" t="s">
        <v>702</v>
      </c>
      <c r="K99" s="46">
        <v>3250000</v>
      </c>
      <c r="L99" s="2">
        <v>45348</v>
      </c>
      <c r="M99" s="32"/>
      <c r="N99" s="32">
        <v>3137546144</v>
      </c>
      <c r="O99" s="102" t="s">
        <v>229</v>
      </c>
      <c r="P99" s="52" t="s">
        <v>2504</v>
      </c>
    </row>
    <row r="100" spans="2:16" x14ac:dyDescent="0.25">
      <c r="B100" s="32">
        <v>89</v>
      </c>
      <c r="C100" s="229" t="s">
        <v>4976</v>
      </c>
      <c r="D100" s="229"/>
      <c r="E100" s="229"/>
      <c r="F100" s="229"/>
      <c r="G100" s="229"/>
      <c r="H100" s="229"/>
      <c r="I100" s="229"/>
      <c r="J100" s="59" t="s">
        <v>1659</v>
      </c>
      <c r="K100" s="46">
        <v>11950000</v>
      </c>
      <c r="L100" s="2">
        <v>45348</v>
      </c>
      <c r="M100" s="32"/>
      <c r="N100" s="32" t="s">
        <v>4811</v>
      </c>
      <c r="O100" s="102" t="s">
        <v>4975</v>
      </c>
      <c r="P100" s="52" t="s">
        <v>1662</v>
      </c>
    </row>
    <row r="101" spans="2:16" x14ac:dyDescent="0.25">
      <c r="B101" s="32">
        <v>90</v>
      </c>
      <c r="C101" s="229" t="s">
        <v>4980</v>
      </c>
      <c r="D101" s="229"/>
      <c r="E101" s="229"/>
      <c r="F101" s="229"/>
      <c r="G101" s="229"/>
      <c r="H101" s="229"/>
      <c r="I101" s="229"/>
      <c r="J101" s="59" t="s">
        <v>4977</v>
      </c>
      <c r="K101" s="46">
        <v>3500000</v>
      </c>
      <c r="L101" s="2">
        <v>45344</v>
      </c>
      <c r="M101" s="32"/>
      <c r="N101" s="32">
        <v>3163564491</v>
      </c>
      <c r="O101" s="102" t="s">
        <v>4978</v>
      </c>
      <c r="P101" s="52" t="s">
        <v>4979</v>
      </c>
    </row>
    <row r="102" spans="2:16" x14ac:dyDescent="0.25">
      <c r="B102" s="32">
        <v>91</v>
      </c>
      <c r="C102" s="229" t="s">
        <v>4982</v>
      </c>
      <c r="D102" s="229"/>
      <c r="E102" s="229"/>
      <c r="F102" s="229"/>
      <c r="G102" s="229"/>
      <c r="H102" s="229"/>
      <c r="I102" s="229"/>
      <c r="J102" s="59" t="s">
        <v>3202</v>
      </c>
      <c r="K102" s="46">
        <v>15980000</v>
      </c>
      <c r="L102" s="2">
        <v>45350</v>
      </c>
      <c r="M102" s="32"/>
      <c r="N102" s="32">
        <v>3137851941</v>
      </c>
      <c r="O102" s="102" t="s">
        <v>4126</v>
      </c>
      <c r="P102" s="52" t="s">
        <v>713</v>
      </c>
    </row>
    <row r="103" spans="2:16" x14ac:dyDescent="0.25">
      <c r="B103" s="32">
        <v>92</v>
      </c>
      <c r="C103" s="271" t="s">
        <v>4983</v>
      </c>
      <c r="D103" s="272"/>
      <c r="E103" s="272"/>
      <c r="F103" s="272"/>
      <c r="G103" s="272"/>
      <c r="H103" s="272"/>
      <c r="I103" s="272"/>
      <c r="J103" s="59" t="s">
        <v>1659</v>
      </c>
      <c r="K103" s="46">
        <f>25000000*1.3</f>
        <v>32500000</v>
      </c>
      <c r="L103" s="2">
        <v>45348</v>
      </c>
      <c r="M103" s="32"/>
      <c r="N103" s="32" t="s">
        <v>4811</v>
      </c>
      <c r="O103" s="102" t="s">
        <v>4975</v>
      </c>
      <c r="P103" s="52" t="s">
        <v>1662</v>
      </c>
    </row>
    <row r="104" spans="2:16" x14ac:dyDescent="0.25">
      <c r="B104" s="32">
        <v>93</v>
      </c>
      <c r="C104" s="229" t="s">
        <v>4984</v>
      </c>
      <c r="D104" s="229"/>
      <c r="E104" s="229"/>
      <c r="F104" s="229"/>
      <c r="G104" s="229"/>
      <c r="H104" s="229"/>
      <c r="I104" s="229"/>
      <c r="J104" s="59" t="s">
        <v>702</v>
      </c>
      <c r="K104" s="46">
        <v>6960000</v>
      </c>
      <c r="L104" s="2">
        <v>45348</v>
      </c>
      <c r="M104" s="32"/>
      <c r="N104" s="32">
        <v>3104165783</v>
      </c>
      <c r="O104" s="102" t="s">
        <v>4564</v>
      </c>
      <c r="P104" s="52" t="s">
        <v>4565</v>
      </c>
    </row>
    <row r="105" spans="2:16" ht="15" customHeight="1" x14ac:dyDescent="0.25">
      <c r="B105" s="32">
        <v>94</v>
      </c>
      <c r="C105" s="271" t="s">
        <v>4987</v>
      </c>
      <c r="D105" s="272"/>
      <c r="E105" s="272"/>
      <c r="F105" s="272"/>
      <c r="G105" s="272"/>
      <c r="H105" s="272"/>
      <c r="I105" s="272"/>
      <c r="J105" s="59" t="s">
        <v>4985</v>
      </c>
      <c r="K105" s="46">
        <v>11950000</v>
      </c>
      <c r="L105" s="2">
        <v>45348</v>
      </c>
      <c r="M105" s="32"/>
      <c r="N105" s="32">
        <v>3122492717</v>
      </c>
      <c r="O105" s="105" t="s">
        <v>4985</v>
      </c>
      <c r="P105" s="52" t="s">
        <v>4986</v>
      </c>
    </row>
    <row r="106" spans="2:16" x14ac:dyDescent="0.25">
      <c r="B106" s="32">
        <v>95</v>
      </c>
      <c r="C106" s="271" t="s">
        <v>5009</v>
      </c>
      <c r="D106" s="272"/>
      <c r="E106" s="272"/>
      <c r="F106" s="272"/>
      <c r="G106" s="272"/>
      <c r="H106" s="272"/>
      <c r="I106" s="272"/>
      <c r="J106" s="59" t="s">
        <v>1875</v>
      </c>
      <c r="K106" s="46">
        <v>9970000</v>
      </c>
      <c r="L106" s="2">
        <v>45348</v>
      </c>
      <c r="M106" s="32"/>
      <c r="N106" s="32">
        <v>3113391008</v>
      </c>
      <c r="O106" s="102" t="s">
        <v>4896</v>
      </c>
      <c r="P106" s="52" t="s">
        <v>2561</v>
      </c>
    </row>
    <row r="107" spans="2:16" x14ac:dyDescent="0.25">
      <c r="B107" s="32">
        <v>96</v>
      </c>
      <c r="C107" s="271" t="s">
        <v>4106</v>
      </c>
      <c r="D107" s="272"/>
      <c r="E107" s="272"/>
      <c r="F107" s="272"/>
      <c r="G107" s="272"/>
      <c r="H107" s="272"/>
      <c r="I107" s="272"/>
      <c r="J107" s="59" t="s">
        <v>2779</v>
      </c>
      <c r="K107" s="46" t="s">
        <v>150</v>
      </c>
      <c r="L107" s="2">
        <v>45350</v>
      </c>
      <c r="M107" s="2"/>
      <c r="N107" s="32" t="s">
        <v>4988</v>
      </c>
      <c r="O107" s="102" t="s">
        <v>4153</v>
      </c>
      <c r="P107" s="52" t="s">
        <v>4152</v>
      </c>
    </row>
    <row r="108" spans="2:16" x14ac:dyDescent="0.25">
      <c r="B108" s="32">
        <v>97</v>
      </c>
      <c r="C108" s="229" t="s">
        <v>4989</v>
      </c>
      <c r="D108" s="229"/>
      <c r="E108" s="229"/>
      <c r="F108" s="229"/>
      <c r="G108" s="229"/>
      <c r="H108" s="229"/>
      <c r="I108" s="229"/>
      <c r="J108" s="59" t="s">
        <v>702</v>
      </c>
      <c r="K108" s="46">
        <v>700000</v>
      </c>
      <c r="L108" s="2">
        <v>45351</v>
      </c>
      <c r="M108" s="32"/>
      <c r="N108" s="32">
        <v>3137546144</v>
      </c>
      <c r="O108" s="102" t="s">
        <v>229</v>
      </c>
      <c r="P108" s="52" t="s">
        <v>2504</v>
      </c>
    </row>
    <row r="109" spans="2:16" x14ac:dyDescent="0.25">
      <c r="B109" s="32">
        <v>98</v>
      </c>
      <c r="C109" s="229" t="s">
        <v>4990</v>
      </c>
      <c r="D109" s="229"/>
      <c r="E109" s="229"/>
      <c r="F109" s="229"/>
      <c r="G109" s="229"/>
      <c r="H109" s="229"/>
      <c r="I109" s="229"/>
      <c r="J109" s="59" t="s">
        <v>1875</v>
      </c>
      <c r="K109" s="46">
        <v>21320000</v>
      </c>
      <c r="L109" s="2">
        <v>45350</v>
      </c>
      <c r="M109" s="32"/>
      <c r="N109" s="32">
        <v>3113391008</v>
      </c>
      <c r="O109" s="102" t="s">
        <v>4896</v>
      </c>
      <c r="P109" s="52" t="s">
        <v>2561</v>
      </c>
    </row>
    <row r="110" spans="2:16" x14ac:dyDescent="0.25">
      <c r="B110" s="32">
        <v>99</v>
      </c>
      <c r="C110" s="229" t="s">
        <v>4991</v>
      </c>
      <c r="D110" s="229"/>
      <c r="E110" s="229"/>
      <c r="F110" s="229"/>
      <c r="G110" s="229"/>
      <c r="H110" s="229"/>
      <c r="I110" s="229"/>
      <c r="J110" s="59" t="s">
        <v>2664</v>
      </c>
      <c r="K110" s="46">
        <v>13920000</v>
      </c>
      <c r="L110" s="2">
        <v>45349</v>
      </c>
      <c r="M110" s="32"/>
      <c r="N110" s="32">
        <v>3104592285</v>
      </c>
      <c r="O110" s="102" t="s">
        <v>3377</v>
      </c>
      <c r="P110" s="52" t="s">
        <v>3378</v>
      </c>
    </row>
    <row r="111" spans="2:16" x14ac:dyDescent="0.25">
      <c r="B111" s="32">
        <v>100</v>
      </c>
      <c r="C111" s="229" t="s">
        <v>4994</v>
      </c>
      <c r="D111" s="229"/>
      <c r="E111" s="229"/>
      <c r="F111" s="229"/>
      <c r="G111" s="229"/>
      <c r="H111" s="229"/>
      <c r="I111" s="229"/>
      <c r="J111" s="59" t="s">
        <v>2283</v>
      </c>
      <c r="K111" s="46">
        <v>10650000</v>
      </c>
      <c r="L111" s="2">
        <v>45349</v>
      </c>
      <c r="M111" s="32"/>
      <c r="N111" s="32">
        <v>3243173083</v>
      </c>
      <c r="O111" s="102" t="s">
        <v>4992</v>
      </c>
      <c r="P111" s="52" t="s">
        <v>4993</v>
      </c>
    </row>
    <row r="112" spans="2:16" x14ac:dyDescent="0.25">
      <c r="B112" s="32">
        <v>101</v>
      </c>
      <c r="C112" s="229" t="s">
        <v>4995</v>
      </c>
      <c r="D112" s="229"/>
      <c r="E112" s="229"/>
      <c r="F112" s="229"/>
      <c r="G112" s="229"/>
      <c r="H112" s="229"/>
      <c r="I112" s="229"/>
      <c r="J112" s="59"/>
      <c r="K112" s="46"/>
      <c r="L112" s="2">
        <v>45350</v>
      </c>
      <c r="M112" s="2"/>
      <c r="N112" s="32"/>
      <c r="O112" s="102" t="s">
        <v>4996</v>
      </c>
      <c r="P112" s="52"/>
    </row>
    <row r="113" spans="2:16" x14ac:dyDescent="0.25">
      <c r="B113" s="32">
        <v>102</v>
      </c>
      <c r="C113" s="229" t="s">
        <v>5000</v>
      </c>
      <c r="D113" s="229"/>
      <c r="E113" s="229"/>
      <c r="F113" s="229"/>
      <c r="G113" s="229"/>
      <c r="H113" s="229"/>
      <c r="I113" s="229"/>
      <c r="J113" s="59" t="s">
        <v>5005</v>
      </c>
      <c r="K113" s="46">
        <v>11920000</v>
      </c>
      <c r="L113" s="2">
        <v>45350</v>
      </c>
      <c r="M113" s="32"/>
      <c r="N113" s="32" t="s">
        <v>4998</v>
      </c>
      <c r="O113" s="102" t="s">
        <v>4997</v>
      </c>
      <c r="P113" s="52" t="s">
        <v>4999</v>
      </c>
    </row>
    <row r="114" spans="2:16" x14ac:dyDescent="0.25">
      <c r="B114" s="32">
        <v>103</v>
      </c>
      <c r="C114" s="229" t="s">
        <v>5002</v>
      </c>
      <c r="D114" s="229"/>
      <c r="E114" s="229"/>
      <c r="F114" s="229"/>
      <c r="G114" s="229"/>
      <c r="H114" s="229"/>
      <c r="I114" s="229"/>
      <c r="J114" s="59" t="s">
        <v>5001</v>
      </c>
      <c r="K114" s="46">
        <v>21320000</v>
      </c>
      <c r="L114" s="2">
        <v>45351</v>
      </c>
      <c r="M114" s="32"/>
      <c r="N114" s="32"/>
      <c r="O114" s="102" t="s">
        <v>5003</v>
      </c>
      <c r="P114" s="52" t="s">
        <v>5004</v>
      </c>
    </row>
    <row r="115" spans="2:16" x14ac:dyDescent="0.25">
      <c r="B115" s="32">
        <v>104</v>
      </c>
      <c r="C115" s="229" t="s">
        <v>5007</v>
      </c>
      <c r="D115" s="229"/>
      <c r="E115" s="229"/>
      <c r="F115" s="229"/>
      <c r="G115" s="229"/>
      <c r="H115" s="229"/>
      <c r="I115" s="229"/>
      <c r="J115" s="59" t="s">
        <v>5006</v>
      </c>
      <c r="K115" s="46">
        <v>13550000</v>
      </c>
      <c r="L115" s="2">
        <v>45351</v>
      </c>
      <c r="M115" s="32"/>
      <c r="N115" s="32">
        <v>3007867789</v>
      </c>
      <c r="O115" s="103" t="s">
        <v>5006</v>
      </c>
      <c r="P115" s="52" t="s">
        <v>5008</v>
      </c>
    </row>
    <row r="116" spans="2:16" x14ac:dyDescent="0.25">
      <c r="B116" s="32">
        <v>105</v>
      </c>
      <c r="C116" s="271" t="s">
        <v>5009</v>
      </c>
      <c r="D116" s="272"/>
      <c r="E116" s="272"/>
      <c r="F116" s="272"/>
      <c r="G116" s="272"/>
      <c r="H116" s="272"/>
      <c r="I116" s="272"/>
      <c r="J116" s="59" t="s">
        <v>4861</v>
      </c>
      <c r="K116" s="46">
        <v>9970000</v>
      </c>
      <c r="L116" s="2">
        <v>45348</v>
      </c>
      <c r="M116" s="32"/>
      <c r="N116" s="32"/>
      <c r="O116" s="102" t="s">
        <v>4860</v>
      </c>
      <c r="P116" s="52" t="s">
        <v>4863</v>
      </c>
    </row>
    <row r="117" spans="2:16" ht="15" customHeight="1" x14ac:dyDescent="0.25">
      <c r="B117" s="32">
        <v>106</v>
      </c>
      <c r="C117" s="264" t="s">
        <v>5010</v>
      </c>
      <c r="D117" s="283"/>
      <c r="E117" s="283"/>
      <c r="F117" s="283"/>
      <c r="G117" s="283"/>
      <c r="H117" s="283"/>
      <c r="I117" s="284"/>
      <c r="J117" s="59" t="s">
        <v>5011</v>
      </c>
      <c r="K117" s="46">
        <v>1250000</v>
      </c>
      <c r="L117" s="2">
        <v>45352</v>
      </c>
      <c r="M117" s="32"/>
      <c r="N117" s="32" t="s">
        <v>4245</v>
      </c>
      <c r="O117" s="103" t="s">
        <v>4243</v>
      </c>
      <c r="P117" s="52" t="s">
        <v>4244</v>
      </c>
    </row>
    <row r="118" spans="2:16" x14ac:dyDescent="0.25">
      <c r="B118" s="32">
        <v>107</v>
      </c>
      <c r="C118" s="229" t="s">
        <v>5012</v>
      </c>
      <c r="D118" s="229"/>
      <c r="E118" s="229"/>
      <c r="F118" s="229"/>
      <c r="G118" s="229"/>
      <c r="H118" s="229"/>
      <c r="I118" s="229"/>
      <c r="J118" s="59" t="s">
        <v>2204</v>
      </c>
      <c r="K118" s="46">
        <v>2950000</v>
      </c>
      <c r="L118" s="2">
        <v>45352</v>
      </c>
      <c r="M118" s="32"/>
      <c r="N118" s="32">
        <v>3117208541</v>
      </c>
      <c r="O118" s="102" t="s">
        <v>2240</v>
      </c>
      <c r="P118" s="52" t="s">
        <v>2241</v>
      </c>
    </row>
    <row r="119" spans="2:16" x14ac:dyDescent="0.25">
      <c r="B119" s="32">
        <v>108</v>
      </c>
      <c r="C119" s="229" t="s">
        <v>5013</v>
      </c>
      <c r="D119" s="229"/>
      <c r="E119" s="229"/>
      <c r="F119" s="229"/>
      <c r="G119" s="229"/>
      <c r="H119" s="229"/>
      <c r="I119" s="229"/>
      <c r="J119" s="59" t="s">
        <v>702</v>
      </c>
      <c r="K119" s="46">
        <v>25000000</v>
      </c>
      <c r="L119" s="2">
        <v>45355</v>
      </c>
      <c r="M119" s="32"/>
      <c r="N119" s="32" t="s">
        <v>2745</v>
      </c>
      <c r="O119" s="102" t="s">
        <v>2746</v>
      </c>
      <c r="P119" s="52" t="s">
        <v>703</v>
      </c>
    </row>
    <row r="120" spans="2:16" ht="15" customHeight="1" x14ac:dyDescent="0.25">
      <c r="B120" s="32">
        <v>109</v>
      </c>
      <c r="C120" s="229" t="s">
        <v>5023</v>
      </c>
      <c r="D120" s="229"/>
      <c r="E120" s="229"/>
      <c r="F120" s="229"/>
      <c r="G120" s="229"/>
      <c r="H120" s="229"/>
      <c r="I120" s="229"/>
      <c r="J120" s="59" t="s">
        <v>1139</v>
      </c>
      <c r="K120" s="46">
        <v>6270000</v>
      </c>
      <c r="L120" s="2">
        <v>45355</v>
      </c>
      <c r="M120" s="32"/>
      <c r="N120" s="32" t="s">
        <v>4686</v>
      </c>
      <c r="O120" s="102" t="s">
        <v>5014</v>
      </c>
      <c r="P120" s="52" t="s">
        <v>2698</v>
      </c>
    </row>
    <row r="121" spans="2:16" ht="15" customHeight="1" x14ac:dyDescent="0.25">
      <c r="B121" s="32">
        <v>110</v>
      </c>
      <c r="C121" s="229" t="s">
        <v>5016</v>
      </c>
      <c r="D121" s="229"/>
      <c r="E121" s="229"/>
      <c r="F121" s="229"/>
      <c r="G121" s="229"/>
      <c r="H121" s="229"/>
      <c r="I121" s="229"/>
      <c r="J121" s="59" t="s">
        <v>702</v>
      </c>
      <c r="K121" s="46">
        <v>18950000</v>
      </c>
      <c r="L121" s="2">
        <v>45355</v>
      </c>
      <c r="M121" s="32"/>
      <c r="N121" s="32">
        <v>3104680508</v>
      </c>
      <c r="O121" s="102" t="s">
        <v>5015</v>
      </c>
      <c r="P121" s="52" t="s">
        <v>703</v>
      </c>
    </row>
    <row r="122" spans="2:16" x14ac:dyDescent="0.25">
      <c r="B122" s="49">
        <v>111</v>
      </c>
      <c r="C122" s="279" t="s">
        <v>5017</v>
      </c>
      <c r="D122" s="279"/>
      <c r="E122" s="279"/>
      <c r="F122" s="279"/>
      <c r="G122" s="279"/>
      <c r="H122" s="279"/>
      <c r="I122" s="279"/>
      <c r="J122" s="74" t="s">
        <v>1139</v>
      </c>
      <c r="K122" s="73" t="s">
        <v>5024</v>
      </c>
      <c r="L122" s="100">
        <v>45355</v>
      </c>
      <c r="M122" s="49"/>
      <c r="N122" s="49" t="s">
        <v>4686</v>
      </c>
      <c r="O122" s="106" t="s">
        <v>5014</v>
      </c>
      <c r="P122" s="101" t="s">
        <v>2698</v>
      </c>
    </row>
    <row r="123" spans="2:16" x14ac:dyDescent="0.25">
      <c r="B123" s="32">
        <v>112</v>
      </c>
      <c r="C123" s="229" t="s">
        <v>5018</v>
      </c>
      <c r="D123" s="229"/>
      <c r="E123" s="229"/>
      <c r="F123" s="229"/>
      <c r="G123" s="229"/>
      <c r="H123" s="229"/>
      <c r="I123" s="229"/>
      <c r="J123" s="59" t="s">
        <v>1139</v>
      </c>
      <c r="K123" s="46">
        <v>3950000</v>
      </c>
      <c r="L123" s="2">
        <v>45355</v>
      </c>
      <c r="M123" s="32"/>
      <c r="N123" s="32" t="s">
        <v>4686</v>
      </c>
      <c r="O123" s="102" t="s">
        <v>5014</v>
      </c>
      <c r="P123" s="52" t="s">
        <v>2698</v>
      </c>
    </row>
    <row r="124" spans="2:16" x14ac:dyDescent="0.25">
      <c r="B124" s="32">
        <v>113</v>
      </c>
      <c r="C124" s="229" t="s">
        <v>5020</v>
      </c>
      <c r="D124" s="229"/>
      <c r="E124" s="229"/>
      <c r="F124" s="229"/>
      <c r="G124" s="229"/>
      <c r="H124" s="229"/>
      <c r="I124" s="229"/>
      <c r="J124" s="59" t="s">
        <v>5019</v>
      </c>
      <c r="K124" s="46">
        <v>19940000</v>
      </c>
      <c r="L124" s="2">
        <v>45355</v>
      </c>
      <c r="M124" s="32"/>
      <c r="N124" s="32" t="s">
        <v>2908</v>
      </c>
      <c r="O124" s="102" t="s">
        <v>4963</v>
      </c>
      <c r="P124" s="52" t="s">
        <v>4960</v>
      </c>
    </row>
    <row r="125" spans="2:16" x14ac:dyDescent="0.25">
      <c r="B125" s="32">
        <v>114</v>
      </c>
      <c r="C125" s="229" t="s">
        <v>5021</v>
      </c>
      <c r="D125" s="229"/>
      <c r="E125" s="229"/>
      <c r="F125" s="229"/>
      <c r="G125" s="229"/>
      <c r="H125" s="229"/>
      <c r="I125" s="229"/>
      <c r="J125" s="59" t="s">
        <v>4902</v>
      </c>
      <c r="K125" s="46">
        <v>16930000</v>
      </c>
      <c r="L125" s="2">
        <v>45357</v>
      </c>
      <c r="M125" s="32"/>
      <c r="N125" s="32" t="s">
        <v>1897</v>
      </c>
      <c r="O125" s="102" t="s">
        <v>2076</v>
      </c>
      <c r="P125" s="38" t="s">
        <v>1899</v>
      </c>
    </row>
    <row r="126" spans="2:16" ht="15" customHeight="1" x14ac:dyDescent="0.25">
      <c r="B126" s="32">
        <v>115</v>
      </c>
      <c r="C126" s="229" t="s">
        <v>5022</v>
      </c>
      <c r="D126" s="229"/>
      <c r="E126" s="229"/>
      <c r="F126" s="229"/>
      <c r="G126" s="229"/>
      <c r="H126" s="229"/>
      <c r="I126" s="229"/>
      <c r="J126" s="59" t="s">
        <v>5019</v>
      </c>
      <c r="K126" s="46">
        <v>11920000</v>
      </c>
      <c r="L126" s="2">
        <v>45355</v>
      </c>
      <c r="M126" s="32"/>
      <c r="N126" s="32" t="s">
        <v>2908</v>
      </c>
      <c r="O126" s="102" t="s">
        <v>4963</v>
      </c>
      <c r="P126" s="52" t="s">
        <v>4960</v>
      </c>
    </row>
    <row r="127" spans="2:16" x14ac:dyDescent="0.25">
      <c r="B127" s="32">
        <v>116</v>
      </c>
      <c r="C127" s="229" t="s">
        <v>5026</v>
      </c>
      <c r="D127" s="229"/>
      <c r="E127" s="229"/>
      <c r="F127" s="229"/>
      <c r="G127" s="229"/>
      <c r="H127" s="229"/>
      <c r="I127" s="229"/>
      <c r="J127" s="59" t="s">
        <v>932</v>
      </c>
      <c r="K127" s="46">
        <v>3000000</v>
      </c>
      <c r="L127" s="2">
        <v>45356</v>
      </c>
      <c r="M127" s="2"/>
      <c r="N127" s="32" t="s">
        <v>5025</v>
      </c>
      <c r="O127" s="102" t="s">
        <v>933</v>
      </c>
      <c r="P127" s="52"/>
    </row>
    <row r="128" spans="2:16" x14ac:dyDescent="0.25">
      <c r="B128" s="32">
        <v>117</v>
      </c>
      <c r="C128" s="229" t="s">
        <v>5027</v>
      </c>
      <c r="D128" s="229"/>
      <c r="E128" s="229"/>
      <c r="F128" s="229"/>
      <c r="G128" s="229"/>
      <c r="H128" s="229"/>
      <c r="I128" s="229"/>
      <c r="J128" s="59" t="s">
        <v>831</v>
      </c>
      <c r="K128" s="46">
        <v>13790000</v>
      </c>
      <c r="L128" s="2">
        <v>45359</v>
      </c>
      <c r="M128" s="2"/>
      <c r="N128" s="32">
        <v>3194913179</v>
      </c>
      <c r="O128" s="103" t="s">
        <v>3495</v>
      </c>
      <c r="P128" s="52" t="s">
        <v>3496</v>
      </c>
    </row>
    <row r="129" spans="2:16" x14ac:dyDescent="0.25">
      <c r="B129" s="32">
        <v>118</v>
      </c>
      <c r="C129" s="229" t="s">
        <v>5028</v>
      </c>
      <c r="D129" s="229"/>
      <c r="E129" s="229"/>
      <c r="F129" s="229"/>
      <c r="G129" s="229"/>
      <c r="H129" s="229"/>
      <c r="I129" s="229"/>
      <c r="J129" s="59" t="s">
        <v>1139</v>
      </c>
      <c r="K129" s="46">
        <v>4260000</v>
      </c>
      <c r="L129" s="2">
        <v>45357</v>
      </c>
      <c r="M129" s="32"/>
      <c r="N129" s="32" t="s">
        <v>4686</v>
      </c>
      <c r="O129" s="102" t="s">
        <v>5014</v>
      </c>
      <c r="P129" s="52" t="s">
        <v>2698</v>
      </c>
    </row>
    <row r="130" spans="2:16" ht="15" customHeight="1" x14ac:dyDescent="0.25">
      <c r="B130" s="32">
        <v>119</v>
      </c>
      <c r="C130" s="229" t="s">
        <v>5031</v>
      </c>
      <c r="D130" s="229"/>
      <c r="E130" s="229"/>
      <c r="F130" s="229"/>
      <c r="G130" s="229"/>
      <c r="H130" s="229"/>
      <c r="I130" s="229"/>
      <c r="J130" s="59" t="s">
        <v>5019</v>
      </c>
      <c r="K130" s="46">
        <v>12670000</v>
      </c>
      <c r="L130" s="2">
        <v>45357</v>
      </c>
      <c r="M130" s="32"/>
      <c r="N130" s="32" t="s">
        <v>5030</v>
      </c>
      <c r="O130" s="103" t="s">
        <v>5029</v>
      </c>
      <c r="P130" s="52" t="s">
        <v>4960</v>
      </c>
    </row>
    <row r="131" spans="2:16" x14ac:dyDescent="0.25">
      <c r="B131" s="32">
        <v>120</v>
      </c>
      <c r="C131" s="271" t="s">
        <v>5032</v>
      </c>
      <c r="D131" s="272"/>
      <c r="E131" s="272"/>
      <c r="F131" s="272"/>
      <c r="G131" s="272"/>
      <c r="H131" s="272"/>
      <c r="I131" s="272"/>
      <c r="J131" s="59" t="s">
        <v>4949</v>
      </c>
      <c r="K131" s="53">
        <v>8850000</v>
      </c>
      <c r="L131" s="2">
        <v>45357</v>
      </c>
      <c r="M131" s="32"/>
      <c r="N131" s="32" t="s">
        <v>4950</v>
      </c>
      <c r="O131" s="102" t="s">
        <v>400</v>
      </c>
      <c r="P131" s="52" t="s">
        <v>4777</v>
      </c>
    </row>
    <row r="132" spans="2:16" x14ac:dyDescent="0.25">
      <c r="B132" s="32">
        <v>121</v>
      </c>
      <c r="C132" s="229" t="s">
        <v>2816</v>
      </c>
      <c r="D132" s="229"/>
      <c r="E132" s="229"/>
      <c r="F132" s="229"/>
      <c r="G132" s="229"/>
      <c r="H132" s="229"/>
      <c r="I132" s="229"/>
      <c r="J132" s="59" t="s">
        <v>823</v>
      </c>
      <c r="K132" s="46">
        <v>14950000</v>
      </c>
      <c r="L132" s="2">
        <v>44638</v>
      </c>
      <c r="M132" s="2"/>
      <c r="N132" s="32">
        <v>3122967935</v>
      </c>
      <c r="O132" s="102" t="s">
        <v>2817</v>
      </c>
      <c r="P132" s="38" t="s">
        <v>2608</v>
      </c>
    </row>
    <row r="133" spans="2:16" ht="15" customHeight="1" x14ac:dyDescent="0.25">
      <c r="B133" s="32">
        <v>122</v>
      </c>
      <c r="C133" s="229" t="s">
        <v>5036</v>
      </c>
      <c r="D133" s="229"/>
      <c r="E133" s="229"/>
      <c r="F133" s="229"/>
      <c r="G133" s="229"/>
      <c r="H133" s="229"/>
      <c r="I133" s="229"/>
      <c r="J133" s="59" t="s">
        <v>5035</v>
      </c>
      <c r="K133" s="46">
        <v>19310000</v>
      </c>
      <c r="L133" s="2">
        <v>45357</v>
      </c>
      <c r="M133" s="2"/>
      <c r="N133" s="32" t="s">
        <v>5034</v>
      </c>
      <c r="O133" s="102" t="s">
        <v>5033</v>
      </c>
      <c r="P133" s="52"/>
    </row>
    <row r="134" spans="2:16" x14ac:dyDescent="0.25">
      <c r="B134" s="32">
        <v>123</v>
      </c>
      <c r="C134" s="229" t="s">
        <v>5039</v>
      </c>
      <c r="D134" s="229"/>
      <c r="E134" s="229"/>
      <c r="F134" s="229"/>
      <c r="G134" s="229"/>
      <c r="H134" s="229"/>
      <c r="I134" s="229"/>
      <c r="J134" s="59" t="s">
        <v>805</v>
      </c>
      <c r="K134" s="46">
        <v>11950000</v>
      </c>
      <c r="L134" s="2">
        <v>45358</v>
      </c>
      <c r="M134" s="32"/>
      <c r="N134" s="32" t="s">
        <v>5038</v>
      </c>
      <c r="O134" s="102" t="s">
        <v>639</v>
      </c>
      <c r="P134" s="52" t="s">
        <v>1326</v>
      </c>
    </row>
    <row r="135" spans="2:16" x14ac:dyDescent="0.25">
      <c r="B135" s="32">
        <v>124</v>
      </c>
      <c r="C135" s="271" t="s">
        <v>4952</v>
      </c>
      <c r="D135" s="272"/>
      <c r="E135" s="272"/>
      <c r="F135" s="272"/>
      <c r="G135" s="272"/>
      <c r="H135" s="272"/>
      <c r="I135" s="272"/>
      <c r="J135" s="59" t="s">
        <v>4390</v>
      </c>
      <c r="K135" s="46">
        <v>200000</v>
      </c>
      <c r="L135" s="2">
        <v>45330</v>
      </c>
      <c r="M135" s="32"/>
      <c r="N135" s="32">
        <v>3113391008</v>
      </c>
      <c r="O135" s="103" t="s">
        <v>372</v>
      </c>
      <c r="P135" s="52" t="s">
        <v>2561</v>
      </c>
    </row>
    <row r="136" spans="2:16" x14ac:dyDescent="0.25">
      <c r="B136" s="32">
        <v>125</v>
      </c>
      <c r="C136" s="272" t="s">
        <v>3382</v>
      </c>
      <c r="D136" s="272"/>
      <c r="E136" s="272"/>
      <c r="F136" s="272"/>
      <c r="G136" s="272"/>
      <c r="H136" s="272"/>
      <c r="I136" s="272"/>
      <c r="J136" s="59" t="s">
        <v>805</v>
      </c>
      <c r="K136" s="46">
        <v>16950000</v>
      </c>
      <c r="L136" s="2">
        <v>45360</v>
      </c>
      <c r="M136" s="32"/>
      <c r="N136" s="32" t="s">
        <v>1405</v>
      </c>
      <c r="O136" s="103" t="s">
        <v>639</v>
      </c>
      <c r="P136" s="52" t="s">
        <v>1326</v>
      </c>
    </row>
    <row r="137" spans="2:16" ht="14.45" customHeight="1" x14ac:dyDescent="0.25">
      <c r="B137" s="32">
        <v>126</v>
      </c>
      <c r="C137" s="272" t="s">
        <v>5042</v>
      </c>
      <c r="D137" s="272"/>
      <c r="E137" s="272"/>
      <c r="F137" s="272"/>
      <c r="G137" s="272"/>
      <c r="H137" s="272"/>
      <c r="I137" s="272"/>
      <c r="J137" s="59" t="s">
        <v>5040</v>
      </c>
      <c r="K137" s="46">
        <v>7530000</v>
      </c>
      <c r="L137" s="2">
        <v>45362</v>
      </c>
      <c r="M137" s="2"/>
      <c r="N137" s="32" t="s">
        <v>5041</v>
      </c>
      <c r="O137" s="103" t="s">
        <v>5040</v>
      </c>
      <c r="P137" s="52"/>
    </row>
    <row r="138" spans="2:16" x14ac:dyDescent="0.25">
      <c r="B138" s="32">
        <v>127</v>
      </c>
      <c r="C138" s="271" t="s">
        <v>5043</v>
      </c>
      <c r="D138" s="272"/>
      <c r="E138" s="272"/>
      <c r="F138" s="272"/>
      <c r="G138" s="272"/>
      <c r="H138" s="272"/>
      <c r="I138" s="272"/>
      <c r="J138" s="59" t="s">
        <v>702</v>
      </c>
      <c r="K138" s="46">
        <v>12540000</v>
      </c>
      <c r="L138" s="2">
        <v>45362</v>
      </c>
      <c r="M138" s="32"/>
      <c r="N138" s="32">
        <v>3104165783</v>
      </c>
      <c r="O138" s="102" t="s">
        <v>4564</v>
      </c>
      <c r="P138" s="52" t="s">
        <v>4565</v>
      </c>
    </row>
    <row r="139" spans="2:16" x14ac:dyDescent="0.25">
      <c r="B139" s="32">
        <v>128</v>
      </c>
      <c r="C139" s="271" t="s">
        <v>5045</v>
      </c>
      <c r="D139" s="272"/>
      <c r="E139" s="272"/>
      <c r="F139" s="272"/>
      <c r="G139" s="272"/>
      <c r="H139" s="272"/>
      <c r="I139" s="272"/>
      <c r="J139" s="59" t="s">
        <v>5044</v>
      </c>
      <c r="K139" s="46">
        <v>3800000</v>
      </c>
      <c r="L139" s="2">
        <v>45362</v>
      </c>
      <c r="M139" s="32"/>
      <c r="N139" s="32" t="s">
        <v>3892</v>
      </c>
      <c r="O139" s="102" t="s">
        <v>706</v>
      </c>
      <c r="P139" s="52" t="s">
        <v>707</v>
      </c>
    </row>
    <row r="140" spans="2:16" x14ac:dyDescent="0.25">
      <c r="B140" s="32">
        <v>129</v>
      </c>
      <c r="C140" s="271" t="s">
        <v>5047</v>
      </c>
      <c r="D140" s="272"/>
      <c r="E140" s="272"/>
      <c r="F140" s="272"/>
      <c r="G140" s="272"/>
      <c r="H140" s="272"/>
      <c r="I140" s="272"/>
      <c r="J140" s="59" t="s">
        <v>1139</v>
      </c>
      <c r="K140" s="46">
        <v>1500000</v>
      </c>
      <c r="L140" s="2">
        <v>45362</v>
      </c>
      <c r="M140" s="2"/>
      <c r="N140" s="32">
        <v>3003404902</v>
      </c>
      <c r="O140" s="102" t="s">
        <v>2049</v>
      </c>
      <c r="P140" s="52" t="s">
        <v>5046</v>
      </c>
    </row>
    <row r="141" spans="2:16" x14ac:dyDescent="0.25">
      <c r="B141" s="32">
        <v>130</v>
      </c>
      <c r="C141" s="271" t="s">
        <v>5050</v>
      </c>
      <c r="D141" s="272"/>
      <c r="E141" s="272"/>
      <c r="F141" s="272"/>
      <c r="G141" s="272"/>
      <c r="H141" s="272"/>
      <c r="I141" s="272"/>
      <c r="J141" s="59" t="s">
        <v>870</v>
      </c>
      <c r="K141" s="46">
        <v>10670000</v>
      </c>
      <c r="L141" s="2">
        <v>45362</v>
      </c>
      <c r="M141" s="2"/>
      <c r="N141" s="32"/>
      <c r="O141" s="102" t="s">
        <v>5048</v>
      </c>
      <c r="P141" s="52" t="s">
        <v>5049</v>
      </c>
    </row>
    <row r="142" spans="2:16" x14ac:dyDescent="0.25">
      <c r="B142" s="32">
        <v>131</v>
      </c>
      <c r="C142" s="229" t="s">
        <v>5051</v>
      </c>
      <c r="D142" s="229"/>
      <c r="E142" s="229"/>
      <c r="F142" s="229"/>
      <c r="G142" s="229"/>
      <c r="H142" s="229"/>
      <c r="I142" s="229"/>
      <c r="J142" s="59" t="s">
        <v>702</v>
      </c>
      <c r="K142" s="46">
        <v>6900000</v>
      </c>
      <c r="L142" s="2">
        <v>45369</v>
      </c>
      <c r="M142" s="2"/>
      <c r="N142" s="32">
        <v>3104165783</v>
      </c>
      <c r="O142" s="102" t="s">
        <v>4564</v>
      </c>
      <c r="P142" s="52" t="s">
        <v>4565</v>
      </c>
    </row>
    <row r="143" spans="2:16" x14ac:dyDescent="0.25">
      <c r="B143" s="32">
        <v>132</v>
      </c>
      <c r="C143" s="263" t="s">
        <v>5052</v>
      </c>
      <c r="D143" s="229"/>
      <c r="E143" s="229"/>
      <c r="F143" s="229"/>
      <c r="G143" s="229"/>
      <c r="H143" s="229"/>
      <c r="I143" s="229"/>
      <c r="J143" s="59" t="s">
        <v>5053</v>
      </c>
      <c r="K143" s="46">
        <v>1450000</v>
      </c>
      <c r="L143" s="2">
        <v>45364</v>
      </c>
      <c r="M143" s="32"/>
      <c r="N143" s="32"/>
      <c r="O143" s="102" t="s">
        <v>5054</v>
      </c>
      <c r="P143" s="52" t="s">
        <v>5055</v>
      </c>
    </row>
    <row r="144" spans="2:16" x14ac:dyDescent="0.25">
      <c r="B144" s="32">
        <v>133</v>
      </c>
      <c r="C144" s="229" t="s">
        <v>5056</v>
      </c>
      <c r="D144" s="229"/>
      <c r="E144" s="229"/>
      <c r="F144" s="229"/>
      <c r="G144" s="229"/>
      <c r="H144" s="229"/>
      <c r="I144" s="229"/>
      <c r="J144" s="59" t="s">
        <v>5040</v>
      </c>
      <c r="K144" s="46">
        <v>3140000</v>
      </c>
      <c r="L144" s="2">
        <v>45364</v>
      </c>
      <c r="M144" s="2"/>
      <c r="N144" s="32" t="s">
        <v>5041</v>
      </c>
      <c r="O144" s="103" t="s">
        <v>5040</v>
      </c>
      <c r="P144" s="52"/>
    </row>
    <row r="145" spans="2:16" x14ac:dyDescent="0.25">
      <c r="B145" s="32">
        <v>134</v>
      </c>
      <c r="C145" s="229" t="s">
        <v>5059</v>
      </c>
      <c r="D145" s="229"/>
      <c r="E145" s="229"/>
      <c r="F145" s="229"/>
      <c r="G145" s="229"/>
      <c r="H145" s="229"/>
      <c r="I145" s="229"/>
      <c r="J145" s="59" t="s">
        <v>5058</v>
      </c>
      <c r="K145" s="46">
        <v>2550000</v>
      </c>
      <c r="L145" s="2">
        <v>45364</v>
      </c>
      <c r="M145" s="32"/>
      <c r="N145" s="32">
        <v>3147005714</v>
      </c>
      <c r="O145" s="102" t="s">
        <v>5057</v>
      </c>
      <c r="P145" s="52" t="s">
        <v>1512</v>
      </c>
    </row>
    <row r="146" spans="2:16" x14ac:dyDescent="0.25">
      <c r="B146" s="32">
        <v>135</v>
      </c>
      <c r="C146" s="229" t="s">
        <v>5062</v>
      </c>
      <c r="D146" s="229"/>
      <c r="E146" s="229"/>
      <c r="F146" s="229"/>
      <c r="G146" s="229"/>
      <c r="H146" s="229"/>
      <c r="I146" s="229"/>
      <c r="J146" s="59" t="s">
        <v>4977</v>
      </c>
      <c r="K146" s="46">
        <v>7500000</v>
      </c>
      <c r="L146" s="2">
        <v>45364</v>
      </c>
      <c r="M146" s="32"/>
      <c r="N146" s="32">
        <v>3224188478</v>
      </c>
      <c r="O146" s="102" t="s">
        <v>5060</v>
      </c>
      <c r="P146" s="52" t="s">
        <v>5061</v>
      </c>
    </row>
    <row r="147" spans="2:16" x14ac:dyDescent="0.25">
      <c r="B147" s="32">
        <v>136</v>
      </c>
      <c r="C147" s="229" t="s">
        <v>5063</v>
      </c>
      <c r="D147" s="229"/>
      <c r="E147" s="229"/>
      <c r="F147" s="229"/>
      <c r="G147" s="229"/>
      <c r="H147" s="229"/>
      <c r="I147" s="229"/>
      <c r="J147" s="59" t="s">
        <v>4017</v>
      </c>
      <c r="K147" s="46">
        <v>7530000</v>
      </c>
      <c r="L147" s="2">
        <v>45364</v>
      </c>
      <c r="M147" s="32"/>
      <c r="N147" s="32">
        <v>3108227462</v>
      </c>
      <c r="O147" s="102" t="s">
        <v>3897</v>
      </c>
      <c r="P147" s="52" t="s">
        <v>2310</v>
      </c>
    </row>
    <row r="148" spans="2:16" x14ac:dyDescent="0.25">
      <c r="B148" s="32">
        <v>137</v>
      </c>
      <c r="C148" s="229" t="s">
        <v>5065</v>
      </c>
      <c r="D148" s="229"/>
      <c r="E148" s="229"/>
      <c r="F148" s="229"/>
      <c r="G148" s="229"/>
      <c r="H148" s="229"/>
      <c r="I148" s="229"/>
      <c r="J148" s="59" t="s">
        <v>4949</v>
      </c>
      <c r="K148" s="46">
        <v>18850000</v>
      </c>
      <c r="L148" s="2">
        <v>45365</v>
      </c>
      <c r="M148" s="32"/>
      <c r="N148" s="32" t="s">
        <v>4950</v>
      </c>
      <c r="O148" s="103" t="s">
        <v>5064</v>
      </c>
      <c r="P148" s="38" t="s">
        <v>4777</v>
      </c>
    </row>
    <row r="149" spans="2:16" x14ac:dyDescent="0.25">
      <c r="B149" s="32">
        <v>138</v>
      </c>
      <c r="C149" s="229" t="s">
        <v>5066</v>
      </c>
      <c r="D149" s="229"/>
      <c r="E149" s="229"/>
      <c r="F149" s="229"/>
      <c r="G149" s="229"/>
      <c r="H149" s="229"/>
      <c r="I149" s="229"/>
      <c r="J149" s="59" t="s">
        <v>5067</v>
      </c>
      <c r="K149" s="46">
        <v>28410000</v>
      </c>
      <c r="L149" s="2">
        <v>45365</v>
      </c>
      <c r="M149" s="32"/>
      <c r="N149" s="32" t="s">
        <v>5068</v>
      </c>
      <c r="O149" s="102" t="s">
        <v>5069</v>
      </c>
      <c r="P149" s="52" t="s">
        <v>5070</v>
      </c>
    </row>
    <row r="150" spans="2:16" x14ac:dyDescent="0.25">
      <c r="B150" s="32">
        <v>139</v>
      </c>
      <c r="C150" s="229" t="s">
        <v>5071</v>
      </c>
      <c r="D150" s="229"/>
      <c r="E150" s="229"/>
      <c r="F150" s="229"/>
      <c r="G150" s="229"/>
      <c r="H150" s="229"/>
      <c r="I150" s="229"/>
      <c r="J150" s="59" t="s">
        <v>5011</v>
      </c>
      <c r="K150" s="46">
        <v>7450000</v>
      </c>
      <c r="L150" s="2">
        <v>45365</v>
      </c>
      <c r="M150" s="32"/>
      <c r="N150" s="32" t="s">
        <v>3542</v>
      </c>
      <c r="O150" s="102" t="s">
        <v>3540</v>
      </c>
      <c r="P150" s="52" t="s">
        <v>3541</v>
      </c>
    </row>
    <row r="151" spans="2:16" x14ac:dyDescent="0.25">
      <c r="B151" s="32">
        <v>140</v>
      </c>
      <c r="C151" s="263" t="s">
        <v>5133</v>
      </c>
      <c r="D151" s="229"/>
      <c r="E151" s="229"/>
      <c r="F151" s="229"/>
      <c r="G151" s="229"/>
      <c r="H151" s="229"/>
      <c r="I151" s="229"/>
      <c r="J151" s="59" t="s">
        <v>5072</v>
      </c>
      <c r="K151" s="46">
        <v>11950000</v>
      </c>
      <c r="L151" s="2">
        <v>45365</v>
      </c>
      <c r="M151" s="2"/>
      <c r="N151" s="32" t="s">
        <v>5075</v>
      </c>
      <c r="O151" s="102" t="s">
        <v>5073</v>
      </c>
      <c r="P151" s="52" t="s">
        <v>5074</v>
      </c>
    </row>
    <row r="152" spans="2:16" x14ac:dyDescent="0.25">
      <c r="B152" s="32">
        <v>141</v>
      </c>
      <c r="C152" s="229" t="s">
        <v>5076</v>
      </c>
      <c r="D152" s="229"/>
      <c r="E152" s="229"/>
      <c r="F152" s="229"/>
      <c r="G152" s="229"/>
      <c r="H152" s="229"/>
      <c r="I152" s="229"/>
      <c r="J152" s="59" t="s">
        <v>4323</v>
      </c>
      <c r="K152" s="46">
        <v>15450000</v>
      </c>
      <c r="L152" s="2">
        <v>45366</v>
      </c>
      <c r="M152" s="2"/>
      <c r="N152" s="32" t="s">
        <v>5079</v>
      </c>
      <c r="O152" s="102" t="s">
        <v>5077</v>
      </c>
      <c r="P152" s="52" t="s">
        <v>5078</v>
      </c>
    </row>
    <row r="153" spans="2:16" x14ac:dyDescent="0.25">
      <c r="B153" s="32">
        <v>142</v>
      </c>
      <c r="C153" s="271" t="s">
        <v>5080</v>
      </c>
      <c r="D153" s="272"/>
      <c r="E153" s="272"/>
      <c r="F153" s="272"/>
      <c r="G153" s="272"/>
      <c r="H153" s="272"/>
      <c r="I153" s="272"/>
      <c r="J153" s="59" t="s">
        <v>4977</v>
      </c>
      <c r="K153" s="46">
        <v>950000</v>
      </c>
      <c r="L153" s="2">
        <v>45366</v>
      </c>
      <c r="M153" s="32"/>
      <c r="N153" s="32">
        <v>3155852559</v>
      </c>
      <c r="O153" s="102" t="s">
        <v>5081</v>
      </c>
      <c r="P153" s="52" t="s">
        <v>1611</v>
      </c>
    </row>
    <row r="154" spans="2:16" x14ac:dyDescent="0.25">
      <c r="B154" s="32">
        <v>143</v>
      </c>
      <c r="C154" s="272" t="s">
        <v>5042</v>
      </c>
      <c r="D154" s="272"/>
      <c r="E154" s="272"/>
      <c r="F154" s="272"/>
      <c r="G154" s="272"/>
      <c r="H154" s="272"/>
      <c r="I154" s="272"/>
      <c r="J154" s="59" t="s">
        <v>4812</v>
      </c>
      <c r="K154" s="46">
        <v>7530000</v>
      </c>
      <c r="L154" s="2">
        <v>45362</v>
      </c>
      <c r="M154" s="2"/>
      <c r="N154" s="32" t="s">
        <v>4233</v>
      </c>
      <c r="O154" s="103" t="s">
        <v>4813</v>
      </c>
      <c r="P154" s="38"/>
    </row>
    <row r="155" spans="2:16" x14ac:dyDescent="0.25">
      <c r="B155" s="32">
        <v>144</v>
      </c>
      <c r="C155" s="271" t="s">
        <v>5082</v>
      </c>
      <c r="D155" s="272"/>
      <c r="E155" s="272"/>
      <c r="F155" s="272"/>
      <c r="G155" s="272"/>
      <c r="H155" s="272"/>
      <c r="I155" s="272"/>
      <c r="J155" s="59" t="s">
        <v>1272</v>
      </c>
      <c r="K155" s="46">
        <v>5330000</v>
      </c>
      <c r="L155" s="2">
        <v>45369</v>
      </c>
      <c r="M155" s="32"/>
      <c r="N155" s="32">
        <v>3104057513</v>
      </c>
      <c r="O155" s="103" t="s">
        <v>4834</v>
      </c>
      <c r="P155" s="52" t="s">
        <v>1301</v>
      </c>
    </row>
    <row r="156" spans="2:16" x14ac:dyDescent="0.25">
      <c r="B156" s="32">
        <v>145</v>
      </c>
      <c r="C156" s="229" t="s">
        <v>5083</v>
      </c>
      <c r="D156" s="229"/>
      <c r="E156" s="229"/>
      <c r="F156" s="229"/>
      <c r="G156" s="229"/>
      <c r="H156" s="229"/>
      <c r="I156" s="229"/>
      <c r="J156" s="59" t="s">
        <v>5088</v>
      </c>
      <c r="K156" s="46">
        <v>3370000</v>
      </c>
      <c r="L156" s="2">
        <v>45369</v>
      </c>
      <c r="M156" s="32"/>
      <c r="N156" s="32"/>
      <c r="O156" s="102" t="s">
        <v>5084</v>
      </c>
      <c r="P156" s="52"/>
    </row>
    <row r="157" spans="2:16" x14ac:dyDescent="0.25">
      <c r="B157" s="32">
        <v>146</v>
      </c>
      <c r="C157" s="271" t="s">
        <v>5085</v>
      </c>
      <c r="D157" s="272"/>
      <c r="E157" s="272"/>
      <c r="F157" s="272"/>
      <c r="G157" s="272"/>
      <c r="H157" s="272"/>
      <c r="I157" s="272"/>
      <c r="J157" s="59" t="s">
        <v>4861</v>
      </c>
      <c r="K157" s="46">
        <v>29950000</v>
      </c>
      <c r="L157" s="2">
        <v>45370</v>
      </c>
      <c r="M157" s="32"/>
      <c r="N157" s="32">
        <v>3045641392</v>
      </c>
      <c r="O157" s="102" t="s">
        <v>2010</v>
      </c>
      <c r="P157" s="52" t="s">
        <v>5086</v>
      </c>
    </row>
    <row r="158" spans="2:16" x14ac:dyDescent="0.25">
      <c r="B158" s="32">
        <v>147</v>
      </c>
      <c r="C158" s="263" t="s">
        <v>5087</v>
      </c>
      <c r="D158" s="229"/>
      <c r="E158" s="229"/>
      <c r="F158" s="229"/>
      <c r="G158" s="229"/>
      <c r="H158" s="229"/>
      <c r="I158" s="229"/>
      <c r="J158" s="59" t="s">
        <v>4977</v>
      </c>
      <c r="K158" s="46">
        <v>3750000</v>
      </c>
      <c r="L158" s="2">
        <v>45370</v>
      </c>
      <c r="M158" s="2"/>
      <c r="N158" s="32">
        <v>3155852559</v>
      </c>
      <c r="O158" s="102" t="s">
        <v>5081</v>
      </c>
      <c r="P158" s="52" t="s">
        <v>1611</v>
      </c>
    </row>
    <row r="159" spans="2:16" x14ac:dyDescent="0.25">
      <c r="B159" s="32">
        <v>148</v>
      </c>
      <c r="C159" s="229" t="s">
        <v>5089</v>
      </c>
      <c r="D159" s="229"/>
      <c r="E159" s="229"/>
      <c r="F159" s="229"/>
      <c r="G159" s="229"/>
      <c r="H159" s="229"/>
      <c r="I159" s="229"/>
      <c r="J159" s="59" t="s">
        <v>4861</v>
      </c>
      <c r="K159" s="46">
        <v>6250000</v>
      </c>
      <c r="L159" s="2">
        <v>45371</v>
      </c>
      <c r="M159" s="32"/>
      <c r="N159" s="32">
        <v>3045641392</v>
      </c>
      <c r="O159" s="102" t="s">
        <v>2010</v>
      </c>
      <c r="P159" s="52" t="s">
        <v>5086</v>
      </c>
    </row>
    <row r="160" spans="2:16" x14ac:dyDescent="0.25">
      <c r="B160" s="32">
        <v>149</v>
      </c>
      <c r="C160" s="271" t="s">
        <v>5090</v>
      </c>
      <c r="D160" s="272"/>
      <c r="E160" s="272"/>
      <c r="F160" s="272"/>
      <c r="G160" s="272"/>
      <c r="H160" s="272"/>
      <c r="I160" s="272"/>
      <c r="J160" s="59" t="s">
        <v>4939</v>
      </c>
      <c r="K160" s="46">
        <v>3350000</v>
      </c>
      <c r="L160" s="2">
        <v>45371</v>
      </c>
      <c r="M160" s="32"/>
      <c r="N160" s="32">
        <v>3014111727</v>
      </c>
      <c r="O160" s="102" t="s">
        <v>5091</v>
      </c>
      <c r="P160" s="52" t="s">
        <v>2235</v>
      </c>
    </row>
    <row r="161" spans="2:16" x14ac:dyDescent="0.25">
      <c r="B161" s="32">
        <v>150</v>
      </c>
      <c r="C161" s="229" t="s">
        <v>5094</v>
      </c>
      <c r="D161" s="229"/>
      <c r="E161" s="229"/>
      <c r="F161" s="229"/>
      <c r="G161" s="229"/>
      <c r="H161" s="229"/>
      <c r="I161" s="229"/>
      <c r="J161" s="59" t="s">
        <v>5092</v>
      </c>
      <c r="K161" s="46">
        <v>7500000</v>
      </c>
      <c r="L161" s="2">
        <v>45371</v>
      </c>
      <c r="M161" s="32"/>
      <c r="N161" s="32">
        <v>3108214070</v>
      </c>
      <c r="O161" s="102" t="s">
        <v>5093</v>
      </c>
      <c r="P161" s="52"/>
    </row>
    <row r="162" spans="2:16" x14ac:dyDescent="0.25">
      <c r="B162" s="32">
        <v>151</v>
      </c>
      <c r="C162" s="229" t="s">
        <v>5095</v>
      </c>
      <c r="D162" s="229"/>
      <c r="E162" s="229"/>
      <c r="F162" s="229"/>
      <c r="G162" s="229"/>
      <c r="H162" s="229"/>
      <c r="I162" s="229"/>
      <c r="J162" s="59" t="s">
        <v>4969</v>
      </c>
      <c r="K162" s="46">
        <v>24950000</v>
      </c>
      <c r="L162" s="2">
        <v>45372</v>
      </c>
      <c r="M162" s="32"/>
      <c r="N162" s="32" t="s">
        <v>4732</v>
      </c>
      <c r="O162" s="102" t="s">
        <v>4966</v>
      </c>
      <c r="P162" s="52" t="s">
        <v>4967</v>
      </c>
    </row>
    <row r="163" spans="2:16" x14ac:dyDescent="0.25">
      <c r="B163" s="32">
        <v>152</v>
      </c>
      <c r="C163" s="229" t="s">
        <v>5099</v>
      </c>
      <c r="D163" s="229"/>
      <c r="E163" s="229"/>
      <c r="F163" s="229"/>
      <c r="G163" s="229"/>
      <c r="H163" s="229"/>
      <c r="I163" s="229"/>
      <c r="J163" s="59" t="s">
        <v>5098</v>
      </c>
      <c r="K163" s="46">
        <v>2950000</v>
      </c>
      <c r="L163" s="2">
        <v>45383</v>
      </c>
      <c r="M163" s="2"/>
      <c r="N163" s="32">
        <v>3042636421</v>
      </c>
      <c r="O163" s="103" t="s">
        <v>5096</v>
      </c>
      <c r="P163" s="52" t="s">
        <v>5097</v>
      </c>
    </row>
    <row r="164" spans="2:16" x14ac:dyDescent="0.25">
      <c r="B164" s="32">
        <v>153</v>
      </c>
      <c r="C164" s="273" t="s">
        <v>5103</v>
      </c>
      <c r="D164" s="274"/>
      <c r="E164" s="274"/>
      <c r="F164" s="274"/>
      <c r="G164" s="274"/>
      <c r="H164" s="274"/>
      <c r="I164" s="274"/>
      <c r="J164" s="59" t="s">
        <v>5102</v>
      </c>
      <c r="K164" s="46">
        <v>10950000</v>
      </c>
      <c r="L164" s="2">
        <v>45383</v>
      </c>
      <c r="M164" s="32"/>
      <c r="N164" s="32">
        <v>3053738993</v>
      </c>
      <c r="O164" s="78" t="s">
        <v>5101</v>
      </c>
      <c r="P164" s="107" t="s">
        <v>5100</v>
      </c>
    </row>
    <row r="165" spans="2:16" x14ac:dyDescent="0.25">
      <c r="B165" s="32">
        <v>154</v>
      </c>
      <c r="C165" s="229" t="s">
        <v>5106</v>
      </c>
      <c r="D165" s="229"/>
      <c r="E165" s="229"/>
      <c r="F165" s="229"/>
      <c r="G165" s="229"/>
      <c r="H165" s="229"/>
      <c r="I165" s="229"/>
      <c r="J165" s="59" t="s">
        <v>1139</v>
      </c>
      <c r="K165" s="46">
        <v>7530000</v>
      </c>
      <c r="L165" s="2">
        <v>45386</v>
      </c>
      <c r="M165" s="32"/>
      <c r="N165" s="32">
        <v>3103232340</v>
      </c>
      <c r="O165" s="102" t="s">
        <v>5104</v>
      </c>
      <c r="P165" s="52" t="s">
        <v>5105</v>
      </c>
    </row>
    <row r="166" spans="2:16" x14ac:dyDescent="0.25">
      <c r="B166" s="32">
        <v>155</v>
      </c>
      <c r="C166" s="271" t="s">
        <v>5132</v>
      </c>
      <c r="D166" s="272"/>
      <c r="E166" s="272"/>
      <c r="F166" s="272"/>
      <c r="G166" s="272"/>
      <c r="H166" s="272"/>
      <c r="I166" s="272"/>
      <c r="J166" s="59" t="s">
        <v>1139</v>
      </c>
      <c r="K166" s="46">
        <v>11290000</v>
      </c>
      <c r="L166" s="2">
        <v>45386</v>
      </c>
      <c r="M166" s="32"/>
      <c r="N166" s="32">
        <v>3103232340</v>
      </c>
      <c r="O166" s="102" t="s">
        <v>5104</v>
      </c>
      <c r="P166" s="52" t="s">
        <v>5105</v>
      </c>
    </row>
    <row r="167" spans="2:16" ht="15" customHeight="1" x14ac:dyDescent="0.25">
      <c r="B167" s="32">
        <v>156</v>
      </c>
      <c r="C167" s="229" t="s">
        <v>5107</v>
      </c>
      <c r="D167" s="229"/>
      <c r="E167" s="229"/>
      <c r="F167" s="229"/>
      <c r="G167" s="229"/>
      <c r="H167" s="229"/>
      <c r="I167" s="229"/>
      <c r="J167" s="59" t="s">
        <v>4939</v>
      </c>
      <c r="K167" s="46">
        <v>24950000</v>
      </c>
      <c r="L167" s="2">
        <v>45384</v>
      </c>
      <c r="M167" s="2"/>
      <c r="N167" s="32">
        <v>3014111727</v>
      </c>
      <c r="O167" s="102" t="s">
        <v>4270</v>
      </c>
      <c r="P167" s="52" t="s">
        <v>2235</v>
      </c>
    </row>
    <row r="168" spans="2:16" x14ac:dyDescent="0.25">
      <c r="B168" s="32">
        <v>157</v>
      </c>
      <c r="C168" s="271" t="s">
        <v>5108</v>
      </c>
      <c r="D168" s="272"/>
      <c r="E168" s="272"/>
      <c r="F168" s="272"/>
      <c r="G168" s="272"/>
      <c r="H168" s="272"/>
      <c r="I168" s="272"/>
      <c r="J168" s="64" t="s">
        <v>3128</v>
      </c>
      <c r="K168" s="46"/>
      <c r="L168" s="2">
        <v>45384</v>
      </c>
      <c r="M168" s="32"/>
      <c r="N168" s="32">
        <v>3183484307</v>
      </c>
      <c r="O168" s="102" t="s">
        <v>2116</v>
      </c>
      <c r="P168" s="52" t="s">
        <v>2117</v>
      </c>
    </row>
    <row r="169" spans="2:16" x14ac:dyDescent="0.25">
      <c r="B169" s="32">
        <v>158</v>
      </c>
      <c r="C169" s="229" t="s">
        <v>5110</v>
      </c>
      <c r="D169" s="229"/>
      <c r="E169" s="229"/>
      <c r="F169" s="229"/>
      <c r="G169" s="229"/>
      <c r="H169" s="229"/>
      <c r="I169" s="229"/>
      <c r="J169" s="59" t="s">
        <v>4939</v>
      </c>
      <c r="K169" s="46">
        <v>18950000</v>
      </c>
      <c r="L169" s="2">
        <v>45384</v>
      </c>
      <c r="M169" s="2"/>
      <c r="N169" s="32">
        <v>3206678830</v>
      </c>
      <c r="O169" s="102" t="s">
        <v>5109</v>
      </c>
      <c r="P169" s="52" t="s">
        <v>948</v>
      </c>
    </row>
    <row r="170" spans="2:16" x14ac:dyDescent="0.25">
      <c r="B170" s="32">
        <v>159</v>
      </c>
      <c r="C170" s="229" t="s">
        <v>5111</v>
      </c>
      <c r="D170" s="229"/>
      <c r="E170" s="229"/>
      <c r="F170" s="229"/>
      <c r="G170" s="229"/>
      <c r="H170" s="229"/>
      <c r="I170" s="229"/>
      <c r="J170" s="59" t="s">
        <v>4939</v>
      </c>
      <c r="K170" s="46">
        <v>49850000</v>
      </c>
      <c r="L170" s="2">
        <v>45384</v>
      </c>
      <c r="M170" s="2"/>
      <c r="N170" s="32">
        <v>3206678830</v>
      </c>
      <c r="O170" s="102" t="s">
        <v>5109</v>
      </c>
      <c r="P170" s="52" t="s">
        <v>948</v>
      </c>
    </row>
    <row r="171" spans="2:16" x14ac:dyDescent="0.25">
      <c r="B171" s="32">
        <v>160</v>
      </c>
      <c r="C171" s="229" t="s">
        <v>5112</v>
      </c>
      <c r="D171" s="229"/>
      <c r="E171" s="229"/>
      <c r="F171" s="229"/>
      <c r="G171" s="229"/>
      <c r="H171" s="229"/>
      <c r="I171" s="229"/>
      <c r="J171" s="59" t="s">
        <v>702</v>
      </c>
      <c r="K171" s="46">
        <v>29600000</v>
      </c>
      <c r="L171" s="2">
        <v>45384</v>
      </c>
      <c r="M171" s="32"/>
      <c r="N171" s="32">
        <v>3104165783</v>
      </c>
      <c r="O171" s="103" t="s">
        <v>4632</v>
      </c>
      <c r="P171" s="52" t="s">
        <v>4565</v>
      </c>
    </row>
    <row r="172" spans="2:16" x14ac:dyDescent="0.25">
      <c r="B172" s="32">
        <v>161</v>
      </c>
      <c r="C172" s="229" t="s">
        <v>5107</v>
      </c>
      <c r="D172" s="229"/>
      <c r="E172" s="229"/>
      <c r="F172" s="229"/>
      <c r="G172" s="229"/>
      <c r="H172" s="229"/>
      <c r="I172" s="229"/>
      <c r="J172" s="59" t="s">
        <v>5113</v>
      </c>
      <c r="K172" s="46">
        <v>24950000</v>
      </c>
      <c r="L172" s="2">
        <v>45384</v>
      </c>
      <c r="M172" s="2"/>
      <c r="N172" s="32" t="s">
        <v>5114</v>
      </c>
      <c r="O172" s="102" t="s">
        <v>5115</v>
      </c>
      <c r="P172" s="52"/>
    </row>
    <row r="173" spans="2:16" x14ac:dyDescent="0.25">
      <c r="B173" s="32">
        <v>162</v>
      </c>
      <c r="C173" s="263" t="s">
        <v>5117</v>
      </c>
      <c r="D173" s="229"/>
      <c r="E173" s="229"/>
      <c r="F173" s="229"/>
      <c r="G173" s="229"/>
      <c r="H173" s="229"/>
      <c r="I173" s="229"/>
      <c r="J173" s="59" t="s">
        <v>5116</v>
      </c>
      <c r="K173" s="46"/>
      <c r="L173" s="2">
        <v>45385</v>
      </c>
      <c r="M173" s="32"/>
      <c r="N173" s="32">
        <v>3105476693</v>
      </c>
      <c r="O173" s="102" t="s">
        <v>5118</v>
      </c>
      <c r="P173" s="52" t="s">
        <v>5119</v>
      </c>
    </row>
    <row r="174" spans="2:16" x14ac:dyDescent="0.25">
      <c r="B174" s="32">
        <v>163</v>
      </c>
      <c r="C174" s="263" t="s">
        <v>5122</v>
      </c>
      <c r="D174" s="229"/>
      <c r="E174" s="229"/>
      <c r="F174" s="229"/>
      <c r="G174" s="229"/>
      <c r="H174" s="229"/>
      <c r="I174" s="229"/>
      <c r="J174" s="59" t="s">
        <v>5011</v>
      </c>
      <c r="K174" s="46">
        <v>1550000</v>
      </c>
      <c r="L174" s="2">
        <v>45385</v>
      </c>
      <c r="M174" s="32"/>
      <c r="N174" s="32" t="s">
        <v>5121</v>
      </c>
      <c r="O174" s="102" t="s">
        <v>5120</v>
      </c>
      <c r="P174" s="52" t="s">
        <v>4244</v>
      </c>
    </row>
    <row r="175" spans="2:16" ht="15" customHeight="1" x14ac:dyDescent="0.25">
      <c r="B175" s="32">
        <v>164</v>
      </c>
      <c r="C175" s="263" t="s">
        <v>5123</v>
      </c>
      <c r="D175" s="229"/>
      <c r="E175" s="229"/>
      <c r="F175" s="229"/>
      <c r="G175" s="229"/>
      <c r="H175" s="229"/>
      <c r="I175" s="229"/>
      <c r="J175" s="59" t="s">
        <v>1139</v>
      </c>
      <c r="K175" s="46">
        <v>5640000</v>
      </c>
      <c r="L175" s="2">
        <v>45386</v>
      </c>
      <c r="M175" s="32"/>
      <c r="N175" s="32">
        <v>3148721400</v>
      </c>
      <c r="O175" s="102" t="s">
        <v>4575</v>
      </c>
      <c r="P175" s="52" t="s">
        <v>4576</v>
      </c>
    </row>
    <row r="176" spans="2:16" ht="15" customHeight="1" x14ac:dyDescent="0.25">
      <c r="B176" s="32">
        <v>165</v>
      </c>
      <c r="C176" s="271" t="s">
        <v>5124</v>
      </c>
      <c r="D176" s="272"/>
      <c r="E176" s="272"/>
      <c r="F176" s="272"/>
      <c r="G176" s="272"/>
      <c r="H176" s="272"/>
      <c r="I176" s="272"/>
      <c r="J176" s="59" t="s">
        <v>5125</v>
      </c>
      <c r="K176" s="46">
        <v>36000000</v>
      </c>
      <c r="L176" s="2">
        <v>45385</v>
      </c>
      <c r="M176" s="32"/>
      <c r="N176" s="32" t="s">
        <v>5127</v>
      </c>
      <c r="O176" s="102" t="s">
        <v>5126</v>
      </c>
      <c r="P176" s="52" t="s">
        <v>5128</v>
      </c>
    </row>
    <row r="177" spans="2:16" x14ac:dyDescent="0.25">
      <c r="B177" s="32">
        <v>166</v>
      </c>
      <c r="C177" s="229" t="s">
        <v>5131</v>
      </c>
      <c r="D177" s="229"/>
      <c r="E177" s="229"/>
      <c r="F177" s="229"/>
      <c r="G177" s="229"/>
      <c r="H177" s="229"/>
      <c r="I177" s="229"/>
      <c r="J177" s="64" t="s">
        <v>5129</v>
      </c>
      <c r="K177" s="46">
        <v>4980000</v>
      </c>
      <c r="L177" s="2">
        <v>45385</v>
      </c>
      <c r="M177" s="2"/>
      <c r="N177" s="32" t="s">
        <v>5130</v>
      </c>
      <c r="O177" s="102"/>
      <c r="P177" s="52"/>
    </row>
    <row r="178" spans="2:16" x14ac:dyDescent="0.25">
      <c r="B178" s="32">
        <v>167</v>
      </c>
      <c r="C178" s="264" t="s">
        <v>5134</v>
      </c>
      <c r="D178" s="231"/>
      <c r="E178" s="231"/>
      <c r="F178" s="231"/>
      <c r="G178" s="231"/>
      <c r="H178" s="231"/>
      <c r="I178" s="232"/>
      <c r="J178" s="59" t="s">
        <v>1139</v>
      </c>
      <c r="K178" s="46">
        <v>1300000</v>
      </c>
      <c r="L178" s="2">
        <v>45387</v>
      </c>
      <c r="M178" s="32"/>
      <c r="N178" s="32">
        <v>3148721400</v>
      </c>
      <c r="O178" s="103" t="s">
        <v>4575</v>
      </c>
      <c r="P178" s="52" t="s">
        <v>4576</v>
      </c>
    </row>
    <row r="179" spans="2:16" ht="15" customHeight="1" x14ac:dyDescent="0.25">
      <c r="B179" s="32">
        <v>168</v>
      </c>
      <c r="C179" s="229" t="s">
        <v>5107</v>
      </c>
      <c r="D179" s="229"/>
      <c r="E179" s="229"/>
      <c r="F179" s="229"/>
      <c r="G179" s="229"/>
      <c r="H179" s="229"/>
      <c r="I179" s="229"/>
      <c r="J179" s="59" t="s">
        <v>4939</v>
      </c>
      <c r="K179" s="46">
        <v>12000000</v>
      </c>
      <c r="L179" s="2">
        <v>45384</v>
      </c>
      <c r="M179" s="2"/>
      <c r="N179" s="32">
        <v>3014111727</v>
      </c>
      <c r="O179" s="102" t="s">
        <v>4270</v>
      </c>
      <c r="P179" s="52" t="s">
        <v>2235</v>
      </c>
    </row>
    <row r="180" spans="2:16" x14ac:dyDescent="0.25">
      <c r="B180" s="32">
        <v>169</v>
      </c>
      <c r="C180" s="229" t="s">
        <v>5135</v>
      </c>
      <c r="D180" s="229"/>
      <c r="E180" s="229"/>
      <c r="F180" s="229"/>
      <c r="G180" s="229"/>
      <c r="H180" s="229"/>
      <c r="I180" s="229"/>
      <c r="J180" s="64" t="s">
        <v>702</v>
      </c>
      <c r="K180" s="46">
        <v>8400000</v>
      </c>
      <c r="L180" s="2">
        <v>45390</v>
      </c>
      <c r="M180" s="32"/>
      <c r="N180" s="32">
        <v>3104165783</v>
      </c>
      <c r="O180" s="102" t="s">
        <v>4564</v>
      </c>
      <c r="P180" s="52" t="s">
        <v>4565</v>
      </c>
    </row>
    <row r="181" spans="2:16" x14ac:dyDescent="0.25">
      <c r="B181" s="32">
        <v>170</v>
      </c>
      <c r="C181" s="271" t="s">
        <v>5138</v>
      </c>
      <c r="D181" s="272"/>
      <c r="E181" s="272"/>
      <c r="F181" s="272"/>
      <c r="G181" s="272"/>
      <c r="H181" s="272"/>
      <c r="I181" s="272"/>
      <c r="J181" s="59" t="s">
        <v>5137</v>
      </c>
      <c r="K181" s="46">
        <v>69950000</v>
      </c>
      <c r="L181" s="2">
        <v>45391</v>
      </c>
      <c r="M181" s="32"/>
      <c r="N181" s="32" t="s">
        <v>5136</v>
      </c>
      <c r="O181" s="102" t="s">
        <v>340</v>
      </c>
      <c r="P181" s="52" t="s">
        <v>1114</v>
      </c>
    </row>
    <row r="182" spans="2:16" x14ac:dyDescent="0.25">
      <c r="B182" s="32">
        <v>171</v>
      </c>
      <c r="C182" s="263" t="s">
        <v>5139</v>
      </c>
      <c r="D182" s="229"/>
      <c r="E182" s="229"/>
      <c r="F182" s="229"/>
      <c r="G182" s="229"/>
      <c r="H182" s="229"/>
      <c r="I182" s="229"/>
      <c r="J182" s="59" t="s">
        <v>4939</v>
      </c>
      <c r="K182" s="46">
        <v>15050000</v>
      </c>
      <c r="L182" s="2">
        <v>45391</v>
      </c>
      <c r="M182" s="32"/>
      <c r="N182" s="32">
        <v>3014111727</v>
      </c>
      <c r="O182" s="102" t="s">
        <v>4270</v>
      </c>
      <c r="P182" s="52" t="s">
        <v>2235</v>
      </c>
    </row>
    <row r="183" spans="2:16" x14ac:dyDescent="0.25">
      <c r="B183" s="32">
        <v>172</v>
      </c>
      <c r="C183" s="229" t="s">
        <v>5141</v>
      </c>
      <c r="D183" s="229"/>
      <c r="E183" s="229"/>
      <c r="F183" s="229"/>
      <c r="G183" s="229"/>
      <c r="H183" s="229"/>
      <c r="I183" s="229"/>
      <c r="J183" s="59" t="s">
        <v>1439</v>
      </c>
      <c r="K183" s="46">
        <v>2950000</v>
      </c>
      <c r="L183" s="2">
        <v>45391</v>
      </c>
      <c r="M183" s="32"/>
      <c r="N183" s="32">
        <v>3183484307</v>
      </c>
      <c r="O183" s="102" t="s">
        <v>5140</v>
      </c>
      <c r="P183" s="52" t="s">
        <v>2117</v>
      </c>
    </row>
    <row r="184" spans="2:16" x14ac:dyDescent="0.25">
      <c r="B184" s="32">
        <v>173</v>
      </c>
      <c r="C184" s="263" t="s">
        <v>5087</v>
      </c>
      <c r="D184" s="229"/>
      <c r="E184" s="229"/>
      <c r="F184" s="229"/>
      <c r="G184" s="229"/>
      <c r="H184" s="229"/>
      <c r="I184" s="229"/>
      <c r="J184" s="59" t="s">
        <v>4977</v>
      </c>
      <c r="K184" s="46">
        <v>3250000</v>
      </c>
      <c r="L184" s="2">
        <v>45392</v>
      </c>
      <c r="M184" s="2"/>
      <c r="N184" s="32">
        <v>3155852559</v>
      </c>
      <c r="O184" s="102" t="s">
        <v>5081</v>
      </c>
      <c r="P184" s="52" t="s">
        <v>1611</v>
      </c>
    </row>
    <row r="185" spans="2:16" x14ac:dyDescent="0.25">
      <c r="B185" s="32">
        <v>174</v>
      </c>
      <c r="C185" s="229" t="s">
        <v>5145</v>
      </c>
      <c r="D185" s="229"/>
      <c r="E185" s="229"/>
      <c r="F185" s="229"/>
      <c r="G185" s="229"/>
      <c r="H185" s="229"/>
      <c r="I185" s="229"/>
      <c r="J185" s="59" t="s">
        <v>5142</v>
      </c>
      <c r="K185" s="46">
        <v>4350000</v>
      </c>
      <c r="L185" s="2">
        <v>45392</v>
      </c>
      <c r="M185" s="32"/>
      <c r="N185" s="32">
        <v>3015407313</v>
      </c>
      <c r="O185" s="102" t="s">
        <v>5143</v>
      </c>
      <c r="P185" s="52" t="s">
        <v>5144</v>
      </c>
    </row>
    <row r="186" spans="2:16" x14ac:dyDescent="0.25">
      <c r="B186" s="32">
        <v>175</v>
      </c>
      <c r="C186" s="229" t="s">
        <v>5149</v>
      </c>
      <c r="D186" s="229"/>
      <c r="E186" s="229"/>
      <c r="F186" s="229"/>
      <c r="G186" s="229"/>
      <c r="H186" s="229"/>
      <c r="I186" s="229"/>
      <c r="J186" s="59" t="s">
        <v>3718</v>
      </c>
      <c r="K186" s="46">
        <v>14450000</v>
      </c>
      <c r="L186" s="2">
        <v>45392</v>
      </c>
      <c r="M186" s="2"/>
      <c r="N186" s="32" t="s">
        <v>5147</v>
      </c>
      <c r="O186" s="102" t="s">
        <v>5146</v>
      </c>
      <c r="P186" s="52" t="s">
        <v>5148</v>
      </c>
    </row>
    <row r="187" spans="2:16" ht="15" customHeight="1" x14ac:dyDescent="0.25">
      <c r="B187" s="32">
        <v>176</v>
      </c>
      <c r="C187" s="263" t="s">
        <v>4869</v>
      </c>
      <c r="D187" s="229"/>
      <c r="E187" s="229"/>
      <c r="F187" s="229"/>
      <c r="G187" s="229"/>
      <c r="H187" s="229"/>
      <c r="I187" s="229"/>
      <c r="J187" s="59" t="s">
        <v>4870</v>
      </c>
      <c r="K187" s="46">
        <v>21150000</v>
      </c>
      <c r="L187" s="2">
        <v>45392</v>
      </c>
      <c r="M187" s="32"/>
      <c r="N187" s="32">
        <v>3187346703</v>
      </c>
      <c r="O187" s="102" t="s">
        <v>4874</v>
      </c>
      <c r="P187" s="52" t="s">
        <v>4873</v>
      </c>
    </row>
    <row r="188" spans="2:16" ht="15" customHeight="1" x14ac:dyDescent="0.25">
      <c r="B188" s="32">
        <v>177</v>
      </c>
      <c r="C188" s="229" t="s">
        <v>5150</v>
      </c>
      <c r="D188" s="229"/>
      <c r="E188" s="229"/>
      <c r="F188" s="229"/>
      <c r="G188" s="229"/>
      <c r="H188" s="229"/>
      <c r="I188" s="229"/>
      <c r="J188" s="59" t="s">
        <v>747</v>
      </c>
      <c r="K188" s="46" t="s">
        <v>263</v>
      </c>
      <c r="L188" s="2">
        <v>45393</v>
      </c>
      <c r="M188" s="32"/>
      <c r="N188" s="32">
        <v>3175594091</v>
      </c>
      <c r="O188" s="103" t="s">
        <v>2045</v>
      </c>
      <c r="P188" s="52" t="s">
        <v>748</v>
      </c>
    </row>
    <row r="189" spans="2:16" x14ac:dyDescent="0.25">
      <c r="B189" s="32">
        <v>178</v>
      </c>
      <c r="C189" s="263" t="s">
        <v>5153</v>
      </c>
      <c r="D189" s="229"/>
      <c r="E189" s="229"/>
      <c r="F189" s="229"/>
      <c r="G189" s="229"/>
      <c r="H189" s="229"/>
      <c r="I189" s="229"/>
      <c r="J189" s="59" t="s">
        <v>5152</v>
      </c>
      <c r="K189" s="46">
        <v>15650000</v>
      </c>
      <c r="L189" s="2">
        <v>45393</v>
      </c>
      <c r="M189" s="32"/>
      <c r="N189" s="32"/>
      <c r="O189" s="102" t="s">
        <v>1752</v>
      </c>
      <c r="P189" s="52" t="s">
        <v>5151</v>
      </c>
    </row>
    <row r="190" spans="2:16" x14ac:dyDescent="0.25">
      <c r="B190" s="32">
        <v>179</v>
      </c>
      <c r="C190" s="271" t="s">
        <v>5161</v>
      </c>
      <c r="D190" s="272"/>
      <c r="E190" s="272"/>
      <c r="F190" s="272"/>
      <c r="G190" s="272"/>
      <c r="H190" s="272"/>
      <c r="I190" s="272"/>
      <c r="J190" s="59" t="s">
        <v>5156</v>
      </c>
      <c r="K190" s="46">
        <v>19950000</v>
      </c>
      <c r="L190" s="2">
        <v>45394</v>
      </c>
      <c r="M190" s="32"/>
      <c r="N190" s="32" t="s">
        <v>5154</v>
      </c>
      <c r="O190" s="102" t="s">
        <v>5155</v>
      </c>
      <c r="P190" s="52" t="s">
        <v>2509</v>
      </c>
    </row>
    <row r="191" spans="2:16" x14ac:dyDescent="0.25">
      <c r="B191" s="32">
        <v>180</v>
      </c>
      <c r="C191" s="229" t="s">
        <v>5160</v>
      </c>
      <c r="D191" s="229"/>
      <c r="E191" s="229"/>
      <c r="F191" s="229"/>
      <c r="G191" s="229"/>
      <c r="H191" s="229"/>
      <c r="I191" s="229"/>
      <c r="J191" s="59" t="s">
        <v>5157</v>
      </c>
      <c r="K191" s="46">
        <v>1250000</v>
      </c>
      <c r="L191" s="2">
        <v>45394</v>
      </c>
      <c r="M191" s="32"/>
      <c r="N191" s="32">
        <v>3503090723</v>
      </c>
      <c r="O191" s="102" t="s">
        <v>5158</v>
      </c>
      <c r="P191" s="52" t="s">
        <v>5159</v>
      </c>
    </row>
    <row r="192" spans="2:16" x14ac:dyDescent="0.25">
      <c r="B192" s="32">
        <v>181</v>
      </c>
      <c r="C192" s="229" t="s">
        <v>5162</v>
      </c>
      <c r="D192" s="229"/>
      <c r="E192" s="229"/>
      <c r="F192" s="229"/>
      <c r="G192" s="229"/>
      <c r="H192" s="229"/>
      <c r="I192" s="229"/>
      <c r="J192" s="59" t="s">
        <v>5152</v>
      </c>
      <c r="K192" s="46">
        <v>24650000</v>
      </c>
      <c r="L192" s="2">
        <v>45398</v>
      </c>
      <c r="M192" s="32"/>
      <c r="N192" s="32"/>
      <c r="O192" s="102" t="s">
        <v>1752</v>
      </c>
      <c r="P192" s="52" t="s">
        <v>5151</v>
      </c>
    </row>
    <row r="193" spans="2:16" x14ac:dyDescent="0.25">
      <c r="B193" s="32">
        <v>182</v>
      </c>
      <c r="C193" s="229" t="s">
        <v>5149</v>
      </c>
      <c r="D193" s="229"/>
      <c r="E193" s="229"/>
      <c r="F193" s="229"/>
      <c r="G193" s="229"/>
      <c r="H193" s="229"/>
      <c r="I193" s="229"/>
      <c r="J193" s="59" t="s">
        <v>5152</v>
      </c>
      <c r="K193" s="46">
        <v>14450000</v>
      </c>
      <c r="L193" s="2">
        <v>45398</v>
      </c>
      <c r="M193" s="32"/>
      <c r="N193" s="32"/>
      <c r="O193" s="102" t="s">
        <v>1752</v>
      </c>
      <c r="P193" s="52" t="s">
        <v>5151</v>
      </c>
    </row>
    <row r="194" spans="2:16" x14ac:dyDescent="0.25">
      <c r="B194" s="32">
        <v>183</v>
      </c>
      <c r="C194" s="229" t="s">
        <v>5164</v>
      </c>
      <c r="D194" s="229"/>
      <c r="E194" s="229"/>
      <c r="F194" s="229"/>
      <c r="G194" s="229"/>
      <c r="H194" s="229"/>
      <c r="I194" s="229"/>
      <c r="J194" s="59" t="s">
        <v>5163</v>
      </c>
      <c r="K194" s="46">
        <v>1500000</v>
      </c>
      <c r="L194" s="2">
        <v>45398</v>
      </c>
      <c r="M194" s="2"/>
      <c r="N194" s="32"/>
      <c r="O194" s="102" t="s">
        <v>4130</v>
      </c>
      <c r="P194" s="52" t="s">
        <v>4131</v>
      </c>
    </row>
    <row r="195" spans="2:16" x14ac:dyDescent="0.25">
      <c r="B195" s="32">
        <v>184</v>
      </c>
      <c r="C195" s="229" t="s">
        <v>5165</v>
      </c>
      <c r="D195" s="229"/>
      <c r="E195" s="229"/>
      <c r="F195" s="229"/>
      <c r="G195" s="229"/>
      <c r="H195" s="229"/>
      <c r="I195" s="229"/>
      <c r="J195" s="59" t="s">
        <v>5157</v>
      </c>
      <c r="K195" s="46">
        <v>3950000</v>
      </c>
      <c r="L195" s="2">
        <v>45398</v>
      </c>
      <c r="M195" s="32"/>
      <c r="N195" s="32">
        <v>3503090723</v>
      </c>
      <c r="O195" s="102" t="s">
        <v>5158</v>
      </c>
      <c r="P195" s="52" t="s">
        <v>5159</v>
      </c>
    </row>
    <row r="196" spans="2:16" x14ac:dyDescent="0.25">
      <c r="B196" s="32">
        <v>185</v>
      </c>
      <c r="C196" s="271" t="s">
        <v>5166</v>
      </c>
      <c r="D196" s="272"/>
      <c r="E196" s="272"/>
      <c r="F196" s="272"/>
      <c r="G196" s="272"/>
      <c r="H196" s="272"/>
      <c r="I196" s="272"/>
      <c r="J196" s="59" t="s">
        <v>3766</v>
      </c>
      <c r="K196" s="46">
        <v>12420000</v>
      </c>
      <c r="L196" s="2">
        <v>45398</v>
      </c>
      <c r="M196" s="2"/>
      <c r="N196" s="32" t="s">
        <v>4732</v>
      </c>
      <c r="O196" s="102" t="s">
        <v>4730</v>
      </c>
      <c r="P196" s="52" t="s">
        <v>4731</v>
      </c>
    </row>
    <row r="197" spans="2:16" x14ac:dyDescent="0.25">
      <c r="B197" s="32">
        <v>186</v>
      </c>
      <c r="C197" s="229" t="s">
        <v>5169</v>
      </c>
      <c r="D197" s="229"/>
      <c r="E197" s="229"/>
      <c r="F197" s="229"/>
      <c r="G197" s="229"/>
      <c r="H197" s="229"/>
      <c r="I197" s="229"/>
      <c r="J197" s="59" t="s">
        <v>5167</v>
      </c>
      <c r="K197" s="46">
        <v>7500000</v>
      </c>
      <c r="L197" s="2">
        <v>45399</v>
      </c>
      <c r="M197" s="32"/>
      <c r="N197" s="32"/>
      <c r="O197" s="102" t="s">
        <v>5168</v>
      </c>
      <c r="P197" s="52" t="s">
        <v>2241</v>
      </c>
    </row>
    <row r="198" spans="2:16" x14ac:dyDescent="0.25">
      <c r="B198" s="32">
        <v>187</v>
      </c>
      <c r="C198" s="229" t="s">
        <v>5171</v>
      </c>
      <c r="D198" s="229"/>
      <c r="E198" s="229"/>
      <c r="F198" s="229"/>
      <c r="G198" s="229"/>
      <c r="H198" s="229"/>
      <c r="I198" s="229"/>
      <c r="J198" s="59" t="s">
        <v>5170</v>
      </c>
      <c r="K198" s="46">
        <v>13000000</v>
      </c>
      <c r="L198" s="2">
        <v>45399</v>
      </c>
      <c r="M198" s="32"/>
      <c r="N198" s="32">
        <v>3127463275</v>
      </c>
      <c r="O198" s="102" t="s">
        <v>505</v>
      </c>
      <c r="P198" s="52" t="s">
        <v>3133</v>
      </c>
    </row>
    <row r="199" spans="2:16" x14ac:dyDescent="0.25">
      <c r="B199" s="32">
        <v>188</v>
      </c>
      <c r="C199" s="229" t="s">
        <v>5172</v>
      </c>
      <c r="D199" s="229"/>
      <c r="E199" s="229"/>
      <c r="F199" s="229"/>
      <c r="G199" s="229"/>
      <c r="H199" s="229"/>
      <c r="I199" s="229"/>
      <c r="J199" s="59" t="s">
        <v>5173</v>
      </c>
      <c r="K199" s="46" t="s">
        <v>381</v>
      </c>
      <c r="L199" s="2">
        <v>45399</v>
      </c>
      <c r="M199" s="32"/>
      <c r="N199" s="32"/>
      <c r="O199" s="102" t="s">
        <v>5173</v>
      </c>
      <c r="P199" s="52"/>
    </row>
    <row r="200" spans="2:16" x14ac:dyDescent="0.25">
      <c r="B200" s="32">
        <v>189</v>
      </c>
      <c r="C200" s="271" t="s">
        <v>5177</v>
      </c>
      <c r="D200" s="272"/>
      <c r="E200" s="272"/>
      <c r="F200" s="272"/>
      <c r="G200" s="272"/>
      <c r="H200" s="272"/>
      <c r="I200" s="272"/>
      <c r="J200" s="59" t="s">
        <v>5174</v>
      </c>
      <c r="K200" s="46">
        <v>3500000</v>
      </c>
      <c r="L200" s="2">
        <v>45400</v>
      </c>
      <c r="M200" s="32"/>
      <c r="N200" s="32" t="s">
        <v>5175</v>
      </c>
      <c r="O200" s="103" t="s">
        <v>1671</v>
      </c>
      <c r="P200" s="38" t="s">
        <v>5176</v>
      </c>
    </row>
    <row r="201" spans="2:16" x14ac:dyDescent="0.25">
      <c r="B201" s="32">
        <v>190</v>
      </c>
      <c r="C201" s="229" t="s">
        <v>5178</v>
      </c>
      <c r="D201" s="229"/>
      <c r="E201" s="229"/>
      <c r="F201" s="229"/>
      <c r="G201" s="229"/>
      <c r="H201" s="229"/>
      <c r="I201" s="229"/>
      <c r="J201" s="59" t="s">
        <v>5157</v>
      </c>
      <c r="K201" s="46">
        <v>2500000</v>
      </c>
      <c r="L201" s="2">
        <v>45401</v>
      </c>
      <c r="M201" s="32"/>
      <c r="N201" s="32">
        <v>3503090723</v>
      </c>
      <c r="O201" s="102" t="s">
        <v>5158</v>
      </c>
      <c r="P201" s="52" t="s">
        <v>5159</v>
      </c>
    </row>
    <row r="202" spans="2:16" x14ac:dyDescent="0.25">
      <c r="B202" s="32">
        <v>191</v>
      </c>
      <c r="C202" s="229" t="s">
        <v>5180</v>
      </c>
      <c r="D202" s="229"/>
      <c r="E202" s="229"/>
      <c r="F202" s="229"/>
      <c r="G202" s="229"/>
      <c r="H202" s="229"/>
      <c r="I202" s="229"/>
      <c r="J202" s="59" t="s">
        <v>702</v>
      </c>
      <c r="K202" s="46">
        <v>4390000</v>
      </c>
      <c r="L202" s="2">
        <v>45405</v>
      </c>
      <c r="M202" s="32"/>
      <c r="N202" s="32" t="s">
        <v>3843</v>
      </c>
      <c r="O202" s="103" t="s">
        <v>5179</v>
      </c>
      <c r="P202" s="38" t="s">
        <v>4565</v>
      </c>
    </row>
    <row r="203" spans="2:16" x14ac:dyDescent="0.25">
      <c r="B203" s="32">
        <v>192</v>
      </c>
      <c r="C203" s="229" t="s">
        <v>5181</v>
      </c>
      <c r="D203" s="229"/>
      <c r="E203" s="229"/>
      <c r="F203" s="229"/>
      <c r="G203" s="229"/>
      <c r="H203" s="229"/>
      <c r="I203" s="229"/>
      <c r="J203" s="59" t="s">
        <v>5182</v>
      </c>
      <c r="K203" s="46">
        <v>3150000</v>
      </c>
      <c r="L203" s="2">
        <v>45404</v>
      </c>
      <c r="M203" s="2"/>
      <c r="N203" s="32" t="s">
        <v>5184</v>
      </c>
      <c r="O203" s="102" t="s">
        <v>5183</v>
      </c>
      <c r="P203" s="52" t="s">
        <v>5185</v>
      </c>
    </row>
    <row r="204" spans="2:16" ht="15" customHeight="1" x14ac:dyDescent="0.25">
      <c r="B204" s="32">
        <v>193</v>
      </c>
      <c r="C204" s="229" t="s">
        <v>5188</v>
      </c>
      <c r="D204" s="229"/>
      <c r="E204" s="229"/>
      <c r="F204" s="229"/>
      <c r="G204" s="229"/>
      <c r="H204" s="229"/>
      <c r="I204" s="229"/>
      <c r="J204" s="59" t="s">
        <v>5186</v>
      </c>
      <c r="K204" s="46">
        <v>39400000</v>
      </c>
      <c r="L204" s="2">
        <v>45404</v>
      </c>
      <c r="M204" s="32"/>
      <c r="N204" s="32">
        <v>3134451063</v>
      </c>
      <c r="O204" s="78" t="s">
        <v>4753</v>
      </c>
      <c r="P204" s="52" t="s">
        <v>5187</v>
      </c>
    </row>
    <row r="205" spans="2:16" x14ac:dyDescent="0.25">
      <c r="B205" s="32">
        <v>194</v>
      </c>
      <c r="C205" s="229" t="s">
        <v>5190</v>
      </c>
      <c r="D205" s="229"/>
      <c r="E205" s="229"/>
      <c r="F205" s="229"/>
      <c r="G205" s="229"/>
      <c r="H205" s="229"/>
      <c r="I205" s="229"/>
      <c r="J205" s="59" t="s">
        <v>5189</v>
      </c>
      <c r="K205" s="46">
        <v>28950000</v>
      </c>
      <c r="L205" s="2">
        <v>45404</v>
      </c>
      <c r="M205" s="32"/>
      <c r="N205" s="32">
        <v>3137337587</v>
      </c>
      <c r="O205" s="102" t="s">
        <v>4544</v>
      </c>
      <c r="P205" s="52" t="s">
        <v>4545</v>
      </c>
    </row>
    <row r="206" spans="2:16" x14ac:dyDescent="0.25">
      <c r="B206" s="32">
        <v>195</v>
      </c>
      <c r="C206" s="229" t="s">
        <v>5191</v>
      </c>
      <c r="D206" s="229"/>
      <c r="E206" s="229"/>
      <c r="F206" s="229"/>
      <c r="G206" s="229"/>
      <c r="H206" s="229"/>
      <c r="I206" s="229"/>
      <c r="J206" s="59" t="s">
        <v>5189</v>
      </c>
      <c r="K206" s="46">
        <v>32950000</v>
      </c>
      <c r="L206" s="2">
        <v>45404</v>
      </c>
      <c r="M206" s="32"/>
      <c r="N206" s="32">
        <v>3137337587</v>
      </c>
      <c r="O206" s="102" t="s">
        <v>4544</v>
      </c>
      <c r="P206" s="52" t="s">
        <v>4545</v>
      </c>
    </row>
    <row r="207" spans="2:16" x14ac:dyDescent="0.25">
      <c r="B207" s="32">
        <v>196</v>
      </c>
      <c r="C207" s="229" t="s">
        <v>5193</v>
      </c>
      <c r="D207" s="229"/>
      <c r="E207" s="229"/>
      <c r="F207" s="229"/>
      <c r="G207" s="229"/>
      <c r="H207" s="229"/>
      <c r="I207" s="229"/>
      <c r="J207" s="59" t="s">
        <v>5192</v>
      </c>
      <c r="K207" s="46">
        <v>1500000</v>
      </c>
      <c r="L207" s="2">
        <v>45405</v>
      </c>
      <c r="M207" s="32"/>
      <c r="N207" s="32">
        <v>3206823955</v>
      </c>
      <c r="O207" s="102" t="s">
        <v>5192</v>
      </c>
      <c r="P207" s="52"/>
    </row>
    <row r="208" spans="2:16" ht="15" customHeight="1" x14ac:dyDescent="0.25">
      <c r="B208" s="32">
        <v>197</v>
      </c>
      <c r="C208" s="229" t="s">
        <v>5194</v>
      </c>
      <c r="D208" s="229"/>
      <c r="E208" s="229"/>
      <c r="F208" s="229"/>
      <c r="G208" s="229"/>
      <c r="H208" s="229"/>
      <c r="I208" s="229"/>
      <c r="J208" s="59" t="s">
        <v>5137</v>
      </c>
      <c r="K208" s="46">
        <v>16950000</v>
      </c>
      <c r="L208" s="2">
        <v>45405</v>
      </c>
      <c r="M208" s="32"/>
      <c r="N208" s="32">
        <v>3104139821</v>
      </c>
      <c r="O208" s="102" t="s">
        <v>340</v>
      </c>
      <c r="P208" s="52" t="s">
        <v>1114</v>
      </c>
    </row>
    <row r="209" spans="2:16" x14ac:dyDescent="0.25">
      <c r="B209" s="32">
        <v>198</v>
      </c>
      <c r="C209" s="229" t="s">
        <v>5195</v>
      </c>
      <c r="D209" s="229"/>
      <c r="E209" s="229"/>
      <c r="F209" s="229"/>
      <c r="G209" s="229"/>
      <c r="H209" s="229"/>
      <c r="I209" s="229"/>
      <c r="J209" s="59" t="s">
        <v>4977</v>
      </c>
      <c r="K209" s="46">
        <v>8950000</v>
      </c>
      <c r="L209" s="2">
        <v>45406</v>
      </c>
      <c r="M209" s="32"/>
      <c r="N209" s="32"/>
      <c r="O209" s="102" t="s">
        <v>1610</v>
      </c>
      <c r="P209" s="52" t="s">
        <v>1611</v>
      </c>
    </row>
    <row r="210" spans="2:16" x14ac:dyDescent="0.25">
      <c r="B210" s="32">
        <v>199</v>
      </c>
      <c r="C210" s="229" t="s">
        <v>5198</v>
      </c>
      <c r="D210" s="229"/>
      <c r="E210" s="229"/>
      <c r="F210" s="229"/>
      <c r="G210" s="229"/>
      <c r="H210" s="229"/>
      <c r="I210" s="229"/>
      <c r="J210" s="59" t="s">
        <v>1343</v>
      </c>
      <c r="K210" s="46">
        <v>59550000</v>
      </c>
      <c r="L210" s="2">
        <v>45407</v>
      </c>
      <c r="M210" s="32"/>
      <c r="N210" s="32">
        <v>3207978185</v>
      </c>
      <c r="O210" s="102" t="s">
        <v>5196</v>
      </c>
      <c r="P210" s="52" t="s">
        <v>5197</v>
      </c>
    </row>
    <row r="211" spans="2:16" x14ac:dyDescent="0.25">
      <c r="B211" s="32">
        <v>200</v>
      </c>
      <c r="C211" s="229" t="s">
        <v>5201</v>
      </c>
      <c r="D211" s="229"/>
      <c r="E211" s="229"/>
      <c r="F211" s="229"/>
      <c r="G211" s="229"/>
      <c r="H211" s="229"/>
      <c r="I211" s="229"/>
      <c r="J211" s="59" t="s">
        <v>3002</v>
      </c>
      <c r="K211" s="46">
        <v>15920000</v>
      </c>
      <c r="L211" s="2">
        <v>45407</v>
      </c>
      <c r="M211" s="32"/>
      <c r="N211" s="32" t="s">
        <v>5232</v>
      </c>
      <c r="O211" s="102" t="s">
        <v>5199</v>
      </c>
      <c r="P211" s="52" t="s">
        <v>5200</v>
      </c>
    </row>
    <row r="212" spans="2:16" ht="15" customHeight="1" x14ac:dyDescent="0.25">
      <c r="B212" s="32">
        <v>201</v>
      </c>
      <c r="C212" s="229" t="s">
        <v>5202</v>
      </c>
      <c r="D212" s="229"/>
      <c r="E212" s="229"/>
      <c r="F212" s="229"/>
      <c r="G212" s="229"/>
      <c r="H212" s="229"/>
      <c r="I212" s="229"/>
      <c r="J212" s="59" t="s">
        <v>702</v>
      </c>
      <c r="K212" s="46">
        <v>5640000</v>
      </c>
      <c r="L212" s="2">
        <v>45407</v>
      </c>
      <c r="M212" s="32"/>
      <c r="N212" s="32">
        <v>3137546144</v>
      </c>
      <c r="O212" s="102" t="s">
        <v>3996</v>
      </c>
      <c r="P212" s="52" t="s">
        <v>2504</v>
      </c>
    </row>
    <row r="213" spans="2:16" x14ac:dyDescent="0.25">
      <c r="B213" s="32">
        <v>202</v>
      </c>
      <c r="C213" s="229" t="s">
        <v>5206</v>
      </c>
      <c r="D213" s="229"/>
      <c r="E213" s="229"/>
      <c r="F213" s="229"/>
      <c r="G213" s="229"/>
      <c r="H213" s="229"/>
      <c r="I213" s="229"/>
      <c r="J213" s="59" t="s">
        <v>5203</v>
      </c>
      <c r="K213" s="46">
        <v>2650000</v>
      </c>
      <c r="L213" s="2">
        <v>45411</v>
      </c>
      <c r="M213" s="32"/>
      <c r="N213" s="32" t="s">
        <v>5204</v>
      </c>
      <c r="O213" s="102" t="s">
        <v>3362</v>
      </c>
      <c r="P213" s="52" t="s">
        <v>5205</v>
      </c>
    </row>
    <row r="214" spans="2:16" x14ac:dyDescent="0.25">
      <c r="B214" s="32">
        <v>203</v>
      </c>
      <c r="C214" s="229" t="s">
        <v>5208</v>
      </c>
      <c r="D214" s="229"/>
      <c r="E214" s="229"/>
      <c r="F214" s="229"/>
      <c r="G214" s="229"/>
      <c r="H214" s="229"/>
      <c r="I214" s="229"/>
      <c r="J214" s="59" t="s">
        <v>831</v>
      </c>
      <c r="K214" s="46">
        <v>3750000</v>
      </c>
      <c r="L214" s="2">
        <v>45411</v>
      </c>
      <c r="M214" s="32"/>
      <c r="N214" s="32">
        <v>3194913179</v>
      </c>
      <c r="O214" s="102" t="s">
        <v>5207</v>
      </c>
      <c r="P214" s="52" t="s">
        <v>3496</v>
      </c>
    </row>
    <row r="215" spans="2:16" x14ac:dyDescent="0.25">
      <c r="B215" s="32">
        <v>204</v>
      </c>
      <c r="C215" s="263" t="s">
        <v>5209</v>
      </c>
      <c r="D215" s="229"/>
      <c r="E215" s="229"/>
      <c r="F215" s="229"/>
      <c r="G215" s="229"/>
      <c r="H215" s="229"/>
      <c r="I215" s="229"/>
      <c r="J215" s="59" t="s">
        <v>5210</v>
      </c>
      <c r="K215" s="46">
        <v>13900000</v>
      </c>
      <c r="L215" s="2">
        <v>45411</v>
      </c>
      <c r="M215" s="32"/>
      <c r="N215" s="32">
        <v>3218762242</v>
      </c>
      <c r="O215" s="102" t="s">
        <v>5212</v>
      </c>
      <c r="P215" s="52" t="s">
        <v>5211</v>
      </c>
    </row>
    <row r="216" spans="2:16" x14ac:dyDescent="0.25">
      <c r="B216" s="32">
        <v>205</v>
      </c>
      <c r="C216" s="229" t="s">
        <v>5214</v>
      </c>
      <c r="D216" s="229"/>
      <c r="E216" s="229"/>
      <c r="F216" s="229"/>
      <c r="G216" s="229"/>
      <c r="H216" s="229"/>
      <c r="I216" s="229"/>
      <c r="J216" s="59" t="s">
        <v>4390</v>
      </c>
      <c r="K216" s="46">
        <v>1880000</v>
      </c>
      <c r="L216" s="2">
        <v>45411</v>
      </c>
      <c r="M216" s="2"/>
      <c r="N216" s="32">
        <v>3116460496</v>
      </c>
      <c r="O216" s="102" t="s">
        <v>5213</v>
      </c>
      <c r="P216" s="52" t="s">
        <v>1876</v>
      </c>
    </row>
    <row r="217" spans="2:16" x14ac:dyDescent="0.25">
      <c r="B217" s="32">
        <v>206</v>
      </c>
      <c r="C217" s="263" t="s">
        <v>5218</v>
      </c>
      <c r="D217" s="229"/>
      <c r="E217" s="229"/>
      <c r="F217" s="229"/>
      <c r="G217" s="229"/>
      <c r="H217" s="229"/>
      <c r="I217" s="229"/>
      <c r="J217" s="59" t="s">
        <v>5216</v>
      </c>
      <c r="K217" s="46">
        <v>16940000</v>
      </c>
      <c r="L217" s="2">
        <v>45412</v>
      </c>
      <c r="M217" s="32"/>
      <c r="N217" s="32" t="s">
        <v>5217</v>
      </c>
      <c r="O217" s="102" t="s">
        <v>5215</v>
      </c>
      <c r="P217" s="52"/>
    </row>
    <row r="218" spans="2:16" x14ac:dyDescent="0.25">
      <c r="B218" s="32">
        <v>207</v>
      </c>
      <c r="C218" s="229" t="s">
        <v>5222</v>
      </c>
      <c r="D218" s="229"/>
      <c r="E218" s="229"/>
      <c r="F218" s="229"/>
      <c r="G218" s="229"/>
      <c r="H218" s="229"/>
      <c r="I218" s="229"/>
      <c r="J218" s="59" t="s">
        <v>5219</v>
      </c>
      <c r="K218" s="46">
        <v>2500000</v>
      </c>
      <c r="L218" s="2">
        <v>45412</v>
      </c>
      <c r="M218" s="32"/>
      <c r="N218" s="32"/>
      <c r="O218" s="102" t="s">
        <v>5220</v>
      </c>
      <c r="P218" s="52" t="s">
        <v>5221</v>
      </c>
    </row>
    <row r="219" spans="2:16" x14ac:dyDescent="0.25">
      <c r="B219" s="32">
        <v>208</v>
      </c>
      <c r="C219" s="229" t="s">
        <v>5224</v>
      </c>
      <c r="D219" s="229"/>
      <c r="E219" s="229"/>
      <c r="F219" s="229"/>
      <c r="G219" s="229"/>
      <c r="H219" s="229"/>
      <c r="I219" s="229"/>
      <c r="J219" s="59" t="s">
        <v>5225</v>
      </c>
      <c r="K219" s="46">
        <v>9950000</v>
      </c>
      <c r="L219" s="2">
        <v>45412</v>
      </c>
      <c r="M219" s="2"/>
      <c r="N219" s="32"/>
      <c r="O219" s="102" t="s">
        <v>5223</v>
      </c>
      <c r="P219" s="52" t="s">
        <v>5151</v>
      </c>
    </row>
    <row r="220" spans="2:16" x14ac:dyDescent="0.25">
      <c r="B220" s="32">
        <v>209</v>
      </c>
      <c r="C220" s="229" t="s">
        <v>5198</v>
      </c>
      <c r="D220" s="229"/>
      <c r="E220" s="229"/>
      <c r="F220" s="229"/>
      <c r="G220" s="229"/>
      <c r="H220" s="229"/>
      <c r="I220" s="229"/>
      <c r="J220" s="59" t="s">
        <v>702</v>
      </c>
      <c r="K220" s="46">
        <v>59550000</v>
      </c>
      <c r="L220" s="2">
        <v>45405</v>
      </c>
      <c r="M220" s="32"/>
      <c r="N220" s="32" t="s">
        <v>3843</v>
      </c>
      <c r="O220" s="103" t="s">
        <v>5179</v>
      </c>
      <c r="P220" s="38" t="s">
        <v>4565</v>
      </c>
    </row>
    <row r="221" spans="2:16" x14ac:dyDescent="0.25">
      <c r="B221" s="32">
        <v>210</v>
      </c>
      <c r="C221" s="229" t="s">
        <v>5226</v>
      </c>
      <c r="D221" s="229"/>
      <c r="E221" s="229"/>
      <c r="F221" s="229"/>
      <c r="G221" s="229"/>
      <c r="H221" s="229"/>
      <c r="I221" s="229"/>
      <c r="J221" s="59" t="s">
        <v>4884</v>
      </c>
      <c r="K221" s="46">
        <v>8150000</v>
      </c>
      <c r="L221" s="2">
        <v>45414</v>
      </c>
      <c r="M221" s="32"/>
      <c r="N221" s="32" t="s">
        <v>4910</v>
      </c>
      <c r="O221" s="102" t="s">
        <v>4635</v>
      </c>
      <c r="P221" s="52" t="s">
        <v>4636</v>
      </c>
    </row>
    <row r="222" spans="2:16" x14ac:dyDescent="0.25">
      <c r="B222" s="32">
        <v>211</v>
      </c>
      <c r="C222" s="229" t="s">
        <v>5227</v>
      </c>
      <c r="D222" s="229"/>
      <c r="E222" s="229"/>
      <c r="F222" s="229"/>
      <c r="G222" s="229"/>
      <c r="H222" s="229"/>
      <c r="I222" s="229"/>
      <c r="J222" s="59" t="s">
        <v>747</v>
      </c>
      <c r="K222" s="46">
        <v>21950000</v>
      </c>
      <c r="L222" s="2">
        <v>45415</v>
      </c>
      <c r="M222" s="2"/>
      <c r="N222" s="32">
        <v>6042664893</v>
      </c>
      <c r="O222" s="102" t="s">
        <v>2045</v>
      </c>
      <c r="P222" s="52" t="s">
        <v>748</v>
      </c>
    </row>
    <row r="223" spans="2:16" x14ac:dyDescent="0.25">
      <c r="B223" s="32">
        <v>212</v>
      </c>
      <c r="C223" s="229" t="s">
        <v>5228</v>
      </c>
      <c r="D223" s="229"/>
      <c r="E223" s="229"/>
      <c r="F223" s="229"/>
      <c r="G223" s="229"/>
      <c r="H223" s="229"/>
      <c r="I223" s="229"/>
      <c r="J223" s="59" t="s">
        <v>702</v>
      </c>
      <c r="K223" s="56">
        <v>4760000</v>
      </c>
      <c r="L223" s="2">
        <v>45415</v>
      </c>
      <c r="M223" s="32"/>
      <c r="N223" s="32">
        <v>3104165783</v>
      </c>
      <c r="O223" s="102" t="s">
        <v>5179</v>
      </c>
      <c r="P223" s="52" t="s">
        <v>4565</v>
      </c>
    </row>
    <row r="224" spans="2:16" x14ac:dyDescent="0.25">
      <c r="B224" s="32">
        <v>213</v>
      </c>
      <c r="C224" s="229" t="s">
        <v>5230</v>
      </c>
      <c r="D224" s="229"/>
      <c r="E224" s="229"/>
      <c r="F224" s="229"/>
      <c r="G224" s="229"/>
      <c r="H224" s="229"/>
      <c r="I224" s="229"/>
      <c r="J224" s="59" t="s">
        <v>5229</v>
      </c>
      <c r="K224" s="46">
        <v>3150000</v>
      </c>
      <c r="L224" s="2">
        <v>45415</v>
      </c>
      <c r="M224" s="32"/>
      <c r="N224" s="32">
        <v>6012357612</v>
      </c>
      <c r="O224" s="102" t="s">
        <v>1853</v>
      </c>
      <c r="P224" s="52" t="s">
        <v>1854</v>
      </c>
    </row>
    <row r="225" spans="2:16" x14ac:dyDescent="0.25">
      <c r="B225" s="32">
        <v>214</v>
      </c>
      <c r="C225" s="229" t="s">
        <v>5231</v>
      </c>
      <c r="D225" s="229"/>
      <c r="E225" s="229"/>
      <c r="F225" s="229"/>
      <c r="G225" s="229"/>
      <c r="H225" s="229"/>
      <c r="I225" s="229"/>
      <c r="J225" s="59" t="s">
        <v>3002</v>
      </c>
      <c r="K225" s="46">
        <v>25240000</v>
      </c>
      <c r="L225" s="2">
        <v>45418</v>
      </c>
      <c r="M225" s="32"/>
      <c r="N225" s="32" t="s">
        <v>5232</v>
      </c>
      <c r="O225" s="102" t="s">
        <v>5199</v>
      </c>
      <c r="P225" s="52" t="s">
        <v>5200</v>
      </c>
    </row>
    <row r="226" spans="2:16" x14ac:dyDescent="0.25">
      <c r="B226" s="32">
        <v>215</v>
      </c>
      <c r="C226" s="229" t="s">
        <v>5235</v>
      </c>
      <c r="D226" s="229"/>
      <c r="E226" s="229"/>
      <c r="F226" s="229"/>
      <c r="G226" s="229"/>
      <c r="H226" s="229"/>
      <c r="I226" s="229"/>
      <c r="J226" s="59" t="s">
        <v>3766</v>
      </c>
      <c r="K226" s="46" t="s">
        <v>150</v>
      </c>
      <c r="L226" s="2">
        <v>45419</v>
      </c>
      <c r="M226" s="32"/>
      <c r="N226" s="32" t="s">
        <v>5243</v>
      </c>
      <c r="O226" s="102" t="s">
        <v>5233</v>
      </c>
      <c r="P226" s="52" t="s">
        <v>5234</v>
      </c>
    </row>
    <row r="227" spans="2:16" x14ac:dyDescent="0.25">
      <c r="B227" s="32">
        <v>216</v>
      </c>
      <c r="C227" s="229" t="s">
        <v>5240</v>
      </c>
      <c r="D227" s="229"/>
      <c r="E227" s="229"/>
      <c r="F227" s="229"/>
      <c r="G227" s="229"/>
      <c r="H227" s="229"/>
      <c r="I227" s="229"/>
      <c r="J227" s="59" t="s">
        <v>5236</v>
      </c>
      <c r="K227" s="46">
        <v>6400000</v>
      </c>
      <c r="L227" s="2">
        <v>45418</v>
      </c>
      <c r="M227" s="32"/>
      <c r="N227" s="32" t="s">
        <v>5239</v>
      </c>
      <c r="O227" s="102" t="s">
        <v>5238</v>
      </c>
      <c r="P227" s="52" t="s">
        <v>5237</v>
      </c>
    </row>
    <row r="228" spans="2:16" ht="15" customHeight="1" x14ac:dyDescent="0.25">
      <c r="B228" s="32">
        <v>217</v>
      </c>
      <c r="C228" s="229" t="s">
        <v>5242</v>
      </c>
      <c r="D228" s="229"/>
      <c r="E228" s="229"/>
      <c r="F228" s="229"/>
      <c r="G228" s="229"/>
      <c r="H228" s="229"/>
      <c r="I228" s="229"/>
      <c r="J228" s="59" t="s">
        <v>5137</v>
      </c>
      <c r="K228" s="46">
        <v>23750000</v>
      </c>
      <c r="L228" s="2">
        <v>45418</v>
      </c>
      <c r="M228" s="32"/>
      <c r="N228" s="32" t="s">
        <v>5136</v>
      </c>
      <c r="O228" s="102" t="s">
        <v>5241</v>
      </c>
      <c r="P228" s="52" t="s">
        <v>1114</v>
      </c>
    </row>
    <row r="229" spans="2:16" x14ac:dyDescent="0.25">
      <c r="B229" s="32">
        <v>218</v>
      </c>
      <c r="C229" s="229" t="s">
        <v>5246</v>
      </c>
      <c r="D229" s="229"/>
      <c r="E229" s="229"/>
      <c r="F229" s="229"/>
      <c r="G229" s="229"/>
      <c r="H229" s="229"/>
      <c r="I229" s="229"/>
      <c r="J229" s="64" t="s">
        <v>5244</v>
      </c>
      <c r="K229" s="46"/>
      <c r="L229" s="2">
        <v>45419</v>
      </c>
      <c r="M229" s="2"/>
      <c r="N229" s="32" t="s">
        <v>5245</v>
      </c>
      <c r="O229" s="102" t="s">
        <v>5244</v>
      </c>
      <c r="P229" s="52"/>
    </row>
    <row r="230" spans="2:16" x14ac:dyDescent="0.25">
      <c r="B230" s="32">
        <v>219</v>
      </c>
      <c r="C230" s="263" t="s">
        <v>5249</v>
      </c>
      <c r="D230" s="229"/>
      <c r="E230" s="229"/>
      <c r="F230" s="229"/>
      <c r="G230" s="229"/>
      <c r="H230" s="229"/>
      <c r="I230" s="229"/>
      <c r="J230" s="59" t="s">
        <v>5247</v>
      </c>
      <c r="K230" s="46">
        <v>5950000</v>
      </c>
      <c r="L230" s="2">
        <v>45419</v>
      </c>
      <c r="M230" s="32"/>
      <c r="N230" s="32">
        <v>3105028191</v>
      </c>
      <c r="O230" s="102" t="s">
        <v>5247</v>
      </c>
      <c r="P230" s="52" t="s">
        <v>5248</v>
      </c>
    </row>
    <row r="231" spans="2:16" x14ac:dyDescent="0.25">
      <c r="B231" s="32">
        <v>220</v>
      </c>
      <c r="C231" s="229" t="s">
        <v>5250</v>
      </c>
      <c r="D231" s="229"/>
      <c r="E231" s="229"/>
      <c r="F231" s="229"/>
      <c r="G231" s="229"/>
      <c r="H231" s="229"/>
      <c r="I231" s="229"/>
      <c r="J231" s="59" t="s">
        <v>702</v>
      </c>
      <c r="K231" s="46">
        <v>6270000</v>
      </c>
      <c r="L231" s="2">
        <v>45422</v>
      </c>
      <c r="M231" s="32"/>
      <c r="N231" s="32">
        <v>3104165783</v>
      </c>
      <c r="O231" s="102" t="s">
        <v>4564</v>
      </c>
      <c r="P231" s="65" t="s">
        <v>4565</v>
      </c>
    </row>
    <row r="232" spans="2:16" x14ac:dyDescent="0.25">
      <c r="B232" s="32">
        <v>221</v>
      </c>
      <c r="C232" s="229" t="s">
        <v>5251</v>
      </c>
      <c r="D232" s="229"/>
      <c r="E232" s="229"/>
      <c r="F232" s="229"/>
      <c r="G232" s="229"/>
      <c r="H232" s="229"/>
      <c r="I232" s="229"/>
      <c r="J232" s="59" t="s">
        <v>4017</v>
      </c>
      <c r="K232" s="46" t="s">
        <v>3448</v>
      </c>
      <c r="L232" s="2">
        <v>45421</v>
      </c>
      <c r="M232" s="32"/>
      <c r="N232" s="32">
        <v>3108227462</v>
      </c>
      <c r="O232" s="102" t="s">
        <v>3897</v>
      </c>
      <c r="P232" s="52" t="s">
        <v>2310</v>
      </c>
    </row>
    <row r="233" spans="2:16" x14ac:dyDescent="0.25">
      <c r="B233" s="32">
        <v>222</v>
      </c>
      <c r="C233" s="271" t="s">
        <v>5254</v>
      </c>
      <c r="D233" s="272"/>
      <c r="E233" s="272"/>
      <c r="F233" s="272"/>
      <c r="G233" s="272"/>
      <c r="H233" s="272"/>
      <c r="I233" s="272"/>
      <c r="J233" s="59" t="s">
        <v>5252</v>
      </c>
      <c r="K233" s="56">
        <v>3950000</v>
      </c>
      <c r="L233" s="2">
        <v>45427</v>
      </c>
      <c r="M233" s="32"/>
      <c r="N233" s="32">
        <v>3147537411</v>
      </c>
      <c r="O233" s="102" t="s">
        <v>5253</v>
      </c>
      <c r="P233" s="82" t="s">
        <v>1131</v>
      </c>
    </row>
    <row r="234" spans="2:16" x14ac:dyDescent="0.25">
      <c r="B234" s="32">
        <v>223</v>
      </c>
      <c r="C234" s="271" t="s">
        <v>5255</v>
      </c>
      <c r="D234" s="272"/>
      <c r="E234" s="272"/>
      <c r="F234" s="272"/>
      <c r="G234" s="272"/>
      <c r="H234" s="272"/>
      <c r="I234" s="272"/>
      <c r="J234" s="59" t="s">
        <v>4390</v>
      </c>
      <c r="K234" s="46">
        <v>9910000</v>
      </c>
      <c r="L234" s="2">
        <v>45422</v>
      </c>
      <c r="M234" s="32"/>
      <c r="N234" s="32">
        <v>3116460496</v>
      </c>
      <c r="O234" s="102" t="s">
        <v>2819</v>
      </c>
      <c r="P234" s="52" t="s">
        <v>1876</v>
      </c>
    </row>
    <row r="235" spans="2:16" x14ac:dyDescent="0.25">
      <c r="B235" s="32">
        <v>224</v>
      </c>
      <c r="C235" s="263" t="s">
        <v>5259</v>
      </c>
      <c r="D235" s="229"/>
      <c r="E235" s="229"/>
      <c r="F235" s="229"/>
      <c r="G235" s="229"/>
      <c r="H235" s="229"/>
      <c r="I235" s="229"/>
      <c r="J235" s="59" t="s">
        <v>5256</v>
      </c>
      <c r="K235" s="46">
        <v>11920000</v>
      </c>
      <c r="L235" s="2">
        <v>45427</v>
      </c>
      <c r="M235" s="32"/>
      <c r="N235" s="32">
        <v>3052501777</v>
      </c>
      <c r="O235" s="102" t="s">
        <v>5257</v>
      </c>
      <c r="P235" s="52" t="s">
        <v>5258</v>
      </c>
    </row>
    <row r="236" spans="2:16" x14ac:dyDescent="0.25">
      <c r="B236" s="32">
        <v>225</v>
      </c>
      <c r="C236" s="263" t="s">
        <v>5260</v>
      </c>
      <c r="D236" s="229"/>
      <c r="E236" s="229"/>
      <c r="F236" s="229"/>
      <c r="G236" s="229"/>
      <c r="H236" s="229"/>
      <c r="I236" s="229"/>
      <c r="J236" s="59" t="s">
        <v>702</v>
      </c>
      <c r="K236" s="46"/>
      <c r="L236" s="2">
        <v>45422</v>
      </c>
      <c r="M236" s="2"/>
      <c r="N236" s="32">
        <v>3214826168</v>
      </c>
      <c r="O236" s="102" t="s">
        <v>5261</v>
      </c>
      <c r="P236" s="52" t="s">
        <v>4303</v>
      </c>
    </row>
    <row r="237" spans="2:16" ht="15" customHeight="1" x14ac:dyDescent="0.25">
      <c r="B237" s="32">
        <v>226</v>
      </c>
      <c r="C237" s="271" t="s">
        <v>5262</v>
      </c>
      <c r="D237" s="272"/>
      <c r="E237" s="272"/>
      <c r="F237" s="272"/>
      <c r="G237" s="272"/>
      <c r="H237" s="272"/>
      <c r="I237" s="272"/>
      <c r="J237" s="59" t="s">
        <v>4939</v>
      </c>
      <c r="K237" s="46">
        <v>12950000</v>
      </c>
      <c r="L237" s="2">
        <v>45422</v>
      </c>
      <c r="M237" s="32"/>
      <c r="N237" s="32"/>
      <c r="O237" s="103" t="s">
        <v>5091</v>
      </c>
      <c r="P237" s="52" t="s">
        <v>2235</v>
      </c>
    </row>
    <row r="238" spans="2:16" ht="15" customHeight="1" x14ac:dyDescent="0.25">
      <c r="B238" s="32">
        <v>227</v>
      </c>
      <c r="C238" s="229" t="s">
        <v>5265</v>
      </c>
      <c r="D238" s="229"/>
      <c r="E238" s="229"/>
      <c r="F238" s="229"/>
      <c r="G238" s="229"/>
      <c r="H238" s="229"/>
      <c r="I238" s="229"/>
      <c r="J238" s="59" t="s">
        <v>4390</v>
      </c>
      <c r="K238" s="46">
        <v>4000000</v>
      </c>
      <c r="L238" s="2">
        <v>45426</v>
      </c>
      <c r="M238" s="32"/>
      <c r="N238" s="32">
        <v>3006560510</v>
      </c>
      <c r="O238" s="102" t="s">
        <v>5263</v>
      </c>
      <c r="P238" s="38" t="s">
        <v>5264</v>
      </c>
    </row>
    <row r="239" spans="2:16" x14ac:dyDescent="0.25">
      <c r="B239" s="32">
        <v>228</v>
      </c>
      <c r="C239" s="263" t="s">
        <v>5267</v>
      </c>
      <c r="D239" s="229"/>
      <c r="E239" s="229"/>
      <c r="F239" s="229"/>
      <c r="G239" s="229"/>
      <c r="H239" s="229"/>
      <c r="I239" s="229"/>
      <c r="J239" s="59" t="s">
        <v>1139</v>
      </c>
      <c r="K239" s="46">
        <v>6000000</v>
      </c>
      <c r="L239" s="2">
        <v>45427</v>
      </c>
      <c r="M239" s="32"/>
      <c r="N239" s="32">
        <v>3148721400</v>
      </c>
      <c r="O239" s="103" t="s">
        <v>5266</v>
      </c>
      <c r="P239" s="52" t="s">
        <v>4576</v>
      </c>
    </row>
    <row r="240" spans="2:16" x14ac:dyDescent="0.25">
      <c r="B240" s="32">
        <v>229</v>
      </c>
      <c r="C240" s="271" t="s">
        <v>5268</v>
      </c>
      <c r="D240" s="272"/>
      <c r="E240" s="272"/>
      <c r="F240" s="272"/>
      <c r="G240" s="272"/>
      <c r="H240" s="272"/>
      <c r="I240" s="272"/>
      <c r="J240" s="59" t="s">
        <v>4775</v>
      </c>
      <c r="K240" s="46">
        <v>2350000</v>
      </c>
      <c r="L240" s="2">
        <v>45427</v>
      </c>
      <c r="M240" s="32"/>
      <c r="N240" s="81"/>
      <c r="O240" s="102" t="s">
        <v>400</v>
      </c>
      <c r="P240" s="52" t="s">
        <v>4777</v>
      </c>
    </row>
    <row r="241" spans="2:16" x14ac:dyDescent="0.25">
      <c r="B241" s="32">
        <v>230</v>
      </c>
      <c r="C241" s="271" t="s">
        <v>5269</v>
      </c>
      <c r="D241" s="272"/>
      <c r="E241" s="272"/>
      <c r="F241" s="272"/>
      <c r="G241" s="272"/>
      <c r="H241" s="272"/>
      <c r="I241" s="272"/>
      <c r="J241" s="59" t="s">
        <v>702</v>
      </c>
      <c r="K241" s="46">
        <v>1500000</v>
      </c>
      <c r="L241" s="2">
        <v>45427</v>
      </c>
      <c r="M241" s="32"/>
      <c r="N241" s="32">
        <v>3104165783</v>
      </c>
      <c r="O241" s="103" t="s">
        <v>4564</v>
      </c>
      <c r="P241" s="52" t="s">
        <v>4565</v>
      </c>
    </row>
    <row r="242" spans="2:16" x14ac:dyDescent="0.25">
      <c r="B242" s="32">
        <v>231</v>
      </c>
      <c r="C242" s="229" t="s">
        <v>5271</v>
      </c>
      <c r="D242" s="229"/>
      <c r="E242" s="229"/>
      <c r="F242" s="229"/>
      <c r="G242" s="229"/>
      <c r="H242" s="229"/>
      <c r="I242" s="229"/>
      <c r="J242" s="59" t="s">
        <v>5270</v>
      </c>
      <c r="K242" s="46">
        <v>69800000</v>
      </c>
      <c r="L242" s="2">
        <v>45432</v>
      </c>
      <c r="M242" s="32"/>
      <c r="N242" s="32">
        <v>3102059905</v>
      </c>
      <c r="O242" s="103" t="s">
        <v>5272</v>
      </c>
      <c r="P242" s="52" t="s">
        <v>5273</v>
      </c>
    </row>
    <row r="243" spans="2:16" x14ac:dyDescent="0.25">
      <c r="B243" s="32">
        <v>232</v>
      </c>
      <c r="C243" s="229" t="s">
        <v>5275</v>
      </c>
      <c r="D243" s="229"/>
      <c r="E243" s="229"/>
      <c r="F243" s="229"/>
      <c r="G243" s="229"/>
      <c r="H243" s="229"/>
      <c r="I243" s="229"/>
      <c r="J243" s="59" t="s">
        <v>5167</v>
      </c>
      <c r="K243" s="46">
        <v>11950000</v>
      </c>
      <c r="L243" s="2">
        <v>45429</v>
      </c>
      <c r="M243" s="32"/>
      <c r="N243" s="32">
        <v>3117208541</v>
      </c>
      <c r="O243" s="102" t="s">
        <v>5274</v>
      </c>
      <c r="P243" s="52" t="s">
        <v>2241</v>
      </c>
    </row>
    <row r="244" spans="2:16" x14ac:dyDescent="0.25">
      <c r="B244" s="32">
        <v>233</v>
      </c>
      <c r="C244" s="263" t="s">
        <v>5279</v>
      </c>
      <c r="D244" s="229"/>
      <c r="E244" s="229"/>
      <c r="F244" s="229"/>
      <c r="G244" s="229"/>
      <c r="H244" s="229"/>
      <c r="I244" s="229"/>
      <c r="J244" s="59" t="s">
        <v>5278</v>
      </c>
      <c r="K244" s="46" t="s">
        <v>150</v>
      </c>
      <c r="L244" s="2">
        <v>45429</v>
      </c>
      <c r="M244" s="32"/>
      <c r="N244" s="32">
        <v>3122579593</v>
      </c>
      <c r="O244" s="102" t="s">
        <v>5276</v>
      </c>
      <c r="P244" s="52" t="s">
        <v>5277</v>
      </c>
    </row>
    <row r="245" spans="2:16" ht="15" customHeight="1" x14ac:dyDescent="0.25">
      <c r="B245" s="32">
        <v>234</v>
      </c>
      <c r="C245" s="263" t="s">
        <v>5280</v>
      </c>
      <c r="D245" s="229"/>
      <c r="E245" s="229"/>
      <c r="F245" s="229"/>
      <c r="G245" s="229"/>
      <c r="H245" s="229"/>
      <c r="I245" s="229"/>
      <c r="J245" s="59" t="s">
        <v>851</v>
      </c>
      <c r="K245" s="46">
        <v>8750000</v>
      </c>
      <c r="L245" s="2">
        <v>45432</v>
      </c>
      <c r="M245" s="2"/>
      <c r="N245" s="32">
        <v>3206678830</v>
      </c>
      <c r="O245" s="102" t="s">
        <v>5109</v>
      </c>
      <c r="P245" s="52" t="s">
        <v>948</v>
      </c>
    </row>
    <row r="246" spans="2:16" x14ac:dyDescent="0.25">
      <c r="B246" s="32">
        <v>235</v>
      </c>
      <c r="C246" s="229" t="s">
        <v>5281</v>
      </c>
      <c r="D246" s="229"/>
      <c r="E246" s="229"/>
      <c r="F246" s="229"/>
      <c r="G246" s="229"/>
      <c r="H246" s="229"/>
      <c r="I246" s="229"/>
      <c r="J246" s="59" t="s">
        <v>4532</v>
      </c>
      <c r="K246" s="46">
        <v>29950000</v>
      </c>
      <c r="L246" s="2">
        <v>45432</v>
      </c>
      <c r="M246" s="32"/>
      <c r="N246" s="32" t="s">
        <v>4533</v>
      </c>
      <c r="O246" s="103" t="s">
        <v>657</v>
      </c>
      <c r="P246" s="52" t="s">
        <v>5282</v>
      </c>
    </row>
    <row r="247" spans="2:16" x14ac:dyDescent="0.25">
      <c r="B247" s="32">
        <v>236</v>
      </c>
      <c r="C247" s="263" t="s">
        <v>5283</v>
      </c>
      <c r="D247" s="229"/>
      <c r="E247" s="229"/>
      <c r="F247" s="229"/>
      <c r="G247" s="229"/>
      <c r="H247" s="229"/>
      <c r="I247" s="229"/>
      <c r="J247" s="59" t="s">
        <v>3766</v>
      </c>
      <c r="K247" s="46">
        <v>11600000</v>
      </c>
      <c r="L247" s="2">
        <v>45436</v>
      </c>
      <c r="M247" s="32"/>
      <c r="N247" s="32" t="s">
        <v>5285</v>
      </c>
      <c r="O247" s="102" t="s">
        <v>5284</v>
      </c>
      <c r="P247" s="52"/>
    </row>
    <row r="248" spans="2:16" ht="15" customHeight="1" x14ac:dyDescent="0.25">
      <c r="B248" s="32">
        <v>237</v>
      </c>
      <c r="C248" s="263" t="s">
        <v>5288</v>
      </c>
      <c r="D248" s="229"/>
      <c r="E248" s="229"/>
      <c r="F248" s="229"/>
      <c r="G248" s="229"/>
      <c r="H248" s="229"/>
      <c r="I248" s="229"/>
      <c r="J248" s="59" t="s">
        <v>2743</v>
      </c>
      <c r="K248" s="46">
        <v>14930000</v>
      </c>
      <c r="L248" s="2">
        <v>45439</v>
      </c>
      <c r="M248" s="32"/>
      <c r="N248" s="32">
        <v>3175594091</v>
      </c>
      <c r="O248" s="102" t="s">
        <v>2045</v>
      </c>
      <c r="P248" s="52" t="s">
        <v>748</v>
      </c>
    </row>
    <row r="249" spans="2:16" x14ac:dyDescent="0.25">
      <c r="B249" s="32">
        <v>238</v>
      </c>
      <c r="C249" s="271" t="s">
        <v>5286</v>
      </c>
      <c r="D249" s="272"/>
      <c r="E249" s="272"/>
      <c r="F249" s="272"/>
      <c r="G249" s="272"/>
      <c r="H249" s="272"/>
      <c r="I249" s="272"/>
      <c r="J249" s="59" t="s">
        <v>4939</v>
      </c>
      <c r="K249" s="46">
        <v>71200000</v>
      </c>
      <c r="L249" s="2">
        <v>45439</v>
      </c>
      <c r="M249" s="32"/>
      <c r="N249" s="32">
        <v>3014111727</v>
      </c>
      <c r="O249" s="102" t="s">
        <v>4270</v>
      </c>
      <c r="P249" s="52" t="s">
        <v>2235</v>
      </c>
    </row>
    <row r="250" spans="2:16" x14ac:dyDescent="0.25">
      <c r="B250" s="32">
        <v>239</v>
      </c>
      <c r="C250" s="229" t="s">
        <v>5287</v>
      </c>
      <c r="D250" s="229"/>
      <c r="E250" s="229"/>
      <c r="F250" s="229"/>
      <c r="G250" s="229"/>
      <c r="H250" s="229"/>
      <c r="I250" s="229"/>
      <c r="J250" s="59" t="s">
        <v>702</v>
      </c>
      <c r="K250" s="46">
        <v>2200000</v>
      </c>
      <c r="L250" s="2">
        <v>45439</v>
      </c>
      <c r="M250" s="32"/>
      <c r="N250" s="32">
        <v>3104165783</v>
      </c>
      <c r="O250" s="102" t="s">
        <v>4564</v>
      </c>
      <c r="P250" s="65" t="s">
        <v>4565</v>
      </c>
    </row>
    <row r="251" spans="2:16" x14ac:dyDescent="0.25">
      <c r="B251" s="32">
        <v>240</v>
      </c>
      <c r="C251" s="229" t="s">
        <v>5292</v>
      </c>
      <c r="D251" s="229"/>
      <c r="E251" s="229"/>
      <c r="F251" s="229"/>
      <c r="G251" s="229"/>
      <c r="H251" s="229"/>
      <c r="I251" s="229"/>
      <c r="J251" s="59" t="s">
        <v>702</v>
      </c>
      <c r="K251" s="46">
        <v>19950000</v>
      </c>
      <c r="L251" s="2">
        <v>45439</v>
      </c>
      <c r="M251" s="32"/>
      <c r="N251" s="32">
        <v>3104165783</v>
      </c>
      <c r="O251" s="102" t="s">
        <v>4564</v>
      </c>
      <c r="P251" s="65" t="s">
        <v>4565</v>
      </c>
    </row>
    <row r="252" spans="2:16" x14ac:dyDescent="0.25">
      <c r="B252" s="32">
        <v>241</v>
      </c>
      <c r="C252" s="271" t="s">
        <v>5289</v>
      </c>
      <c r="D252" s="272"/>
      <c r="E252" s="272"/>
      <c r="F252" s="272"/>
      <c r="G252" s="272"/>
      <c r="H252" s="272"/>
      <c r="I252" s="272"/>
      <c r="J252" s="59" t="s">
        <v>5092</v>
      </c>
      <c r="K252" s="46">
        <v>1950000</v>
      </c>
      <c r="L252" s="2">
        <v>45440</v>
      </c>
      <c r="M252" s="32"/>
      <c r="N252" s="32">
        <v>3108214070</v>
      </c>
      <c r="O252" s="102" t="s">
        <v>5093</v>
      </c>
      <c r="P252" s="52"/>
    </row>
    <row r="253" spans="2:16" x14ac:dyDescent="0.25">
      <c r="B253" s="32">
        <v>242</v>
      </c>
      <c r="C253" s="263" t="s">
        <v>5291</v>
      </c>
      <c r="D253" s="229"/>
      <c r="E253" s="229"/>
      <c r="F253" s="229"/>
      <c r="G253" s="229"/>
      <c r="H253" s="229"/>
      <c r="I253" s="229"/>
      <c r="J253" s="59" t="s">
        <v>880</v>
      </c>
      <c r="K253" s="46">
        <v>11350000</v>
      </c>
      <c r="L253" s="2">
        <v>45440</v>
      </c>
      <c r="M253" s="32"/>
      <c r="N253" s="32" t="s">
        <v>5290</v>
      </c>
      <c r="O253" s="102" t="s">
        <v>320</v>
      </c>
      <c r="P253" s="52" t="s">
        <v>1353</v>
      </c>
    </row>
    <row r="254" spans="2:16" x14ac:dyDescent="0.25">
      <c r="B254" s="32">
        <v>243</v>
      </c>
      <c r="C254" s="229" t="s">
        <v>5296</v>
      </c>
      <c r="D254" s="229"/>
      <c r="E254" s="229"/>
      <c r="F254" s="229"/>
      <c r="G254" s="229"/>
      <c r="H254" s="229"/>
      <c r="I254" s="229"/>
      <c r="J254" s="59" t="s">
        <v>5295</v>
      </c>
      <c r="K254" s="46">
        <v>10150000</v>
      </c>
      <c r="L254" s="2">
        <v>45442</v>
      </c>
      <c r="M254" s="32"/>
      <c r="N254" s="32">
        <v>3143624300</v>
      </c>
      <c r="O254" s="102" t="s">
        <v>5294</v>
      </c>
      <c r="P254" s="52" t="s">
        <v>5293</v>
      </c>
    </row>
    <row r="255" spans="2:16" x14ac:dyDescent="0.25">
      <c r="B255" s="32">
        <v>244</v>
      </c>
      <c r="C255" s="229" t="s">
        <v>5297</v>
      </c>
      <c r="D255" s="229"/>
      <c r="E255" s="229"/>
      <c r="F255" s="229"/>
      <c r="G255" s="229"/>
      <c r="H255" s="229"/>
      <c r="I255" s="229"/>
      <c r="J255" s="59" t="s">
        <v>5295</v>
      </c>
      <c r="K255" s="46">
        <v>11550000</v>
      </c>
      <c r="L255" s="2">
        <v>45442</v>
      </c>
      <c r="M255" s="32"/>
      <c r="N255" s="32">
        <v>3143624300</v>
      </c>
      <c r="O255" s="102" t="s">
        <v>5294</v>
      </c>
      <c r="P255" s="52" t="s">
        <v>5293</v>
      </c>
    </row>
    <row r="256" spans="2:16" x14ac:dyDescent="0.25">
      <c r="B256" s="32">
        <v>245</v>
      </c>
      <c r="C256" s="271" t="s">
        <v>5302</v>
      </c>
      <c r="D256" s="272"/>
      <c r="E256" s="272"/>
      <c r="F256" s="272"/>
      <c r="G256" s="272"/>
      <c r="H256" s="272"/>
      <c r="I256" s="272"/>
      <c r="J256" s="59" t="s">
        <v>5298</v>
      </c>
      <c r="K256" s="46">
        <v>24950000</v>
      </c>
      <c r="L256" s="2">
        <v>45443</v>
      </c>
      <c r="M256" s="2"/>
      <c r="N256" s="32" t="s">
        <v>5301</v>
      </c>
      <c r="O256" s="103" t="s">
        <v>5299</v>
      </c>
      <c r="P256" s="38" t="s">
        <v>5300</v>
      </c>
    </row>
    <row r="257" spans="2:16" x14ac:dyDescent="0.25">
      <c r="B257" s="32">
        <v>246</v>
      </c>
      <c r="C257" s="229" t="s">
        <v>5304</v>
      </c>
      <c r="D257" s="229"/>
      <c r="E257" s="229"/>
      <c r="F257" s="229"/>
      <c r="G257" s="229"/>
      <c r="H257" s="229"/>
      <c r="I257" s="229"/>
      <c r="J257" s="59" t="s">
        <v>5298</v>
      </c>
      <c r="K257" s="46">
        <v>12950000</v>
      </c>
      <c r="L257" s="2">
        <v>45443</v>
      </c>
      <c r="M257" s="32"/>
      <c r="N257" s="32" t="s">
        <v>5301</v>
      </c>
      <c r="O257" s="103" t="s">
        <v>5299</v>
      </c>
      <c r="P257" s="38" t="s">
        <v>5300</v>
      </c>
    </row>
    <row r="258" spans="2:16" x14ac:dyDescent="0.25">
      <c r="B258" s="32">
        <v>247</v>
      </c>
      <c r="C258" s="229" t="s">
        <v>5303</v>
      </c>
      <c r="D258" s="229"/>
      <c r="E258" s="229"/>
      <c r="F258" s="229"/>
      <c r="G258" s="229"/>
      <c r="H258" s="229"/>
      <c r="I258" s="229"/>
      <c r="J258" s="59" t="s">
        <v>851</v>
      </c>
      <c r="K258" s="46">
        <v>9850000</v>
      </c>
      <c r="L258" s="2">
        <v>45443</v>
      </c>
      <c r="M258" s="2"/>
      <c r="N258" s="32">
        <v>3014111727</v>
      </c>
      <c r="O258" s="102" t="s">
        <v>4270</v>
      </c>
      <c r="P258" s="52" t="s">
        <v>2235</v>
      </c>
    </row>
    <row r="259" spans="2:16" x14ac:dyDescent="0.25">
      <c r="B259" s="32">
        <v>248</v>
      </c>
      <c r="C259" s="229" t="s">
        <v>5305</v>
      </c>
      <c r="D259" s="229"/>
      <c r="E259" s="229"/>
      <c r="F259" s="229"/>
      <c r="G259" s="229"/>
      <c r="H259" s="229"/>
      <c r="I259" s="229"/>
      <c r="J259" s="59" t="s">
        <v>5306</v>
      </c>
      <c r="K259" s="46">
        <v>11950000</v>
      </c>
      <c r="L259" s="2">
        <v>45447</v>
      </c>
      <c r="M259" s="32"/>
      <c r="N259" s="32"/>
      <c r="O259" s="103" t="s">
        <v>5307</v>
      </c>
      <c r="P259" s="38" t="s">
        <v>5308</v>
      </c>
    </row>
    <row r="260" spans="2:16" x14ac:dyDescent="0.25">
      <c r="B260" s="32">
        <v>249</v>
      </c>
      <c r="C260" s="229" t="s">
        <v>5309</v>
      </c>
      <c r="D260" s="229"/>
      <c r="E260" s="229"/>
      <c r="F260" s="229"/>
      <c r="G260" s="229"/>
      <c r="H260" s="229"/>
      <c r="I260" s="229"/>
      <c r="J260" s="59" t="s">
        <v>4775</v>
      </c>
      <c r="K260" s="46">
        <v>6000000</v>
      </c>
      <c r="L260" s="2">
        <v>45447</v>
      </c>
      <c r="M260" s="32"/>
      <c r="N260" s="32">
        <v>3015421412</v>
      </c>
      <c r="O260" s="102" t="s">
        <v>4117</v>
      </c>
      <c r="P260" s="52" t="s">
        <v>4777</v>
      </c>
    </row>
    <row r="261" spans="2:16" x14ac:dyDescent="0.25">
      <c r="B261" s="32">
        <v>250</v>
      </c>
      <c r="C261" s="229" t="s">
        <v>5313</v>
      </c>
      <c r="D261" s="229"/>
      <c r="E261" s="229"/>
      <c r="F261" s="229"/>
      <c r="G261" s="229"/>
      <c r="H261" s="229"/>
      <c r="I261" s="229"/>
      <c r="J261" s="59" t="s">
        <v>1139</v>
      </c>
      <c r="K261" s="46">
        <v>13080000</v>
      </c>
      <c r="L261" s="2">
        <v>45447</v>
      </c>
      <c r="M261" s="32"/>
      <c r="N261" s="32" t="s">
        <v>5312</v>
      </c>
      <c r="O261" s="102" t="s">
        <v>5310</v>
      </c>
      <c r="P261" s="52" t="s">
        <v>5311</v>
      </c>
    </row>
    <row r="262" spans="2:16" x14ac:dyDescent="0.25">
      <c r="B262" s="32">
        <v>251</v>
      </c>
      <c r="C262" s="271" t="s">
        <v>5314</v>
      </c>
      <c r="D262" s="272"/>
      <c r="E262" s="272"/>
      <c r="F262" s="272"/>
      <c r="G262" s="272"/>
      <c r="H262" s="272"/>
      <c r="I262" s="272"/>
      <c r="J262" s="59" t="s">
        <v>5011</v>
      </c>
      <c r="K262" s="46">
        <v>12050000</v>
      </c>
      <c r="L262" s="2">
        <v>45448</v>
      </c>
      <c r="M262" s="32"/>
      <c r="N262" s="32" t="s">
        <v>4747</v>
      </c>
      <c r="O262" s="102" t="s">
        <v>4572</v>
      </c>
      <c r="P262" s="52" t="s">
        <v>4573</v>
      </c>
    </row>
    <row r="263" spans="2:16" x14ac:dyDescent="0.25">
      <c r="B263" s="32">
        <v>252</v>
      </c>
      <c r="C263" s="229" t="s">
        <v>5316</v>
      </c>
      <c r="D263" s="229"/>
      <c r="E263" s="229"/>
      <c r="F263" s="229"/>
      <c r="G263" s="229"/>
      <c r="H263" s="229"/>
      <c r="I263" s="229"/>
      <c r="J263" s="59" t="s">
        <v>5315</v>
      </c>
      <c r="K263" s="46">
        <v>2500000</v>
      </c>
      <c r="L263" s="2">
        <v>45448</v>
      </c>
      <c r="M263" s="32"/>
      <c r="N263" s="32" t="s">
        <v>5317</v>
      </c>
      <c r="O263" s="103"/>
      <c r="P263" s="52"/>
    </row>
    <row r="264" spans="2:16" x14ac:dyDescent="0.25">
      <c r="B264" s="32">
        <v>253</v>
      </c>
      <c r="C264" s="229" t="s">
        <v>5318</v>
      </c>
      <c r="D264" s="229"/>
      <c r="E264" s="229"/>
      <c r="F264" s="229"/>
      <c r="G264" s="229"/>
      <c r="H264" s="229"/>
      <c r="I264" s="229"/>
      <c r="J264" s="59" t="s">
        <v>880</v>
      </c>
      <c r="K264" s="46">
        <v>7550000</v>
      </c>
      <c r="L264" s="2">
        <v>45448</v>
      </c>
      <c r="M264" s="32"/>
      <c r="N264" s="57"/>
      <c r="O264" s="102" t="s">
        <v>1853</v>
      </c>
      <c r="P264" s="52" t="s">
        <v>1854</v>
      </c>
    </row>
    <row r="265" spans="2:16" x14ac:dyDescent="0.25">
      <c r="B265" s="32">
        <v>254</v>
      </c>
      <c r="C265" s="271" t="s">
        <v>5319</v>
      </c>
      <c r="D265" s="272"/>
      <c r="E265" s="272"/>
      <c r="F265" s="272"/>
      <c r="G265" s="272"/>
      <c r="H265" s="272"/>
      <c r="I265" s="272"/>
      <c r="J265" s="59" t="s">
        <v>4939</v>
      </c>
      <c r="K265" s="46">
        <v>3150000</v>
      </c>
      <c r="L265" s="2">
        <v>45449</v>
      </c>
      <c r="M265" s="32"/>
      <c r="N265" s="32">
        <v>3206678830</v>
      </c>
      <c r="O265" s="102" t="s">
        <v>5109</v>
      </c>
      <c r="P265" s="52" t="s">
        <v>948</v>
      </c>
    </row>
    <row r="266" spans="2:16" x14ac:dyDescent="0.25">
      <c r="B266" s="32">
        <v>255</v>
      </c>
      <c r="C266" s="229" t="s">
        <v>5324</v>
      </c>
      <c r="D266" s="229"/>
      <c r="E266" s="229"/>
      <c r="F266" s="229"/>
      <c r="G266" s="229"/>
      <c r="H266" s="229"/>
      <c r="I266" s="229"/>
      <c r="J266" s="59" t="s">
        <v>5321</v>
      </c>
      <c r="K266" s="46">
        <v>32950000</v>
      </c>
      <c r="L266" s="2">
        <v>45449</v>
      </c>
      <c r="M266" s="32"/>
      <c r="N266" s="32" t="s">
        <v>5322</v>
      </c>
      <c r="O266" s="102" t="s">
        <v>5320</v>
      </c>
      <c r="P266" s="52" t="s">
        <v>5323</v>
      </c>
    </row>
    <row r="267" spans="2:16" ht="15" customHeight="1" x14ac:dyDescent="0.25">
      <c r="B267" s="32">
        <v>256</v>
      </c>
      <c r="C267" s="229" t="s">
        <v>5325</v>
      </c>
      <c r="D267" s="229"/>
      <c r="E267" s="229"/>
      <c r="F267" s="229"/>
      <c r="G267" s="229"/>
      <c r="H267" s="229"/>
      <c r="I267" s="229"/>
      <c r="J267" s="59" t="s">
        <v>4390</v>
      </c>
      <c r="K267" s="46">
        <v>27600000</v>
      </c>
      <c r="L267" s="2">
        <v>45449</v>
      </c>
      <c r="M267" s="32"/>
      <c r="N267" s="32">
        <v>3113391008</v>
      </c>
      <c r="O267" s="103" t="s">
        <v>372</v>
      </c>
      <c r="P267" s="52" t="s">
        <v>2561</v>
      </c>
    </row>
    <row r="268" spans="2:16" x14ac:dyDescent="0.25">
      <c r="B268" s="32">
        <v>257</v>
      </c>
      <c r="C268" s="229" t="s">
        <v>5326</v>
      </c>
      <c r="D268" s="229"/>
      <c r="E268" s="229"/>
      <c r="F268" s="229"/>
      <c r="G268" s="229"/>
      <c r="H268" s="229"/>
      <c r="I268" s="229"/>
      <c r="J268" s="59" t="s">
        <v>4390</v>
      </c>
      <c r="K268" s="46">
        <v>9550000</v>
      </c>
      <c r="L268" s="2">
        <v>45449</v>
      </c>
      <c r="M268" s="32"/>
      <c r="N268" s="32">
        <v>3113391008</v>
      </c>
      <c r="O268" s="103" t="s">
        <v>372</v>
      </c>
      <c r="P268" s="52" t="s">
        <v>2561</v>
      </c>
    </row>
    <row r="269" spans="2:16" x14ac:dyDescent="0.25">
      <c r="B269" s="32">
        <v>258</v>
      </c>
      <c r="C269" s="285" t="s">
        <v>5328</v>
      </c>
      <c r="D269" s="261"/>
      <c r="E269" s="261"/>
      <c r="F269" s="261"/>
      <c r="G269" s="261"/>
      <c r="H269" s="261"/>
      <c r="I269" s="261"/>
      <c r="J269" s="59" t="s">
        <v>3013</v>
      </c>
      <c r="K269" s="46">
        <v>5650000</v>
      </c>
      <c r="L269" s="2">
        <v>45449</v>
      </c>
      <c r="M269" s="2"/>
      <c r="N269" s="32"/>
      <c r="O269" s="102" t="s">
        <v>3013</v>
      </c>
      <c r="P269" s="52" t="s">
        <v>5327</v>
      </c>
    </row>
    <row r="270" spans="2:16" x14ac:dyDescent="0.25">
      <c r="B270" s="32">
        <v>259</v>
      </c>
      <c r="C270" s="277" t="s">
        <v>5329</v>
      </c>
      <c r="D270" s="278"/>
      <c r="E270" s="278"/>
      <c r="F270" s="278"/>
      <c r="G270" s="278"/>
      <c r="H270" s="278"/>
      <c r="I270" s="278"/>
      <c r="J270" s="69" t="s">
        <v>5330</v>
      </c>
      <c r="K270" s="46">
        <v>20950000</v>
      </c>
      <c r="L270" s="2">
        <v>45450</v>
      </c>
      <c r="M270" s="32"/>
      <c r="N270" s="32" t="s">
        <v>5332</v>
      </c>
      <c r="O270" s="103" t="s">
        <v>5330</v>
      </c>
      <c r="P270" s="38" t="s">
        <v>5331</v>
      </c>
    </row>
    <row r="271" spans="2:16" x14ac:dyDescent="0.25">
      <c r="B271" s="32">
        <v>260</v>
      </c>
      <c r="C271" s="229" t="s">
        <v>5334</v>
      </c>
      <c r="D271" s="229"/>
      <c r="E271" s="229"/>
      <c r="F271" s="229"/>
      <c r="G271" s="229"/>
      <c r="H271" s="229"/>
      <c r="I271" s="229"/>
      <c r="J271" s="59" t="s">
        <v>5333</v>
      </c>
      <c r="K271" s="46">
        <v>9400000</v>
      </c>
      <c r="L271" s="2">
        <v>45450</v>
      </c>
      <c r="M271" s="32"/>
      <c r="N271" s="32">
        <v>3108214070</v>
      </c>
      <c r="O271" s="102" t="s">
        <v>5093</v>
      </c>
      <c r="P271" s="52" t="s">
        <v>5345</v>
      </c>
    </row>
    <row r="272" spans="2:16" x14ac:dyDescent="0.25">
      <c r="B272" s="32">
        <v>261</v>
      </c>
      <c r="C272" s="229" t="s">
        <v>5335</v>
      </c>
      <c r="D272" s="229"/>
      <c r="E272" s="229"/>
      <c r="F272" s="229"/>
      <c r="G272" s="229"/>
      <c r="H272" s="229"/>
      <c r="I272" s="229"/>
      <c r="J272" s="59" t="s">
        <v>5333</v>
      </c>
      <c r="K272" s="46">
        <v>4390000</v>
      </c>
      <c r="L272" s="2">
        <v>45450</v>
      </c>
      <c r="M272" s="32"/>
      <c r="N272" s="32">
        <v>3108214070</v>
      </c>
      <c r="O272" s="102" t="s">
        <v>5093</v>
      </c>
      <c r="P272" s="52" t="s">
        <v>5345</v>
      </c>
    </row>
    <row r="273" spans="2:16" x14ac:dyDescent="0.25">
      <c r="B273" s="32">
        <v>262</v>
      </c>
      <c r="C273" s="229" t="s">
        <v>5336</v>
      </c>
      <c r="D273" s="229"/>
      <c r="E273" s="229"/>
      <c r="F273" s="229"/>
      <c r="G273" s="229"/>
      <c r="H273" s="229"/>
      <c r="I273" s="229"/>
      <c r="J273" s="59" t="s">
        <v>5333</v>
      </c>
      <c r="K273" s="46">
        <v>8400000</v>
      </c>
      <c r="L273" s="2">
        <v>45450</v>
      </c>
      <c r="M273" s="32"/>
      <c r="N273" s="32">
        <v>3108214070</v>
      </c>
      <c r="O273" s="102" t="s">
        <v>5093</v>
      </c>
      <c r="P273" s="52" t="s">
        <v>5345</v>
      </c>
    </row>
    <row r="274" spans="2:16" x14ac:dyDescent="0.25">
      <c r="B274" s="32">
        <v>263</v>
      </c>
      <c r="C274" s="229" t="s">
        <v>5340</v>
      </c>
      <c r="D274" s="229"/>
      <c r="E274" s="229"/>
      <c r="F274" s="229"/>
      <c r="G274" s="229"/>
      <c r="H274" s="229"/>
      <c r="I274" s="229"/>
      <c r="J274" s="59" t="s">
        <v>5174</v>
      </c>
      <c r="K274" s="46">
        <v>7950000</v>
      </c>
      <c r="L274" s="2">
        <v>45450</v>
      </c>
      <c r="M274" s="32"/>
      <c r="N274" s="32" t="s">
        <v>5339</v>
      </c>
      <c r="O274" s="102" t="s">
        <v>5337</v>
      </c>
      <c r="P274" s="52" t="s">
        <v>5338</v>
      </c>
    </row>
    <row r="275" spans="2:16" ht="15" customHeight="1" x14ac:dyDescent="0.25">
      <c r="B275" s="32">
        <v>264</v>
      </c>
      <c r="C275" s="229" t="s">
        <v>5341</v>
      </c>
      <c r="D275" s="229"/>
      <c r="E275" s="229"/>
      <c r="F275" s="229"/>
      <c r="G275" s="229"/>
      <c r="H275" s="229"/>
      <c r="I275" s="229"/>
      <c r="J275" s="59" t="s">
        <v>5174</v>
      </c>
      <c r="K275" s="46">
        <v>5950000</v>
      </c>
      <c r="L275" s="2">
        <v>45450</v>
      </c>
      <c r="M275" s="32"/>
      <c r="N275" s="32" t="s">
        <v>5339</v>
      </c>
      <c r="O275" s="102" t="s">
        <v>5337</v>
      </c>
      <c r="P275" s="52" t="s">
        <v>5338</v>
      </c>
    </row>
    <row r="276" spans="2:16" x14ac:dyDescent="0.25">
      <c r="B276" s="32">
        <v>265</v>
      </c>
      <c r="C276" s="229" t="s">
        <v>5343</v>
      </c>
      <c r="D276" s="229"/>
      <c r="E276" s="229"/>
      <c r="F276" s="229"/>
      <c r="G276" s="229"/>
      <c r="H276" s="229"/>
      <c r="I276" s="229"/>
      <c r="J276" s="59" t="s">
        <v>4436</v>
      </c>
      <c r="K276" s="46">
        <v>3540000</v>
      </c>
      <c r="L276" s="2">
        <v>45450</v>
      </c>
      <c r="M276" s="32"/>
      <c r="N276" s="32">
        <v>3146844810</v>
      </c>
      <c r="O276" s="103" t="s">
        <v>4605</v>
      </c>
      <c r="P276" s="52" t="s">
        <v>4606</v>
      </c>
    </row>
    <row r="277" spans="2:16" x14ac:dyDescent="0.25">
      <c r="B277" s="32">
        <v>266</v>
      </c>
      <c r="C277" s="229" t="s">
        <v>5344</v>
      </c>
      <c r="D277" s="229"/>
      <c r="E277" s="229"/>
      <c r="F277" s="229"/>
      <c r="G277" s="229"/>
      <c r="H277" s="229"/>
      <c r="I277" s="229"/>
      <c r="J277" s="59" t="s">
        <v>4436</v>
      </c>
      <c r="K277" s="46">
        <v>4670000</v>
      </c>
      <c r="L277" s="2">
        <v>45450</v>
      </c>
      <c r="M277" s="32"/>
      <c r="N277" s="32">
        <v>3146844810</v>
      </c>
      <c r="O277" s="103" t="s">
        <v>4605</v>
      </c>
      <c r="P277" s="52" t="s">
        <v>4606</v>
      </c>
    </row>
    <row r="278" spans="2:16" x14ac:dyDescent="0.25">
      <c r="B278" s="32">
        <v>267</v>
      </c>
      <c r="C278" s="229" t="s">
        <v>5342</v>
      </c>
      <c r="D278" s="229"/>
      <c r="E278" s="229"/>
      <c r="F278" s="229"/>
      <c r="G278" s="229"/>
      <c r="H278" s="229"/>
      <c r="I278" s="229"/>
      <c r="J278" s="59" t="s">
        <v>2445</v>
      </c>
      <c r="K278" s="46">
        <v>31950000</v>
      </c>
      <c r="L278" s="2">
        <v>45454</v>
      </c>
      <c r="M278" s="32"/>
      <c r="N278" s="32">
        <v>3127218621</v>
      </c>
      <c r="O278" s="102" t="s">
        <v>4846</v>
      </c>
      <c r="P278" s="52" t="s">
        <v>3668</v>
      </c>
    </row>
    <row r="279" spans="2:16" x14ac:dyDescent="0.25">
      <c r="B279" s="32">
        <v>268</v>
      </c>
      <c r="C279" s="229" t="s">
        <v>5346</v>
      </c>
      <c r="D279" s="229"/>
      <c r="E279" s="229"/>
      <c r="F279" s="229"/>
      <c r="G279" s="229"/>
      <c r="H279" s="229"/>
      <c r="I279" s="229"/>
      <c r="J279" s="59" t="s">
        <v>3766</v>
      </c>
      <c r="K279" s="46" t="s">
        <v>381</v>
      </c>
      <c r="L279" s="2">
        <v>45455</v>
      </c>
      <c r="M279" s="32"/>
      <c r="N279" s="32" t="s">
        <v>4732</v>
      </c>
      <c r="O279" s="102" t="s">
        <v>4730</v>
      </c>
      <c r="P279" s="52" t="s">
        <v>4731</v>
      </c>
    </row>
    <row r="280" spans="2:16" x14ac:dyDescent="0.25">
      <c r="B280" s="32">
        <v>269</v>
      </c>
      <c r="C280" s="229" t="s">
        <v>5347</v>
      </c>
      <c r="D280" s="229"/>
      <c r="E280" s="229"/>
      <c r="F280" s="229"/>
      <c r="G280" s="229"/>
      <c r="H280" s="229"/>
      <c r="I280" s="229"/>
      <c r="J280" s="59" t="s">
        <v>4390</v>
      </c>
      <c r="K280" s="46" t="s">
        <v>5391</v>
      </c>
      <c r="L280" s="2">
        <v>45455</v>
      </c>
      <c r="M280" s="32"/>
      <c r="N280" s="32">
        <v>3113391008</v>
      </c>
      <c r="O280" s="103" t="s">
        <v>372</v>
      </c>
      <c r="P280" s="52" t="s">
        <v>2561</v>
      </c>
    </row>
    <row r="281" spans="2:16" x14ac:dyDescent="0.25">
      <c r="B281" s="32">
        <v>270</v>
      </c>
      <c r="C281" s="229" t="s">
        <v>5348</v>
      </c>
      <c r="D281" s="229"/>
      <c r="E281" s="229"/>
      <c r="F281" s="229"/>
      <c r="G281" s="229"/>
      <c r="H281" s="229"/>
      <c r="I281" s="229"/>
      <c r="J281" s="59" t="s">
        <v>5333</v>
      </c>
      <c r="K281" s="46">
        <v>18950000</v>
      </c>
      <c r="L281" s="2">
        <v>45454</v>
      </c>
      <c r="M281" s="32"/>
      <c r="N281" s="32">
        <v>3108214070</v>
      </c>
      <c r="O281" s="102" t="s">
        <v>5093</v>
      </c>
      <c r="P281" s="52" t="s">
        <v>5345</v>
      </c>
    </row>
    <row r="282" spans="2:16" x14ac:dyDescent="0.25">
      <c r="B282" s="32">
        <v>271</v>
      </c>
      <c r="C282" s="229" t="s">
        <v>5349</v>
      </c>
      <c r="D282" s="229"/>
      <c r="E282" s="229"/>
      <c r="F282" s="229"/>
      <c r="G282" s="229"/>
      <c r="H282" s="229"/>
      <c r="I282" s="229"/>
      <c r="J282" s="59" t="s">
        <v>4436</v>
      </c>
      <c r="K282" s="46">
        <v>8210000</v>
      </c>
      <c r="L282" s="2">
        <v>45454</v>
      </c>
      <c r="M282" s="32"/>
      <c r="N282" s="32">
        <v>3146844810</v>
      </c>
      <c r="O282" s="103" t="s">
        <v>4605</v>
      </c>
      <c r="P282" s="52" t="s">
        <v>4606</v>
      </c>
    </row>
    <row r="283" spans="2:16" x14ac:dyDescent="0.25">
      <c r="B283" s="32">
        <v>272</v>
      </c>
      <c r="C283" s="229" t="s">
        <v>5351</v>
      </c>
      <c r="D283" s="229"/>
      <c r="E283" s="229"/>
      <c r="F283" s="229"/>
      <c r="G283" s="229"/>
      <c r="H283" s="229"/>
      <c r="I283" s="229"/>
      <c r="J283" s="59" t="s">
        <v>5350</v>
      </c>
      <c r="K283" s="46">
        <v>1950000</v>
      </c>
      <c r="L283" s="2">
        <v>45455</v>
      </c>
      <c r="M283" s="32"/>
      <c r="N283" s="32" t="s">
        <v>4363</v>
      </c>
      <c r="O283" s="102" t="s">
        <v>4362</v>
      </c>
      <c r="P283" s="52" t="s">
        <v>4361</v>
      </c>
    </row>
    <row r="284" spans="2:16" x14ac:dyDescent="0.25">
      <c r="B284" s="32">
        <v>273</v>
      </c>
      <c r="C284" s="271" t="s">
        <v>5353</v>
      </c>
      <c r="D284" s="272"/>
      <c r="E284" s="272"/>
      <c r="F284" s="272"/>
      <c r="G284" s="272"/>
      <c r="H284" s="272"/>
      <c r="I284" s="272"/>
      <c r="J284" s="59" t="s">
        <v>5352</v>
      </c>
      <c r="K284" s="46">
        <v>3950000</v>
      </c>
      <c r="L284" s="2">
        <v>45456</v>
      </c>
      <c r="M284" s="32"/>
      <c r="N284" s="32" t="s">
        <v>4644</v>
      </c>
      <c r="O284" s="103" t="s">
        <v>4642</v>
      </c>
      <c r="P284" s="52" t="s">
        <v>2948</v>
      </c>
    </row>
    <row r="285" spans="2:16" x14ac:dyDescent="0.25">
      <c r="B285" s="32">
        <v>274</v>
      </c>
      <c r="C285" s="229" t="s">
        <v>5354</v>
      </c>
      <c r="D285" s="229"/>
      <c r="E285" s="229"/>
      <c r="F285" s="229"/>
      <c r="G285" s="229"/>
      <c r="H285" s="229"/>
      <c r="I285" s="229"/>
      <c r="J285" s="59" t="s">
        <v>4902</v>
      </c>
      <c r="K285" s="46">
        <v>8780000</v>
      </c>
      <c r="L285" s="2">
        <v>45457</v>
      </c>
      <c r="M285" s="32"/>
      <c r="N285" s="32" t="s">
        <v>1897</v>
      </c>
      <c r="O285" s="102" t="s">
        <v>2076</v>
      </c>
      <c r="P285" s="38" t="s">
        <v>1899</v>
      </c>
    </row>
    <row r="286" spans="2:16" ht="15" customHeight="1" x14ac:dyDescent="0.25">
      <c r="B286" s="32">
        <v>275</v>
      </c>
      <c r="C286" s="229" t="s">
        <v>5358</v>
      </c>
      <c r="D286" s="229"/>
      <c r="E286" s="229"/>
      <c r="F286" s="229"/>
      <c r="G286" s="229"/>
      <c r="H286" s="229"/>
      <c r="I286" s="229"/>
      <c r="J286" s="59" t="s">
        <v>5356</v>
      </c>
      <c r="K286" s="46">
        <v>14950000</v>
      </c>
      <c r="L286" s="2">
        <v>45456</v>
      </c>
      <c r="M286" s="32"/>
      <c r="N286" s="32"/>
      <c r="O286" s="102" t="s">
        <v>5355</v>
      </c>
      <c r="P286" s="52" t="s">
        <v>5357</v>
      </c>
    </row>
    <row r="287" spans="2:16" ht="15" customHeight="1" x14ac:dyDescent="0.25">
      <c r="B287" s="32">
        <v>276</v>
      </c>
      <c r="C287" s="229" t="s">
        <v>5359</v>
      </c>
      <c r="D287" s="229"/>
      <c r="E287" s="229"/>
      <c r="F287" s="229"/>
      <c r="G287" s="229"/>
      <c r="H287" s="229"/>
      <c r="I287" s="229"/>
      <c r="J287" s="59" t="s">
        <v>4390</v>
      </c>
      <c r="K287" s="46">
        <v>20500000</v>
      </c>
      <c r="L287" s="2">
        <v>45457</v>
      </c>
      <c r="M287" s="32"/>
      <c r="N287" s="32">
        <v>3113391008</v>
      </c>
      <c r="O287" s="103" t="s">
        <v>372</v>
      </c>
      <c r="P287" s="52" t="s">
        <v>2561</v>
      </c>
    </row>
    <row r="288" spans="2:16" ht="15" customHeight="1" x14ac:dyDescent="0.25">
      <c r="B288" s="32">
        <v>277</v>
      </c>
      <c r="C288" s="229" t="s">
        <v>5360</v>
      </c>
      <c r="D288" s="229"/>
      <c r="E288" s="229"/>
      <c r="F288" s="229"/>
      <c r="G288" s="229"/>
      <c r="H288" s="229"/>
      <c r="I288" s="229"/>
      <c r="J288" s="59" t="s">
        <v>712</v>
      </c>
      <c r="K288" s="46">
        <v>13800000</v>
      </c>
      <c r="L288" s="2">
        <v>45457</v>
      </c>
      <c r="M288" s="32"/>
      <c r="N288" s="32">
        <v>3137851941</v>
      </c>
      <c r="O288" s="102" t="s">
        <v>4126</v>
      </c>
      <c r="P288" s="52" t="s">
        <v>713</v>
      </c>
    </row>
    <row r="289" spans="2:16" ht="15" customHeight="1" x14ac:dyDescent="0.25">
      <c r="B289" s="32">
        <v>278</v>
      </c>
      <c r="C289" s="229" t="s">
        <v>5365</v>
      </c>
      <c r="D289" s="229"/>
      <c r="E289" s="229"/>
      <c r="F289" s="229"/>
      <c r="G289" s="229"/>
      <c r="H289" s="229"/>
      <c r="I289" s="229"/>
      <c r="J289" s="59" t="s">
        <v>5361</v>
      </c>
      <c r="K289" s="46">
        <v>24970000</v>
      </c>
      <c r="L289" s="2">
        <v>45457</v>
      </c>
      <c r="M289" s="32"/>
      <c r="N289" s="32" t="s">
        <v>5363</v>
      </c>
      <c r="O289" s="102" t="s">
        <v>5362</v>
      </c>
      <c r="P289" s="52" t="s">
        <v>5364</v>
      </c>
    </row>
    <row r="290" spans="2:16" ht="15" customHeight="1" x14ac:dyDescent="0.25">
      <c r="B290" s="32">
        <v>279</v>
      </c>
      <c r="C290" s="229" t="s">
        <v>5367</v>
      </c>
      <c r="D290" s="229"/>
      <c r="E290" s="229"/>
      <c r="F290" s="229"/>
      <c r="G290" s="229"/>
      <c r="H290" s="229"/>
      <c r="I290" s="229"/>
      <c r="J290" s="59" t="s">
        <v>2445</v>
      </c>
      <c r="K290" s="46">
        <v>23950000</v>
      </c>
      <c r="L290" s="2">
        <v>45461</v>
      </c>
      <c r="M290" s="32"/>
      <c r="N290" s="32">
        <v>3162439535</v>
      </c>
      <c r="O290" s="102" t="s">
        <v>5366</v>
      </c>
      <c r="P290" s="52"/>
    </row>
    <row r="291" spans="2:16" x14ac:dyDescent="0.25">
      <c r="B291" s="32">
        <v>280</v>
      </c>
      <c r="C291" s="229" t="s">
        <v>5368</v>
      </c>
      <c r="D291" s="229"/>
      <c r="E291" s="229"/>
      <c r="F291" s="229"/>
      <c r="G291" s="229"/>
      <c r="H291" s="229"/>
      <c r="I291" s="229"/>
      <c r="J291" s="59" t="s">
        <v>702</v>
      </c>
      <c r="K291" s="46">
        <v>9990000</v>
      </c>
      <c r="L291" s="2">
        <v>45461</v>
      </c>
      <c r="M291" s="32"/>
      <c r="N291" s="32">
        <v>3104165783</v>
      </c>
      <c r="O291" s="102" t="s">
        <v>4564</v>
      </c>
      <c r="P291" s="65" t="s">
        <v>4565</v>
      </c>
    </row>
    <row r="292" spans="2:16" x14ac:dyDescent="0.25">
      <c r="B292" s="32">
        <v>281</v>
      </c>
      <c r="C292" s="263" t="s">
        <v>5369</v>
      </c>
      <c r="D292" s="229"/>
      <c r="E292" s="229"/>
      <c r="F292" s="229"/>
      <c r="G292" s="229"/>
      <c r="H292" s="229"/>
      <c r="I292" s="229"/>
      <c r="J292" s="59" t="s">
        <v>702</v>
      </c>
      <c r="K292" s="46">
        <v>14950000</v>
      </c>
      <c r="L292" s="2">
        <v>45463</v>
      </c>
      <c r="M292" s="2"/>
      <c r="N292" s="32">
        <v>3104165783</v>
      </c>
      <c r="O292" s="102" t="s">
        <v>4564</v>
      </c>
      <c r="P292" s="65" t="s">
        <v>4565</v>
      </c>
    </row>
    <row r="293" spans="2:16" x14ac:dyDescent="0.25">
      <c r="B293" s="32">
        <v>282</v>
      </c>
      <c r="C293" s="229" t="s">
        <v>5370</v>
      </c>
      <c r="D293" s="229"/>
      <c r="E293" s="229"/>
      <c r="F293" s="229"/>
      <c r="G293" s="229"/>
      <c r="H293" s="229"/>
      <c r="I293" s="229"/>
      <c r="J293" s="59" t="s">
        <v>702</v>
      </c>
      <c r="K293" s="46">
        <v>1500000</v>
      </c>
      <c r="L293" s="2">
        <v>45464</v>
      </c>
      <c r="M293" s="2"/>
      <c r="N293" s="32">
        <v>3104165783</v>
      </c>
      <c r="O293" s="102" t="s">
        <v>4564</v>
      </c>
      <c r="P293" s="65" t="s">
        <v>4565</v>
      </c>
    </row>
    <row r="294" spans="2:16" x14ac:dyDescent="0.25">
      <c r="B294" s="32">
        <v>283</v>
      </c>
      <c r="C294" s="271" t="s">
        <v>5371</v>
      </c>
      <c r="D294" s="272"/>
      <c r="E294" s="272"/>
      <c r="F294" s="272"/>
      <c r="G294" s="272"/>
      <c r="H294" s="272"/>
      <c r="I294" s="272"/>
      <c r="J294" s="59" t="s">
        <v>5372</v>
      </c>
      <c r="K294" s="46">
        <v>3950</v>
      </c>
      <c r="L294" s="2">
        <v>45464</v>
      </c>
      <c r="M294" s="32"/>
      <c r="N294" s="32">
        <v>3108227462</v>
      </c>
      <c r="O294" s="102" t="s">
        <v>1064</v>
      </c>
      <c r="P294" s="52" t="s">
        <v>2310</v>
      </c>
    </row>
    <row r="295" spans="2:16" x14ac:dyDescent="0.25">
      <c r="B295" s="32">
        <v>284</v>
      </c>
      <c r="C295" s="271" t="s">
        <v>5373</v>
      </c>
      <c r="D295" s="272"/>
      <c r="E295" s="272"/>
      <c r="F295" s="272"/>
      <c r="G295" s="272"/>
      <c r="H295" s="272"/>
      <c r="I295" s="272"/>
      <c r="J295" s="59" t="s">
        <v>5372</v>
      </c>
      <c r="K295" s="46">
        <v>3550</v>
      </c>
      <c r="L295" s="2">
        <v>45464</v>
      </c>
      <c r="M295" s="32"/>
      <c r="N295" s="32">
        <v>3108227462</v>
      </c>
      <c r="O295" s="102" t="s">
        <v>1064</v>
      </c>
      <c r="P295" s="52" t="s">
        <v>2310</v>
      </c>
    </row>
    <row r="296" spans="2:16" ht="15" customHeight="1" x14ac:dyDescent="0.25">
      <c r="B296" s="32">
        <v>285</v>
      </c>
      <c r="C296" s="271" t="s">
        <v>5380</v>
      </c>
      <c r="D296" s="272"/>
      <c r="E296" s="272"/>
      <c r="F296" s="272"/>
      <c r="G296" s="272"/>
      <c r="H296" s="272"/>
      <c r="I296" s="272"/>
      <c r="J296" s="59" t="s">
        <v>5377</v>
      </c>
      <c r="K296" s="46">
        <v>2950000</v>
      </c>
      <c r="L296" s="2">
        <v>45467</v>
      </c>
      <c r="M296" s="32"/>
      <c r="N296" s="32"/>
      <c r="O296" s="103" t="s">
        <v>5378</v>
      </c>
      <c r="P296" s="52" t="s">
        <v>5379</v>
      </c>
    </row>
    <row r="297" spans="2:16" x14ac:dyDescent="0.25">
      <c r="B297" s="32">
        <v>286</v>
      </c>
      <c r="C297" s="229" t="s">
        <v>5381</v>
      </c>
      <c r="D297" s="229"/>
      <c r="E297" s="229"/>
      <c r="F297" s="229"/>
      <c r="G297" s="229"/>
      <c r="H297" s="229"/>
      <c r="I297" s="229"/>
      <c r="J297" s="59" t="s">
        <v>5186</v>
      </c>
      <c r="K297" s="46" t="s">
        <v>5391</v>
      </c>
      <c r="L297" s="2">
        <v>45467</v>
      </c>
      <c r="M297" s="32"/>
      <c r="N297" s="32"/>
      <c r="O297" s="102" t="s">
        <v>5374</v>
      </c>
      <c r="P297" s="52" t="s">
        <v>5375</v>
      </c>
    </row>
    <row r="298" spans="2:16" x14ac:dyDescent="0.25">
      <c r="B298" s="32">
        <v>287</v>
      </c>
      <c r="C298" s="229" t="s">
        <v>5376</v>
      </c>
      <c r="D298" s="229"/>
      <c r="E298" s="229"/>
      <c r="F298" s="229"/>
      <c r="G298" s="229"/>
      <c r="H298" s="229"/>
      <c r="I298" s="229"/>
      <c r="J298" s="59" t="s">
        <v>702</v>
      </c>
      <c r="K298" s="46">
        <v>2900000</v>
      </c>
      <c r="L298" s="2">
        <v>45467</v>
      </c>
      <c r="M298" s="32"/>
      <c r="N298" s="32" t="s">
        <v>2745</v>
      </c>
      <c r="O298" s="102" t="s">
        <v>2746</v>
      </c>
      <c r="P298" s="52" t="s">
        <v>703</v>
      </c>
    </row>
    <row r="299" spans="2:16" x14ac:dyDescent="0.25">
      <c r="B299" s="32">
        <v>288</v>
      </c>
      <c r="C299" s="229" t="s">
        <v>5392</v>
      </c>
      <c r="D299" s="229"/>
      <c r="E299" s="229"/>
      <c r="F299" s="229"/>
      <c r="G299" s="229"/>
      <c r="H299" s="229"/>
      <c r="I299" s="229"/>
      <c r="J299" s="59" t="s">
        <v>702</v>
      </c>
      <c r="K299" s="46">
        <v>8800000</v>
      </c>
      <c r="L299" s="2">
        <v>45467</v>
      </c>
      <c r="M299" s="32"/>
      <c r="N299" s="32" t="s">
        <v>2745</v>
      </c>
      <c r="O299" s="102" t="s">
        <v>2746</v>
      </c>
      <c r="P299" s="52" t="s">
        <v>703</v>
      </c>
    </row>
    <row r="300" spans="2:16" x14ac:dyDescent="0.25">
      <c r="B300" s="32">
        <v>289</v>
      </c>
      <c r="C300" s="263" t="s">
        <v>5382</v>
      </c>
      <c r="D300" s="229"/>
      <c r="E300" s="229"/>
      <c r="F300" s="229"/>
      <c r="G300" s="229"/>
      <c r="H300" s="229"/>
      <c r="I300" s="229"/>
      <c r="J300" s="59" t="s">
        <v>5295</v>
      </c>
      <c r="K300" s="46">
        <v>12250000</v>
      </c>
      <c r="L300" s="2">
        <v>45467</v>
      </c>
      <c r="M300" s="32"/>
      <c r="N300" s="32">
        <v>3143624300</v>
      </c>
      <c r="O300" s="103" t="s">
        <v>5294</v>
      </c>
      <c r="P300" s="97" t="s">
        <v>5293</v>
      </c>
    </row>
    <row r="301" spans="2:16" x14ac:dyDescent="0.25">
      <c r="B301" s="32">
        <v>290</v>
      </c>
      <c r="C301" s="271" t="s">
        <v>5383</v>
      </c>
      <c r="D301" s="272"/>
      <c r="E301" s="272"/>
      <c r="F301" s="272"/>
      <c r="G301" s="272"/>
      <c r="H301" s="272"/>
      <c r="I301" s="272"/>
      <c r="J301" s="59" t="s">
        <v>5384</v>
      </c>
      <c r="K301" s="46">
        <v>11960000</v>
      </c>
      <c r="L301" s="2">
        <v>45467</v>
      </c>
      <c r="M301" s="2"/>
      <c r="N301" s="32" t="s">
        <v>4233</v>
      </c>
      <c r="O301" s="103" t="s">
        <v>4813</v>
      </c>
      <c r="P301" s="38"/>
    </row>
    <row r="302" spans="2:16" x14ac:dyDescent="0.25">
      <c r="B302" s="32">
        <v>291</v>
      </c>
      <c r="C302" s="263" t="s">
        <v>5871</v>
      </c>
      <c r="D302" s="229"/>
      <c r="E302" s="229"/>
      <c r="F302" s="229"/>
      <c r="G302" s="229"/>
      <c r="H302" s="229"/>
      <c r="I302" s="229"/>
      <c r="J302" s="59" t="s">
        <v>5372</v>
      </c>
      <c r="K302" s="46" t="s">
        <v>5391</v>
      </c>
      <c r="L302" s="2">
        <v>45467</v>
      </c>
      <c r="M302" s="32"/>
      <c r="N302" s="32">
        <v>3108227462</v>
      </c>
      <c r="O302" s="102" t="s">
        <v>1064</v>
      </c>
      <c r="P302" s="52" t="s">
        <v>2310</v>
      </c>
    </row>
    <row r="303" spans="2:16" x14ac:dyDescent="0.25">
      <c r="B303" s="32">
        <v>292</v>
      </c>
      <c r="C303" s="271" t="s">
        <v>5385</v>
      </c>
      <c r="D303" s="272"/>
      <c r="E303" s="272"/>
      <c r="F303" s="272"/>
      <c r="G303" s="272"/>
      <c r="H303" s="272"/>
      <c r="I303" s="272"/>
      <c r="J303" s="59" t="s">
        <v>5372</v>
      </c>
      <c r="K303" s="46" t="s">
        <v>5391</v>
      </c>
      <c r="L303" s="2">
        <v>45467</v>
      </c>
      <c r="M303" s="2"/>
      <c r="N303" s="32">
        <v>3108227462</v>
      </c>
      <c r="O303" s="102" t="s">
        <v>1064</v>
      </c>
      <c r="P303" s="52" t="s">
        <v>2310</v>
      </c>
    </row>
    <row r="304" spans="2:16" x14ac:dyDescent="0.25">
      <c r="B304" s="32">
        <v>293</v>
      </c>
      <c r="C304" s="229" t="s">
        <v>5386</v>
      </c>
      <c r="D304" s="229"/>
      <c r="E304" s="229"/>
      <c r="F304" s="229"/>
      <c r="G304" s="229"/>
      <c r="H304" s="229"/>
      <c r="I304" s="229"/>
      <c r="J304" s="59" t="s">
        <v>1139</v>
      </c>
      <c r="K304" s="46">
        <v>32900000</v>
      </c>
      <c r="L304" s="2">
        <v>45467</v>
      </c>
      <c r="M304" s="32"/>
      <c r="N304" s="32">
        <v>3147345799</v>
      </c>
      <c r="O304" s="103" t="s">
        <v>5387</v>
      </c>
      <c r="P304" s="52" t="s">
        <v>5388</v>
      </c>
    </row>
    <row r="305" spans="2:16" x14ac:dyDescent="0.25">
      <c r="B305" s="32">
        <v>294</v>
      </c>
      <c r="C305" s="229" t="s">
        <v>5389</v>
      </c>
      <c r="D305" s="229"/>
      <c r="E305" s="229"/>
      <c r="F305" s="229"/>
      <c r="G305" s="229"/>
      <c r="H305" s="229"/>
      <c r="I305" s="229"/>
      <c r="J305" s="59" t="s">
        <v>712</v>
      </c>
      <c r="K305" s="46">
        <v>19950000</v>
      </c>
      <c r="L305" s="2">
        <v>45468</v>
      </c>
      <c r="M305" s="32"/>
      <c r="N305" s="32">
        <v>3137851941</v>
      </c>
      <c r="O305" s="102" t="s">
        <v>4126</v>
      </c>
      <c r="P305" s="52" t="s">
        <v>713</v>
      </c>
    </row>
    <row r="306" spans="2:16" x14ac:dyDescent="0.25">
      <c r="B306" s="32">
        <v>295</v>
      </c>
      <c r="C306" s="229" t="s">
        <v>5390</v>
      </c>
      <c r="D306" s="229"/>
      <c r="E306" s="229"/>
      <c r="F306" s="229"/>
      <c r="G306" s="229"/>
      <c r="H306" s="229"/>
      <c r="I306" s="229"/>
      <c r="J306" s="59" t="s">
        <v>712</v>
      </c>
      <c r="K306" s="46"/>
      <c r="L306" s="2">
        <v>45468</v>
      </c>
      <c r="M306" s="32"/>
      <c r="N306" s="32">
        <v>3137851941</v>
      </c>
      <c r="O306" s="102" t="s">
        <v>4126</v>
      </c>
      <c r="P306" s="52" t="s">
        <v>713</v>
      </c>
    </row>
    <row r="307" spans="2:16" x14ac:dyDescent="0.25">
      <c r="B307" s="32">
        <v>296</v>
      </c>
      <c r="C307" s="263" t="s">
        <v>5396</v>
      </c>
      <c r="D307" s="229"/>
      <c r="E307" s="229"/>
      <c r="F307" s="229"/>
      <c r="G307" s="229"/>
      <c r="H307" s="229"/>
      <c r="I307" s="229"/>
      <c r="J307" s="59" t="s">
        <v>5395</v>
      </c>
      <c r="K307" s="46">
        <v>23450000</v>
      </c>
      <c r="L307" s="2">
        <v>45468</v>
      </c>
      <c r="M307" s="32"/>
      <c r="N307" s="32"/>
      <c r="O307" s="103" t="s">
        <v>5394</v>
      </c>
      <c r="P307" s="52" t="s">
        <v>5393</v>
      </c>
    </row>
    <row r="308" spans="2:16" x14ac:dyDescent="0.25">
      <c r="B308" s="32">
        <v>297</v>
      </c>
      <c r="C308" s="263" t="s">
        <v>5404</v>
      </c>
      <c r="D308" s="229"/>
      <c r="E308" s="229"/>
      <c r="F308" s="229"/>
      <c r="G308" s="229"/>
      <c r="H308" s="229"/>
      <c r="I308" s="229"/>
      <c r="J308" s="59" t="s">
        <v>5398</v>
      </c>
      <c r="K308" s="46"/>
      <c r="L308" s="2">
        <v>45469</v>
      </c>
      <c r="M308" s="32"/>
      <c r="N308" s="32">
        <v>3116490600</v>
      </c>
      <c r="O308" s="102" t="s">
        <v>5397</v>
      </c>
      <c r="P308" s="52" t="s">
        <v>5399</v>
      </c>
    </row>
    <row r="309" spans="2:16" x14ac:dyDescent="0.25">
      <c r="B309" s="32">
        <v>298</v>
      </c>
      <c r="C309" s="271" t="s">
        <v>5400</v>
      </c>
      <c r="D309" s="272"/>
      <c r="E309" s="272"/>
      <c r="F309" s="272"/>
      <c r="G309" s="272"/>
      <c r="H309" s="272"/>
      <c r="I309" s="272"/>
      <c r="J309" s="59" t="s">
        <v>702</v>
      </c>
      <c r="K309" s="46" t="s">
        <v>150</v>
      </c>
      <c r="L309" s="2">
        <v>45471</v>
      </c>
      <c r="M309" s="32"/>
      <c r="N309" s="32">
        <v>3103898043</v>
      </c>
      <c r="O309" s="103" t="s">
        <v>4504</v>
      </c>
      <c r="P309" s="52" t="s">
        <v>1238</v>
      </c>
    </row>
    <row r="310" spans="2:16" x14ac:dyDescent="0.25">
      <c r="B310" s="32">
        <v>299</v>
      </c>
      <c r="C310" s="229" t="s">
        <v>5402</v>
      </c>
      <c r="D310" s="229"/>
      <c r="E310" s="229"/>
      <c r="F310" s="229"/>
      <c r="G310" s="229"/>
      <c r="H310" s="229"/>
      <c r="I310" s="229"/>
      <c r="J310" s="59" t="s">
        <v>2204</v>
      </c>
      <c r="K310" s="46">
        <v>37950000</v>
      </c>
      <c r="L310" s="2">
        <v>45469</v>
      </c>
      <c r="M310" s="32"/>
      <c r="N310" s="32">
        <v>3117208541</v>
      </c>
      <c r="O310" s="102" t="s">
        <v>5401</v>
      </c>
      <c r="P310" s="52" t="s">
        <v>2241</v>
      </c>
    </row>
    <row r="311" spans="2:16" x14ac:dyDescent="0.25">
      <c r="B311" s="32">
        <v>300</v>
      </c>
      <c r="C311" s="229" t="s">
        <v>5403</v>
      </c>
      <c r="D311" s="229"/>
      <c r="E311" s="229"/>
      <c r="F311" s="229"/>
      <c r="G311" s="229"/>
      <c r="H311" s="229"/>
      <c r="I311" s="229"/>
      <c r="J311" s="59" t="s">
        <v>712</v>
      </c>
      <c r="K311" s="46">
        <v>4390000</v>
      </c>
      <c r="L311" s="2">
        <v>45469</v>
      </c>
      <c r="M311" s="32"/>
      <c r="N311" s="32">
        <v>3137851941</v>
      </c>
      <c r="O311" s="102" t="s">
        <v>4126</v>
      </c>
      <c r="P311" s="97" t="s">
        <v>713</v>
      </c>
    </row>
    <row r="312" spans="2:16" x14ac:dyDescent="0.25">
      <c r="B312" s="32">
        <v>301</v>
      </c>
      <c r="C312" s="230" t="s">
        <v>5406</v>
      </c>
      <c r="D312" s="231"/>
      <c r="E312" s="231"/>
      <c r="F312" s="231"/>
      <c r="G312" s="231"/>
      <c r="H312" s="231"/>
      <c r="I312" s="231"/>
      <c r="J312" s="59" t="s">
        <v>5405</v>
      </c>
      <c r="K312" s="46">
        <v>11290000</v>
      </c>
      <c r="L312" s="2">
        <v>45476</v>
      </c>
      <c r="M312" s="6"/>
      <c r="N312" s="32">
        <v>3147537411</v>
      </c>
      <c r="O312" s="102" t="s">
        <v>5253</v>
      </c>
      <c r="P312" s="52" t="s">
        <v>1131</v>
      </c>
    </row>
    <row r="313" spans="2:16" ht="15" customHeight="1" x14ac:dyDescent="0.25">
      <c r="B313" s="32">
        <v>302</v>
      </c>
      <c r="C313" s="263" t="s">
        <v>5422</v>
      </c>
      <c r="D313" s="229"/>
      <c r="E313" s="229"/>
      <c r="F313" s="229"/>
      <c r="G313" s="229"/>
      <c r="H313" s="229"/>
      <c r="I313" s="229"/>
      <c r="J313" s="59" t="s">
        <v>2445</v>
      </c>
      <c r="K313" s="46"/>
      <c r="L313" s="2">
        <v>45476</v>
      </c>
      <c r="M313" s="32"/>
      <c r="N313" s="32">
        <v>3127218621</v>
      </c>
      <c r="O313" s="103" t="s">
        <v>5407</v>
      </c>
      <c r="P313" s="38" t="s">
        <v>3668</v>
      </c>
    </row>
    <row r="314" spans="2:16" x14ac:dyDescent="0.25">
      <c r="B314" s="32">
        <v>303</v>
      </c>
      <c r="C314" s="264" t="s">
        <v>5408</v>
      </c>
      <c r="D314" s="283"/>
      <c r="E314" s="283"/>
      <c r="F314" s="283"/>
      <c r="G314" s="283"/>
      <c r="H314" s="283"/>
      <c r="I314" s="284"/>
      <c r="J314" s="59" t="s">
        <v>702</v>
      </c>
      <c r="K314" s="46">
        <v>11920000</v>
      </c>
      <c r="L314" s="2">
        <v>45476</v>
      </c>
      <c r="M314" s="32"/>
      <c r="N314" s="32">
        <v>3104165783</v>
      </c>
      <c r="O314" s="102" t="s">
        <v>4564</v>
      </c>
      <c r="P314" s="65" t="s">
        <v>4565</v>
      </c>
    </row>
    <row r="315" spans="2:16" x14ac:dyDescent="0.25">
      <c r="B315" s="32">
        <v>304</v>
      </c>
      <c r="C315" s="263" t="s">
        <v>5409</v>
      </c>
      <c r="D315" s="229"/>
      <c r="E315" s="229"/>
      <c r="F315" s="229"/>
      <c r="G315" s="229"/>
      <c r="H315" s="229"/>
      <c r="I315" s="229"/>
      <c r="J315" s="64" t="s">
        <v>4059</v>
      </c>
      <c r="K315" s="46">
        <v>9410000</v>
      </c>
      <c r="L315" s="2">
        <v>45476</v>
      </c>
      <c r="M315" s="32"/>
      <c r="N315" s="32" t="s">
        <v>5410</v>
      </c>
      <c r="O315" s="103"/>
      <c r="P315" s="52"/>
    </row>
    <row r="316" spans="2:16" x14ac:dyDescent="0.25">
      <c r="B316" s="32">
        <v>305</v>
      </c>
      <c r="C316" s="271" t="s">
        <v>5411</v>
      </c>
      <c r="D316" s="272"/>
      <c r="E316" s="272"/>
      <c r="F316" s="272"/>
      <c r="G316" s="272"/>
      <c r="H316" s="272"/>
      <c r="I316" s="272"/>
      <c r="J316" s="59" t="s">
        <v>4059</v>
      </c>
      <c r="K316" s="46">
        <v>16940000</v>
      </c>
      <c r="L316" s="2">
        <v>45476</v>
      </c>
      <c r="M316" s="32"/>
      <c r="N316" s="32" t="s">
        <v>5410</v>
      </c>
      <c r="O316" s="102"/>
      <c r="P316" s="52"/>
    </row>
    <row r="317" spans="2:16" x14ac:dyDescent="0.25">
      <c r="B317" s="32">
        <v>306</v>
      </c>
      <c r="C317" s="271" t="s">
        <v>5412</v>
      </c>
      <c r="D317" s="272"/>
      <c r="E317" s="272"/>
      <c r="F317" s="272"/>
      <c r="G317" s="272"/>
      <c r="H317" s="272"/>
      <c r="I317" s="272"/>
      <c r="J317" s="59" t="s">
        <v>702</v>
      </c>
      <c r="K317" s="46">
        <v>24850000</v>
      </c>
      <c r="L317" s="2">
        <v>45477</v>
      </c>
      <c r="M317" s="32"/>
      <c r="N317" s="32">
        <v>3104165783</v>
      </c>
      <c r="O317" s="102" t="s">
        <v>4564</v>
      </c>
      <c r="P317" s="65" t="s">
        <v>4565</v>
      </c>
    </row>
    <row r="318" spans="2:16" ht="15" customHeight="1" x14ac:dyDescent="0.25">
      <c r="B318" s="32">
        <v>307</v>
      </c>
      <c r="C318" s="271" t="s">
        <v>5412</v>
      </c>
      <c r="D318" s="272"/>
      <c r="E318" s="272"/>
      <c r="F318" s="272"/>
      <c r="G318" s="272"/>
      <c r="H318" s="272"/>
      <c r="I318" s="272"/>
      <c r="J318" s="59" t="s">
        <v>4532</v>
      </c>
      <c r="K318" s="46">
        <v>24950000</v>
      </c>
      <c r="L318" s="2">
        <v>45477</v>
      </c>
      <c r="M318" s="32"/>
      <c r="N318" s="32">
        <v>3216206984</v>
      </c>
      <c r="O318" s="102" t="s">
        <v>5413</v>
      </c>
      <c r="P318" s="52" t="s">
        <v>5414</v>
      </c>
    </row>
    <row r="319" spans="2:16" x14ac:dyDescent="0.25">
      <c r="B319" s="32">
        <v>308</v>
      </c>
      <c r="C319" s="229" t="s">
        <v>5415</v>
      </c>
      <c r="D319" s="229"/>
      <c r="E319" s="229"/>
      <c r="F319" s="229"/>
      <c r="G319" s="229"/>
      <c r="H319" s="229"/>
      <c r="I319" s="229"/>
      <c r="J319" s="59" t="s">
        <v>702</v>
      </c>
      <c r="K319" s="46">
        <v>2890000</v>
      </c>
      <c r="L319" s="2">
        <v>45477</v>
      </c>
      <c r="M319" s="32"/>
      <c r="N319" s="32">
        <v>3104165783</v>
      </c>
      <c r="O319" s="102" t="s">
        <v>4564</v>
      </c>
      <c r="P319" s="65" t="s">
        <v>4565</v>
      </c>
    </row>
    <row r="320" spans="2:16" x14ac:dyDescent="0.25">
      <c r="B320" s="32">
        <v>309</v>
      </c>
      <c r="C320" s="263" t="s">
        <v>5419</v>
      </c>
      <c r="D320" s="229"/>
      <c r="E320" s="229"/>
      <c r="F320" s="229"/>
      <c r="G320" s="229"/>
      <c r="H320" s="229"/>
      <c r="I320" s="229"/>
      <c r="J320" s="59" t="s">
        <v>5416</v>
      </c>
      <c r="K320" s="46">
        <v>13900000</v>
      </c>
      <c r="L320" s="2">
        <v>45477</v>
      </c>
      <c r="M320" s="2"/>
      <c r="N320" s="32"/>
      <c r="O320" s="103" t="s">
        <v>5417</v>
      </c>
      <c r="P320" s="52" t="s">
        <v>5418</v>
      </c>
    </row>
    <row r="321" spans="2:16" x14ac:dyDescent="0.25">
      <c r="B321" s="32">
        <v>310</v>
      </c>
      <c r="C321" s="229" t="s">
        <v>5420</v>
      </c>
      <c r="D321" s="229"/>
      <c r="E321" s="229"/>
      <c r="F321" s="229"/>
      <c r="G321" s="229"/>
      <c r="H321" s="229"/>
      <c r="I321" s="229"/>
      <c r="J321" s="59" t="s">
        <v>4059</v>
      </c>
      <c r="K321" s="46">
        <v>11920000</v>
      </c>
      <c r="L321" s="2">
        <v>45477</v>
      </c>
      <c r="M321" s="32"/>
      <c r="N321" s="32" t="s">
        <v>5410</v>
      </c>
      <c r="O321" s="103"/>
      <c r="P321" s="52"/>
    </row>
    <row r="322" spans="2:16" x14ac:dyDescent="0.25">
      <c r="B322" s="32">
        <v>311</v>
      </c>
      <c r="C322" s="271" t="s">
        <v>5421</v>
      </c>
      <c r="D322" s="272"/>
      <c r="E322" s="272"/>
      <c r="F322" s="272"/>
      <c r="G322" s="272"/>
      <c r="H322" s="272"/>
      <c r="I322" s="272"/>
      <c r="J322" s="59" t="s">
        <v>4977</v>
      </c>
      <c r="K322" s="46">
        <v>9950000</v>
      </c>
      <c r="L322" s="2">
        <v>45478</v>
      </c>
      <c r="M322" s="32"/>
      <c r="N322" s="32">
        <v>3155852559</v>
      </c>
      <c r="O322" s="102" t="s">
        <v>5081</v>
      </c>
      <c r="P322" s="52" t="s">
        <v>1611</v>
      </c>
    </row>
    <row r="323" spans="2:16" x14ac:dyDescent="0.25">
      <c r="B323" s="32">
        <v>312</v>
      </c>
      <c r="C323" s="229" t="s">
        <v>5426</v>
      </c>
      <c r="D323" s="229"/>
      <c r="E323" s="229"/>
      <c r="F323" s="229"/>
      <c r="G323" s="229"/>
      <c r="H323" s="229"/>
      <c r="I323" s="229"/>
      <c r="J323" s="59" t="s">
        <v>5424</v>
      </c>
      <c r="K323" s="46">
        <v>6900000</v>
      </c>
      <c r="L323" s="2">
        <v>45489</v>
      </c>
      <c r="M323" s="32"/>
      <c r="N323" s="32"/>
      <c r="O323" s="103" t="s">
        <v>5423</v>
      </c>
      <c r="P323" s="52" t="s">
        <v>5425</v>
      </c>
    </row>
    <row r="324" spans="2:16" x14ac:dyDescent="0.25">
      <c r="B324" s="32">
        <v>313</v>
      </c>
      <c r="C324" s="229" t="s">
        <v>5429</v>
      </c>
      <c r="D324" s="229"/>
      <c r="E324" s="229"/>
      <c r="F324" s="229"/>
      <c r="G324" s="229"/>
      <c r="H324" s="229"/>
      <c r="I324" s="229"/>
      <c r="J324" s="59" t="s">
        <v>4436</v>
      </c>
      <c r="K324" s="46">
        <v>10540000</v>
      </c>
      <c r="L324" s="2">
        <v>45478</v>
      </c>
      <c r="M324" s="32"/>
      <c r="N324" s="32" t="s">
        <v>5312</v>
      </c>
      <c r="O324" s="102" t="s">
        <v>5427</v>
      </c>
      <c r="P324" s="52" t="s">
        <v>5428</v>
      </c>
    </row>
    <row r="325" spans="2:16" x14ac:dyDescent="0.25">
      <c r="B325" s="32">
        <v>314</v>
      </c>
      <c r="C325" s="229" t="s">
        <v>5430</v>
      </c>
      <c r="D325" s="229"/>
      <c r="E325" s="229"/>
      <c r="F325" s="229"/>
      <c r="G325" s="229"/>
      <c r="H325" s="229"/>
      <c r="I325" s="229"/>
      <c r="J325" s="59" t="s">
        <v>4939</v>
      </c>
      <c r="K325" s="46">
        <v>9950000</v>
      </c>
      <c r="L325" s="2">
        <v>45481</v>
      </c>
      <c r="M325" s="32"/>
      <c r="N325" s="32">
        <v>3014111727</v>
      </c>
      <c r="O325" s="102" t="s">
        <v>4270</v>
      </c>
      <c r="P325" s="52" t="s">
        <v>2235</v>
      </c>
    </row>
    <row r="326" spans="2:16" x14ac:dyDescent="0.25">
      <c r="B326" s="32">
        <v>315</v>
      </c>
      <c r="C326" s="229" t="s">
        <v>5433</v>
      </c>
      <c r="D326" s="229"/>
      <c r="E326" s="229"/>
      <c r="F326" s="229"/>
      <c r="G326" s="229"/>
      <c r="H326" s="229"/>
      <c r="I326" s="229"/>
      <c r="J326" s="59" t="s">
        <v>5431</v>
      </c>
      <c r="K326" s="46">
        <v>3500000</v>
      </c>
      <c r="L326" s="2">
        <v>45483</v>
      </c>
      <c r="M326" s="32"/>
      <c r="N326" s="32" t="s">
        <v>5432</v>
      </c>
      <c r="O326" s="103"/>
      <c r="P326" s="52"/>
    </row>
    <row r="327" spans="2:16" x14ac:dyDescent="0.25">
      <c r="B327" s="32">
        <v>316</v>
      </c>
      <c r="C327" s="229" t="s">
        <v>5435</v>
      </c>
      <c r="D327" s="229"/>
      <c r="E327" s="229"/>
      <c r="F327" s="229"/>
      <c r="G327" s="229"/>
      <c r="H327" s="229"/>
      <c r="I327" s="229"/>
      <c r="J327" s="59" t="s">
        <v>4977</v>
      </c>
      <c r="K327" s="46">
        <v>5500000</v>
      </c>
      <c r="L327" s="2">
        <v>45481</v>
      </c>
      <c r="M327" s="2"/>
      <c r="N327" s="32">
        <v>3224188478</v>
      </c>
      <c r="O327" s="103" t="s">
        <v>5434</v>
      </c>
      <c r="P327" s="38" t="s">
        <v>5061</v>
      </c>
    </row>
    <row r="328" spans="2:16" x14ac:dyDescent="0.25">
      <c r="B328" s="32">
        <v>317</v>
      </c>
      <c r="C328" s="229" t="s">
        <v>5437</v>
      </c>
      <c r="D328" s="229"/>
      <c r="E328" s="229"/>
      <c r="F328" s="229"/>
      <c r="G328" s="229"/>
      <c r="H328" s="229"/>
      <c r="I328" s="229"/>
      <c r="J328" s="59" t="s">
        <v>5436</v>
      </c>
      <c r="K328" s="46">
        <v>5950000</v>
      </c>
      <c r="L328" s="2">
        <v>45482</v>
      </c>
      <c r="M328" s="32"/>
      <c r="N328" s="32">
        <v>3217504190</v>
      </c>
      <c r="O328" s="103" t="s">
        <v>5439</v>
      </c>
      <c r="P328" s="65" t="s">
        <v>5438</v>
      </c>
    </row>
    <row r="329" spans="2:16" x14ac:dyDescent="0.25">
      <c r="B329" s="32">
        <v>318</v>
      </c>
      <c r="C329" s="229" t="s">
        <v>5440</v>
      </c>
      <c r="D329" s="229"/>
      <c r="E329" s="229"/>
      <c r="F329" s="229"/>
      <c r="G329" s="229"/>
      <c r="H329" s="229"/>
      <c r="I329" s="229"/>
      <c r="J329" s="59" t="s">
        <v>5441</v>
      </c>
      <c r="K329" s="46">
        <v>2800000</v>
      </c>
      <c r="L329" s="2">
        <v>45483</v>
      </c>
      <c r="M329" s="32"/>
      <c r="N329" s="32">
        <v>3187163538</v>
      </c>
      <c r="O329" s="102" t="s">
        <v>5442</v>
      </c>
      <c r="P329" s="82"/>
    </row>
    <row r="330" spans="2:16" x14ac:dyDescent="0.25">
      <c r="B330" s="32">
        <v>319</v>
      </c>
      <c r="C330" s="229" t="s">
        <v>5433</v>
      </c>
      <c r="D330" s="229"/>
      <c r="E330" s="229"/>
      <c r="F330" s="229"/>
      <c r="G330" s="229"/>
      <c r="H330" s="229"/>
      <c r="I330" s="229"/>
      <c r="J330" s="59" t="s">
        <v>5431</v>
      </c>
      <c r="K330" s="46">
        <v>3500000</v>
      </c>
      <c r="L330" s="2">
        <v>45483</v>
      </c>
      <c r="M330" s="2"/>
      <c r="N330" s="32" t="s">
        <v>5432</v>
      </c>
      <c r="O330" s="103" t="s">
        <v>5431</v>
      </c>
      <c r="P330" s="52"/>
    </row>
    <row r="331" spans="2:16" x14ac:dyDescent="0.25">
      <c r="B331" s="32">
        <v>320</v>
      </c>
      <c r="C331" s="229" t="s">
        <v>5531</v>
      </c>
      <c r="D331" s="229"/>
      <c r="E331" s="229"/>
      <c r="F331" s="229"/>
      <c r="G331" s="229"/>
      <c r="H331" s="229"/>
      <c r="I331" s="229"/>
      <c r="J331" s="59" t="s">
        <v>702</v>
      </c>
      <c r="K331" s="46">
        <v>42000000</v>
      </c>
      <c r="L331" s="2">
        <v>45497</v>
      </c>
      <c r="M331" s="32"/>
      <c r="N331" s="32">
        <v>3207253060</v>
      </c>
      <c r="O331" s="103" t="s">
        <v>3341</v>
      </c>
      <c r="P331" s="52" t="s">
        <v>5443</v>
      </c>
    </row>
    <row r="332" spans="2:16" x14ac:dyDescent="0.25">
      <c r="B332" s="32">
        <v>321</v>
      </c>
      <c r="C332" s="229" t="s">
        <v>5445</v>
      </c>
      <c r="D332" s="229"/>
      <c r="E332" s="229"/>
      <c r="F332" s="229"/>
      <c r="G332" s="229"/>
      <c r="H332" s="229"/>
      <c r="I332" s="229"/>
      <c r="J332" s="59" t="s">
        <v>5444</v>
      </c>
      <c r="K332" s="46">
        <v>11350000</v>
      </c>
      <c r="L332" s="2">
        <v>45484</v>
      </c>
      <c r="M332" s="32"/>
      <c r="N332" s="32">
        <v>3176461961</v>
      </c>
      <c r="O332" s="32" t="s">
        <v>374</v>
      </c>
      <c r="P332" s="52" t="s">
        <v>3875</v>
      </c>
    </row>
    <row r="333" spans="2:16" x14ac:dyDescent="0.25">
      <c r="B333" s="32">
        <v>322</v>
      </c>
      <c r="C333" s="229" t="s">
        <v>5446</v>
      </c>
      <c r="D333" s="229"/>
      <c r="E333" s="229"/>
      <c r="F333" s="229"/>
      <c r="G333" s="229"/>
      <c r="H333" s="229"/>
      <c r="I333" s="229"/>
      <c r="J333" s="59" t="s">
        <v>5448</v>
      </c>
      <c r="K333" s="46">
        <v>37450000</v>
      </c>
      <c r="L333" s="2">
        <v>45484</v>
      </c>
      <c r="M333" s="32"/>
      <c r="N333" s="32">
        <v>3104513967</v>
      </c>
      <c r="O333" s="103" t="s">
        <v>5447</v>
      </c>
      <c r="P333" s="38" t="s">
        <v>5449</v>
      </c>
    </row>
    <row r="334" spans="2:16" x14ac:dyDescent="0.25">
      <c r="B334" s="32">
        <v>323</v>
      </c>
      <c r="C334" s="271" t="s">
        <v>5451</v>
      </c>
      <c r="D334" s="272"/>
      <c r="E334" s="272"/>
      <c r="F334" s="272"/>
      <c r="G334" s="272"/>
      <c r="H334" s="272"/>
      <c r="I334" s="272"/>
      <c r="J334" s="59" t="s">
        <v>1139</v>
      </c>
      <c r="K334" s="46">
        <v>23950000</v>
      </c>
      <c r="L334" s="2">
        <v>45488</v>
      </c>
      <c r="M334" s="32"/>
      <c r="N334" s="32">
        <v>3147345799</v>
      </c>
      <c r="O334" s="102" t="s">
        <v>5450</v>
      </c>
      <c r="P334" s="52" t="s">
        <v>5388</v>
      </c>
    </row>
    <row r="335" spans="2:16" x14ac:dyDescent="0.25">
      <c r="B335" s="32">
        <v>324</v>
      </c>
      <c r="C335" s="229" t="s">
        <v>5452</v>
      </c>
      <c r="D335" s="229"/>
      <c r="E335" s="229"/>
      <c r="F335" s="229"/>
      <c r="G335" s="229"/>
      <c r="H335" s="229"/>
      <c r="I335" s="229"/>
      <c r="J335" s="59" t="s">
        <v>702</v>
      </c>
      <c r="K335" s="46">
        <v>1950000</v>
      </c>
      <c r="L335" s="2">
        <v>45488</v>
      </c>
      <c r="M335" s="32"/>
      <c r="N335" s="32">
        <v>3104165783</v>
      </c>
      <c r="O335" s="102" t="s">
        <v>4564</v>
      </c>
      <c r="P335" s="65" t="s">
        <v>4565</v>
      </c>
    </row>
    <row r="336" spans="2:16" x14ac:dyDescent="0.25">
      <c r="B336" s="32">
        <v>325</v>
      </c>
      <c r="C336" s="229" t="s">
        <v>5453</v>
      </c>
      <c r="D336" s="229"/>
      <c r="E336" s="229"/>
      <c r="F336" s="229"/>
      <c r="G336" s="229"/>
      <c r="H336" s="229"/>
      <c r="I336" s="229"/>
      <c r="J336" s="59" t="s">
        <v>702</v>
      </c>
      <c r="K336" s="46">
        <v>16930000</v>
      </c>
      <c r="L336" s="2">
        <v>45489</v>
      </c>
      <c r="M336" s="32"/>
      <c r="N336" s="32">
        <v>3104165783</v>
      </c>
      <c r="O336" s="102" t="s">
        <v>4564</v>
      </c>
      <c r="P336" s="65" t="s">
        <v>4565</v>
      </c>
    </row>
    <row r="337" spans="2:16" x14ac:dyDescent="0.25">
      <c r="B337" s="32">
        <v>326</v>
      </c>
      <c r="C337" s="271" t="s">
        <v>5454</v>
      </c>
      <c r="D337" s="272"/>
      <c r="E337" s="272"/>
      <c r="F337" s="272"/>
      <c r="G337" s="272"/>
      <c r="H337" s="272"/>
      <c r="I337" s="272"/>
      <c r="J337" s="64" t="s">
        <v>702</v>
      </c>
      <c r="K337" s="46">
        <v>1300000</v>
      </c>
      <c r="L337" s="2">
        <v>45490</v>
      </c>
      <c r="M337" s="32"/>
      <c r="N337" s="32">
        <v>3104165783</v>
      </c>
      <c r="O337" s="102" t="s">
        <v>4564</v>
      </c>
      <c r="P337" s="65" t="s">
        <v>4565</v>
      </c>
    </row>
    <row r="338" spans="2:16" x14ac:dyDescent="0.25">
      <c r="B338" s="32">
        <v>327</v>
      </c>
      <c r="C338" s="271" t="s">
        <v>5457</v>
      </c>
      <c r="D338" s="272"/>
      <c r="E338" s="272"/>
      <c r="F338" s="272"/>
      <c r="G338" s="272"/>
      <c r="H338" s="272"/>
      <c r="I338" s="272"/>
      <c r="J338" s="59" t="s">
        <v>5455</v>
      </c>
      <c r="K338" s="46">
        <v>16200000</v>
      </c>
      <c r="L338" s="2">
        <v>45489</v>
      </c>
      <c r="M338" s="32"/>
      <c r="N338" s="51">
        <v>3006680526</v>
      </c>
      <c r="O338" s="102" t="s">
        <v>5462</v>
      </c>
      <c r="P338" s="52" t="s">
        <v>5456</v>
      </c>
    </row>
    <row r="339" spans="2:16" x14ac:dyDescent="0.25">
      <c r="B339" s="32">
        <v>328</v>
      </c>
      <c r="C339" s="271" t="s">
        <v>5461</v>
      </c>
      <c r="D339" s="272"/>
      <c r="E339" s="272"/>
      <c r="F339" s="272"/>
      <c r="G339" s="272"/>
      <c r="H339" s="272"/>
      <c r="I339" s="272"/>
      <c r="J339" s="23" t="s">
        <v>5460</v>
      </c>
      <c r="K339" s="46">
        <v>19000000</v>
      </c>
      <c r="L339" s="2">
        <v>45489</v>
      </c>
      <c r="M339" s="32"/>
      <c r="N339" s="32">
        <v>3227013</v>
      </c>
      <c r="O339" s="103" t="s">
        <v>5458</v>
      </c>
      <c r="P339" s="52" t="s">
        <v>5459</v>
      </c>
    </row>
    <row r="340" spans="2:16" x14ac:dyDescent="0.25">
      <c r="B340" s="32">
        <v>329</v>
      </c>
      <c r="C340" s="229" t="s">
        <v>5467</v>
      </c>
      <c r="D340" s="229"/>
      <c r="E340" s="229"/>
      <c r="F340" s="229"/>
      <c r="G340" s="229"/>
      <c r="H340" s="229"/>
      <c r="I340" s="229"/>
      <c r="J340" s="59" t="s">
        <v>5466</v>
      </c>
      <c r="K340" s="46">
        <v>29950000</v>
      </c>
      <c r="L340" s="2">
        <v>45498</v>
      </c>
      <c r="M340" s="32"/>
      <c r="N340" s="32" t="s">
        <v>5465</v>
      </c>
      <c r="O340" s="102" t="s">
        <v>5463</v>
      </c>
      <c r="P340" s="52" t="s">
        <v>5464</v>
      </c>
    </row>
    <row r="341" spans="2:16" x14ac:dyDescent="0.25">
      <c r="B341" s="32">
        <v>330</v>
      </c>
      <c r="C341" s="273" t="s">
        <v>5468</v>
      </c>
      <c r="D341" s="274"/>
      <c r="E341" s="274"/>
      <c r="F341" s="274"/>
      <c r="G341" s="274"/>
      <c r="H341" s="274"/>
      <c r="I341" s="274"/>
      <c r="J341" s="59" t="s">
        <v>5466</v>
      </c>
      <c r="K341" s="46">
        <v>98950000</v>
      </c>
      <c r="L341" s="2">
        <v>45498</v>
      </c>
      <c r="M341" s="32"/>
      <c r="N341" s="32" t="s">
        <v>5465</v>
      </c>
      <c r="O341" s="102" t="s">
        <v>5463</v>
      </c>
      <c r="P341" s="52" t="s">
        <v>5464</v>
      </c>
    </row>
    <row r="342" spans="2:16" x14ac:dyDescent="0.25">
      <c r="B342" s="32">
        <v>331</v>
      </c>
      <c r="C342" s="229" t="s">
        <v>5471</v>
      </c>
      <c r="D342" s="229"/>
      <c r="E342" s="229"/>
      <c r="F342" s="229"/>
      <c r="G342" s="229"/>
      <c r="H342" s="229"/>
      <c r="I342" s="229"/>
      <c r="J342" s="59" t="s">
        <v>774</v>
      </c>
      <c r="K342" s="46">
        <v>65940000</v>
      </c>
      <c r="L342" s="2">
        <v>45492</v>
      </c>
      <c r="M342" s="32"/>
      <c r="N342" s="32">
        <v>3006029935</v>
      </c>
      <c r="O342" s="103" t="s">
        <v>5469</v>
      </c>
      <c r="P342" s="52" t="s">
        <v>5470</v>
      </c>
    </row>
    <row r="343" spans="2:16" ht="15" customHeight="1" x14ac:dyDescent="0.25">
      <c r="B343" s="32">
        <v>332</v>
      </c>
      <c r="C343" s="229" t="s">
        <v>5473</v>
      </c>
      <c r="D343" s="229"/>
      <c r="E343" s="229"/>
      <c r="F343" s="229"/>
      <c r="G343" s="229"/>
      <c r="H343" s="229"/>
      <c r="I343" s="229"/>
      <c r="J343" s="59" t="s">
        <v>5472</v>
      </c>
      <c r="K343" s="46">
        <v>4390000</v>
      </c>
      <c r="L343" s="2">
        <v>45490</v>
      </c>
      <c r="M343" s="32"/>
      <c r="N343" s="32" t="s">
        <v>2908</v>
      </c>
      <c r="O343" s="102" t="s">
        <v>4963</v>
      </c>
      <c r="P343" s="52" t="s">
        <v>4960</v>
      </c>
    </row>
    <row r="344" spans="2:16" x14ac:dyDescent="0.25">
      <c r="B344" s="32">
        <v>333</v>
      </c>
      <c r="C344" s="229" t="s">
        <v>5475</v>
      </c>
      <c r="D344" s="229"/>
      <c r="E344" s="229"/>
      <c r="F344" s="229"/>
      <c r="G344" s="229"/>
      <c r="H344" s="229"/>
      <c r="I344" s="229"/>
      <c r="J344" s="59" t="s">
        <v>5474</v>
      </c>
      <c r="K344" s="46">
        <v>6270000</v>
      </c>
      <c r="L344" s="2">
        <v>45490</v>
      </c>
      <c r="M344" s="32"/>
      <c r="N344" s="32" t="s">
        <v>5476</v>
      </c>
      <c r="O344" s="103" t="s">
        <v>5477</v>
      </c>
      <c r="P344" s="52" t="s">
        <v>5478</v>
      </c>
    </row>
    <row r="345" spans="2:16" x14ac:dyDescent="0.25">
      <c r="B345" s="32">
        <v>334</v>
      </c>
      <c r="C345" s="263" t="s">
        <v>5480</v>
      </c>
      <c r="D345" s="229"/>
      <c r="E345" s="229"/>
      <c r="F345" s="229"/>
      <c r="G345" s="229"/>
      <c r="H345" s="229"/>
      <c r="I345" s="229"/>
      <c r="J345" s="59" t="s">
        <v>4939</v>
      </c>
      <c r="K345" s="46">
        <v>15750000</v>
      </c>
      <c r="L345" s="2">
        <v>45490</v>
      </c>
      <c r="M345" s="32"/>
      <c r="N345" s="32">
        <v>3206678830</v>
      </c>
      <c r="O345" s="102" t="s">
        <v>5109</v>
      </c>
      <c r="P345" s="52" t="s">
        <v>948</v>
      </c>
    </row>
    <row r="346" spans="2:16" x14ac:dyDescent="0.25">
      <c r="B346" s="32">
        <v>335</v>
      </c>
      <c r="C346" s="229" t="s">
        <v>5479</v>
      </c>
      <c r="D346" s="229"/>
      <c r="E346" s="229"/>
      <c r="F346" s="229"/>
      <c r="G346" s="229"/>
      <c r="H346" s="229"/>
      <c r="I346" s="229"/>
      <c r="J346" s="59" t="s">
        <v>4390</v>
      </c>
      <c r="K346" s="46">
        <v>69990000</v>
      </c>
      <c r="L346" s="2">
        <v>45493</v>
      </c>
      <c r="M346" s="32"/>
      <c r="N346" s="32">
        <v>3113391008</v>
      </c>
      <c r="O346" s="102" t="s">
        <v>372</v>
      </c>
      <c r="P346" s="52" t="s">
        <v>2561</v>
      </c>
    </row>
    <row r="347" spans="2:16" x14ac:dyDescent="0.25">
      <c r="B347" s="32">
        <v>336</v>
      </c>
      <c r="C347" s="229" t="s">
        <v>5481</v>
      </c>
      <c r="D347" s="229"/>
      <c r="E347" s="229"/>
      <c r="F347" s="229"/>
      <c r="G347" s="229"/>
      <c r="H347" s="229"/>
      <c r="I347" s="229"/>
      <c r="J347" s="59" t="s">
        <v>4390</v>
      </c>
      <c r="K347" s="46">
        <v>15050000</v>
      </c>
      <c r="L347" s="2">
        <v>45491</v>
      </c>
      <c r="M347" s="32"/>
      <c r="N347" s="32">
        <v>3113391008</v>
      </c>
      <c r="O347" s="102" t="s">
        <v>372</v>
      </c>
      <c r="P347" s="52" t="s">
        <v>2561</v>
      </c>
    </row>
    <row r="348" spans="2:16" x14ac:dyDescent="0.25">
      <c r="B348" s="32">
        <v>337</v>
      </c>
      <c r="C348" s="263" t="s">
        <v>5530</v>
      </c>
      <c r="D348" s="229"/>
      <c r="E348" s="229"/>
      <c r="F348" s="229"/>
      <c r="G348" s="229"/>
      <c r="H348" s="229"/>
      <c r="I348" s="229"/>
      <c r="J348" s="59" t="s">
        <v>2743</v>
      </c>
      <c r="K348" s="46">
        <v>28970000</v>
      </c>
      <c r="L348" s="2">
        <v>45492</v>
      </c>
      <c r="M348" s="32"/>
      <c r="N348" s="32" t="s">
        <v>5482</v>
      </c>
      <c r="O348" s="103" t="s">
        <v>2045</v>
      </c>
      <c r="P348" s="38" t="s">
        <v>748</v>
      </c>
    </row>
    <row r="349" spans="2:16" x14ac:dyDescent="0.25">
      <c r="B349" s="32">
        <v>338</v>
      </c>
      <c r="C349" s="229" t="s">
        <v>5498</v>
      </c>
      <c r="D349" s="229"/>
      <c r="E349" s="229"/>
      <c r="F349" s="229"/>
      <c r="G349" s="229"/>
      <c r="H349" s="229"/>
      <c r="I349" s="229"/>
      <c r="J349" s="59" t="s">
        <v>712</v>
      </c>
      <c r="K349" s="46">
        <v>26500000</v>
      </c>
      <c r="L349" s="2">
        <v>45492</v>
      </c>
      <c r="M349" s="32"/>
      <c r="N349" s="32">
        <v>3137851941</v>
      </c>
      <c r="O349" s="103" t="s">
        <v>4126</v>
      </c>
      <c r="P349" s="52" t="s">
        <v>713</v>
      </c>
    </row>
    <row r="350" spans="2:16" ht="15" customHeight="1" x14ac:dyDescent="0.25">
      <c r="B350" s="32">
        <v>339</v>
      </c>
      <c r="C350" s="229" t="s">
        <v>5483</v>
      </c>
      <c r="D350" s="229"/>
      <c r="E350" s="229"/>
      <c r="F350" s="229"/>
      <c r="G350" s="229"/>
      <c r="H350" s="229"/>
      <c r="I350" s="229"/>
      <c r="J350" s="59" t="s">
        <v>702</v>
      </c>
      <c r="K350" s="46">
        <v>8130000</v>
      </c>
      <c r="L350" s="2">
        <v>45491</v>
      </c>
      <c r="M350" s="32"/>
      <c r="N350" s="32">
        <v>3104165783</v>
      </c>
      <c r="O350" s="103" t="s">
        <v>4564</v>
      </c>
      <c r="P350" s="52" t="s">
        <v>4565</v>
      </c>
    </row>
    <row r="351" spans="2:16" ht="15" customHeight="1" x14ac:dyDescent="0.25">
      <c r="B351" s="32">
        <v>340</v>
      </c>
      <c r="C351" s="229" t="s">
        <v>5484</v>
      </c>
      <c r="D351" s="229"/>
      <c r="E351" s="229"/>
      <c r="F351" s="229"/>
      <c r="G351" s="229"/>
      <c r="H351" s="229"/>
      <c r="I351" s="229"/>
      <c r="J351" s="59" t="s">
        <v>880</v>
      </c>
      <c r="K351" s="46">
        <v>4350000</v>
      </c>
      <c r="L351" s="2">
        <v>45491</v>
      </c>
      <c r="M351" s="32"/>
      <c r="N351" s="57">
        <v>5712357612</v>
      </c>
      <c r="O351" s="103" t="s">
        <v>4009</v>
      </c>
      <c r="P351" s="52" t="s">
        <v>1854</v>
      </c>
    </row>
    <row r="352" spans="2:16" x14ac:dyDescent="0.25">
      <c r="B352" s="32">
        <v>341</v>
      </c>
      <c r="C352" s="271" t="s">
        <v>5489</v>
      </c>
      <c r="D352" s="272"/>
      <c r="E352" s="272"/>
      <c r="F352" s="272"/>
      <c r="G352" s="272"/>
      <c r="H352" s="272"/>
      <c r="I352" s="272"/>
      <c r="J352" s="59" t="s">
        <v>5488</v>
      </c>
      <c r="K352" s="46">
        <v>21990000</v>
      </c>
      <c r="L352" s="2">
        <v>45493</v>
      </c>
      <c r="M352" s="32"/>
      <c r="N352" s="32" t="s">
        <v>5487</v>
      </c>
      <c r="O352" s="102" t="s">
        <v>5485</v>
      </c>
      <c r="P352" s="52" t="s">
        <v>5486</v>
      </c>
    </row>
    <row r="353" spans="2:16" x14ac:dyDescent="0.25">
      <c r="B353" s="32">
        <v>342</v>
      </c>
      <c r="C353" s="263" t="s">
        <v>5493</v>
      </c>
      <c r="D353" s="229"/>
      <c r="E353" s="229"/>
      <c r="F353" s="229"/>
      <c r="G353" s="229"/>
      <c r="H353" s="229"/>
      <c r="I353" s="229"/>
      <c r="J353" s="59" t="s">
        <v>5491</v>
      </c>
      <c r="K353" s="46">
        <v>6950000</v>
      </c>
      <c r="L353" s="2">
        <v>45491</v>
      </c>
      <c r="M353" s="32"/>
      <c r="N353" s="32">
        <v>3146209756</v>
      </c>
      <c r="O353" s="103" t="s">
        <v>5490</v>
      </c>
      <c r="P353" s="65" t="s">
        <v>5492</v>
      </c>
    </row>
    <row r="354" spans="2:16" x14ac:dyDescent="0.25">
      <c r="B354" s="32">
        <v>343</v>
      </c>
      <c r="C354" s="229" t="s">
        <v>5494</v>
      </c>
      <c r="D354" s="229"/>
      <c r="E354" s="229"/>
      <c r="F354" s="229"/>
      <c r="G354" s="229"/>
      <c r="H354" s="229"/>
      <c r="I354" s="229"/>
      <c r="J354" s="59" t="s">
        <v>5495</v>
      </c>
      <c r="K354" s="46">
        <v>6550000</v>
      </c>
      <c r="L354" s="2">
        <v>45491</v>
      </c>
      <c r="M354" s="32"/>
      <c r="N354" s="32"/>
      <c r="O354" s="102"/>
      <c r="P354" s="52"/>
    </row>
    <row r="355" spans="2:16" x14ac:dyDescent="0.25">
      <c r="B355" s="32">
        <v>344</v>
      </c>
      <c r="C355" s="263" t="s">
        <v>5496</v>
      </c>
      <c r="D355" s="229"/>
      <c r="E355" s="229"/>
      <c r="F355" s="229"/>
      <c r="G355" s="229"/>
      <c r="H355" s="229"/>
      <c r="I355" s="229"/>
      <c r="J355" s="59" t="s">
        <v>5497</v>
      </c>
      <c r="K355" s="46">
        <v>5950000</v>
      </c>
      <c r="L355" s="2">
        <v>45491</v>
      </c>
      <c r="M355" s="32"/>
      <c r="N355" s="51"/>
      <c r="O355" s="102"/>
      <c r="P355" s="52"/>
    </row>
    <row r="356" spans="2:16" x14ac:dyDescent="0.25">
      <c r="B356" s="32">
        <v>345</v>
      </c>
      <c r="C356" s="229" t="s">
        <v>5499</v>
      </c>
      <c r="D356" s="229"/>
      <c r="E356" s="229"/>
      <c r="F356" s="229"/>
      <c r="G356" s="229"/>
      <c r="H356" s="229"/>
      <c r="I356" s="229"/>
      <c r="J356" s="59" t="s">
        <v>4977</v>
      </c>
      <c r="K356" s="46">
        <v>2500000</v>
      </c>
      <c r="L356" s="2">
        <v>45492</v>
      </c>
      <c r="M356" s="32"/>
      <c r="N356" s="32">
        <v>3224188478</v>
      </c>
      <c r="O356" s="102" t="s">
        <v>5060</v>
      </c>
      <c r="P356" s="52" t="s">
        <v>5061</v>
      </c>
    </row>
    <row r="357" spans="2:16" x14ac:dyDescent="0.25">
      <c r="B357" s="32">
        <v>346</v>
      </c>
      <c r="C357" s="271" t="s">
        <v>5503</v>
      </c>
      <c r="D357" s="272"/>
      <c r="E357" s="272"/>
      <c r="F357" s="272"/>
      <c r="G357" s="272"/>
      <c r="H357" s="272"/>
      <c r="I357" s="272"/>
      <c r="J357" s="59" t="s">
        <v>5501</v>
      </c>
      <c r="K357" s="46">
        <v>16350000</v>
      </c>
      <c r="L357" s="2">
        <v>45495</v>
      </c>
      <c r="M357" s="2"/>
      <c r="N357" s="32">
        <v>3204501343</v>
      </c>
      <c r="O357" s="102" t="s">
        <v>5500</v>
      </c>
      <c r="P357" s="52" t="s">
        <v>5502</v>
      </c>
    </row>
    <row r="358" spans="2:16" ht="15" customHeight="1" x14ac:dyDescent="0.25">
      <c r="B358" s="32">
        <v>347</v>
      </c>
      <c r="C358" s="280" t="s">
        <v>5504</v>
      </c>
      <c r="D358" s="281"/>
      <c r="E358" s="281"/>
      <c r="F358" s="281"/>
      <c r="G358" s="281"/>
      <c r="H358" s="281"/>
      <c r="I358" s="282"/>
      <c r="J358" s="59" t="s">
        <v>702</v>
      </c>
      <c r="K358" s="46">
        <v>8150000</v>
      </c>
      <c r="L358" s="2">
        <v>45495</v>
      </c>
      <c r="M358" s="32"/>
      <c r="N358" s="32">
        <v>3104165783</v>
      </c>
      <c r="O358" s="103" t="s">
        <v>4564</v>
      </c>
      <c r="P358" s="52" t="s">
        <v>4565</v>
      </c>
    </row>
    <row r="359" spans="2:16" ht="15" customHeight="1" x14ac:dyDescent="0.25">
      <c r="B359" s="32">
        <v>348</v>
      </c>
      <c r="C359" s="280" t="s">
        <v>5504</v>
      </c>
      <c r="D359" s="281"/>
      <c r="E359" s="281"/>
      <c r="F359" s="281"/>
      <c r="G359" s="281"/>
      <c r="H359" s="281"/>
      <c r="I359" s="282"/>
      <c r="J359" s="59" t="s">
        <v>3396</v>
      </c>
      <c r="K359" s="46">
        <v>8150000</v>
      </c>
      <c r="L359" s="2">
        <v>45495</v>
      </c>
      <c r="M359" s="32"/>
      <c r="N359" s="51">
        <v>6043523434</v>
      </c>
      <c r="O359" s="102" t="s">
        <v>5505</v>
      </c>
      <c r="P359" s="52" t="s">
        <v>1748</v>
      </c>
    </row>
    <row r="360" spans="2:16" x14ac:dyDescent="0.25">
      <c r="B360" s="32">
        <v>349</v>
      </c>
      <c r="C360" s="280" t="s">
        <v>5506</v>
      </c>
      <c r="D360" s="281"/>
      <c r="E360" s="281"/>
      <c r="F360" s="281"/>
      <c r="G360" s="281"/>
      <c r="H360" s="281"/>
      <c r="I360" s="282"/>
      <c r="J360" s="59" t="s">
        <v>1139</v>
      </c>
      <c r="K360" s="46">
        <v>8780000</v>
      </c>
      <c r="L360" s="2">
        <v>45499</v>
      </c>
      <c r="M360" s="32"/>
      <c r="N360" s="51"/>
      <c r="O360" s="102" t="s">
        <v>3575</v>
      </c>
      <c r="P360" s="52"/>
    </row>
    <row r="361" spans="2:16" ht="15" customHeight="1" x14ac:dyDescent="0.25">
      <c r="B361" s="32">
        <v>350</v>
      </c>
      <c r="C361" s="280" t="s">
        <v>5507</v>
      </c>
      <c r="D361" s="281"/>
      <c r="E361" s="281"/>
      <c r="F361" s="281"/>
      <c r="G361" s="281"/>
      <c r="H361" s="281"/>
      <c r="I361" s="282"/>
      <c r="J361" s="59" t="s">
        <v>5491</v>
      </c>
      <c r="K361" s="46">
        <v>6950000</v>
      </c>
      <c r="L361" s="2">
        <v>45491</v>
      </c>
      <c r="M361" s="32"/>
      <c r="N361" s="32">
        <v>3146209756</v>
      </c>
      <c r="O361" s="103" t="s">
        <v>5490</v>
      </c>
      <c r="P361" s="65" t="s">
        <v>5492</v>
      </c>
    </row>
    <row r="362" spans="2:16" x14ac:dyDescent="0.25">
      <c r="B362" s="32">
        <v>351</v>
      </c>
      <c r="C362" s="271" t="s">
        <v>5509</v>
      </c>
      <c r="D362" s="272"/>
      <c r="E362" s="272"/>
      <c r="F362" s="272"/>
      <c r="G362" s="272"/>
      <c r="H362" s="272"/>
      <c r="I362" s="272"/>
      <c r="J362" s="59" t="s">
        <v>5295</v>
      </c>
      <c r="K362" s="46">
        <v>29650000</v>
      </c>
      <c r="L362" s="2">
        <v>45496</v>
      </c>
      <c r="M362" s="32"/>
      <c r="N362" s="32">
        <v>3143624300</v>
      </c>
      <c r="O362" s="102" t="s">
        <v>5508</v>
      </c>
      <c r="P362" s="52" t="s">
        <v>5293</v>
      </c>
    </row>
    <row r="363" spans="2:16" x14ac:dyDescent="0.25">
      <c r="B363" s="32">
        <v>352</v>
      </c>
      <c r="C363" s="263" t="s">
        <v>5510</v>
      </c>
      <c r="D363" s="229"/>
      <c r="E363" s="229"/>
      <c r="F363" s="229"/>
      <c r="G363" s="229"/>
      <c r="H363" s="229"/>
      <c r="I363" s="229"/>
      <c r="J363" s="59" t="s">
        <v>5295</v>
      </c>
      <c r="K363" s="46">
        <v>19450000</v>
      </c>
      <c r="L363" s="2">
        <v>45496</v>
      </c>
      <c r="M363" s="32"/>
      <c r="N363" s="32">
        <v>3143624300</v>
      </c>
      <c r="O363" s="102" t="s">
        <v>5508</v>
      </c>
      <c r="P363" s="52" t="s">
        <v>5293</v>
      </c>
    </row>
    <row r="364" spans="2:16" x14ac:dyDescent="0.25">
      <c r="B364" s="32">
        <v>353</v>
      </c>
      <c r="C364" s="271" t="s">
        <v>5514</v>
      </c>
      <c r="D364" s="272"/>
      <c r="E364" s="272"/>
      <c r="F364" s="272"/>
      <c r="G364" s="272"/>
      <c r="H364" s="272"/>
      <c r="I364" s="272"/>
      <c r="J364" s="59" t="s">
        <v>5511</v>
      </c>
      <c r="K364" s="46">
        <v>9410000</v>
      </c>
      <c r="L364" s="2">
        <v>45496</v>
      </c>
      <c r="M364" s="32"/>
      <c r="N364" s="32" t="s">
        <v>5512</v>
      </c>
      <c r="O364" s="103" t="s">
        <v>5511</v>
      </c>
      <c r="P364" s="52" t="s">
        <v>5513</v>
      </c>
    </row>
    <row r="365" spans="2:16" x14ac:dyDescent="0.25">
      <c r="B365" s="32">
        <v>354</v>
      </c>
      <c r="C365" s="271" t="s">
        <v>5515</v>
      </c>
      <c r="D365" s="272"/>
      <c r="E365" s="272"/>
      <c r="F365" s="272"/>
      <c r="G365" s="272"/>
      <c r="H365" s="272"/>
      <c r="I365" s="272"/>
      <c r="J365" s="59" t="s">
        <v>702</v>
      </c>
      <c r="K365" s="46">
        <v>90000000</v>
      </c>
      <c r="L365" s="2">
        <v>45498</v>
      </c>
      <c r="M365" s="32"/>
      <c r="N365" s="32">
        <v>3104165783</v>
      </c>
      <c r="O365" s="103" t="s">
        <v>4564</v>
      </c>
      <c r="P365" s="52" t="s">
        <v>4565</v>
      </c>
    </row>
    <row r="366" spans="2:16" x14ac:dyDescent="0.25">
      <c r="B366" s="32">
        <v>355</v>
      </c>
      <c r="C366" s="229" t="s">
        <v>5518</v>
      </c>
      <c r="D366" s="229"/>
      <c r="E366" s="229"/>
      <c r="F366" s="229"/>
      <c r="G366" s="229"/>
      <c r="H366" s="229"/>
      <c r="I366" s="229"/>
      <c r="J366" s="59" t="s">
        <v>5356</v>
      </c>
      <c r="K366" s="46">
        <v>11950000</v>
      </c>
      <c r="L366" s="2">
        <v>45497</v>
      </c>
      <c r="M366" s="32"/>
      <c r="N366" s="32">
        <v>6043272</v>
      </c>
      <c r="O366" s="103" t="s">
        <v>5516</v>
      </c>
      <c r="P366" s="38" t="s">
        <v>5517</v>
      </c>
    </row>
    <row r="367" spans="2:16" x14ac:dyDescent="0.25">
      <c r="B367" s="32">
        <v>356</v>
      </c>
      <c r="C367" s="229" t="s">
        <v>5519</v>
      </c>
      <c r="D367" s="229"/>
      <c r="E367" s="229"/>
      <c r="F367" s="229"/>
      <c r="G367" s="229"/>
      <c r="H367" s="229"/>
      <c r="I367" s="229"/>
      <c r="J367" s="59" t="s">
        <v>5356</v>
      </c>
      <c r="K367" s="46">
        <v>5000000</v>
      </c>
      <c r="L367" s="2">
        <v>45497</v>
      </c>
      <c r="M367" s="32"/>
      <c r="N367" s="32">
        <v>6043272</v>
      </c>
      <c r="O367" s="103" t="s">
        <v>5516</v>
      </c>
      <c r="P367" s="38" t="s">
        <v>5517</v>
      </c>
    </row>
    <row r="368" spans="2:16" x14ac:dyDescent="0.25">
      <c r="B368" s="32">
        <v>357</v>
      </c>
      <c r="C368" s="271" t="s">
        <v>5520</v>
      </c>
      <c r="D368" s="272"/>
      <c r="E368" s="272"/>
      <c r="F368" s="272"/>
      <c r="G368" s="272"/>
      <c r="H368" s="272"/>
      <c r="I368" s="272"/>
      <c r="J368" s="59" t="s">
        <v>4939</v>
      </c>
      <c r="K368" s="46">
        <v>1600000</v>
      </c>
      <c r="L368" s="2">
        <v>45497</v>
      </c>
      <c r="M368" s="32"/>
      <c r="N368" s="32">
        <v>3014111727</v>
      </c>
      <c r="O368" s="103" t="s">
        <v>5521</v>
      </c>
      <c r="P368" s="52" t="s">
        <v>2235</v>
      </c>
    </row>
    <row r="369" spans="2:16" x14ac:dyDescent="0.25">
      <c r="B369" s="32">
        <v>358</v>
      </c>
      <c r="C369" s="229" t="s">
        <v>5522</v>
      </c>
      <c r="D369" s="229"/>
      <c r="E369" s="229"/>
      <c r="F369" s="229"/>
      <c r="G369" s="229"/>
      <c r="H369" s="229"/>
      <c r="I369" s="229"/>
      <c r="J369" s="59" t="s">
        <v>3965</v>
      </c>
      <c r="K369" s="46">
        <v>21950000</v>
      </c>
      <c r="L369" s="2">
        <v>45497</v>
      </c>
      <c r="M369" s="2"/>
      <c r="N369" s="32" t="s">
        <v>3967</v>
      </c>
      <c r="O369" s="32" t="s">
        <v>3966</v>
      </c>
      <c r="P369" s="52" t="s">
        <v>3972</v>
      </c>
    </row>
    <row r="370" spans="2:16" x14ac:dyDescent="0.25">
      <c r="B370" s="32">
        <v>359</v>
      </c>
      <c r="C370" s="229" t="s">
        <v>5523</v>
      </c>
      <c r="D370" s="229"/>
      <c r="E370" s="229"/>
      <c r="F370" s="229"/>
      <c r="G370" s="229"/>
      <c r="H370" s="229"/>
      <c r="I370" s="229"/>
      <c r="J370" s="59" t="s">
        <v>3965</v>
      </c>
      <c r="K370" s="46">
        <v>1250000</v>
      </c>
      <c r="L370" s="2">
        <v>45497</v>
      </c>
      <c r="M370" s="2"/>
      <c r="N370" s="32" t="s">
        <v>3967</v>
      </c>
      <c r="O370" s="32" t="s">
        <v>3966</v>
      </c>
      <c r="P370" s="52" t="s">
        <v>3972</v>
      </c>
    </row>
    <row r="371" spans="2:16" x14ac:dyDescent="0.25">
      <c r="B371" s="32">
        <v>360</v>
      </c>
      <c r="C371" s="229" t="s">
        <v>5547</v>
      </c>
      <c r="D371" s="229"/>
      <c r="E371" s="229"/>
      <c r="F371" s="229"/>
      <c r="G371" s="229"/>
      <c r="H371" s="229"/>
      <c r="I371" s="229"/>
      <c r="J371" s="59" t="s">
        <v>4436</v>
      </c>
      <c r="K371" s="46">
        <v>5000000</v>
      </c>
      <c r="L371" s="2">
        <v>45497</v>
      </c>
      <c r="M371" s="2"/>
      <c r="N371" s="32">
        <v>3102615669</v>
      </c>
      <c r="O371" s="103" t="s">
        <v>5524</v>
      </c>
      <c r="P371" s="52" t="s">
        <v>5525</v>
      </c>
    </row>
    <row r="372" spans="2:16" x14ac:dyDescent="0.25">
      <c r="B372" s="32">
        <v>361</v>
      </c>
      <c r="C372" s="229" t="s">
        <v>5529</v>
      </c>
      <c r="D372" s="229"/>
      <c r="E372" s="229"/>
      <c r="F372" s="229"/>
      <c r="G372" s="229"/>
      <c r="H372" s="229"/>
      <c r="I372" s="229"/>
      <c r="J372" s="59" t="s">
        <v>5528</v>
      </c>
      <c r="K372" s="46">
        <v>7550000</v>
      </c>
      <c r="L372" s="2">
        <v>45497</v>
      </c>
      <c r="M372" s="32"/>
      <c r="N372" s="32">
        <v>3187826824</v>
      </c>
      <c r="O372" s="103" t="s">
        <v>5527</v>
      </c>
      <c r="P372" s="52" t="s">
        <v>5526</v>
      </c>
    </row>
    <row r="373" spans="2:16" x14ac:dyDescent="0.25">
      <c r="B373" s="32">
        <v>362</v>
      </c>
      <c r="C373" s="229" t="s">
        <v>5534</v>
      </c>
      <c r="D373" s="229"/>
      <c r="E373" s="229"/>
      <c r="F373" s="229"/>
      <c r="G373" s="229"/>
      <c r="H373" s="229"/>
      <c r="I373" s="229"/>
      <c r="J373" s="59" t="s">
        <v>5533</v>
      </c>
      <c r="K373" s="46">
        <v>24950000</v>
      </c>
      <c r="L373" s="2">
        <v>45498</v>
      </c>
      <c r="M373" s="32"/>
      <c r="N373" s="32">
        <v>3117118994</v>
      </c>
      <c r="O373" s="103" t="s">
        <v>5532</v>
      </c>
      <c r="P373" s="52" t="s">
        <v>5540</v>
      </c>
    </row>
    <row r="374" spans="2:16" x14ac:dyDescent="0.25">
      <c r="B374" s="32">
        <v>363</v>
      </c>
      <c r="C374" s="271" t="s">
        <v>5538</v>
      </c>
      <c r="D374" s="272"/>
      <c r="E374" s="272"/>
      <c r="F374" s="272"/>
      <c r="G374" s="272"/>
      <c r="H374" s="272"/>
      <c r="I374" s="272"/>
      <c r="J374" s="59" t="s">
        <v>5535</v>
      </c>
      <c r="K374" s="46" t="s">
        <v>381</v>
      </c>
      <c r="L374" s="2">
        <v>45498</v>
      </c>
      <c r="M374" s="32"/>
      <c r="N374" s="32">
        <v>2541055</v>
      </c>
      <c r="O374" s="103" t="s">
        <v>5536</v>
      </c>
      <c r="P374" s="52" t="s">
        <v>5537</v>
      </c>
    </row>
    <row r="375" spans="2:16" x14ac:dyDescent="0.25">
      <c r="B375" s="32">
        <v>364</v>
      </c>
      <c r="C375" s="271" t="s">
        <v>5539</v>
      </c>
      <c r="D375" s="272"/>
      <c r="E375" s="272"/>
      <c r="F375" s="272"/>
      <c r="G375" s="272"/>
      <c r="H375" s="272"/>
      <c r="I375" s="272"/>
      <c r="J375" s="59" t="s">
        <v>5533</v>
      </c>
      <c r="K375" s="46" t="s">
        <v>381</v>
      </c>
      <c r="L375" s="2">
        <v>45498</v>
      </c>
      <c r="M375" s="32"/>
      <c r="N375" s="32">
        <v>3117118994</v>
      </c>
      <c r="O375" s="103" t="s">
        <v>5532</v>
      </c>
      <c r="P375" s="52" t="s">
        <v>5540</v>
      </c>
    </row>
    <row r="376" spans="2:16" x14ac:dyDescent="0.25">
      <c r="B376" s="32">
        <v>365</v>
      </c>
      <c r="C376" s="271" t="s">
        <v>5541</v>
      </c>
      <c r="D376" s="272"/>
      <c r="E376" s="272"/>
      <c r="F376" s="272"/>
      <c r="G376" s="272"/>
      <c r="H376" s="272"/>
      <c r="I376" s="272"/>
      <c r="J376" s="59" t="s">
        <v>2445</v>
      </c>
      <c r="K376" s="46">
        <v>32950000</v>
      </c>
      <c r="L376" s="2">
        <v>45498</v>
      </c>
      <c r="M376" s="32"/>
      <c r="N376" s="32">
        <v>3162439535</v>
      </c>
      <c r="O376" s="103" t="s">
        <v>5366</v>
      </c>
      <c r="P376" s="38" t="s">
        <v>4150</v>
      </c>
    </row>
    <row r="377" spans="2:16" x14ac:dyDescent="0.25">
      <c r="B377" s="32">
        <v>366</v>
      </c>
      <c r="C377" s="229" t="s">
        <v>5542</v>
      </c>
      <c r="D377" s="229"/>
      <c r="E377" s="229"/>
      <c r="F377" s="229"/>
      <c r="G377" s="229"/>
      <c r="H377" s="229"/>
      <c r="I377" s="229"/>
      <c r="J377" s="59" t="s">
        <v>2445</v>
      </c>
      <c r="K377" s="46">
        <v>37950000</v>
      </c>
      <c r="L377" s="2">
        <v>45498</v>
      </c>
      <c r="M377" s="32"/>
      <c r="N377" s="32">
        <v>3162439535</v>
      </c>
      <c r="O377" s="103" t="s">
        <v>5366</v>
      </c>
      <c r="P377" s="38" t="s">
        <v>4150</v>
      </c>
    </row>
    <row r="378" spans="2:16" x14ac:dyDescent="0.25">
      <c r="B378" s="32">
        <v>367</v>
      </c>
      <c r="C378" s="229" t="s">
        <v>5544</v>
      </c>
      <c r="D378" s="229"/>
      <c r="E378" s="229"/>
      <c r="F378" s="229"/>
      <c r="G378" s="229"/>
      <c r="H378" s="229"/>
      <c r="I378" s="229"/>
      <c r="J378" s="59" t="s">
        <v>2445</v>
      </c>
      <c r="K378" s="46">
        <v>8000000</v>
      </c>
      <c r="L378" s="2">
        <v>45498</v>
      </c>
      <c r="M378" s="32"/>
      <c r="N378" s="32">
        <v>3127218621</v>
      </c>
      <c r="O378" s="103" t="s">
        <v>5543</v>
      </c>
      <c r="P378" s="52" t="s">
        <v>3668</v>
      </c>
    </row>
    <row r="379" spans="2:16" x14ac:dyDescent="0.25">
      <c r="B379" s="32">
        <v>368</v>
      </c>
      <c r="C379" s="271" t="s">
        <v>5545</v>
      </c>
      <c r="D379" s="272"/>
      <c r="E379" s="272"/>
      <c r="F379" s="272"/>
      <c r="G379" s="272"/>
      <c r="H379" s="272"/>
      <c r="I379" s="272"/>
      <c r="J379" s="59" t="s">
        <v>702</v>
      </c>
      <c r="K379" s="46">
        <v>27600000</v>
      </c>
      <c r="L379" s="2">
        <v>45504</v>
      </c>
      <c r="M379" s="32"/>
      <c r="N379" s="32">
        <v>3104165783</v>
      </c>
      <c r="O379" s="103" t="s">
        <v>4564</v>
      </c>
      <c r="P379" s="52" t="s">
        <v>4565</v>
      </c>
    </row>
    <row r="380" spans="2:16" x14ac:dyDescent="0.25">
      <c r="B380" s="32">
        <v>369</v>
      </c>
      <c r="C380" s="271" t="s">
        <v>5546</v>
      </c>
      <c r="D380" s="272"/>
      <c r="E380" s="272"/>
      <c r="F380" s="272"/>
      <c r="G380" s="272"/>
      <c r="H380" s="272"/>
      <c r="I380" s="272"/>
      <c r="J380" s="59" t="s">
        <v>1139</v>
      </c>
      <c r="K380" s="46">
        <v>13550000</v>
      </c>
      <c r="L380" s="2">
        <v>45503</v>
      </c>
      <c r="M380" s="32"/>
      <c r="N380" s="32" t="s">
        <v>4686</v>
      </c>
      <c r="O380" s="103" t="s">
        <v>3604</v>
      </c>
      <c r="P380" s="52" t="s">
        <v>1307</v>
      </c>
    </row>
    <row r="381" spans="2:16" x14ac:dyDescent="0.25">
      <c r="B381" s="32">
        <v>370</v>
      </c>
      <c r="C381" s="229" t="s">
        <v>5548</v>
      </c>
      <c r="D381" s="229"/>
      <c r="E381" s="229"/>
      <c r="F381" s="229"/>
      <c r="G381" s="229"/>
      <c r="H381" s="229"/>
      <c r="I381" s="229"/>
      <c r="J381" s="59" t="s">
        <v>4436</v>
      </c>
      <c r="K381" s="46">
        <v>1500000</v>
      </c>
      <c r="L381" s="2">
        <v>45497</v>
      </c>
      <c r="M381" s="2"/>
      <c r="N381" s="32">
        <v>3102615669</v>
      </c>
      <c r="O381" s="103" t="s">
        <v>5524</v>
      </c>
      <c r="P381" s="52" t="s">
        <v>5525</v>
      </c>
    </row>
    <row r="382" spans="2:16" x14ac:dyDescent="0.25">
      <c r="B382" s="32">
        <v>371</v>
      </c>
      <c r="C382" s="229" t="s">
        <v>5550</v>
      </c>
      <c r="D382" s="229"/>
      <c r="E382" s="229"/>
      <c r="F382" s="229"/>
      <c r="G382" s="229"/>
      <c r="H382" s="229"/>
      <c r="I382" s="229"/>
      <c r="J382" s="59" t="s">
        <v>5549</v>
      </c>
      <c r="K382" s="46">
        <v>5950000</v>
      </c>
      <c r="L382" s="2">
        <v>45503</v>
      </c>
      <c r="M382" s="32"/>
      <c r="N382" s="32">
        <v>3134451063</v>
      </c>
      <c r="O382" s="78" t="s">
        <v>4753</v>
      </c>
      <c r="P382" s="52" t="s">
        <v>5187</v>
      </c>
    </row>
    <row r="383" spans="2:16" x14ac:dyDescent="0.25">
      <c r="B383" s="32">
        <v>372</v>
      </c>
      <c r="C383" s="229" t="s">
        <v>5555</v>
      </c>
      <c r="D383" s="229"/>
      <c r="E383" s="229"/>
      <c r="F383" s="229"/>
      <c r="G383" s="229"/>
      <c r="H383" s="229"/>
      <c r="I383" s="229"/>
      <c r="J383" s="59" t="s">
        <v>5554</v>
      </c>
      <c r="K383" s="46">
        <v>3750000</v>
      </c>
      <c r="L383" s="2">
        <v>45503</v>
      </c>
      <c r="M383" s="32"/>
      <c r="N383" s="32" t="s">
        <v>5552</v>
      </c>
      <c r="O383" s="103" t="s">
        <v>5551</v>
      </c>
      <c r="P383" s="52" t="s">
        <v>5553</v>
      </c>
    </row>
    <row r="384" spans="2:16" x14ac:dyDescent="0.25">
      <c r="B384" s="32">
        <v>373</v>
      </c>
      <c r="C384" s="229" t="s">
        <v>5557</v>
      </c>
      <c r="D384" s="229"/>
      <c r="E384" s="229"/>
      <c r="F384" s="229"/>
      <c r="G384" s="229"/>
      <c r="H384" s="229"/>
      <c r="I384" s="229"/>
      <c r="J384" s="59" t="s">
        <v>1139</v>
      </c>
      <c r="K384" s="46">
        <v>4520000</v>
      </c>
      <c r="L384" s="2">
        <v>45503</v>
      </c>
      <c r="M384" s="32"/>
      <c r="N384" s="32" t="s">
        <v>5312</v>
      </c>
      <c r="O384" s="103" t="s">
        <v>5556</v>
      </c>
      <c r="P384" s="52" t="s">
        <v>5311</v>
      </c>
    </row>
    <row r="385" spans="2:16" x14ac:dyDescent="0.25">
      <c r="B385" s="32">
        <v>374</v>
      </c>
      <c r="C385" s="263" t="s">
        <v>5558</v>
      </c>
      <c r="D385" s="229"/>
      <c r="E385" s="229"/>
      <c r="F385" s="229"/>
      <c r="G385" s="229"/>
      <c r="H385" s="229"/>
      <c r="I385" s="229"/>
      <c r="J385" s="59" t="s">
        <v>2445</v>
      </c>
      <c r="K385" s="46">
        <v>59950000</v>
      </c>
      <c r="L385" s="2">
        <v>45504</v>
      </c>
      <c r="M385" s="32"/>
      <c r="N385" s="32">
        <v>3127218621</v>
      </c>
      <c r="O385" s="103" t="s">
        <v>5543</v>
      </c>
      <c r="P385" s="52" t="s">
        <v>3668</v>
      </c>
    </row>
    <row r="386" spans="2:16" x14ac:dyDescent="0.25">
      <c r="B386" s="32">
        <v>375</v>
      </c>
      <c r="C386" s="229" t="s">
        <v>5560</v>
      </c>
      <c r="D386" s="229"/>
      <c r="E386" s="229"/>
      <c r="F386" s="229"/>
      <c r="G386" s="229"/>
      <c r="H386" s="229"/>
      <c r="I386" s="229"/>
      <c r="J386" s="59" t="s">
        <v>702</v>
      </c>
      <c r="K386" s="46">
        <v>27600000</v>
      </c>
      <c r="L386" s="2">
        <v>45506</v>
      </c>
      <c r="M386" s="32"/>
      <c r="N386" s="51">
        <v>3103898043</v>
      </c>
      <c r="O386" s="102" t="s">
        <v>5559</v>
      </c>
      <c r="P386" s="52" t="s">
        <v>1238</v>
      </c>
    </row>
    <row r="387" spans="2:16" x14ac:dyDescent="0.25">
      <c r="B387" s="32">
        <v>376</v>
      </c>
      <c r="C387" s="229" t="s">
        <v>5563</v>
      </c>
      <c r="D387" s="229"/>
      <c r="E387" s="229"/>
      <c r="F387" s="229"/>
      <c r="G387" s="229"/>
      <c r="H387" s="229"/>
      <c r="I387" s="229"/>
      <c r="J387" s="59" t="s">
        <v>4532</v>
      </c>
      <c r="K387" s="46">
        <v>5550000</v>
      </c>
      <c r="L387" s="2">
        <v>45505</v>
      </c>
      <c r="M387" s="32"/>
      <c r="N387" s="32">
        <v>4444337</v>
      </c>
      <c r="O387" s="102" t="s">
        <v>5561</v>
      </c>
      <c r="P387" s="38" t="s">
        <v>5562</v>
      </c>
    </row>
    <row r="388" spans="2:16" x14ac:dyDescent="0.25">
      <c r="B388" s="32">
        <v>377</v>
      </c>
      <c r="C388" s="271" t="s">
        <v>5567</v>
      </c>
      <c r="D388" s="272"/>
      <c r="E388" s="272"/>
      <c r="F388" s="272"/>
      <c r="G388" s="272"/>
      <c r="H388" s="272"/>
      <c r="I388" s="272"/>
      <c r="J388" s="59" t="s">
        <v>5566</v>
      </c>
      <c r="K388" s="46" t="s">
        <v>5727</v>
      </c>
      <c r="L388" s="2">
        <v>45509</v>
      </c>
      <c r="M388" s="32"/>
      <c r="N388" s="32">
        <v>3243061644</v>
      </c>
      <c r="O388" s="103" t="s">
        <v>5564</v>
      </c>
      <c r="P388" s="52" t="s">
        <v>5565</v>
      </c>
    </row>
    <row r="389" spans="2:16" x14ac:dyDescent="0.25">
      <c r="B389" s="32">
        <v>378</v>
      </c>
      <c r="C389" s="271" t="s">
        <v>5568</v>
      </c>
      <c r="D389" s="272"/>
      <c r="E389" s="272"/>
      <c r="F389" s="272"/>
      <c r="G389" s="272"/>
      <c r="H389" s="272"/>
      <c r="I389" s="272"/>
      <c r="J389" s="59" t="s">
        <v>2445</v>
      </c>
      <c r="K389" s="46">
        <v>29950000</v>
      </c>
      <c r="L389" s="2">
        <v>45509</v>
      </c>
      <c r="M389" s="32"/>
      <c r="N389" s="32">
        <v>3127218621</v>
      </c>
      <c r="O389" s="103" t="s">
        <v>5543</v>
      </c>
      <c r="P389" s="52" t="s">
        <v>3668</v>
      </c>
    </row>
    <row r="390" spans="2:16" x14ac:dyDescent="0.25">
      <c r="B390" s="32">
        <v>379</v>
      </c>
      <c r="C390" s="272" t="s">
        <v>5570</v>
      </c>
      <c r="D390" s="272"/>
      <c r="E390" s="272"/>
      <c r="F390" s="272"/>
      <c r="G390" s="272"/>
      <c r="H390" s="272"/>
      <c r="I390" s="272"/>
      <c r="J390" s="59" t="s">
        <v>5569</v>
      </c>
      <c r="K390" s="46">
        <v>13750000</v>
      </c>
      <c r="L390" s="2">
        <v>45509</v>
      </c>
      <c r="M390" s="2"/>
      <c r="N390" s="32">
        <v>3183484307</v>
      </c>
      <c r="O390" s="102" t="s">
        <v>2116</v>
      </c>
      <c r="P390" s="52" t="s">
        <v>2117</v>
      </c>
    </row>
    <row r="391" spans="2:16" x14ac:dyDescent="0.25">
      <c r="B391" s="32">
        <v>380</v>
      </c>
      <c r="C391" s="229" t="s">
        <v>5571</v>
      </c>
      <c r="D391" s="229"/>
      <c r="E391" s="229"/>
      <c r="F391" s="229"/>
      <c r="G391" s="229"/>
      <c r="H391" s="229"/>
      <c r="I391" s="229"/>
      <c r="J391" s="59" t="s">
        <v>5535</v>
      </c>
      <c r="K391" s="46" t="s">
        <v>381</v>
      </c>
      <c r="L391" s="2">
        <v>45509</v>
      </c>
      <c r="M391" s="2"/>
      <c r="N391" s="32">
        <v>2541055</v>
      </c>
      <c r="O391" s="103" t="s">
        <v>5536</v>
      </c>
      <c r="P391" s="52" t="s">
        <v>5537</v>
      </c>
    </row>
    <row r="392" spans="2:16" x14ac:dyDescent="0.25">
      <c r="B392" s="32">
        <v>381</v>
      </c>
      <c r="C392" s="271" t="s">
        <v>5572</v>
      </c>
      <c r="D392" s="272"/>
      <c r="E392" s="272"/>
      <c r="F392" s="272"/>
      <c r="G392" s="272"/>
      <c r="H392" s="272"/>
      <c r="I392" s="272"/>
      <c r="J392" s="59" t="s">
        <v>4390</v>
      </c>
      <c r="K392" s="46">
        <v>13300000</v>
      </c>
      <c r="L392" s="2">
        <v>45509</v>
      </c>
      <c r="M392" s="32"/>
      <c r="N392" s="32">
        <v>3113391008</v>
      </c>
      <c r="O392" s="103" t="s">
        <v>2560</v>
      </c>
      <c r="P392" s="52" t="s">
        <v>2561</v>
      </c>
    </row>
    <row r="393" spans="2:16" x14ac:dyDescent="0.25">
      <c r="B393" s="32">
        <v>382</v>
      </c>
      <c r="C393" s="229" t="s">
        <v>5573</v>
      </c>
      <c r="D393" s="229"/>
      <c r="E393" s="229"/>
      <c r="F393" s="229"/>
      <c r="G393" s="229"/>
      <c r="H393" s="229"/>
      <c r="I393" s="229"/>
      <c r="J393" s="59" t="s">
        <v>823</v>
      </c>
      <c r="K393" s="46">
        <v>7950000</v>
      </c>
      <c r="L393" s="2">
        <v>45509</v>
      </c>
      <c r="M393" s="32"/>
      <c r="N393" s="32" t="s">
        <v>1055</v>
      </c>
      <c r="O393" s="51" t="s">
        <v>824</v>
      </c>
      <c r="P393" s="38" t="s">
        <v>1193</v>
      </c>
    </row>
    <row r="394" spans="2:16" x14ac:dyDescent="0.25">
      <c r="B394" s="32">
        <v>383</v>
      </c>
      <c r="C394" s="263" t="s">
        <v>5574</v>
      </c>
      <c r="D394" s="229"/>
      <c r="E394" s="229"/>
      <c r="F394" s="229"/>
      <c r="G394" s="229"/>
      <c r="H394" s="229"/>
      <c r="I394" s="229"/>
      <c r="J394" s="59" t="s">
        <v>747</v>
      </c>
      <c r="K394" s="46">
        <v>43000000</v>
      </c>
      <c r="L394" s="2">
        <v>45510</v>
      </c>
      <c r="M394" s="32"/>
      <c r="N394" s="32">
        <v>3175594091</v>
      </c>
      <c r="O394" s="103" t="s">
        <v>2045</v>
      </c>
      <c r="P394" s="52" t="s">
        <v>748</v>
      </c>
    </row>
    <row r="395" spans="2:16" x14ac:dyDescent="0.25">
      <c r="B395" s="32">
        <v>384</v>
      </c>
      <c r="C395" s="229" t="s">
        <v>5575</v>
      </c>
      <c r="D395" s="229"/>
      <c r="E395" s="229"/>
      <c r="F395" s="229"/>
      <c r="G395" s="229"/>
      <c r="H395" s="229"/>
      <c r="I395" s="229"/>
      <c r="J395" s="59" t="s">
        <v>2204</v>
      </c>
      <c r="K395" s="46">
        <v>1000000</v>
      </c>
      <c r="L395" s="2">
        <v>45512</v>
      </c>
      <c r="M395" s="32"/>
      <c r="N395" s="32">
        <v>3117208541</v>
      </c>
      <c r="O395" s="103" t="s">
        <v>5401</v>
      </c>
      <c r="P395" s="52" t="s">
        <v>5576</v>
      </c>
    </row>
    <row r="396" spans="2:16" x14ac:dyDescent="0.25">
      <c r="B396" s="32">
        <v>385</v>
      </c>
      <c r="C396" s="263" t="s">
        <v>5577</v>
      </c>
      <c r="D396" s="229"/>
      <c r="E396" s="229"/>
      <c r="F396" s="229"/>
      <c r="G396" s="229"/>
      <c r="H396" s="229"/>
      <c r="I396" s="229"/>
      <c r="J396" s="59" t="s">
        <v>747</v>
      </c>
      <c r="K396" s="46">
        <v>45000000</v>
      </c>
      <c r="L396" s="2">
        <v>45512</v>
      </c>
      <c r="M396" s="32"/>
      <c r="N396" s="32">
        <v>3175594091</v>
      </c>
      <c r="O396" s="103" t="s">
        <v>2045</v>
      </c>
      <c r="P396" s="52" t="s">
        <v>748</v>
      </c>
    </row>
    <row r="397" spans="2:16" ht="15" customHeight="1" x14ac:dyDescent="0.25">
      <c r="B397" s="32">
        <v>386</v>
      </c>
      <c r="C397" s="271" t="s">
        <v>5578</v>
      </c>
      <c r="D397" s="272"/>
      <c r="E397" s="272"/>
      <c r="F397" s="272"/>
      <c r="G397" s="272"/>
      <c r="H397" s="272"/>
      <c r="I397" s="272"/>
      <c r="J397" s="59" t="s">
        <v>702</v>
      </c>
      <c r="K397" s="46">
        <v>1000000</v>
      </c>
      <c r="L397" s="2">
        <v>45517</v>
      </c>
      <c r="M397" s="32"/>
      <c r="N397" s="32">
        <v>3104165783</v>
      </c>
      <c r="O397" s="103" t="s">
        <v>4564</v>
      </c>
      <c r="P397" s="52" t="s">
        <v>4565</v>
      </c>
    </row>
    <row r="398" spans="2:16" x14ac:dyDescent="0.25">
      <c r="B398" s="32">
        <v>387</v>
      </c>
      <c r="C398" s="272" t="s">
        <v>5579</v>
      </c>
      <c r="D398" s="272"/>
      <c r="E398" s="272"/>
      <c r="F398" s="272"/>
      <c r="G398" s="272"/>
      <c r="H398" s="272"/>
      <c r="I398" s="272"/>
      <c r="J398" s="59" t="s">
        <v>702</v>
      </c>
      <c r="K398" s="46">
        <v>6250000</v>
      </c>
      <c r="L398" s="2">
        <v>45517</v>
      </c>
      <c r="M398" s="32"/>
      <c r="N398" s="32">
        <v>3104165783</v>
      </c>
      <c r="O398" s="103" t="s">
        <v>5179</v>
      </c>
      <c r="P398" s="52" t="s">
        <v>4565</v>
      </c>
    </row>
    <row r="399" spans="2:16" x14ac:dyDescent="0.25">
      <c r="B399" s="32">
        <v>388</v>
      </c>
      <c r="C399" s="271" t="s">
        <v>5583</v>
      </c>
      <c r="D399" s="272"/>
      <c r="E399" s="272"/>
      <c r="F399" s="272"/>
      <c r="G399" s="272"/>
      <c r="H399" s="272"/>
      <c r="I399" s="272"/>
      <c r="J399" s="59" t="s">
        <v>5582</v>
      </c>
      <c r="K399" s="46">
        <v>28850000</v>
      </c>
      <c r="L399" s="2">
        <v>45516</v>
      </c>
      <c r="M399" s="32"/>
      <c r="N399" s="32">
        <v>3178449194</v>
      </c>
      <c r="O399" s="102" t="s">
        <v>5581</v>
      </c>
      <c r="P399" s="52" t="s">
        <v>5580</v>
      </c>
    </row>
    <row r="400" spans="2:16" x14ac:dyDescent="0.25">
      <c r="B400" s="32">
        <v>389</v>
      </c>
      <c r="C400" s="263" t="s">
        <v>5587</v>
      </c>
      <c r="D400" s="229"/>
      <c r="E400" s="229"/>
      <c r="F400" s="229"/>
      <c r="G400" s="229"/>
      <c r="H400" s="229"/>
      <c r="I400" s="229"/>
      <c r="J400" s="59" t="s">
        <v>5584</v>
      </c>
      <c r="K400" s="46">
        <v>6270000</v>
      </c>
      <c r="L400" s="2">
        <v>45517</v>
      </c>
      <c r="M400" s="32"/>
      <c r="N400" s="32" t="s">
        <v>5588</v>
      </c>
      <c r="O400" s="103" t="s">
        <v>5585</v>
      </c>
      <c r="P400" s="52" t="s">
        <v>5586</v>
      </c>
    </row>
    <row r="401" spans="2:16" x14ac:dyDescent="0.25">
      <c r="B401" s="32">
        <v>390</v>
      </c>
      <c r="C401" s="271" t="s">
        <v>5589</v>
      </c>
      <c r="D401" s="272"/>
      <c r="E401" s="272"/>
      <c r="F401" s="272"/>
      <c r="G401" s="272"/>
      <c r="H401" s="272"/>
      <c r="I401" s="272"/>
      <c r="J401" s="59" t="s">
        <v>4939</v>
      </c>
      <c r="K401" s="46">
        <v>44650000</v>
      </c>
      <c r="L401" s="2">
        <v>45517</v>
      </c>
      <c r="M401" s="32"/>
      <c r="N401" s="32">
        <v>3014111727</v>
      </c>
      <c r="O401" s="102" t="s">
        <v>4270</v>
      </c>
      <c r="P401" s="52" t="s">
        <v>2235</v>
      </c>
    </row>
    <row r="402" spans="2:16" x14ac:dyDescent="0.25">
      <c r="B402" s="32">
        <v>391</v>
      </c>
      <c r="C402" s="229" t="s">
        <v>5590</v>
      </c>
      <c r="D402" s="229"/>
      <c r="E402" s="229"/>
      <c r="F402" s="229"/>
      <c r="G402" s="229"/>
      <c r="H402" s="229"/>
      <c r="I402" s="229"/>
      <c r="J402" s="59" t="s">
        <v>702</v>
      </c>
      <c r="K402" s="46">
        <v>29570000</v>
      </c>
      <c r="L402" s="2">
        <v>45517</v>
      </c>
      <c r="M402" s="32"/>
      <c r="N402" s="32" t="s">
        <v>2745</v>
      </c>
      <c r="O402" s="102" t="s">
        <v>2746</v>
      </c>
      <c r="P402" s="52" t="s">
        <v>703</v>
      </c>
    </row>
    <row r="403" spans="2:16" x14ac:dyDescent="0.25">
      <c r="B403" s="32">
        <v>392</v>
      </c>
      <c r="C403" s="271" t="s">
        <v>5591</v>
      </c>
      <c r="D403" s="272"/>
      <c r="E403" s="272"/>
      <c r="F403" s="272"/>
      <c r="G403" s="272"/>
      <c r="H403" s="272"/>
      <c r="I403" s="272"/>
      <c r="J403" s="59" t="s">
        <v>2204</v>
      </c>
      <c r="K403" s="46">
        <v>19950000</v>
      </c>
      <c r="L403" s="2">
        <v>45517</v>
      </c>
      <c r="M403" s="32"/>
      <c r="N403" s="32">
        <v>3117208541</v>
      </c>
      <c r="O403" s="102" t="s">
        <v>2240</v>
      </c>
      <c r="P403" s="52" t="s">
        <v>2241</v>
      </c>
    </row>
    <row r="404" spans="2:16" x14ac:dyDescent="0.25">
      <c r="B404" s="32">
        <v>393</v>
      </c>
      <c r="C404" s="271" t="s">
        <v>5592</v>
      </c>
      <c r="D404" s="272"/>
      <c r="E404" s="272"/>
      <c r="F404" s="272"/>
      <c r="G404" s="272"/>
      <c r="H404" s="272"/>
      <c r="I404" s="272"/>
      <c r="J404" s="59" t="s">
        <v>5593</v>
      </c>
      <c r="K404" s="46">
        <v>6270000</v>
      </c>
      <c r="L404" s="2">
        <v>45517</v>
      </c>
      <c r="M404" s="32"/>
      <c r="N404" s="51">
        <v>3185955834</v>
      </c>
      <c r="O404" s="102" t="s">
        <v>3981</v>
      </c>
      <c r="P404" s="52"/>
    </row>
    <row r="405" spans="2:16" x14ac:dyDescent="0.25">
      <c r="B405" s="32">
        <v>394</v>
      </c>
      <c r="C405" s="263" t="s">
        <v>5594</v>
      </c>
      <c r="D405" s="229"/>
      <c r="E405" s="229"/>
      <c r="F405" s="229"/>
      <c r="G405" s="229"/>
      <c r="H405" s="229"/>
      <c r="I405" s="229"/>
      <c r="J405" s="59" t="s">
        <v>4939</v>
      </c>
      <c r="K405" s="46">
        <v>24950000</v>
      </c>
      <c r="L405" s="2">
        <v>45517</v>
      </c>
      <c r="M405" s="32"/>
      <c r="N405" s="32">
        <v>3206678830</v>
      </c>
      <c r="O405" s="103" t="s">
        <v>5109</v>
      </c>
      <c r="P405" s="38" t="s">
        <v>948</v>
      </c>
    </row>
    <row r="406" spans="2:16" ht="15" customHeight="1" x14ac:dyDescent="0.25">
      <c r="B406" s="32">
        <v>395</v>
      </c>
      <c r="C406" s="263" t="s">
        <v>5595</v>
      </c>
      <c r="D406" s="229"/>
      <c r="E406" s="229"/>
      <c r="F406" s="229"/>
      <c r="G406" s="229"/>
      <c r="H406" s="229"/>
      <c r="I406" s="229"/>
      <c r="J406" s="59" t="s">
        <v>4939</v>
      </c>
      <c r="K406" s="46">
        <v>6250000</v>
      </c>
      <c r="L406" s="2">
        <v>45518</v>
      </c>
      <c r="M406" s="32"/>
      <c r="N406" s="32">
        <v>3014111727</v>
      </c>
      <c r="O406" s="103" t="s">
        <v>4270</v>
      </c>
      <c r="P406" s="38" t="s">
        <v>2235</v>
      </c>
    </row>
    <row r="407" spans="2:16" x14ac:dyDescent="0.25">
      <c r="B407" s="32">
        <v>396</v>
      </c>
      <c r="C407" s="229" t="s">
        <v>5596</v>
      </c>
      <c r="D407" s="229"/>
      <c r="E407" s="229"/>
      <c r="F407" s="229"/>
      <c r="G407" s="229"/>
      <c r="H407" s="229"/>
      <c r="I407" s="229"/>
      <c r="J407" s="71" t="s">
        <v>3335</v>
      </c>
      <c r="K407" s="56">
        <v>1250000</v>
      </c>
      <c r="L407" s="2">
        <v>45519</v>
      </c>
      <c r="M407" s="32"/>
      <c r="N407" s="32" t="s">
        <v>5599</v>
      </c>
      <c r="O407" s="103" t="s">
        <v>5598</v>
      </c>
      <c r="P407" s="38" t="s">
        <v>5597</v>
      </c>
    </row>
    <row r="408" spans="2:16" ht="15" customHeight="1" x14ac:dyDescent="0.25">
      <c r="B408" s="32">
        <v>397</v>
      </c>
      <c r="C408" s="229" t="s">
        <v>5604</v>
      </c>
      <c r="D408" s="229"/>
      <c r="E408" s="229"/>
      <c r="F408" s="229"/>
      <c r="G408" s="229"/>
      <c r="H408" s="229"/>
      <c r="I408" s="229"/>
      <c r="J408" s="59" t="s">
        <v>5600</v>
      </c>
      <c r="K408" s="46">
        <v>16300000</v>
      </c>
      <c r="L408" s="2">
        <v>45519</v>
      </c>
      <c r="M408" s="32"/>
      <c r="N408" s="32" t="s">
        <v>5603</v>
      </c>
      <c r="O408" s="103" t="s">
        <v>5601</v>
      </c>
      <c r="P408" s="52" t="s">
        <v>5602</v>
      </c>
    </row>
    <row r="409" spans="2:16" x14ac:dyDescent="0.25">
      <c r="B409" s="32">
        <v>398</v>
      </c>
      <c r="C409" s="229" t="s">
        <v>5605</v>
      </c>
      <c r="D409" s="229"/>
      <c r="E409" s="229"/>
      <c r="F409" s="229"/>
      <c r="G409" s="229"/>
      <c r="H409" s="229"/>
      <c r="I409" s="229"/>
      <c r="J409" s="59" t="s">
        <v>702</v>
      </c>
      <c r="K409" s="46">
        <v>4800000</v>
      </c>
      <c r="L409" s="2">
        <v>45519</v>
      </c>
      <c r="M409" s="32"/>
      <c r="N409" s="32">
        <v>3137546144</v>
      </c>
      <c r="O409" s="102" t="s">
        <v>3996</v>
      </c>
      <c r="P409" s="52" t="s">
        <v>2504</v>
      </c>
    </row>
    <row r="410" spans="2:16" x14ac:dyDescent="0.25">
      <c r="B410" s="32">
        <v>399</v>
      </c>
      <c r="C410" s="271" t="s">
        <v>5607</v>
      </c>
      <c r="D410" s="272"/>
      <c r="E410" s="272"/>
      <c r="F410" s="272"/>
      <c r="G410" s="272"/>
      <c r="H410" s="272"/>
      <c r="I410" s="272"/>
      <c r="J410" s="59" t="s">
        <v>5606</v>
      </c>
      <c r="K410" s="46">
        <v>19950000</v>
      </c>
      <c r="L410" s="2">
        <v>45520</v>
      </c>
      <c r="M410" s="32"/>
      <c r="N410" s="32">
        <v>3118464779</v>
      </c>
      <c r="O410" s="103" t="s">
        <v>5608</v>
      </c>
      <c r="P410" s="52" t="s">
        <v>5609</v>
      </c>
    </row>
    <row r="411" spans="2:16" x14ac:dyDescent="0.25">
      <c r="B411" s="32">
        <v>400</v>
      </c>
      <c r="C411" s="229" t="s">
        <v>5610</v>
      </c>
      <c r="D411" s="229"/>
      <c r="E411" s="229"/>
      <c r="F411" s="229"/>
      <c r="G411" s="229"/>
      <c r="H411" s="229"/>
      <c r="I411" s="229"/>
      <c r="J411" s="59" t="s">
        <v>3863</v>
      </c>
      <c r="K411" s="46">
        <v>33120000</v>
      </c>
      <c r="L411" s="2">
        <v>45526</v>
      </c>
      <c r="M411" s="32"/>
      <c r="N411" s="32" t="s">
        <v>3864</v>
      </c>
      <c r="O411" s="32" t="s">
        <v>3862</v>
      </c>
      <c r="P411" s="52" t="s">
        <v>3861</v>
      </c>
    </row>
    <row r="412" spans="2:16" ht="15" customHeight="1" x14ac:dyDescent="0.25">
      <c r="B412" s="32">
        <v>401</v>
      </c>
      <c r="C412" s="229" t="s">
        <v>5611</v>
      </c>
      <c r="D412" s="229"/>
      <c r="E412" s="229"/>
      <c r="F412" s="229"/>
      <c r="G412" s="229"/>
      <c r="H412" s="229"/>
      <c r="I412" s="229"/>
      <c r="J412" s="59" t="s">
        <v>3863</v>
      </c>
      <c r="K412" s="46">
        <v>26900000</v>
      </c>
      <c r="L412" s="2">
        <v>45526</v>
      </c>
      <c r="M412" s="32"/>
      <c r="N412" s="32" t="s">
        <v>3864</v>
      </c>
      <c r="O412" s="32" t="s">
        <v>3862</v>
      </c>
      <c r="P412" s="52" t="s">
        <v>3861</v>
      </c>
    </row>
    <row r="413" spans="2:16" x14ac:dyDescent="0.25">
      <c r="B413" s="32">
        <v>402</v>
      </c>
      <c r="C413" s="271" t="s">
        <v>5614</v>
      </c>
      <c r="D413" s="272"/>
      <c r="E413" s="272"/>
      <c r="F413" s="272"/>
      <c r="G413" s="272"/>
      <c r="H413" s="272"/>
      <c r="I413" s="272"/>
      <c r="J413" s="59" t="s">
        <v>5615</v>
      </c>
      <c r="K413" s="46">
        <v>9850000</v>
      </c>
      <c r="L413" s="2">
        <v>45527</v>
      </c>
      <c r="M413" s="32"/>
      <c r="N413" s="32"/>
      <c r="O413" s="102" t="s">
        <v>5613</v>
      </c>
      <c r="P413" s="52" t="s">
        <v>5612</v>
      </c>
    </row>
    <row r="414" spans="2:16" x14ac:dyDescent="0.25">
      <c r="B414" s="32">
        <v>403</v>
      </c>
      <c r="C414" s="229" t="s">
        <v>5616</v>
      </c>
      <c r="D414" s="229"/>
      <c r="E414" s="229"/>
      <c r="F414" s="229"/>
      <c r="G414" s="229"/>
      <c r="H414" s="229"/>
      <c r="I414" s="229"/>
      <c r="J414" s="64" t="s">
        <v>4390</v>
      </c>
      <c r="K414" s="46">
        <v>9410000</v>
      </c>
      <c r="L414" s="2">
        <v>45531</v>
      </c>
      <c r="M414" s="32"/>
      <c r="N414" s="32">
        <v>3113391008</v>
      </c>
      <c r="O414" s="103" t="s">
        <v>2560</v>
      </c>
      <c r="P414" s="52" t="s">
        <v>2561</v>
      </c>
    </row>
    <row r="415" spans="2:16" x14ac:dyDescent="0.25">
      <c r="B415" s="32">
        <v>404</v>
      </c>
      <c r="C415" s="272" t="s">
        <v>5617</v>
      </c>
      <c r="D415" s="272"/>
      <c r="E415" s="272"/>
      <c r="F415" s="272"/>
      <c r="G415" s="272"/>
      <c r="H415" s="272"/>
      <c r="I415" s="272"/>
      <c r="J415" s="59" t="s">
        <v>712</v>
      </c>
      <c r="K415" s="46">
        <v>6270000</v>
      </c>
      <c r="L415" s="2">
        <v>45531</v>
      </c>
      <c r="M415" s="32"/>
      <c r="N415" s="32">
        <v>3137851941</v>
      </c>
      <c r="O415" s="103" t="s">
        <v>2055</v>
      </c>
      <c r="P415" s="52" t="s">
        <v>713</v>
      </c>
    </row>
    <row r="416" spans="2:16" x14ac:dyDescent="0.25">
      <c r="B416" s="32">
        <v>405</v>
      </c>
      <c r="C416" s="271" t="s">
        <v>5618</v>
      </c>
      <c r="D416" s="272"/>
      <c r="E416" s="272"/>
      <c r="F416" s="272"/>
      <c r="G416" s="272"/>
      <c r="H416" s="272"/>
      <c r="I416" s="272"/>
      <c r="J416" s="59" t="s">
        <v>712</v>
      </c>
      <c r="K416" s="46">
        <v>19950000</v>
      </c>
      <c r="L416" s="2">
        <v>45530</v>
      </c>
      <c r="M416" s="32"/>
      <c r="N416" s="32">
        <v>3137851941</v>
      </c>
      <c r="O416" s="103" t="s">
        <v>2055</v>
      </c>
      <c r="P416" s="52" t="s">
        <v>713</v>
      </c>
    </row>
    <row r="417" spans="2:16" x14ac:dyDescent="0.25">
      <c r="B417" s="32">
        <v>406</v>
      </c>
      <c r="C417" s="271" t="s">
        <v>5619</v>
      </c>
      <c r="D417" s="272"/>
      <c r="E417" s="272"/>
      <c r="F417" s="272"/>
      <c r="G417" s="272"/>
      <c r="H417" s="272"/>
      <c r="I417" s="272"/>
      <c r="J417" s="59" t="s">
        <v>712</v>
      </c>
      <c r="K417" s="46">
        <v>17930000</v>
      </c>
      <c r="L417" s="2">
        <v>45530</v>
      </c>
      <c r="M417" s="32"/>
      <c r="N417" s="32">
        <v>3137851941</v>
      </c>
      <c r="O417" s="103" t="s">
        <v>2055</v>
      </c>
      <c r="P417" s="52" t="s">
        <v>713</v>
      </c>
    </row>
    <row r="418" spans="2:16" x14ac:dyDescent="0.25">
      <c r="B418" s="32">
        <v>407</v>
      </c>
      <c r="C418" s="271" t="s">
        <v>5624</v>
      </c>
      <c r="D418" s="272"/>
      <c r="E418" s="272"/>
      <c r="F418" s="272"/>
      <c r="G418" s="272"/>
      <c r="H418" s="272"/>
      <c r="I418" s="272"/>
      <c r="J418" s="59" t="s">
        <v>5623</v>
      </c>
      <c r="K418" s="46">
        <v>4950000</v>
      </c>
      <c r="L418" s="2">
        <v>45530</v>
      </c>
      <c r="M418" s="32"/>
      <c r="N418" s="32" t="s">
        <v>5622</v>
      </c>
      <c r="O418" s="103" t="s">
        <v>5620</v>
      </c>
      <c r="P418" s="52" t="s">
        <v>5621</v>
      </c>
    </row>
    <row r="419" spans="2:16" x14ac:dyDescent="0.25">
      <c r="B419" s="32">
        <v>408</v>
      </c>
      <c r="C419" s="263" t="s">
        <v>5625</v>
      </c>
      <c r="D419" s="229"/>
      <c r="E419" s="229"/>
      <c r="F419" s="229"/>
      <c r="G419" s="229"/>
      <c r="H419" s="229"/>
      <c r="I419" s="229"/>
      <c r="J419" s="59" t="s">
        <v>4120</v>
      </c>
      <c r="K419" s="46">
        <v>26950000</v>
      </c>
      <c r="L419" s="2">
        <v>45530</v>
      </c>
      <c r="M419" s="32"/>
      <c r="N419" s="32" t="s">
        <v>4838</v>
      </c>
      <c r="O419" s="103" t="s">
        <v>4837</v>
      </c>
      <c r="P419" s="52" t="s">
        <v>2554</v>
      </c>
    </row>
    <row r="420" spans="2:16" x14ac:dyDescent="0.25">
      <c r="B420" s="32">
        <v>409</v>
      </c>
      <c r="C420" s="229" t="s">
        <v>5626</v>
      </c>
      <c r="D420" s="229"/>
      <c r="E420" s="229"/>
      <c r="F420" s="229"/>
      <c r="G420" s="229"/>
      <c r="H420" s="229"/>
      <c r="I420" s="229"/>
      <c r="J420" s="59" t="s">
        <v>2779</v>
      </c>
      <c r="K420" s="46">
        <v>26950000</v>
      </c>
      <c r="L420" s="2">
        <v>45531</v>
      </c>
      <c r="M420" s="32"/>
      <c r="N420" s="32"/>
      <c r="O420" s="103" t="s">
        <v>2353</v>
      </c>
      <c r="P420" s="52" t="s">
        <v>1806</v>
      </c>
    </row>
    <row r="421" spans="2:16" x14ac:dyDescent="0.25">
      <c r="B421" s="32">
        <v>410</v>
      </c>
      <c r="C421" s="271" t="s">
        <v>5629</v>
      </c>
      <c r="D421" s="272"/>
      <c r="E421" s="272"/>
      <c r="F421" s="272"/>
      <c r="G421" s="272"/>
      <c r="H421" s="272"/>
      <c r="I421" s="272"/>
      <c r="J421" s="59" t="s">
        <v>5549</v>
      </c>
      <c r="K421" s="46">
        <v>4950000</v>
      </c>
      <c r="L421" s="2">
        <v>45531</v>
      </c>
      <c r="M421" s="32"/>
      <c r="N421" s="32"/>
      <c r="O421" s="103" t="s">
        <v>5628</v>
      </c>
      <c r="P421" s="52" t="s">
        <v>5627</v>
      </c>
    </row>
    <row r="422" spans="2:16" x14ac:dyDescent="0.25">
      <c r="B422" s="32">
        <v>411</v>
      </c>
      <c r="C422" s="271" t="s">
        <v>5630</v>
      </c>
      <c r="D422" s="272"/>
      <c r="E422" s="272"/>
      <c r="F422" s="272"/>
      <c r="G422" s="272"/>
      <c r="H422" s="272"/>
      <c r="I422" s="272"/>
      <c r="J422" s="59" t="s">
        <v>3128</v>
      </c>
      <c r="K422" s="46">
        <v>3950000</v>
      </c>
      <c r="L422" s="2">
        <v>45531</v>
      </c>
      <c r="M422" s="32"/>
      <c r="N422" s="51">
        <v>3104145629</v>
      </c>
      <c r="O422" s="102" t="s">
        <v>4378</v>
      </c>
      <c r="P422" s="52" t="s">
        <v>2021</v>
      </c>
    </row>
    <row r="423" spans="2:16" x14ac:dyDescent="0.25">
      <c r="B423" s="32">
        <v>412</v>
      </c>
      <c r="C423" s="229" t="s">
        <v>5634</v>
      </c>
      <c r="D423" s="229"/>
      <c r="E423" s="229"/>
      <c r="F423" s="229"/>
      <c r="G423" s="229"/>
      <c r="H423" s="229"/>
      <c r="I423" s="229"/>
      <c r="J423" s="59" t="s">
        <v>5631</v>
      </c>
      <c r="K423" s="46">
        <v>19950000</v>
      </c>
      <c r="L423" s="2">
        <v>45531</v>
      </c>
      <c r="M423" s="32"/>
      <c r="N423" s="51">
        <v>3013811446</v>
      </c>
      <c r="O423" s="103" t="s">
        <v>5632</v>
      </c>
      <c r="P423" s="52" t="s">
        <v>5633</v>
      </c>
    </row>
    <row r="424" spans="2:16" x14ac:dyDescent="0.25">
      <c r="B424" s="32">
        <v>413</v>
      </c>
      <c r="C424" s="263" t="s">
        <v>5635</v>
      </c>
      <c r="D424" s="229"/>
      <c r="E424" s="229"/>
      <c r="F424" s="229"/>
      <c r="G424" s="229"/>
      <c r="H424" s="229"/>
      <c r="I424" s="229"/>
      <c r="J424" s="59" t="s">
        <v>3335</v>
      </c>
      <c r="K424" s="46">
        <v>3950000</v>
      </c>
      <c r="L424" s="2">
        <v>45531</v>
      </c>
      <c r="M424" s="32"/>
      <c r="N424" s="32">
        <v>3194913179</v>
      </c>
      <c r="O424" s="103" t="s">
        <v>3495</v>
      </c>
      <c r="P424" s="52" t="s">
        <v>3496</v>
      </c>
    </row>
    <row r="425" spans="2:16" x14ac:dyDescent="0.25">
      <c r="B425" s="32">
        <v>414</v>
      </c>
      <c r="C425" s="271" t="s">
        <v>5636</v>
      </c>
      <c r="D425" s="272"/>
      <c r="E425" s="272"/>
      <c r="F425" s="272"/>
      <c r="G425" s="272"/>
      <c r="H425" s="272"/>
      <c r="I425" s="272"/>
      <c r="J425" s="59" t="s">
        <v>4939</v>
      </c>
      <c r="K425" s="46">
        <v>17950000</v>
      </c>
      <c r="L425" s="2">
        <v>45532</v>
      </c>
      <c r="M425" s="32"/>
      <c r="N425" s="51">
        <v>3014111727</v>
      </c>
      <c r="O425" s="103" t="s">
        <v>4270</v>
      </c>
      <c r="P425" s="52" t="s">
        <v>2235</v>
      </c>
    </row>
    <row r="426" spans="2:16" x14ac:dyDescent="0.25">
      <c r="B426" s="32">
        <v>415</v>
      </c>
      <c r="C426" s="271" t="s">
        <v>5641</v>
      </c>
      <c r="D426" s="272"/>
      <c r="E426" s="272"/>
      <c r="F426" s="272"/>
      <c r="G426" s="272"/>
      <c r="H426" s="272"/>
      <c r="I426" s="272"/>
      <c r="J426" s="59" t="s">
        <v>5637</v>
      </c>
      <c r="K426" s="46" t="s">
        <v>3448</v>
      </c>
      <c r="L426" s="2">
        <v>45533</v>
      </c>
      <c r="M426" s="32"/>
      <c r="N426" s="51" t="s">
        <v>5640</v>
      </c>
      <c r="O426" s="103" t="s">
        <v>5639</v>
      </c>
      <c r="P426" s="52" t="s">
        <v>5638</v>
      </c>
    </row>
    <row r="427" spans="2:16" x14ac:dyDescent="0.25">
      <c r="B427" s="32">
        <v>416</v>
      </c>
      <c r="C427" s="230" t="s">
        <v>5642</v>
      </c>
      <c r="D427" s="231"/>
      <c r="E427" s="231"/>
      <c r="F427" s="231"/>
      <c r="G427" s="231"/>
      <c r="H427" s="231"/>
      <c r="I427" s="232"/>
      <c r="J427" s="59" t="s">
        <v>5637</v>
      </c>
      <c r="K427" s="46" t="s">
        <v>3448</v>
      </c>
      <c r="L427" s="2">
        <v>45533</v>
      </c>
      <c r="M427" s="32"/>
      <c r="N427" s="51" t="s">
        <v>5640</v>
      </c>
      <c r="O427" s="103" t="s">
        <v>5639</v>
      </c>
      <c r="P427" s="52" t="s">
        <v>5638</v>
      </c>
    </row>
    <row r="428" spans="2:16" x14ac:dyDescent="0.25">
      <c r="B428" s="32">
        <v>417</v>
      </c>
      <c r="C428" s="229" t="s">
        <v>5643</v>
      </c>
      <c r="D428" s="229"/>
      <c r="E428" s="229"/>
      <c r="F428" s="229"/>
      <c r="G428" s="229"/>
      <c r="H428" s="229"/>
      <c r="I428" s="229"/>
      <c r="J428" s="59" t="s">
        <v>5637</v>
      </c>
      <c r="K428" s="46" t="s">
        <v>3448</v>
      </c>
      <c r="L428" s="2">
        <v>45533</v>
      </c>
      <c r="M428" s="32"/>
      <c r="N428" s="51" t="s">
        <v>5640</v>
      </c>
      <c r="O428" s="103" t="s">
        <v>5639</v>
      </c>
      <c r="P428" s="52" t="s">
        <v>5638</v>
      </c>
    </row>
    <row r="429" spans="2:16" x14ac:dyDescent="0.25">
      <c r="B429" s="32">
        <v>418</v>
      </c>
      <c r="C429" s="229" t="s">
        <v>5644</v>
      </c>
      <c r="D429" s="229"/>
      <c r="E429" s="229"/>
      <c r="F429" s="229"/>
      <c r="G429" s="229"/>
      <c r="H429" s="229"/>
      <c r="I429" s="229"/>
      <c r="J429" s="59" t="s">
        <v>5637</v>
      </c>
      <c r="K429" s="46" t="s">
        <v>3448</v>
      </c>
      <c r="L429" s="2">
        <v>45533</v>
      </c>
      <c r="M429" s="32"/>
      <c r="N429" s="51" t="s">
        <v>5640</v>
      </c>
      <c r="O429" s="103" t="s">
        <v>5639</v>
      </c>
      <c r="P429" s="52" t="s">
        <v>5638</v>
      </c>
    </row>
    <row r="430" spans="2:16" x14ac:dyDescent="0.25">
      <c r="B430" s="32">
        <v>419</v>
      </c>
      <c r="C430" s="271" t="s">
        <v>5645</v>
      </c>
      <c r="D430" s="272"/>
      <c r="E430" s="272"/>
      <c r="F430" s="272"/>
      <c r="G430" s="272"/>
      <c r="H430" s="272"/>
      <c r="I430" s="272"/>
      <c r="J430" s="59" t="s">
        <v>5637</v>
      </c>
      <c r="K430" s="46" t="s">
        <v>3448</v>
      </c>
      <c r="L430" s="2">
        <v>45533</v>
      </c>
      <c r="M430" s="32"/>
      <c r="N430" s="51" t="s">
        <v>5640</v>
      </c>
      <c r="O430" s="103" t="s">
        <v>5639</v>
      </c>
      <c r="P430" s="52" t="s">
        <v>5638</v>
      </c>
    </row>
    <row r="431" spans="2:16" x14ac:dyDescent="0.25">
      <c r="B431" s="32">
        <v>420</v>
      </c>
      <c r="C431" s="229" t="s">
        <v>5646</v>
      </c>
      <c r="D431" s="229"/>
      <c r="E431" s="229"/>
      <c r="F431" s="229"/>
      <c r="G431" s="229"/>
      <c r="H431" s="229"/>
      <c r="I431" s="229"/>
      <c r="J431" s="59" t="s">
        <v>831</v>
      </c>
      <c r="K431" s="46">
        <v>12950000</v>
      </c>
      <c r="L431" s="2">
        <v>45534</v>
      </c>
      <c r="M431" s="32"/>
      <c r="N431" s="32">
        <v>3194913179</v>
      </c>
      <c r="O431" s="103" t="s">
        <v>3495</v>
      </c>
      <c r="P431" s="52" t="s">
        <v>3496</v>
      </c>
    </row>
    <row r="432" spans="2:16" x14ac:dyDescent="0.25">
      <c r="B432" s="32">
        <v>421</v>
      </c>
      <c r="C432" s="229" t="s">
        <v>5648</v>
      </c>
      <c r="D432" s="229"/>
      <c r="E432" s="229"/>
      <c r="F432" s="229"/>
      <c r="G432" s="229"/>
      <c r="H432" s="229"/>
      <c r="I432" s="229"/>
      <c r="J432" s="59" t="s">
        <v>5647</v>
      </c>
      <c r="K432" s="46">
        <v>1350000</v>
      </c>
      <c r="L432" s="2">
        <v>45534</v>
      </c>
      <c r="M432" s="32"/>
      <c r="N432" s="32" t="s">
        <v>1897</v>
      </c>
      <c r="O432" s="102" t="s">
        <v>2076</v>
      </c>
      <c r="P432" s="38" t="s">
        <v>1899</v>
      </c>
    </row>
    <row r="433" spans="2:16" ht="15" customHeight="1" x14ac:dyDescent="0.25">
      <c r="B433" s="32">
        <v>422</v>
      </c>
      <c r="C433" s="271" t="s">
        <v>5652</v>
      </c>
      <c r="D433" s="272"/>
      <c r="E433" s="272"/>
      <c r="F433" s="272"/>
      <c r="G433" s="272"/>
      <c r="H433" s="272"/>
      <c r="I433" s="272"/>
      <c r="J433" s="59" t="s">
        <v>5651</v>
      </c>
      <c r="K433" s="46">
        <v>4950000</v>
      </c>
      <c r="L433" s="2">
        <v>45537</v>
      </c>
      <c r="M433" s="32"/>
      <c r="N433" s="32">
        <v>3006523764</v>
      </c>
      <c r="O433" s="103" t="s">
        <v>5649</v>
      </c>
      <c r="P433" s="52" t="s">
        <v>5650</v>
      </c>
    </row>
    <row r="434" spans="2:16" ht="15" customHeight="1" x14ac:dyDescent="0.25">
      <c r="B434" s="32">
        <v>423</v>
      </c>
      <c r="C434" s="271" t="s">
        <v>5654</v>
      </c>
      <c r="D434" s="272"/>
      <c r="E434" s="272"/>
      <c r="F434" s="272"/>
      <c r="G434" s="272"/>
      <c r="H434" s="272"/>
      <c r="I434" s="272"/>
      <c r="J434" s="59" t="s">
        <v>3002</v>
      </c>
      <c r="K434" s="46">
        <v>22990000</v>
      </c>
      <c r="L434" s="2">
        <v>45539</v>
      </c>
      <c r="M434" s="32"/>
      <c r="N434" s="32"/>
      <c r="O434" s="103" t="s">
        <v>5653</v>
      </c>
      <c r="P434" s="52" t="s">
        <v>2658</v>
      </c>
    </row>
    <row r="435" spans="2:16" x14ac:dyDescent="0.25">
      <c r="B435" s="32">
        <v>424</v>
      </c>
      <c r="C435" s="229" t="s">
        <v>5658</v>
      </c>
      <c r="D435" s="229"/>
      <c r="E435" s="229"/>
      <c r="F435" s="229"/>
      <c r="G435" s="229"/>
      <c r="H435" s="229"/>
      <c r="I435" s="229"/>
      <c r="J435" s="59" t="s">
        <v>5655</v>
      </c>
      <c r="K435" s="46">
        <v>14450000</v>
      </c>
      <c r="L435" s="2">
        <v>45537</v>
      </c>
      <c r="M435" s="32"/>
      <c r="N435" s="51">
        <v>3017575852</v>
      </c>
      <c r="O435" s="102" t="s">
        <v>5656</v>
      </c>
      <c r="P435" s="54" t="s">
        <v>5657</v>
      </c>
    </row>
    <row r="436" spans="2:16" x14ac:dyDescent="0.25">
      <c r="B436" s="32">
        <v>425</v>
      </c>
      <c r="C436" s="263" t="s">
        <v>5661</v>
      </c>
      <c r="D436" s="229"/>
      <c r="E436" s="229"/>
      <c r="F436" s="229"/>
      <c r="G436" s="229"/>
      <c r="H436" s="229"/>
      <c r="I436" s="229"/>
      <c r="J436" s="59" t="s">
        <v>5660</v>
      </c>
      <c r="K436" s="46">
        <v>33800000</v>
      </c>
      <c r="L436" s="2">
        <v>45534</v>
      </c>
      <c r="M436" s="32"/>
      <c r="N436" s="32"/>
      <c r="O436" s="103"/>
      <c r="P436" s="52" t="s">
        <v>5659</v>
      </c>
    </row>
    <row r="437" spans="2:16" x14ac:dyDescent="0.25">
      <c r="B437" s="32">
        <v>426</v>
      </c>
      <c r="C437" s="263" t="s">
        <v>5663</v>
      </c>
      <c r="D437" s="229"/>
      <c r="E437" s="229"/>
      <c r="F437" s="229"/>
      <c r="G437" s="229"/>
      <c r="H437" s="229"/>
      <c r="I437" s="229"/>
      <c r="J437" s="59" t="s">
        <v>2325</v>
      </c>
      <c r="K437" s="46">
        <v>14950000</v>
      </c>
      <c r="L437" s="2">
        <v>45538</v>
      </c>
      <c r="M437" s="32"/>
      <c r="N437" s="32" t="s">
        <v>2326</v>
      </c>
      <c r="O437" s="102" t="s">
        <v>5662</v>
      </c>
      <c r="P437" s="52" t="s">
        <v>2328</v>
      </c>
    </row>
    <row r="438" spans="2:16" x14ac:dyDescent="0.25">
      <c r="B438" s="32">
        <v>427</v>
      </c>
      <c r="C438" s="263" t="s">
        <v>5664</v>
      </c>
      <c r="D438" s="229"/>
      <c r="E438" s="229"/>
      <c r="F438" s="229"/>
      <c r="G438" s="229"/>
      <c r="H438" s="229"/>
      <c r="I438" s="229"/>
      <c r="J438" s="59" t="s">
        <v>702</v>
      </c>
      <c r="K438" s="46">
        <f>1350000+700000</f>
        <v>2050000</v>
      </c>
      <c r="L438" s="2">
        <v>45539</v>
      </c>
      <c r="M438" s="32"/>
      <c r="N438" s="32">
        <v>3104165783</v>
      </c>
      <c r="O438" s="103" t="s">
        <v>4564</v>
      </c>
      <c r="P438" s="52" t="s">
        <v>4565</v>
      </c>
    </row>
    <row r="439" spans="2:16" x14ac:dyDescent="0.25">
      <c r="B439" s="32">
        <v>428</v>
      </c>
      <c r="C439" s="271" t="s">
        <v>5666</v>
      </c>
      <c r="D439" s="272"/>
      <c r="E439" s="272"/>
      <c r="F439" s="272"/>
      <c r="G439" s="272"/>
      <c r="H439" s="272"/>
      <c r="I439" s="272"/>
      <c r="J439" s="59" t="s">
        <v>5356</v>
      </c>
      <c r="K439" s="46">
        <v>29950000</v>
      </c>
      <c r="L439" s="2">
        <v>45538</v>
      </c>
      <c r="M439" s="32"/>
      <c r="N439" s="32"/>
      <c r="O439" s="103" t="s">
        <v>5665</v>
      </c>
      <c r="P439" s="52" t="s">
        <v>5517</v>
      </c>
    </row>
    <row r="440" spans="2:16" x14ac:dyDescent="0.25">
      <c r="B440" s="32">
        <v>429</v>
      </c>
      <c r="C440" s="229" t="s">
        <v>5667</v>
      </c>
      <c r="D440" s="229"/>
      <c r="E440" s="229"/>
      <c r="F440" s="229"/>
      <c r="G440" s="229"/>
      <c r="H440" s="229"/>
      <c r="I440" s="229"/>
      <c r="J440" s="59" t="s">
        <v>2445</v>
      </c>
      <c r="K440" s="46">
        <v>1000000</v>
      </c>
      <c r="L440" s="2">
        <v>45538</v>
      </c>
      <c r="M440" s="32"/>
      <c r="N440" s="32">
        <v>3127218621</v>
      </c>
      <c r="O440" s="103" t="s">
        <v>5543</v>
      </c>
      <c r="P440" s="52" t="s">
        <v>3668</v>
      </c>
    </row>
    <row r="441" spans="2:16" x14ac:dyDescent="0.25">
      <c r="B441" s="32">
        <v>430</v>
      </c>
      <c r="C441" s="271" t="s">
        <v>5668</v>
      </c>
      <c r="D441" s="272"/>
      <c r="E441" s="272"/>
      <c r="F441" s="272"/>
      <c r="G441" s="272"/>
      <c r="H441" s="272"/>
      <c r="I441" s="272"/>
      <c r="J441" s="59" t="s">
        <v>4939</v>
      </c>
      <c r="K441" s="46">
        <v>2350000</v>
      </c>
      <c r="L441" s="2">
        <v>45540</v>
      </c>
      <c r="M441" s="32"/>
      <c r="N441" s="51">
        <v>3206678830</v>
      </c>
      <c r="O441" s="103" t="s">
        <v>5109</v>
      </c>
      <c r="P441" s="52" t="s">
        <v>948</v>
      </c>
    </row>
    <row r="442" spans="2:16" x14ac:dyDescent="0.25">
      <c r="B442" s="32">
        <v>431</v>
      </c>
      <c r="C442" s="263" t="s">
        <v>5669</v>
      </c>
      <c r="D442" s="229"/>
      <c r="E442" s="229"/>
      <c r="F442" s="229"/>
      <c r="G442" s="229"/>
      <c r="H442" s="229"/>
      <c r="I442" s="229"/>
      <c r="J442" s="59" t="s">
        <v>2204</v>
      </c>
      <c r="K442" s="46">
        <v>9000000</v>
      </c>
      <c r="L442" s="2">
        <v>45540</v>
      </c>
      <c r="M442" s="32"/>
      <c r="N442" s="51">
        <v>3117208541</v>
      </c>
      <c r="O442" s="103" t="s">
        <v>2240</v>
      </c>
      <c r="P442" s="54" t="s">
        <v>2241</v>
      </c>
    </row>
    <row r="443" spans="2:16" x14ac:dyDescent="0.25">
      <c r="B443" s="32">
        <v>432</v>
      </c>
      <c r="C443" s="263" t="s">
        <v>5672</v>
      </c>
      <c r="D443" s="229"/>
      <c r="E443" s="229"/>
      <c r="F443" s="229"/>
      <c r="G443" s="229"/>
      <c r="H443" s="229"/>
      <c r="I443" s="229"/>
      <c r="J443" s="59" t="s">
        <v>5670</v>
      </c>
      <c r="K443" s="46" t="s">
        <v>3448</v>
      </c>
      <c r="L443" s="2">
        <v>45540</v>
      </c>
      <c r="M443" s="32"/>
      <c r="N443" s="32">
        <v>5977482657</v>
      </c>
      <c r="O443" s="103" t="s">
        <v>5671</v>
      </c>
      <c r="P443" s="52" t="s">
        <v>5673</v>
      </c>
    </row>
    <row r="444" spans="2:16" x14ac:dyDescent="0.25">
      <c r="B444" s="32">
        <v>433</v>
      </c>
      <c r="C444" s="271" t="s">
        <v>5674</v>
      </c>
      <c r="D444" s="272"/>
      <c r="E444" s="272"/>
      <c r="F444" s="272"/>
      <c r="G444" s="272"/>
      <c r="H444" s="272"/>
      <c r="I444" s="272"/>
      <c r="J444" s="59" t="s">
        <v>3202</v>
      </c>
      <c r="K444" s="46">
        <v>9410000</v>
      </c>
      <c r="L444" s="2">
        <v>45541</v>
      </c>
      <c r="M444" s="32"/>
      <c r="N444" s="32">
        <v>3137851941</v>
      </c>
      <c r="O444" s="103" t="s">
        <v>4126</v>
      </c>
      <c r="P444" s="52" t="s">
        <v>713</v>
      </c>
    </row>
    <row r="445" spans="2:16" x14ac:dyDescent="0.25">
      <c r="B445" s="32">
        <v>434</v>
      </c>
      <c r="C445" s="229" t="s">
        <v>5675</v>
      </c>
      <c r="D445" s="229"/>
      <c r="E445" s="229"/>
      <c r="F445" s="229"/>
      <c r="G445" s="229"/>
      <c r="H445" s="229"/>
      <c r="I445" s="229"/>
      <c r="J445" s="59" t="s">
        <v>880</v>
      </c>
      <c r="K445" s="46">
        <v>4950000</v>
      </c>
      <c r="L445" s="2">
        <v>45541</v>
      </c>
      <c r="M445" s="32"/>
      <c r="N445" s="32" t="s">
        <v>4363</v>
      </c>
      <c r="O445" s="103" t="s">
        <v>5678</v>
      </c>
      <c r="P445" s="38" t="s">
        <v>4361</v>
      </c>
    </row>
    <row r="446" spans="2:16" x14ac:dyDescent="0.25">
      <c r="B446" s="32">
        <v>435</v>
      </c>
      <c r="C446" s="229" t="s">
        <v>5676</v>
      </c>
      <c r="D446" s="229"/>
      <c r="E446" s="229"/>
      <c r="F446" s="229"/>
      <c r="G446" s="229"/>
      <c r="H446" s="229"/>
      <c r="I446" s="229"/>
      <c r="J446" s="59" t="s">
        <v>1139</v>
      </c>
      <c r="K446" s="46">
        <v>10000000</v>
      </c>
      <c r="L446" s="2">
        <v>45544</v>
      </c>
      <c r="M446" s="32"/>
      <c r="N446" s="32">
        <v>3166844810</v>
      </c>
      <c r="O446" s="103" t="s">
        <v>5677</v>
      </c>
      <c r="P446" s="38" t="s">
        <v>4606</v>
      </c>
    </row>
    <row r="447" spans="2:16" x14ac:dyDescent="0.25">
      <c r="B447" s="32">
        <v>436</v>
      </c>
      <c r="C447" s="271" t="s">
        <v>5682</v>
      </c>
      <c r="D447" s="272"/>
      <c r="E447" s="272"/>
      <c r="F447" s="272"/>
      <c r="G447" s="272"/>
      <c r="H447" s="272"/>
      <c r="I447" s="272"/>
      <c r="J447" s="59" t="s">
        <v>5681</v>
      </c>
      <c r="K447" s="46">
        <v>2300000</v>
      </c>
      <c r="L447" s="2">
        <v>45544</v>
      </c>
      <c r="M447" s="32"/>
      <c r="N447" s="32" t="s">
        <v>5680</v>
      </c>
      <c r="O447" s="103" t="s">
        <v>2891</v>
      </c>
      <c r="P447" s="52" t="s">
        <v>5679</v>
      </c>
    </row>
    <row r="448" spans="2:16" x14ac:dyDescent="0.25">
      <c r="B448" s="32">
        <v>437</v>
      </c>
      <c r="C448" s="271" t="s">
        <v>5683</v>
      </c>
      <c r="D448" s="272"/>
      <c r="E448" s="272"/>
      <c r="F448" s="272"/>
      <c r="G448" s="272"/>
      <c r="H448" s="272"/>
      <c r="I448" s="272"/>
      <c r="J448" s="59" t="s">
        <v>5684</v>
      </c>
      <c r="K448" s="46">
        <v>12950000</v>
      </c>
      <c r="L448" s="2">
        <v>45544</v>
      </c>
      <c r="M448" s="32"/>
      <c r="N448" s="32"/>
      <c r="O448" s="103" t="s">
        <v>5685</v>
      </c>
      <c r="P448" s="52" t="s">
        <v>5686</v>
      </c>
    </row>
    <row r="449" spans="2:16" x14ac:dyDescent="0.25">
      <c r="B449" s="32">
        <v>438</v>
      </c>
      <c r="C449" s="271" t="s">
        <v>5687</v>
      </c>
      <c r="D449" s="272"/>
      <c r="E449" s="272"/>
      <c r="F449" s="272"/>
      <c r="G449" s="272"/>
      <c r="H449" s="272"/>
      <c r="I449" s="272"/>
      <c r="J449" s="59" t="s">
        <v>702</v>
      </c>
      <c r="K449" s="46"/>
      <c r="L449" s="2">
        <v>45544</v>
      </c>
      <c r="M449" s="32"/>
      <c r="N449" s="32">
        <v>3104165783</v>
      </c>
      <c r="O449" s="103" t="s">
        <v>4564</v>
      </c>
      <c r="P449" s="52" t="s">
        <v>4565</v>
      </c>
    </row>
    <row r="450" spans="2:16" x14ac:dyDescent="0.25">
      <c r="B450" s="32">
        <v>439</v>
      </c>
      <c r="C450" s="229" t="s">
        <v>5690</v>
      </c>
      <c r="D450" s="229"/>
      <c r="E450" s="229"/>
      <c r="F450" s="229"/>
      <c r="G450" s="229"/>
      <c r="H450" s="229"/>
      <c r="I450" s="229"/>
      <c r="J450" s="59" t="s">
        <v>5689</v>
      </c>
      <c r="K450" s="46">
        <v>14950000</v>
      </c>
      <c r="L450" s="2">
        <v>45545</v>
      </c>
      <c r="M450" s="32"/>
      <c r="N450" s="32">
        <v>3002568154</v>
      </c>
      <c r="O450" s="103" t="s">
        <v>5688</v>
      </c>
      <c r="P450" s="52" t="s">
        <v>1111</v>
      </c>
    </row>
    <row r="451" spans="2:16" x14ac:dyDescent="0.25">
      <c r="B451" s="32">
        <v>440</v>
      </c>
      <c r="C451" s="229" t="s">
        <v>5693</v>
      </c>
      <c r="D451" s="229"/>
      <c r="E451" s="229"/>
      <c r="F451" s="229"/>
      <c r="G451" s="229"/>
      <c r="H451" s="229"/>
      <c r="I451" s="229"/>
      <c r="J451" s="103" t="s">
        <v>5691</v>
      </c>
      <c r="K451" s="46">
        <v>2750000</v>
      </c>
      <c r="L451" s="2">
        <v>45545</v>
      </c>
      <c r="M451" s="32"/>
      <c r="N451" s="32">
        <v>3157478709</v>
      </c>
      <c r="O451" s="103" t="s">
        <v>5691</v>
      </c>
      <c r="P451" s="52" t="s">
        <v>5692</v>
      </c>
    </row>
    <row r="452" spans="2:16" x14ac:dyDescent="0.25">
      <c r="B452" s="32">
        <v>441</v>
      </c>
      <c r="C452" s="271" t="s">
        <v>5694</v>
      </c>
      <c r="D452" s="272"/>
      <c r="E452" s="272"/>
      <c r="F452" s="272"/>
      <c r="G452" s="272"/>
      <c r="H452" s="272"/>
      <c r="I452" s="272"/>
      <c r="J452" s="59" t="s">
        <v>747</v>
      </c>
      <c r="K452" s="46">
        <v>35560000</v>
      </c>
      <c r="L452" s="2">
        <v>45545</v>
      </c>
      <c r="M452" s="32"/>
      <c r="N452" s="32">
        <v>3175594091</v>
      </c>
      <c r="O452" s="103" t="s">
        <v>3588</v>
      </c>
      <c r="P452" s="52" t="s">
        <v>748</v>
      </c>
    </row>
    <row r="453" spans="2:16" x14ac:dyDescent="0.25">
      <c r="B453" s="32">
        <v>442</v>
      </c>
      <c r="C453" s="263" t="s">
        <v>5695</v>
      </c>
      <c r="D453" s="229"/>
      <c r="E453" s="229"/>
      <c r="F453" s="229"/>
      <c r="G453" s="229"/>
      <c r="H453" s="229"/>
      <c r="I453" s="229"/>
      <c r="J453" s="59" t="s">
        <v>3396</v>
      </c>
      <c r="K453" s="46">
        <v>24850000</v>
      </c>
      <c r="L453" s="2">
        <v>45546</v>
      </c>
      <c r="M453" s="32"/>
      <c r="N453" s="32">
        <v>3007808119</v>
      </c>
      <c r="O453" s="103" t="s">
        <v>2387</v>
      </c>
      <c r="P453" s="52" t="s">
        <v>2388</v>
      </c>
    </row>
    <row r="454" spans="2:16" x14ac:dyDescent="0.25">
      <c r="B454" s="32">
        <v>443</v>
      </c>
      <c r="C454" s="271" t="s">
        <v>5697</v>
      </c>
      <c r="D454" s="272"/>
      <c r="E454" s="272"/>
      <c r="F454" s="272"/>
      <c r="G454" s="272"/>
      <c r="H454" s="272"/>
      <c r="I454" s="272"/>
      <c r="J454" s="59" t="s">
        <v>5189</v>
      </c>
      <c r="K454" s="46">
        <v>3750000</v>
      </c>
      <c r="L454" s="2">
        <v>45546</v>
      </c>
      <c r="M454" s="32"/>
      <c r="N454" s="32">
        <v>3148676060</v>
      </c>
      <c r="O454" s="103" t="s">
        <v>1379</v>
      </c>
      <c r="P454" s="52" t="s">
        <v>5696</v>
      </c>
    </row>
    <row r="455" spans="2:16" x14ac:dyDescent="0.25">
      <c r="B455" s="32">
        <v>444</v>
      </c>
      <c r="C455" s="271" t="s">
        <v>5698</v>
      </c>
      <c r="D455" s="272"/>
      <c r="E455" s="272"/>
      <c r="F455" s="272"/>
      <c r="G455" s="272"/>
      <c r="H455" s="272"/>
      <c r="I455" s="272"/>
      <c r="J455" s="59" t="s">
        <v>4436</v>
      </c>
      <c r="K455" s="46">
        <v>12540000</v>
      </c>
      <c r="L455" s="2">
        <v>45546</v>
      </c>
      <c r="M455" s="32"/>
      <c r="N455" s="32" t="s">
        <v>5701</v>
      </c>
      <c r="O455" s="103" t="s">
        <v>5699</v>
      </c>
      <c r="P455" s="52" t="s">
        <v>5700</v>
      </c>
    </row>
    <row r="456" spans="2:16" x14ac:dyDescent="0.25">
      <c r="B456" s="32">
        <v>445</v>
      </c>
      <c r="C456" s="229" t="s">
        <v>5703</v>
      </c>
      <c r="D456" s="229"/>
      <c r="E456" s="229"/>
      <c r="F456" s="229"/>
      <c r="G456" s="229"/>
      <c r="H456" s="229"/>
      <c r="I456" s="229"/>
      <c r="J456" s="59" t="s">
        <v>5684</v>
      </c>
      <c r="K456" s="46">
        <v>3000000</v>
      </c>
      <c r="L456" s="2">
        <v>45548</v>
      </c>
      <c r="M456" s="32"/>
      <c r="N456" s="32"/>
      <c r="O456" s="103" t="s">
        <v>5702</v>
      </c>
      <c r="P456" s="52" t="s">
        <v>5686</v>
      </c>
    </row>
    <row r="457" spans="2:16" x14ac:dyDescent="0.25">
      <c r="B457" s="32">
        <v>446</v>
      </c>
      <c r="C457" s="271" t="s">
        <v>5705</v>
      </c>
      <c r="D457" s="272"/>
      <c r="E457" s="272"/>
      <c r="F457" s="272"/>
      <c r="G457" s="272"/>
      <c r="H457" s="272"/>
      <c r="I457" s="272"/>
      <c r="J457" s="59" t="s">
        <v>5704</v>
      </c>
      <c r="K457" s="46" t="s">
        <v>381</v>
      </c>
      <c r="L457" s="2">
        <v>45548</v>
      </c>
      <c r="M457" s="32"/>
      <c r="N457" s="32"/>
      <c r="O457" s="103" t="s">
        <v>5706</v>
      </c>
      <c r="P457" s="52" t="s">
        <v>5707</v>
      </c>
    </row>
    <row r="458" spans="2:16" x14ac:dyDescent="0.25">
      <c r="B458" s="32">
        <v>447</v>
      </c>
      <c r="C458" s="229" t="s">
        <v>5711</v>
      </c>
      <c r="D458" s="229"/>
      <c r="E458" s="229"/>
      <c r="F458" s="229"/>
      <c r="G458" s="229"/>
      <c r="H458" s="229"/>
      <c r="I458" s="229"/>
      <c r="J458" s="59" t="s">
        <v>5474</v>
      </c>
      <c r="K458" s="46">
        <v>5950000</v>
      </c>
      <c r="L458" s="2">
        <v>45554</v>
      </c>
      <c r="M458" s="32"/>
      <c r="N458" s="32" t="s">
        <v>5476</v>
      </c>
      <c r="O458" s="102" t="s">
        <v>5712</v>
      </c>
      <c r="P458" s="52" t="s">
        <v>5478</v>
      </c>
    </row>
    <row r="459" spans="2:16" x14ac:dyDescent="0.25">
      <c r="B459" s="32">
        <v>448</v>
      </c>
      <c r="C459" s="271" t="s">
        <v>5708</v>
      </c>
      <c r="D459" s="272"/>
      <c r="E459" s="272"/>
      <c r="F459" s="272"/>
      <c r="G459" s="272"/>
      <c r="H459" s="272"/>
      <c r="I459" s="272"/>
      <c r="J459" s="59" t="s">
        <v>5448</v>
      </c>
      <c r="K459" s="46">
        <v>6850000</v>
      </c>
      <c r="L459" s="2">
        <v>45551</v>
      </c>
      <c r="M459" s="32"/>
      <c r="N459" s="32">
        <v>3104513967</v>
      </c>
      <c r="O459" s="102" t="s">
        <v>5710</v>
      </c>
      <c r="P459" s="52" t="s">
        <v>5709</v>
      </c>
    </row>
    <row r="460" spans="2:16" x14ac:dyDescent="0.25">
      <c r="B460" s="32">
        <v>449</v>
      </c>
      <c r="C460" s="229" t="s">
        <v>5714</v>
      </c>
      <c r="D460" s="229"/>
      <c r="E460" s="229"/>
      <c r="F460" s="229"/>
      <c r="G460" s="229"/>
      <c r="H460" s="229"/>
      <c r="I460" s="229"/>
      <c r="J460" s="59" t="s">
        <v>5278</v>
      </c>
      <c r="K460" s="46">
        <v>43950000</v>
      </c>
      <c r="L460" s="2">
        <v>45552</v>
      </c>
      <c r="M460" s="32"/>
      <c r="N460" s="32">
        <v>3122579593</v>
      </c>
      <c r="O460" s="103" t="s">
        <v>5713</v>
      </c>
      <c r="P460" s="52" t="s">
        <v>5277</v>
      </c>
    </row>
    <row r="461" spans="2:16" x14ac:dyDescent="0.25">
      <c r="B461" s="32">
        <v>450</v>
      </c>
      <c r="C461" s="263" t="s">
        <v>5715</v>
      </c>
      <c r="D461" s="229"/>
      <c r="E461" s="229"/>
      <c r="F461" s="229"/>
      <c r="G461" s="229"/>
      <c r="H461" s="229"/>
      <c r="I461" s="229"/>
      <c r="J461" s="59" t="s">
        <v>702</v>
      </c>
      <c r="K461" s="46"/>
      <c r="L461" s="2">
        <v>45552</v>
      </c>
      <c r="M461" s="32"/>
      <c r="N461" s="32">
        <v>3104680508</v>
      </c>
      <c r="O461" s="102" t="s">
        <v>3190</v>
      </c>
      <c r="P461" s="52" t="s">
        <v>703</v>
      </c>
    </row>
    <row r="462" spans="2:16" x14ac:dyDescent="0.25">
      <c r="B462" s="32">
        <v>451</v>
      </c>
      <c r="C462" s="271" t="s">
        <v>5718</v>
      </c>
      <c r="D462" s="272"/>
      <c r="E462" s="272"/>
      <c r="F462" s="272"/>
      <c r="G462" s="272"/>
      <c r="H462" s="272"/>
      <c r="I462" s="272"/>
      <c r="J462" s="59" t="s">
        <v>5174</v>
      </c>
      <c r="K462" s="46">
        <v>9950000</v>
      </c>
      <c r="L462" s="2">
        <v>45552</v>
      </c>
      <c r="M462" s="32"/>
      <c r="N462" s="32"/>
      <c r="O462" s="103" t="s">
        <v>5716</v>
      </c>
      <c r="P462" s="52" t="s">
        <v>5717</v>
      </c>
    </row>
    <row r="463" spans="2:16" x14ac:dyDescent="0.25">
      <c r="B463" s="32">
        <v>452</v>
      </c>
      <c r="C463" s="271" t="s">
        <v>5721</v>
      </c>
      <c r="D463" s="272"/>
      <c r="E463" s="272"/>
      <c r="F463" s="272"/>
      <c r="G463" s="272"/>
      <c r="H463" s="272"/>
      <c r="I463" s="272"/>
      <c r="J463" s="59" t="s">
        <v>4939</v>
      </c>
      <c r="K463" s="46">
        <v>9410000</v>
      </c>
      <c r="L463" s="2">
        <v>45552</v>
      </c>
      <c r="M463" s="32"/>
      <c r="N463" s="32">
        <v>3008242202</v>
      </c>
      <c r="O463" s="103" t="s">
        <v>5720</v>
      </c>
      <c r="P463" s="52" t="s">
        <v>5719</v>
      </c>
    </row>
    <row r="464" spans="2:16" x14ac:dyDescent="0.25">
      <c r="B464" s="32">
        <v>453</v>
      </c>
      <c r="C464" s="271" t="s">
        <v>5722</v>
      </c>
      <c r="D464" s="272"/>
      <c r="E464" s="272"/>
      <c r="F464" s="272"/>
      <c r="G464" s="272"/>
      <c r="H464" s="272"/>
      <c r="I464" s="272"/>
      <c r="J464" s="59" t="s">
        <v>4390</v>
      </c>
      <c r="K464" s="46">
        <v>9950000</v>
      </c>
      <c r="L464" s="2">
        <v>45554</v>
      </c>
      <c r="M464" s="2"/>
      <c r="N464" s="32">
        <v>3113391008</v>
      </c>
      <c r="O464" s="103" t="s">
        <v>372</v>
      </c>
      <c r="P464" s="52" t="s">
        <v>2561</v>
      </c>
    </row>
    <row r="465" spans="2:16" x14ac:dyDescent="0.25">
      <c r="B465" s="32">
        <v>454</v>
      </c>
      <c r="C465" s="276" t="s">
        <v>5723</v>
      </c>
      <c r="D465" s="265"/>
      <c r="E465" s="265"/>
      <c r="F465" s="265"/>
      <c r="G465" s="265"/>
      <c r="H465" s="265"/>
      <c r="I465" s="265"/>
      <c r="J465" s="59" t="s">
        <v>4949</v>
      </c>
      <c r="K465" s="46">
        <v>16950000</v>
      </c>
      <c r="L465" s="2">
        <v>45554</v>
      </c>
      <c r="M465" s="32"/>
      <c r="N465" s="32"/>
      <c r="O465" s="103" t="s">
        <v>400</v>
      </c>
      <c r="P465" s="66" t="s">
        <v>4777</v>
      </c>
    </row>
    <row r="466" spans="2:16" x14ac:dyDescent="0.25">
      <c r="B466" s="32">
        <v>455</v>
      </c>
      <c r="C466" s="271" t="s">
        <v>5728</v>
      </c>
      <c r="D466" s="272"/>
      <c r="E466" s="272"/>
      <c r="F466" s="272"/>
      <c r="G466" s="272"/>
      <c r="H466" s="272"/>
      <c r="I466" s="272"/>
      <c r="J466" s="59" t="s">
        <v>3128</v>
      </c>
      <c r="K466" s="46">
        <v>11950000</v>
      </c>
      <c r="L466" s="2">
        <v>45554</v>
      </c>
      <c r="M466" s="32"/>
      <c r="N466" s="32">
        <v>3104145629</v>
      </c>
      <c r="O466" s="103" t="s">
        <v>3481</v>
      </c>
      <c r="P466" s="52" t="s">
        <v>2021</v>
      </c>
    </row>
    <row r="467" spans="2:16" x14ac:dyDescent="0.25">
      <c r="B467" s="32">
        <v>456</v>
      </c>
      <c r="C467" s="229" t="s">
        <v>5724</v>
      </c>
      <c r="D467" s="229"/>
      <c r="E467" s="229"/>
      <c r="F467" s="229"/>
      <c r="G467" s="229"/>
      <c r="H467" s="229"/>
      <c r="I467" s="229"/>
      <c r="J467" s="59" t="s">
        <v>3335</v>
      </c>
      <c r="K467" s="46">
        <v>1950000</v>
      </c>
      <c r="L467" s="2">
        <v>45554</v>
      </c>
      <c r="M467" s="72"/>
      <c r="N467" s="51">
        <v>3194913179</v>
      </c>
      <c r="O467" s="102" t="s">
        <v>3495</v>
      </c>
      <c r="P467" s="52" t="s">
        <v>3496</v>
      </c>
    </row>
    <row r="468" spans="2:16" x14ac:dyDescent="0.25">
      <c r="B468" s="32">
        <v>457</v>
      </c>
      <c r="C468" s="271" t="s">
        <v>5726</v>
      </c>
      <c r="D468" s="272"/>
      <c r="E468" s="272"/>
      <c r="F468" s="272"/>
      <c r="G468" s="272"/>
      <c r="H468" s="272"/>
      <c r="I468" s="272"/>
      <c r="J468" s="59" t="s">
        <v>5455</v>
      </c>
      <c r="K468" s="46">
        <v>3750000</v>
      </c>
      <c r="L468" s="2">
        <v>45554</v>
      </c>
      <c r="M468" s="2"/>
      <c r="N468" s="51">
        <v>3116728287</v>
      </c>
      <c r="O468" s="102" t="s">
        <v>4416</v>
      </c>
      <c r="P468" s="52" t="s">
        <v>5725</v>
      </c>
    </row>
    <row r="469" spans="2:16" x14ac:dyDescent="0.25">
      <c r="B469" s="32">
        <v>458</v>
      </c>
      <c r="C469" s="229" t="s">
        <v>5729</v>
      </c>
      <c r="D469" s="229"/>
      <c r="E469" s="229"/>
      <c r="F469" s="229"/>
      <c r="G469" s="229"/>
      <c r="H469" s="229"/>
      <c r="I469" s="229"/>
      <c r="J469" s="59" t="s">
        <v>5730</v>
      </c>
      <c r="K469" s="46">
        <v>8950000</v>
      </c>
      <c r="L469" s="2">
        <v>45555</v>
      </c>
      <c r="M469" s="32"/>
      <c r="N469" s="51"/>
      <c r="O469" s="102"/>
      <c r="P469" s="52"/>
    </row>
    <row r="470" spans="2:16" x14ac:dyDescent="0.25">
      <c r="B470" s="32">
        <v>459</v>
      </c>
      <c r="C470" s="229" t="s">
        <v>5733</v>
      </c>
      <c r="D470" s="229"/>
      <c r="E470" s="229"/>
      <c r="F470" s="229"/>
      <c r="G470" s="229"/>
      <c r="H470" s="229"/>
      <c r="I470" s="229"/>
      <c r="J470" s="59" t="s">
        <v>5174</v>
      </c>
      <c r="K470" s="46">
        <v>2950000</v>
      </c>
      <c r="L470" s="2">
        <v>45560</v>
      </c>
      <c r="M470" s="32"/>
      <c r="N470" s="51">
        <v>3194442125</v>
      </c>
      <c r="O470" s="102" t="s">
        <v>5732</v>
      </c>
      <c r="P470" s="52" t="s">
        <v>5731</v>
      </c>
    </row>
    <row r="471" spans="2:16" x14ac:dyDescent="0.25">
      <c r="B471" s="32">
        <v>460</v>
      </c>
      <c r="C471" s="280" t="s">
        <v>5734</v>
      </c>
      <c r="D471" s="286"/>
      <c r="E471" s="286"/>
      <c r="F471" s="286"/>
      <c r="G471" s="286"/>
      <c r="H471" s="286"/>
      <c r="I471" s="287"/>
      <c r="J471" s="59" t="s">
        <v>5174</v>
      </c>
      <c r="K471" s="46">
        <v>9950000</v>
      </c>
      <c r="L471" s="2">
        <v>45560</v>
      </c>
      <c r="M471" s="32"/>
      <c r="N471" s="51">
        <v>3194442125</v>
      </c>
      <c r="O471" s="102" t="s">
        <v>5732</v>
      </c>
      <c r="P471" s="52" t="s">
        <v>5731</v>
      </c>
    </row>
    <row r="472" spans="2:16" x14ac:dyDescent="0.25">
      <c r="B472" s="32">
        <v>461</v>
      </c>
      <c r="C472" s="271" t="s">
        <v>5737</v>
      </c>
      <c r="D472" s="272"/>
      <c r="E472" s="272"/>
      <c r="F472" s="272"/>
      <c r="G472" s="272"/>
      <c r="H472" s="272"/>
      <c r="I472" s="272"/>
      <c r="J472" s="59" t="s">
        <v>5736</v>
      </c>
      <c r="K472" s="46">
        <v>15650000</v>
      </c>
      <c r="L472" s="2">
        <v>45560</v>
      </c>
      <c r="M472" s="32"/>
      <c r="N472" s="32">
        <v>3108991119</v>
      </c>
      <c r="O472" s="103" t="s">
        <v>5735</v>
      </c>
      <c r="P472" s="52"/>
    </row>
    <row r="473" spans="2:16" x14ac:dyDescent="0.25">
      <c r="B473" s="32">
        <v>462</v>
      </c>
      <c r="C473" s="229" t="s">
        <v>5738</v>
      </c>
      <c r="D473" s="229"/>
      <c r="E473" s="229"/>
      <c r="F473" s="229"/>
      <c r="G473" s="229"/>
      <c r="H473" s="229"/>
      <c r="I473" s="229"/>
      <c r="J473" s="59" t="s">
        <v>3766</v>
      </c>
      <c r="K473" s="46">
        <v>7990000</v>
      </c>
      <c r="L473" s="2">
        <v>45561</v>
      </c>
      <c r="M473" s="32"/>
      <c r="N473" s="32">
        <v>3007549649</v>
      </c>
      <c r="O473" s="32" t="s">
        <v>3552</v>
      </c>
      <c r="P473" s="52" t="s">
        <v>3553</v>
      </c>
    </row>
    <row r="474" spans="2:16" x14ac:dyDescent="0.25">
      <c r="B474" s="32">
        <v>463</v>
      </c>
      <c r="C474" s="229" t="s">
        <v>5739</v>
      </c>
      <c r="D474" s="229"/>
      <c r="E474" s="229"/>
      <c r="F474" s="229"/>
      <c r="G474" s="229"/>
      <c r="H474" s="229"/>
      <c r="I474" s="229"/>
      <c r="J474" s="59" t="s">
        <v>702</v>
      </c>
      <c r="K474" s="46">
        <v>4500000</v>
      </c>
      <c r="L474" s="2">
        <v>45561</v>
      </c>
      <c r="M474" s="32"/>
      <c r="N474" s="32">
        <v>3137546144</v>
      </c>
      <c r="O474" s="102" t="s">
        <v>3996</v>
      </c>
      <c r="P474" s="52" t="s">
        <v>2504</v>
      </c>
    </row>
    <row r="475" spans="2:16" x14ac:dyDescent="0.25">
      <c r="B475" s="32">
        <v>464</v>
      </c>
      <c r="C475" s="271" t="s">
        <v>5743</v>
      </c>
      <c r="D475" s="272"/>
      <c r="E475" s="272"/>
      <c r="F475" s="272"/>
      <c r="G475" s="272"/>
      <c r="H475" s="272"/>
      <c r="I475" s="272"/>
      <c r="J475" s="59" t="s">
        <v>5740</v>
      </c>
      <c r="K475" s="46">
        <v>5950000</v>
      </c>
      <c r="L475" s="2">
        <v>45561</v>
      </c>
      <c r="M475" s="32"/>
      <c r="N475" s="32">
        <v>3006186173</v>
      </c>
      <c r="O475" s="103" t="s">
        <v>5741</v>
      </c>
      <c r="P475" s="52" t="s">
        <v>5742</v>
      </c>
    </row>
    <row r="476" spans="2:16" x14ac:dyDescent="0.25">
      <c r="B476" s="32">
        <v>465</v>
      </c>
      <c r="C476" s="271" t="s">
        <v>5750</v>
      </c>
      <c r="D476" s="272"/>
      <c r="E476" s="272"/>
      <c r="F476" s="272"/>
      <c r="G476" s="272"/>
      <c r="H476" s="272"/>
      <c r="I476" s="272"/>
      <c r="J476" s="59" t="s">
        <v>4597</v>
      </c>
      <c r="K476" s="46" t="s">
        <v>381</v>
      </c>
      <c r="L476" s="2">
        <v>45566</v>
      </c>
      <c r="M476" s="32"/>
      <c r="N476" s="32" t="s">
        <v>5812</v>
      </c>
      <c r="O476" s="103" t="s">
        <v>4109</v>
      </c>
      <c r="P476" s="52" t="s">
        <v>5752</v>
      </c>
    </row>
    <row r="477" spans="2:16" x14ac:dyDescent="0.25">
      <c r="B477" s="32">
        <v>466</v>
      </c>
      <c r="C477" s="229" t="s">
        <v>5744</v>
      </c>
      <c r="D477" s="229"/>
      <c r="E477" s="229"/>
      <c r="F477" s="229"/>
      <c r="G477" s="229"/>
      <c r="H477" s="229"/>
      <c r="I477" s="229"/>
      <c r="J477" s="59" t="s">
        <v>4597</v>
      </c>
      <c r="K477" s="46">
        <v>13200000</v>
      </c>
      <c r="L477" s="2">
        <v>45566</v>
      </c>
      <c r="M477" s="32"/>
      <c r="N477" s="32" t="s">
        <v>5812</v>
      </c>
      <c r="O477" s="103" t="s">
        <v>4109</v>
      </c>
      <c r="P477" s="52" t="s">
        <v>5752</v>
      </c>
    </row>
    <row r="478" spans="2:16" x14ac:dyDescent="0.25">
      <c r="B478" s="32">
        <v>467</v>
      </c>
      <c r="C478" s="229" t="s">
        <v>5745</v>
      </c>
      <c r="D478" s="229"/>
      <c r="E478" s="229"/>
      <c r="F478" s="229"/>
      <c r="G478" s="229"/>
      <c r="H478" s="229"/>
      <c r="I478" s="229"/>
      <c r="J478" s="59" t="s">
        <v>702</v>
      </c>
      <c r="K478" s="46">
        <v>3650000</v>
      </c>
      <c r="L478" s="2">
        <v>45566</v>
      </c>
      <c r="M478" s="32"/>
      <c r="N478" s="32">
        <v>3104165783</v>
      </c>
      <c r="O478" s="103" t="s">
        <v>4564</v>
      </c>
      <c r="P478" s="52" t="s">
        <v>4565</v>
      </c>
    </row>
    <row r="479" spans="2:16" x14ac:dyDescent="0.25">
      <c r="B479" s="32">
        <v>468</v>
      </c>
      <c r="C479" s="271" t="s">
        <v>5749</v>
      </c>
      <c r="D479" s="272"/>
      <c r="E479" s="272"/>
      <c r="F479" s="272"/>
      <c r="G479" s="272"/>
      <c r="H479" s="272"/>
      <c r="I479" s="272"/>
      <c r="J479" s="59" t="s">
        <v>5748</v>
      </c>
      <c r="K479" s="46">
        <v>21950000</v>
      </c>
      <c r="L479" s="2">
        <v>45566</v>
      </c>
      <c r="M479" s="32"/>
      <c r="N479" s="32">
        <v>3155062553</v>
      </c>
      <c r="O479" s="103" t="s">
        <v>5746</v>
      </c>
      <c r="P479" s="52" t="s">
        <v>5747</v>
      </c>
    </row>
    <row r="480" spans="2:16" x14ac:dyDescent="0.25">
      <c r="B480" s="32">
        <v>469</v>
      </c>
      <c r="C480" s="271" t="s">
        <v>5751</v>
      </c>
      <c r="D480" s="272"/>
      <c r="E480" s="272"/>
      <c r="F480" s="272"/>
      <c r="G480" s="272"/>
      <c r="H480" s="272"/>
      <c r="I480" s="272"/>
      <c r="J480" s="59" t="s">
        <v>4597</v>
      </c>
      <c r="K480" s="46">
        <v>15700000</v>
      </c>
      <c r="L480" s="2">
        <v>45566</v>
      </c>
      <c r="M480" s="32"/>
      <c r="N480" s="32"/>
      <c r="O480" s="103" t="s">
        <v>4109</v>
      </c>
      <c r="P480" s="52" t="s">
        <v>5752</v>
      </c>
    </row>
    <row r="481" spans="2:16" x14ac:dyDescent="0.25">
      <c r="B481" s="32">
        <v>470</v>
      </c>
      <c r="C481" s="263" t="s">
        <v>5757</v>
      </c>
      <c r="D481" s="229"/>
      <c r="E481" s="229"/>
      <c r="F481" s="229"/>
      <c r="G481" s="229"/>
      <c r="H481" s="229"/>
      <c r="I481" s="229"/>
      <c r="J481" s="59" t="s">
        <v>5753</v>
      </c>
      <c r="K481" s="56">
        <v>7530000</v>
      </c>
      <c r="L481" s="2">
        <v>45568</v>
      </c>
      <c r="M481" s="32"/>
      <c r="N481" s="46" t="s">
        <v>5756</v>
      </c>
      <c r="O481" s="103" t="s">
        <v>5754</v>
      </c>
      <c r="P481" s="52" t="s">
        <v>5755</v>
      </c>
    </row>
    <row r="482" spans="2:16" x14ac:dyDescent="0.25">
      <c r="B482" s="32">
        <v>471</v>
      </c>
      <c r="C482" s="271" t="s">
        <v>5759</v>
      </c>
      <c r="D482" s="272"/>
      <c r="E482" s="272"/>
      <c r="F482" s="272"/>
      <c r="G482" s="272"/>
      <c r="H482" s="272"/>
      <c r="I482" s="272"/>
      <c r="J482" s="59" t="s">
        <v>5448</v>
      </c>
      <c r="K482" s="46">
        <v>7950000</v>
      </c>
      <c r="L482" s="2">
        <v>45567</v>
      </c>
      <c r="M482" s="32"/>
      <c r="N482" s="51"/>
      <c r="O482" s="103" t="s">
        <v>2102</v>
      </c>
      <c r="P482" s="52" t="s">
        <v>5758</v>
      </c>
    </row>
    <row r="483" spans="2:16" x14ac:dyDescent="0.25">
      <c r="B483" s="32">
        <v>472</v>
      </c>
      <c r="C483" s="229" t="s">
        <v>5760</v>
      </c>
      <c r="D483" s="229"/>
      <c r="E483" s="229"/>
      <c r="F483" s="229"/>
      <c r="G483" s="229"/>
      <c r="H483" s="229"/>
      <c r="I483" s="229"/>
      <c r="J483" s="59" t="s">
        <v>2670</v>
      </c>
      <c r="K483" s="46">
        <v>250000</v>
      </c>
      <c r="L483" s="2">
        <v>45567</v>
      </c>
      <c r="M483" s="32"/>
      <c r="N483" s="51"/>
      <c r="O483" s="103"/>
      <c r="P483" s="52"/>
    </row>
    <row r="484" spans="2:16" x14ac:dyDescent="0.25">
      <c r="B484" s="32">
        <v>473</v>
      </c>
      <c r="C484" s="271" t="s">
        <v>5764</v>
      </c>
      <c r="D484" s="272"/>
      <c r="E484" s="272"/>
      <c r="F484" s="272"/>
      <c r="G484" s="272"/>
      <c r="H484" s="272"/>
      <c r="I484" s="272"/>
      <c r="J484" s="59" t="s">
        <v>5763</v>
      </c>
      <c r="K484" s="46">
        <v>54940000</v>
      </c>
      <c r="L484" s="2">
        <v>45568</v>
      </c>
      <c r="M484" s="32"/>
      <c r="N484" s="32"/>
      <c r="O484" s="103" t="s">
        <v>5761</v>
      </c>
      <c r="P484" s="52" t="s">
        <v>5762</v>
      </c>
    </row>
    <row r="485" spans="2:16" x14ac:dyDescent="0.25">
      <c r="B485" s="32">
        <v>474</v>
      </c>
      <c r="C485" s="271" t="s">
        <v>5767</v>
      </c>
      <c r="D485" s="272"/>
      <c r="E485" s="272"/>
      <c r="F485" s="272"/>
      <c r="G485" s="272"/>
      <c r="H485" s="272"/>
      <c r="I485" s="272"/>
      <c r="J485" s="59" t="s">
        <v>5765</v>
      </c>
      <c r="K485" s="46">
        <v>19950000</v>
      </c>
      <c r="L485" s="2">
        <v>45568</v>
      </c>
      <c r="M485" s="32"/>
      <c r="N485" s="32"/>
      <c r="O485" s="103" t="s">
        <v>5765</v>
      </c>
      <c r="P485" s="52" t="s">
        <v>5766</v>
      </c>
    </row>
    <row r="486" spans="2:16" x14ac:dyDescent="0.25">
      <c r="B486" s="32">
        <v>475</v>
      </c>
      <c r="C486" s="263" t="s">
        <v>5768</v>
      </c>
      <c r="D486" s="229"/>
      <c r="E486" s="229"/>
      <c r="F486" s="229"/>
      <c r="G486" s="229"/>
      <c r="H486" s="229"/>
      <c r="I486" s="229"/>
      <c r="J486" s="59" t="s">
        <v>5770</v>
      </c>
      <c r="K486" s="46">
        <v>19950000</v>
      </c>
      <c r="L486" s="2">
        <v>45573</v>
      </c>
      <c r="M486" s="32"/>
      <c r="N486" s="32"/>
      <c r="O486" s="103" t="s">
        <v>5769</v>
      </c>
      <c r="P486" s="52" t="s">
        <v>5771</v>
      </c>
    </row>
    <row r="487" spans="2:16" x14ac:dyDescent="0.25">
      <c r="B487" s="32">
        <v>476</v>
      </c>
      <c r="C487" s="229" t="s">
        <v>5772</v>
      </c>
      <c r="D487" s="229"/>
      <c r="E487" s="229"/>
      <c r="F487" s="229"/>
      <c r="G487" s="229"/>
      <c r="H487" s="229"/>
      <c r="I487" s="229"/>
      <c r="J487" s="59" t="s">
        <v>5405</v>
      </c>
      <c r="K487" s="46">
        <v>6900000</v>
      </c>
      <c r="L487" s="2">
        <v>45573</v>
      </c>
      <c r="M487" s="32"/>
      <c r="N487" s="32">
        <v>3147537411</v>
      </c>
      <c r="O487" s="102" t="s">
        <v>5253</v>
      </c>
      <c r="P487" s="82" t="s">
        <v>1131</v>
      </c>
    </row>
    <row r="488" spans="2:16" x14ac:dyDescent="0.25">
      <c r="B488" s="32">
        <v>477</v>
      </c>
      <c r="C488" s="229" t="s">
        <v>5773</v>
      </c>
      <c r="D488" s="229"/>
      <c r="E488" s="229"/>
      <c r="F488" s="229"/>
      <c r="G488" s="229"/>
      <c r="H488" s="229"/>
      <c r="I488" s="229"/>
      <c r="J488" s="59" t="s">
        <v>5405</v>
      </c>
      <c r="K488" s="46">
        <v>6270000</v>
      </c>
      <c r="L488" s="2">
        <v>45573</v>
      </c>
      <c r="M488" s="32"/>
      <c r="N488" s="32">
        <v>3147537411</v>
      </c>
      <c r="O488" s="102" t="s">
        <v>5253</v>
      </c>
      <c r="P488" s="82" t="s">
        <v>1131</v>
      </c>
    </row>
    <row r="489" spans="2:16" x14ac:dyDescent="0.25">
      <c r="B489" s="32">
        <v>478</v>
      </c>
      <c r="C489" s="271" t="s">
        <v>5774</v>
      </c>
      <c r="D489" s="272"/>
      <c r="E489" s="272"/>
      <c r="F489" s="272"/>
      <c r="G489" s="272"/>
      <c r="H489" s="272"/>
      <c r="I489" s="272"/>
      <c r="J489" s="59" t="s">
        <v>5405</v>
      </c>
      <c r="K489" s="46">
        <v>4770000</v>
      </c>
      <c r="L489" s="2">
        <v>45573</v>
      </c>
      <c r="M489" s="32"/>
      <c r="N489" s="32">
        <v>3147537411</v>
      </c>
      <c r="O489" s="102" t="s">
        <v>5253</v>
      </c>
      <c r="P489" s="82" t="s">
        <v>1131</v>
      </c>
    </row>
    <row r="490" spans="2:16" x14ac:dyDescent="0.25">
      <c r="B490" s="32">
        <v>479</v>
      </c>
      <c r="C490" s="271" t="s">
        <v>5775</v>
      </c>
      <c r="D490" s="272"/>
      <c r="E490" s="272"/>
      <c r="F490" s="272"/>
      <c r="G490" s="272"/>
      <c r="H490" s="272"/>
      <c r="I490" s="272"/>
      <c r="J490" s="59" t="s">
        <v>5405</v>
      </c>
      <c r="K490" s="46">
        <v>4390000</v>
      </c>
      <c r="L490" s="2">
        <v>45573</v>
      </c>
      <c r="M490" s="32"/>
      <c r="N490" s="32">
        <v>3147537411</v>
      </c>
      <c r="O490" s="102" t="s">
        <v>5253</v>
      </c>
      <c r="P490" s="82" t="s">
        <v>1131</v>
      </c>
    </row>
    <row r="491" spans="2:16" x14ac:dyDescent="0.25">
      <c r="B491" s="32">
        <v>480</v>
      </c>
      <c r="C491" s="229" t="s">
        <v>5776</v>
      </c>
      <c r="D491" s="229"/>
      <c r="E491" s="229"/>
      <c r="F491" s="229"/>
      <c r="G491" s="229"/>
      <c r="H491" s="229"/>
      <c r="I491" s="229"/>
      <c r="J491" s="59" t="s">
        <v>5405</v>
      </c>
      <c r="K491" s="46">
        <v>1880000</v>
      </c>
      <c r="L491" s="2">
        <v>45573</v>
      </c>
      <c r="M491" s="32"/>
      <c r="N491" s="32">
        <v>3147537411</v>
      </c>
      <c r="O491" s="102" t="s">
        <v>5253</v>
      </c>
      <c r="P491" s="82" t="s">
        <v>1131</v>
      </c>
    </row>
    <row r="492" spans="2:16" x14ac:dyDescent="0.25">
      <c r="B492" s="32">
        <v>481</v>
      </c>
      <c r="C492" s="229" t="s">
        <v>5777</v>
      </c>
      <c r="D492" s="229"/>
      <c r="E492" s="229"/>
      <c r="F492" s="229"/>
      <c r="G492" s="229"/>
      <c r="H492" s="229"/>
      <c r="I492" s="229"/>
      <c r="J492" s="59" t="s">
        <v>5405</v>
      </c>
      <c r="K492" s="46">
        <v>1880000</v>
      </c>
      <c r="L492" s="2">
        <v>45573</v>
      </c>
      <c r="M492" s="32"/>
      <c r="N492" s="32">
        <v>3147537411</v>
      </c>
      <c r="O492" s="102" t="s">
        <v>5253</v>
      </c>
      <c r="P492" s="82" t="s">
        <v>1131</v>
      </c>
    </row>
    <row r="493" spans="2:16" x14ac:dyDescent="0.25">
      <c r="B493" s="32">
        <v>482</v>
      </c>
      <c r="C493" s="271" t="s">
        <v>5782</v>
      </c>
      <c r="D493" s="272"/>
      <c r="E493" s="272"/>
      <c r="F493" s="272"/>
      <c r="G493" s="272"/>
      <c r="H493" s="272"/>
      <c r="I493" s="272"/>
      <c r="J493" s="59" t="s">
        <v>5778</v>
      </c>
      <c r="K493" s="46" t="s">
        <v>5816</v>
      </c>
      <c r="L493" s="2">
        <v>45574</v>
      </c>
      <c r="M493" s="32"/>
      <c r="N493" s="32" t="s">
        <v>5779</v>
      </c>
      <c r="O493" s="103"/>
      <c r="P493" s="52"/>
    </row>
    <row r="494" spans="2:16" x14ac:dyDescent="0.25">
      <c r="B494" s="32">
        <v>483</v>
      </c>
      <c r="C494" s="229" t="s">
        <v>5729</v>
      </c>
      <c r="D494" s="229"/>
      <c r="E494" s="229"/>
      <c r="F494" s="229"/>
      <c r="G494" s="229"/>
      <c r="H494" s="229"/>
      <c r="I494" s="229"/>
      <c r="J494" s="59" t="s">
        <v>5780</v>
      </c>
      <c r="K494" s="46">
        <v>8950000</v>
      </c>
      <c r="L494" s="2">
        <v>45569</v>
      </c>
      <c r="M494" s="32"/>
      <c r="N494" s="32"/>
      <c r="O494" s="103" t="s">
        <v>5780</v>
      </c>
      <c r="P494" s="52" t="s">
        <v>5781</v>
      </c>
    </row>
    <row r="495" spans="2:16" x14ac:dyDescent="0.25">
      <c r="B495" s="32">
        <v>484</v>
      </c>
      <c r="C495" s="229" t="s">
        <v>5783</v>
      </c>
      <c r="D495" s="229"/>
      <c r="E495" s="229"/>
      <c r="F495" s="229"/>
      <c r="G495" s="229"/>
      <c r="H495" s="229"/>
      <c r="I495" s="229"/>
      <c r="J495" s="59" t="s">
        <v>4390</v>
      </c>
      <c r="K495" s="46">
        <v>6270000</v>
      </c>
      <c r="L495" s="2">
        <v>45573</v>
      </c>
      <c r="M495" s="32"/>
      <c r="N495" s="32">
        <v>3113391008</v>
      </c>
      <c r="O495" s="103" t="s">
        <v>372</v>
      </c>
      <c r="P495" s="52" t="s">
        <v>2561</v>
      </c>
    </row>
    <row r="496" spans="2:16" x14ac:dyDescent="0.25">
      <c r="B496" s="32">
        <v>485</v>
      </c>
      <c r="C496" s="271" t="s">
        <v>5784</v>
      </c>
      <c r="D496" s="272"/>
      <c r="E496" s="272"/>
      <c r="F496" s="272"/>
      <c r="G496" s="272"/>
      <c r="H496" s="272"/>
      <c r="I496" s="272"/>
      <c r="J496" s="59" t="s">
        <v>5174</v>
      </c>
      <c r="K496" s="46">
        <v>18750000</v>
      </c>
      <c r="L496" s="2">
        <v>45572</v>
      </c>
      <c r="M496" s="32"/>
      <c r="N496" s="32"/>
      <c r="O496" s="103" t="s">
        <v>5716</v>
      </c>
      <c r="P496" s="52" t="s">
        <v>5717</v>
      </c>
    </row>
    <row r="497" spans="2:16" x14ac:dyDescent="0.25">
      <c r="B497" s="32">
        <v>486</v>
      </c>
      <c r="C497" s="229" t="s">
        <v>5785</v>
      </c>
      <c r="D497" s="229"/>
      <c r="E497" s="229"/>
      <c r="F497" s="229"/>
      <c r="G497" s="229"/>
      <c r="H497" s="229"/>
      <c r="I497" s="229"/>
      <c r="J497" s="59" t="s">
        <v>4949</v>
      </c>
      <c r="K497" s="46">
        <v>11050000</v>
      </c>
      <c r="L497" s="2">
        <v>45572</v>
      </c>
      <c r="M497" s="32"/>
      <c r="N497" s="32"/>
      <c r="O497" s="102" t="s">
        <v>4117</v>
      </c>
      <c r="P497" s="65" t="s">
        <v>4777</v>
      </c>
    </row>
    <row r="498" spans="2:16" x14ac:dyDescent="0.25">
      <c r="B498" s="32">
        <v>487</v>
      </c>
      <c r="C498" s="263" t="s">
        <v>5787</v>
      </c>
      <c r="D498" s="229"/>
      <c r="E498" s="229"/>
      <c r="F498" s="229"/>
      <c r="G498" s="229"/>
      <c r="H498" s="229"/>
      <c r="I498" s="229"/>
      <c r="J498" s="59" t="s">
        <v>5786</v>
      </c>
      <c r="K498" s="46">
        <v>6000000</v>
      </c>
      <c r="L498" s="2">
        <v>45573</v>
      </c>
      <c r="M498" s="32"/>
      <c r="N498" s="32">
        <v>3113391008</v>
      </c>
      <c r="O498" s="103" t="s">
        <v>372</v>
      </c>
      <c r="P498" s="52" t="s">
        <v>2561</v>
      </c>
    </row>
    <row r="499" spans="2:16" x14ac:dyDescent="0.25">
      <c r="B499" s="32">
        <v>488</v>
      </c>
      <c r="C499" s="229" t="s">
        <v>5788</v>
      </c>
      <c r="D499" s="229"/>
      <c r="E499" s="229"/>
      <c r="F499" s="229"/>
      <c r="G499" s="229"/>
      <c r="H499" s="229"/>
      <c r="I499" s="229"/>
      <c r="J499" s="59" t="s">
        <v>4390</v>
      </c>
      <c r="K499" s="46">
        <v>2950000</v>
      </c>
      <c r="L499" s="2">
        <v>45573</v>
      </c>
      <c r="M499" s="32"/>
      <c r="N499" s="32">
        <v>3116460496</v>
      </c>
      <c r="O499" s="103" t="s">
        <v>390</v>
      </c>
      <c r="P499" s="82" t="s">
        <v>390</v>
      </c>
    </row>
    <row r="500" spans="2:16" x14ac:dyDescent="0.25">
      <c r="B500" s="32">
        <v>489</v>
      </c>
      <c r="C500" s="271" t="s">
        <v>5789</v>
      </c>
      <c r="D500" s="272"/>
      <c r="E500" s="272"/>
      <c r="F500" s="272"/>
      <c r="G500" s="272"/>
      <c r="H500" s="272"/>
      <c r="I500" s="272"/>
      <c r="J500" s="59" t="s">
        <v>5333</v>
      </c>
      <c r="K500" s="46">
        <v>6950000</v>
      </c>
      <c r="L500" s="2">
        <v>45572</v>
      </c>
      <c r="M500" s="32"/>
      <c r="N500" s="32">
        <v>3108214070</v>
      </c>
      <c r="O500" s="102" t="s">
        <v>5093</v>
      </c>
      <c r="P500" s="52" t="s">
        <v>5345</v>
      </c>
    </row>
    <row r="501" spans="2:16" x14ac:dyDescent="0.25">
      <c r="B501" s="32">
        <v>490</v>
      </c>
      <c r="C501" s="271" t="s">
        <v>5790</v>
      </c>
      <c r="D501" s="272"/>
      <c r="E501" s="272"/>
      <c r="F501" s="272"/>
      <c r="G501" s="272"/>
      <c r="H501" s="272"/>
      <c r="I501" s="272"/>
      <c r="J501" s="59" t="s">
        <v>5333</v>
      </c>
      <c r="K501" s="46">
        <v>26950000</v>
      </c>
      <c r="L501" s="2">
        <v>45572</v>
      </c>
      <c r="M501" s="32"/>
      <c r="N501" s="32">
        <v>3108214070</v>
      </c>
      <c r="O501" s="102" t="s">
        <v>5093</v>
      </c>
      <c r="P501" s="52" t="s">
        <v>5345</v>
      </c>
    </row>
    <row r="502" spans="2:16" x14ac:dyDescent="0.25">
      <c r="B502" s="32">
        <v>491</v>
      </c>
      <c r="C502" s="263" t="s">
        <v>5791</v>
      </c>
      <c r="D502" s="229"/>
      <c r="E502" s="229"/>
      <c r="F502" s="229"/>
      <c r="G502" s="229"/>
      <c r="H502" s="229"/>
      <c r="I502" s="229"/>
      <c r="J502" s="59" t="s">
        <v>3202</v>
      </c>
      <c r="K502" s="46">
        <v>11920000</v>
      </c>
      <c r="L502" s="2">
        <v>45574</v>
      </c>
      <c r="M502" s="32"/>
      <c r="N502" s="32">
        <v>3137851941</v>
      </c>
      <c r="O502" s="103" t="s">
        <v>2055</v>
      </c>
      <c r="P502" s="52" t="s">
        <v>713</v>
      </c>
    </row>
    <row r="503" spans="2:16" x14ac:dyDescent="0.25">
      <c r="B503" s="32">
        <v>492</v>
      </c>
      <c r="C503" s="263" t="s">
        <v>5793</v>
      </c>
      <c r="D503" s="229"/>
      <c r="E503" s="229"/>
      <c r="F503" s="229"/>
      <c r="G503" s="229"/>
      <c r="H503" s="229"/>
      <c r="I503" s="229"/>
      <c r="J503" s="59" t="s">
        <v>5670</v>
      </c>
      <c r="K503" s="46">
        <v>9500</v>
      </c>
      <c r="L503" s="2">
        <v>45574</v>
      </c>
      <c r="M503" s="32"/>
      <c r="N503" s="32">
        <v>5978896976</v>
      </c>
      <c r="O503" s="103" t="s">
        <v>5794</v>
      </c>
      <c r="P503" s="52" t="s">
        <v>5792</v>
      </c>
    </row>
    <row r="504" spans="2:16" x14ac:dyDescent="0.25">
      <c r="B504" s="32">
        <v>493</v>
      </c>
      <c r="C504" s="229" t="s">
        <v>5796</v>
      </c>
      <c r="D504" s="229"/>
      <c r="E504" s="229"/>
      <c r="F504" s="229"/>
      <c r="G504" s="229"/>
      <c r="H504" s="229"/>
      <c r="I504" s="229"/>
      <c r="J504" s="59" t="s">
        <v>5448</v>
      </c>
      <c r="K504" s="46" t="s">
        <v>5845</v>
      </c>
      <c r="L504" s="2">
        <v>45574</v>
      </c>
      <c r="M504" s="32"/>
      <c r="N504" s="32">
        <v>3104513967</v>
      </c>
      <c r="O504" s="102" t="s">
        <v>5795</v>
      </c>
      <c r="P504" s="52" t="s">
        <v>5709</v>
      </c>
    </row>
    <row r="505" spans="2:16" x14ac:dyDescent="0.25">
      <c r="B505" s="32">
        <v>494</v>
      </c>
      <c r="C505" s="229" t="s">
        <v>5814</v>
      </c>
      <c r="D505" s="229"/>
      <c r="E505" s="229"/>
      <c r="F505" s="229"/>
      <c r="G505" s="229"/>
      <c r="H505" s="229"/>
      <c r="I505" s="229"/>
      <c r="J505" s="59" t="s">
        <v>4216</v>
      </c>
      <c r="K505" s="46">
        <v>55090000</v>
      </c>
      <c r="L505" s="2">
        <v>45578</v>
      </c>
      <c r="M505" s="32"/>
      <c r="N505" s="32" t="s">
        <v>3554</v>
      </c>
      <c r="O505" s="102" t="s">
        <v>5797</v>
      </c>
      <c r="P505" s="52" t="s">
        <v>3553</v>
      </c>
    </row>
    <row r="506" spans="2:16" ht="15" customHeight="1" x14ac:dyDescent="0.25">
      <c r="B506" s="32">
        <v>495</v>
      </c>
      <c r="C506" s="229" t="s">
        <v>5798</v>
      </c>
      <c r="D506" s="229"/>
      <c r="E506" s="229"/>
      <c r="F506" s="229"/>
      <c r="G506" s="229"/>
      <c r="H506" s="229"/>
      <c r="I506" s="229"/>
      <c r="J506" s="59" t="s">
        <v>702</v>
      </c>
      <c r="K506" s="46">
        <v>9900000</v>
      </c>
      <c r="L506" s="2">
        <v>45578</v>
      </c>
      <c r="M506" s="32"/>
      <c r="N506" s="32">
        <v>3104165783</v>
      </c>
      <c r="O506" s="103" t="s">
        <v>4564</v>
      </c>
      <c r="P506" s="52" t="s">
        <v>4565</v>
      </c>
    </row>
    <row r="507" spans="2:16" ht="15" customHeight="1" x14ac:dyDescent="0.25">
      <c r="B507" s="32">
        <v>496</v>
      </c>
      <c r="C507" s="229" t="s">
        <v>5800</v>
      </c>
      <c r="D507" s="229"/>
      <c r="E507" s="229"/>
      <c r="F507" s="229"/>
      <c r="G507" s="229"/>
      <c r="H507" s="229"/>
      <c r="I507" s="229"/>
      <c r="J507" s="59" t="s">
        <v>2445</v>
      </c>
      <c r="K507" s="46">
        <v>38850000</v>
      </c>
      <c r="L507" s="2">
        <v>45574</v>
      </c>
      <c r="M507" s="32"/>
      <c r="N507" s="32">
        <v>3127218621</v>
      </c>
      <c r="O507" s="103" t="s">
        <v>5799</v>
      </c>
      <c r="P507" s="52" t="s">
        <v>3668</v>
      </c>
    </row>
    <row r="508" spans="2:16" x14ac:dyDescent="0.25">
      <c r="B508" s="32">
        <v>497</v>
      </c>
      <c r="C508" s="229" t="s">
        <v>5801</v>
      </c>
      <c r="D508" s="229"/>
      <c r="E508" s="229"/>
      <c r="F508" s="229"/>
      <c r="G508" s="229"/>
      <c r="H508" s="229"/>
      <c r="I508" s="229"/>
      <c r="J508" s="59" t="s">
        <v>880</v>
      </c>
      <c r="K508" s="46">
        <v>8950000</v>
      </c>
      <c r="L508" s="2">
        <v>45574</v>
      </c>
      <c r="M508" s="32"/>
      <c r="N508" s="32">
        <v>5712357612</v>
      </c>
      <c r="O508" s="103" t="s">
        <v>1853</v>
      </c>
      <c r="P508" s="52" t="s">
        <v>1854</v>
      </c>
    </row>
    <row r="509" spans="2:16" ht="15" customHeight="1" x14ac:dyDescent="0.25">
      <c r="B509" s="32">
        <v>498</v>
      </c>
      <c r="C509" s="229" t="s">
        <v>5803</v>
      </c>
      <c r="D509" s="229"/>
      <c r="E509" s="229"/>
      <c r="F509" s="229"/>
      <c r="G509" s="229"/>
      <c r="H509" s="229"/>
      <c r="I509" s="229"/>
      <c r="J509" s="59" t="s">
        <v>5802</v>
      </c>
      <c r="K509" s="46">
        <v>5950000</v>
      </c>
      <c r="L509" s="2">
        <v>45576</v>
      </c>
      <c r="M509" s="32"/>
      <c r="N509" s="32">
        <v>3212010693</v>
      </c>
      <c r="O509" s="103" t="s">
        <v>5804</v>
      </c>
      <c r="P509" s="52" t="s">
        <v>5805</v>
      </c>
    </row>
    <row r="510" spans="2:16" x14ac:dyDescent="0.25">
      <c r="B510" s="32">
        <v>499</v>
      </c>
      <c r="C510" s="263" t="s">
        <v>5806</v>
      </c>
      <c r="D510" s="229"/>
      <c r="E510" s="229"/>
      <c r="F510" s="229"/>
      <c r="G510" s="229"/>
      <c r="H510" s="229"/>
      <c r="I510" s="229"/>
      <c r="J510" s="59" t="s">
        <v>4597</v>
      </c>
      <c r="K510" s="46">
        <v>2190000</v>
      </c>
      <c r="L510" s="2">
        <v>45576</v>
      </c>
      <c r="M510" s="32"/>
      <c r="N510" s="32" t="s">
        <v>5812</v>
      </c>
      <c r="O510" s="103" t="s">
        <v>4109</v>
      </c>
      <c r="P510" s="52" t="s">
        <v>5752</v>
      </c>
    </row>
    <row r="511" spans="2:16" ht="15" customHeight="1" x14ac:dyDescent="0.25">
      <c r="B511" s="32">
        <v>500</v>
      </c>
      <c r="C511" s="263" t="s">
        <v>5808</v>
      </c>
      <c r="D511" s="229"/>
      <c r="E511" s="229"/>
      <c r="F511" s="229"/>
      <c r="G511" s="229"/>
      <c r="H511" s="229"/>
      <c r="I511" s="229"/>
      <c r="J511" s="59" t="s">
        <v>5444</v>
      </c>
      <c r="K511" s="46">
        <v>12650000</v>
      </c>
      <c r="L511" s="2">
        <v>45577</v>
      </c>
      <c r="M511" s="32"/>
      <c r="N511" s="32">
        <v>3017202332</v>
      </c>
      <c r="O511" s="103" t="s">
        <v>5807</v>
      </c>
      <c r="P511" s="52" t="s">
        <v>2435</v>
      </c>
    </row>
    <row r="512" spans="2:16" x14ac:dyDescent="0.25">
      <c r="B512" s="32">
        <v>501</v>
      </c>
      <c r="C512" s="263" t="s">
        <v>5813</v>
      </c>
      <c r="D512" s="229"/>
      <c r="E512" s="229"/>
      <c r="F512" s="229"/>
      <c r="G512" s="229"/>
      <c r="H512" s="229"/>
      <c r="I512" s="229"/>
      <c r="J512" s="59" t="s">
        <v>5460</v>
      </c>
      <c r="K512" s="46">
        <v>250000</v>
      </c>
      <c r="L512" s="2">
        <v>45576</v>
      </c>
      <c r="M512" s="32"/>
      <c r="N512" s="32">
        <v>3227013</v>
      </c>
      <c r="O512" s="103" t="s">
        <v>5809</v>
      </c>
      <c r="P512" s="52" t="s">
        <v>5810</v>
      </c>
    </row>
    <row r="513" spans="2:16" x14ac:dyDescent="0.25">
      <c r="B513" s="32">
        <v>502</v>
      </c>
      <c r="C513" s="271" t="s">
        <v>5811</v>
      </c>
      <c r="D513" s="272"/>
      <c r="E513" s="272"/>
      <c r="F513" s="272"/>
      <c r="G513" s="272"/>
      <c r="H513" s="272"/>
      <c r="I513" s="272"/>
      <c r="J513" s="59" t="s">
        <v>4597</v>
      </c>
      <c r="K513" s="46" t="s">
        <v>381</v>
      </c>
      <c r="L513" s="2">
        <v>45576</v>
      </c>
      <c r="M513" s="32"/>
      <c r="N513" s="32" t="s">
        <v>5812</v>
      </c>
      <c r="O513" s="103" t="s">
        <v>4109</v>
      </c>
      <c r="P513" s="52" t="s">
        <v>5752</v>
      </c>
    </row>
    <row r="514" spans="2:16" x14ac:dyDescent="0.25">
      <c r="B514" s="32">
        <v>503</v>
      </c>
      <c r="C514" s="229" t="s">
        <v>5815</v>
      </c>
      <c r="D514" s="229"/>
      <c r="E514" s="229"/>
      <c r="F514" s="229"/>
      <c r="G514" s="229"/>
      <c r="H514" s="229"/>
      <c r="I514" s="229"/>
      <c r="J514" s="59" t="s">
        <v>702</v>
      </c>
      <c r="K514" s="46">
        <v>2190000</v>
      </c>
      <c r="L514" s="2">
        <v>45581</v>
      </c>
      <c r="M514" s="32"/>
      <c r="N514" s="32">
        <v>3137546144</v>
      </c>
      <c r="O514" s="102" t="s">
        <v>3996</v>
      </c>
      <c r="P514" s="52" t="s">
        <v>2504</v>
      </c>
    </row>
    <row r="515" spans="2:16" x14ac:dyDescent="0.25">
      <c r="B515" s="32">
        <v>504</v>
      </c>
      <c r="C515" s="229" t="s">
        <v>5817</v>
      </c>
      <c r="D515" s="229"/>
      <c r="E515" s="229"/>
      <c r="F515" s="229"/>
      <c r="G515" s="229"/>
      <c r="H515" s="229"/>
      <c r="I515" s="229"/>
      <c r="J515" s="59" t="s">
        <v>4390</v>
      </c>
      <c r="K515" s="46">
        <v>3950000</v>
      </c>
      <c r="L515" s="2">
        <v>45582</v>
      </c>
      <c r="M515" s="32"/>
      <c r="N515" s="32">
        <v>3113391008</v>
      </c>
      <c r="O515" s="103" t="s">
        <v>372</v>
      </c>
      <c r="P515" s="52" t="s">
        <v>2561</v>
      </c>
    </row>
    <row r="516" spans="2:16" x14ac:dyDescent="0.25">
      <c r="B516" s="32">
        <v>505</v>
      </c>
      <c r="C516" s="271" t="s">
        <v>5818</v>
      </c>
      <c r="D516" s="272"/>
      <c r="E516" s="272"/>
      <c r="F516" s="272"/>
      <c r="G516" s="272"/>
      <c r="H516" s="272"/>
      <c r="I516" s="272"/>
      <c r="J516" s="59" t="s">
        <v>702</v>
      </c>
      <c r="K516" s="46">
        <v>6900000</v>
      </c>
      <c r="L516" s="2">
        <v>45582</v>
      </c>
      <c r="M516" s="32"/>
      <c r="N516" s="32">
        <v>3104165783</v>
      </c>
      <c r="O516" s="103" t="s">
        <v>4564</v>
      </c>
      <c r="P516" s="52" t="s">
        <v>4565</v>
      </c>
    </row>
    <row r="517" spans="2:16" x14ac:dyDescent="0.25">
      <c r="B517" s="32">
        <v>506</v>
      </c>
      <c r="C517" s="271" t="s">
        <v>5819</v>
      </c>
      <c r="D517" s="272"/>
      <c r="E517" s="272"/>
      <c r="F517" s="272"/>
      <c r="G517" s="272"/>
      <c r="H517" s="272"/>
      <c r="I517" s="272"/>
      <c r="J517" s="59" t="s">
        <v>702</v>
      </c>
      <c r="K517" s="46">
        <v>2600000</v>
      </c>
      <c r="L517" s="2">
        <v>45582</v>
      </c>
      <c r="M517" s="32"/>
      <c r="N517" s="32">
        <v>3104165783</v>
      </c>
      <c r="O517" s="103" t="s">
        <v>4564</v>
      </c>
      <c r="P517" s="52" t="s">
        <v>4565</v>
      </c>
    </row>
    <row r="518" spans="2:16" x14ac:dyDescent="0.25">
      <c r="B518" s="32">
        <v>507</v>
      </c>
      <c r="C518" s="229" t="s">
        <v>5820</v>
      </c>
      <c r="D518" s="229"/>
      <c r="E518" s="229"/>
      <c r="F518" s="229"/>
      <c r="G518" s="229"/>
      <c r="H518" s="229"/>
      <c r="I518" s="229"/>
      <c r="J518" s="59" t="s">
        <v>5823</v>
      </c>
      <c r="K518" s="46" t="s">
        <v>3448</v>
      </c>
      <c r="L518" s="2">
        <v>45583</v>
      </c>
      <c r="M518" s="32"/>
      <c r="N518" s="32">
        <v>3175832887</v>
      </c>
      <c r="O518" s="103" t="s">
        <v>5822</v>
      </c>
      <c r="P518" s="52" t="s">
        <v>5821</v>
      </c>
    </row>
    <row r="519" spans="2:16" x14ac:dyDescent="0.25">
      <c r="B519" s="32">
        <v>508</v>
      </c>
      <c r="C519" s="229" t="s">
        <v>5824</v>
      </c>
      <c r="D519" s="229"/>
      <c r="E519" s="229"/>
      <c r="F519" s="229"/>
      <c r="G519" s="229"/>
      <c r="H519" s="229"/>
      <c r="I519" s="229"/>
      <c r="J519" s="59" t="s">
        <v>4532</v>
      </c>
      <c r="K519" s="46">
        <v>36950000</v>
      </c>
      <c r="L519" s="2">
        <v>45583</v>
      </c>
      <c r="M519" s="32"/>
      <c r="N519" s="32" t="s">
        <v>5825</v>
      </c>
      <c r="O519" s="102" t="s">
        <v>657</v>
      </c>
      <c r="P519" s="54" t="s">
        <v>5282</v>
      </c>
    </row>
    <row r="520" spans="2:16" ht="15" customHeight="1" x14ac:dyDescent="0.25">
      <c r="B520" s="32">
        <v>509</v>
      </c>
      <c r="C520" s="229" t="s">
        <v>5828</v>
      </c>
      <c r="D520" s="229"/>
      <c r="E520" s="229"/>
      <c r="F520" s="229"/>
      <c r="G520" s="229"/>
      <c r="H520" s="229"/>
      <c r="I520" s="229"/>
      <c r="J520" s="59" t="s">
        <v>5655</v>
      </c>
      <c r="K520" s="46">
        <v>24950000</v>
      </c>
      <c r="L520" s="2">
        <v>45583</v>
      </c>
      <c r="M520" s="32"/>
      <c r="N520" s="32">
        <v>3204049071</v>
      </c>
      <c r="O520" s="103" t="s">
        <v>5826</v>
      </c>
      <c r="P520" s="52" t="s">
        <v>5827</v>
      </c>
    </row>
    <row r="521" spans="2:16" x14ac:dyDescent="0.25">
      <c r="B521" s="32">
        <v>510</v>
      </c>
      <c r="C521" s="229" t="s">
        <v>5831</v>
      </c>
      <c r="D521" s="229"/>
      <c r="E521" s="229"/>
      <c r="F521" s="229"/>
      <c r="G521" s="229"/>
      <c r="H521" s="229"/>
      <c r="I521" s="229"/>
      <c r="J521" s="59" t="s">
        <v>4390</v>
      </c>
      <c r="K521" s="46">
        <v>1000000</v>
      </c>
      <c r="L521" s="2">
        <v>45584</v>
      </c>
      <c r="M521" s="32"/>
      <c r="N521" s="32">
        <v>3213005574</v>
      </c>
      <c r="O521" s="103" t="s">
        <v>5829</v>
      </c>
      <c r="P521" s="52" t="s">
        <v>5830</v>
      </c>
    </row>
    <row r="522" spans="2:16" ht="15" customHeight="1" x14ac:dyDescent="0.25">
      <c r="B522" s="32">
        <v>511</v>
      </c>
      <c r="C522" s="271" t="s">
        <v>5832</v>
      </c>
      <c r="D522" s="272"/>
      <c r="E522" s="272"/>
      <c r="F522" s="272"/>
      <c r="G522" s="272"/>
      <c r="H522" s="272"/>
      <c r="I522" s="272"/>
      <c r="J522" s="59" t="s">
        <v>2445</v>
      </c>
      <c r="K522" s="46">
        <v>79950000</v>
      </c>
      <c r="L522" s="2">
        <v>45583</v>
      </c>
      <c r="M522" s="32"/>
      <c r="N522" s="32">
        <v>3127218621</v>
      </c>
      <c r="O522" s="103" t="s">
        <v>3349</v>
      </c>
      <c r="P522" s="52" t="s">
        <v>3668</v>
      </c>
    </row>
    <row r="523" spans="2:16" x14ac:dyDescent="0.25">
      <c r="B523" s="32">
        <v>512</v>
      </c>
      <c r="C523" s="263" t="s">
        <v>5833</v>
      </c>
      <c r="D523" s="229"/>
      <c r="E523" s="229"/>
      <c r="F523" s="229"/>
      <c r="G523" s="229"/>
      <c r="H523" s="229"/>
      <c r="I523" s="229"/>
      <c r="J523" s="59" t="s">
        <v>5448</v>
      </c>
      <c r="K523" s="46">
        <v>12950000</v>
      </c>
      <c r="L523" s="2">
        <v>45583</v>
      </c>
      <c r="M523" s="2"/>
      <c r="N523" s="32">
        <v>3104513967</v>
      </c>
      <c r="O523" s="102" t="s">
        <v>5795</v>
      </c>
      <c r="P523" s="52" t="s">
        <v>5709</v>
      </c>
    </row>
    <row r="524" spans="2:16" x14ac:dyDescent="0.25">
      <c r="B524" s="32">
        <v>513</v>
      </c>
      <c r="C524" s="229" t="s">
        <v>5834</v>
      </c>
      <c r="D524" s="229"/>
      <c r="E524" s="229"/>
      <c r="F524" s="229"/>
      <c r="G524" s="229"/>
      <c r="H524" s="229"/>
      <c r="I524" s="229"/>
      <c r="J524" s="59" t="s">
        <v>702</v>
      </c>
      <c r="K524" s="46">
        <v>1950000</v>
      </c>
      <c r="L524" s="2">
        <v>45586</v>
      </c>
      <c r="M524" s="32"/>
      <c r="N524" s="32">
        <v>3104165783</v>
      </c>
      <c r="O524" s="103" t="s">
        <v>4564</v>
      </c>
      <c r="P524" s="52" t="s">
        <v>4565</v>
      </c>
    </row>
    <row r="525" spans="2:16" ht="15" customHeight="1" x14ac:dyDescent="0.25">
      <c r="B525" s="32">
        <v>514</v>
      </c>
      <c r="C525" s="263" t="s">
        <v>5835</v>
      </c>
      <c r="D525" s="229"/>
      <c r="E525" s="229"/>
      <c r="F525" s="229"/>
      <c r="G525" s="229"/>
      <c r="H525" s="229"/>
      <c r="I525" s="229"/>
      <c r="J525" s="59" t="s">
        <v>4939</v>
      </c>
      <c r="K525" s="46">
        <v>2200000</v>
      </c>
      <c r="L525" s="2">
        <v>45586</v>
      </c>
      <c r="M525" s="32"/>
      <c r="N525" s="32">
        <v>3008242202</v>
      </c>
      <c r="O525" s="103" t="s">
        <v>5720</v>
      </c>
      <c r="P525" s="52" t="s">
        <v>5719</v>
      </c>
    </row>
    <row r="526" spans="2:16" x14ac:dyDescent="0.25">
      <c r="B526" s="32">
        <v>515</v>
      </c>
      <c r="C526" s="229" t="s">
        <v>5837</v>
      </c>
      <c r="D526" s="229"/>
      <c r="E526" s="229"/>
      <c r="F526" s="229"/>
      <c r="G526" s="229"/>
      <c r="H526" s="229"/>
      <c r="I526" s="229"/>
      <c r="J526" s="59" t="s">
        <v>5655</v>
      </c>
      <c r="K526" s="46">
        <v>15250000</v>
      </c>
      <c r="L526" s="2">
        <v>45586</v>
      </c>
      <c r="M526" s="32"/>
      <c r="N526" s="32">
        <v>3204049071</v>
      </c>
      <c r="O526" s="103" t="s">
        <v>5836</v>
      </c>
      <c r="P526" s="52" t="s">
        <v>5827</v>
      </c>
    </row>
    <row r="527" spans="2:16" x14ac:dyDescent="0.25">
      <c r="B527" s="32">
        <v>516</v>
      </c>
      <c r="C527" s="229" t="s">
        <v>5838</v>
      </c>
      <c r="D527" s="229"/>
      <c r="E527" s="229"/>
      <c r="F527" s="229"/>
      <c r="G527" s="229"/>
      <c r="H527" s="229"/>
      <c r="I527" s="229"/>
      <c r="J527" s="59" t="s">
        <v>5444</v>
      </c>
      <c r="K527" s="46">
        <v>4810000</v>
      </c>
      <c r="L527" s="2">
        <v>45587</v>
      </c>
      <c r="M527" s="32"/>
      <c r="N527" s="32" t="s">
        <v>1665</v>
      </c>
      <c r="O527" s="102" t="s">
        <v>1666</v>
      </c>
      <c r="P527" s="52" t="s">
        <v>1667</v>
      </c>
    </row>
    <row r="528" spans="2:16" x14ac:dyDescent="0.25">
      <c r="B528" s="32">
        <v>517</v>
      </c>
      <c r="C528" s="271" t="s">
        <v>5839</v>
      </c>
      <c r="D528" s="272"/>
      <c r="E528" s="272"/>
      <c r="F528" s="272"/>
      <c r="G528" s="272"/>
      <c r="H528" s="272"/>
      <c r="I528" s="272"/>
      <c r="J528" s="59" t="s">
        <v>4939</v>
      </c>
      <c r="K528" s="46">
        <v>2000000</v>
      </c>
      <c r="L528" s="2">
        <v>45588</v>
      </c>
      <c r="M528" s="32"/>
      <c r="N528" s="32">
        <v>3008242202</v>
      </c>
      <c r="O528" s="103" t="s">
        <v>5720</v>
      </c>
      <c r="P528" s="52" t="s">
        <v>5719</v>
      </c>
    </row>
    <row r="529" spans="2:16" x14ac:dyDescent="0.25">
      <c r="B529" s="32">
        <v>518</v>
      </c>
      <c r="C529" s="271" t="s">
        <v>5842</v>
      </c>
      <c r="D529" s="272"/>
      <c r="E529" s="272"/>
      <c r="F529" s="272"/>
      <c r="G529" s="272"/>
      <c r="H529" s="272"/>
      <c r="I529" s="272"/>
      <c r="J529" s="59" t="s">
        <v>4436</v>
      </c>
      <c r="K529" s="46">
        <v>19950000</v>
      </c>
      <c r="L529" s="2">
        <v>45588</v>
      </c>
      <c r="M529" s="32"/>
      <c r="N529" s="32" t="s">
        <v>5841</v>
      </c>
      <c r="O529" s="51" t="s">
        <v>5840</v>
      </c>
      <c r="P529" s="104" t="s">
        <v>5311</v>
      </c>
    </row>
    <row r="530" spans="2:16" x14ac:dyDescent="0.25">
      <c r="B530" s="32">
        <v>519</v>
      </c>
      <c r="C530" s="271" t="s">
        <v>5843</v>
      </c>
      <c r="D530" s="272"/>
      <c r="E530" s="272"/>
      <c r="F530" s="272"/>
      <c r="G530" s="272"/>
      <c r="H530" s="272"/>
      <c r="I530" s="272"/>
      <c r="J530" s="59" t="s">
        <v>5844</v>
      </c>
      <c r="K530" s="46">
        <v>7500000</v>
      </c>
      <c r="L530" s="2">
        <v>45590</v>
      </c>
      <c r="M530" s="32"/>
      <c r="N530" s="32"/>
      <c r="O530" s="51"/>
      <c r="P530" s="52"/>
    </row>
    <row r="531" spans="2:16" x14ac:dyDescent="0.25">
      <c r="B531" s="32">
        <v>520</v>
      </c>
      <c r="C531" s="271" t="s">
        <v>5850</v>
      </c>
      <c r="D531" s="272"/>
      <c r="E531" s="272"/>
      <c r="F531" s="272"/>
      <c r="G531" s="272"/>
      <c r="H531" s="272"/>
      <c r="I531" s="272"/>
      <c r="J531" s="59" t="s">
        <v>2200</v>
      </c>
      <c r="K531" s="46">
        <v>2500000</v>
      </c>
      <c r="L531" s="2">
        <v>45589</v>
      </c>
      <c r="M531" s="32"/>
      <c r="N531" s="32">
        <v>4801300</v>
      </c>
      <c r="O531" s="51" t="s">
        <v>5847</v>
      </c>
      <c r="P531" s="52" t="s">
        <v>5846</v>
      </c>
    </row>
    <row r="532" spans="2:16" x14ac:dyDescent="0.25">
      <c r="B532" s="32">
        <v>521</v>
      </c>
      <c r="C532" s="229" t="s">
        <v>5849</v>
      </c>
      <c r="D532" s="229"/>
      <c r="E532" s="229"/>
      <c r="F532" s="229"/>
      <c r="G532" s="229"/>
      <c r="H532" s="229"/>
      <c r="I532" s="229"/>
      <c r="J532" s="59" t="s">
        <v>5848</v>
      </c>
      <c r="K532" s="46">
        <v>3000000</v>
      </c>
      <c r="L532" s="2">
        <v>45589</v>
      </c>
      <c r="M532" s="32"/>
      <c r="N532" s="6"/>
      <c r="O532" s="6"/>
      <c r="P532" s="6"/>
    </row>
    <row r="533" spans="2:16" x14ac:dyDescent="0.25">
      <c r="B533" s="32">
        <v>522</v>
      </c>
      <c r="C533" s="229" t="s">
        <v>5851</v>
      </c>
      <c r="D533" s="229"/>
      <c r="E533" s="229"/>
      <c r="F533" s="229"/>
      <c r="G533" s="229"/>
      <c r="H533" s="229"/>
      <c r="I533" s="229"/>
      <c r="J533" s="59" t="s">
        <v>2283</v>
      </c>
      <c r="K533" s="46">
        <v>2450000</v>
      </c>
      <c r="L533" s="2">
        <v>45589</v>
      </c>
      <c r="M533" s="32"/>
      <c r="N533" s="32">
        <v>3243173083</v>
      </c>
      <c r="O533" s="102" t="s">
        <v>4992</v>
      </c>
      <c r="P533" s="52" t="s">
        <v>4993</v>
      </c>
    </row>
    <row r="534" spans="2:16" x14ac:dyDescent="0.25">
      <c r="B534" s="32">
        <v>523</v>
      </c>
      <c r="C534" s="229" t="s">
        <v>5852</v>
      </c>
      <c r="D534" s="229"/>
      <c r="E534" s="229"/>
      <c r="F534" s="229"/>
      <c r="G534" s="229"/>
      <c r="H534" s="229"/>
      <c r="I534" s="229"/>
      <c r="J534" s="59" t="s">
        <v>5856</v>
      </c>
      <c r="K534" s="46">
        <v>7550000</v>
      </c>
      <c r="L534" s="2">
        <v>45589</v>
      </c>
      <c r="M534" s="32"/>
      <c r="N534" s="32"/>
      <c r="O534" s="32" t="s">
        <v>5854</v>
      </c>
      <c r="P534" s="52" t="s">
        <v>5855</v>
      </c>
    </row>
    <row r="535" spans="2:16" x14ac:dyDescent="0.25">
      <c r="B535" s="32">
        <v>524</v>
      </c>
      <c r="C535" s="229" t="s">
        <v>5853</v>
      </c>
      <c r="D535" s="229"/>
      <c r="E535" s="229"/>
      <c r="F535" s="229"/>
      <c r="G535" s="229"/>
      <c r="H535" s="229"/>
      <c r="I535" s="229"/>
      <c r="J535" s="59" t="s">
        <v>5860</v>
      </c>
      <c r="K535" s="46">
        <v>6250000</v>
      </c>
      <c r="L535" s="2">
        <v>45590</v>
      </c>
      <c r="M535" s="32"/>
      <c r="N535" s="32"/>
      <c r="O535" s="32"/>
      <c r="P535" s="52"/>
    </row>
    <row r="536" spans="2:16" x14ac:dyDescent="0.25">
      <c r="B536" s="32">
        <v>525</v>
      </c>
      <c r="C536" s="271" t="s">
        <v>5857</v>
      </c>
      <c r="D536" s="272"/>
      <c r="E536" s="272"/>
      <c r="F536" s="272"/>
      <c r="G536" s="272"/>
      <c r="H536" s="272"/>
      <c r="I536" s="272"/>
      <c r="J536" s="59" t="s">
        <v>702</v>
      </c>
      <c r="K536" s="46">
        <v>9950000</v>
      </c>
      <c r="L536" s="2">
        <v>45595</v>
      </c>
      <c r="M536" s="32"/>
      <c r="N536" s="32">
        <v>3104165783</v>
      </c>
      <c r="O536" s="103" t="s">
        <v>4564</v>
      </c>
      <c r="P536" s="52" t="s">
        <v>4565</v>
      </c>
    </row>
    <row r="537" spans="2:16" x14ac:dyDescent="0.25">
      <c r="B537" s="32">
        <v>526</v>
      </c>
      <c r="C537" s="271" t="s">
        <v>5858</v>
      </c>
      <c r="D537" s="272"/>
      <c r="E537" s="272"/>
      <c r="F537" s="272"/>
      <c r="G537" s="272"/>
      <c r="H537" s="272"/>
      <c r="I537" s="272"/>
      <c r="J537" s="59" t="s">
        <v>702</v>
      </c>
      <c r="K537" s="46">
        <v>18810000</v>
      </c>
      <c r="L537" s="2">
        <v>45595</v>
      </c>
      <c r="M537" s="32"/>
      <c r="N537" s="32"/>
      <c r="O537" s="51" t="s">
        <v>3341</v>
      </c>
      <c r="P537" s="52" t="s">
        <v>5859</v>
      </c>
    </row>
    <row r="538" spans="2:16" x14ac:dyDescent="0.25">
      <c r="B538" s="32">
        <v>527</v>
      </c>
      <c r="C538" s="229" t="s">
        <v>5864</v>
      </c>
      <c r="D538" s="229"/>
      <c r="E538" s="229"/>
      <c r="F538" s="229"/>
      <c r="G538" s="229"/>
      <c r="H538" s="229"/>
      <c r="I538" s="229"/>
      <c r="J538" s="59" t="s">
        <v>5862</v>
      </c>
      <c r="K538" s="46">
        <v>3750000</v>
      </c>
      <c r="L538" s="2">
        <v>45593</v>
      </c>
      <c r="M538" s="32"/>
      <c r="N538" s="32">
        <v>3002127288</v>
      </c>
      <c r="O538" s="51" t="s">
        <v>5863</v>
      </c>
      <c r="P538" s="52" t="s">
        <v>5861</v>
      </c>
    </row>
    <row r="539" spans="2:16" x14ac:dyDescent="0.25">
      <c r="B539" s="32">
        <v>528</v>
      </c>
      <c r="C539" s="229" t="s">
        <v>5865</v>
      </c>
      <c r="D539" s="229"/>
      <c r="E539" s="229"/>
      <c r="F539" s="229"/>
      <c r="G539" s="229"/>
      <c r="H539" s="229"/>
      <c r="I539" s="229"/>
      <c r="J539" s="59" t="s">
        <v>5862</v>
      </c>
      <c r="K539" s="46">
        <v>3650000</v>
      </c>
      <c r="L539" s="2">
        <v>45593</v>
      </c>
      <c r="M539" s="32"/>
      <c r="N539" s="32">
        <v>3002127288</v>
      </c>
      <c r="O539" s="51" t="s">
        <v>5863</v>
      </c>
      <c r="P539" s="52" t="s">
        <v>5861</v>
      </c>
    </row>
    <row r="540" spans="2:16" ht="15" customHeight="1" x14ac:dyDescent="0.25">
      <c r="B540" s="32">
        <v>529</v>
      </c>
      <c r="C540" s="271" t="s">
        <v>5868</v>
      </c>
      <c r="D540" s="272"/>
      <c r="E540" s="272"/>
      <c r="F540" s="272"/>
      <c r="G540" s="272"/>
      <c r="H540" s="272"/>
      <c r="I540" s="272"/>
      <c r="J540" s="59" t="s">
        <v>4540</v>
      </c>
      <c r="K540" s="46">
        <v>16950000</v>
      </c>
      <c r="L540" s="2">
        <v>45593</v>
      </c>
      <c r="M540" s="32"/>
      <c r="N540" s="32" t="s">
        <v>5866</v>
      </c>
      <c r="O540" s="32" t="s">
        <v>5867</v>
      </c>
      <c r="P540" s="52" t="s">
        <v>4542</v>
      </c>
    </row>
    <row r="541" spans="2:16" x14ac:dyDescent="0.25">
      <c r="B541" s="32">
        <v>530</v>
      </c>
      <c r="C541" s="229" t="s">
        <v>5872</v>
      </c>
      <c r="D541" s="229"/>
      <c r="E541" s="229"/>
      <c r="F541" s="229"/>
      <c r="G541" s="229"/>
      <c r="H541" s="229"/>
      <c r="I541" s="229"/>
      <c r="J541" s="59" t="s">
        <v>702</v>
      </c>
      <c r="K541" s="46">
        <v>7500000</v>
      </c>
      <c r="L541" s="2">
        <v>30</v>
      </c>
      <c r="M541" s="32"/>
      <c r="N541" s="32" t="s">
        <v>2745</v>
      </c>
      <c r="O541" s="102" t="s">
        <v>2746</v>
      </c>
      <c r="P541" s="52" t="s">
        <v>703</v>
      </c>
    </row>
    <row r="542" spans="2:16" x14ac:dyDescent="0.25">
      <c r="B542" s="32">
        <v>531</v>
      </c>
      <c r="C542" s="263" t="s">
        <v>5873</v>
      </c>
      <c r="D542" s="229"/>
      <c r="E542" s="229"/>
      <c r="F542" s="229"/>
      <c r="G542" s="229"/>
      <c r="H542" s="229"/>
      <c r="I542" s="229"/>
      <c r="J542" s="59" t="s">
        <v>4436</v>
      </c>
      <c r="K542" s="46">
        <v>4950000</v>
      </c>
      <c r="L542" s="2">
        <v>45596</v>
      </c>
      <c r="M542" s="32"/>
      <c r="N542" s="32" t="s">
        <v>5312</v>
      </c>
      <c r="O542" s="51" t="s">
        <v>5840</v>
      </c>
      <c r="P542" s="38" t="s">
        <v>5311</v>
      </c>
    </row>
    <row r="543" spans="2:16" x14ac:dyDescent="0.25">
      <c r="B543" s="32">
        <v>532</v>
      </c>
      <c r="C543" s="229" t="s">
        <v>5874</v>
      </c>
      <c r="D543" s="229"/>
      <c r="E543" s="229"/>
      <c r="F543" s="229"/>
      <c r="G543" s="229"/>
      <c r="H543" s="229"/>
      <c r="I543" s="229"/>
      <c r="J543" s="59" t="s">
        <v>3002</v>
      </c>
      <c r="K543" s="46">
        <v>24840000</v>
      </c>
      <c r="L543" s="2">
        <v>45597</v>
      </c>
      <c r="M543" s="32"/>
      <c r="N543" s="32" t="s">
        <v>5232</v>
      </c>
      <c r="O543" s="51" t="s">
        <v>2556</v>
      </c>
      <c r="P543" s="52" t="s">
        <v>5200</v>
      </c>
    </row>
    <row r="544" spans="2:16" x14ac:dyDescent="0.25">
      <c r="B544" s="32">
        <v>533</v>
      </c>
      <c r="C544" s="229" t="s">
        <v>5879</v>
      </c>
      <c r="D544" s="229"/>
      <c r="E544" s="229"/>
      <c r="F544" s="229"/>
      <c r="G544" s="229"/>
      <c r="H544" s="229"/>
      <c r="I544" s="229"/>
      <c r="J544" s="59" t="s">
        <v>5876</v>
      </c>
      <c r="K544" s="46">
        <v>4950000</v>
      </c>
      <c r="L544" s="2">
        <v>45596</v>
      </c>
      <c r="M544" s="32"/>
      <c r="N544" s="32" t="s">
        <v>5878</v>
      </c>
      <c r="O544" s="51" t="s">
        <v>5875</v>
      </c>
      <c r="P544" s="54" t="s">
        <v>5877</v>
      </c>
    </row>
    <row r="545" spans="2:16" ht="15.75" x14ac:dyDescent="0.25">
      <c r="B545" s="32">
        <v>534</v>
      </c>
      <c r="C545" s="229" t="s">
        <v>5882</v>
      </c>
      <c r="D545" s="229"/>
      <c r="E545" s="229"/>
      <c r="F545" s="229"/>
      <c r="G545" s="229"/>
      <c r="H545" s="229"/>
      <c r="I545" s="229"/>
      <c r="J545" s="59" t="s">
        <v>5883</v>
      </c>
      <c r="K545" s="46">
        <v>28290000</v>
      </c>
      <c r="L545" s="2">
        <v>45596</v>
      </c>
      <c r="M545" s="32"/>
      <c r="N545" s="32"/>
      <c r="O545" s="51" t="s">
        <v>5880</v>
      </c>
      <c r="P545" s="52" t="s">
        <v>5881</v>
      </c>
    </row>
    <row r="546" spans="2:16" x14ac:dyDescent="0.25">
      <c r="B546" s="32">
        <v>535</v>
      </c>
      <c r="C546" s="229" t="s">
        <v>5886</v>
      </c>
      <c r="D546" s="229"/>
      <c r="E546" s="229"/>
      <c r="F546" s="229"/>
      <c r="G546" s="229"/>
      <c r="H546" s="229"/>
      <c r="I546" s="229"/>
      <c r="J546" s="59" t="s">
        <v>5884</v>
      </c>
      <c r="K546" s="46">
        <v>3250000</v>
      </c>
      <c r="L546" s="2">
        <v>45597</v>
      </c>
      <c r="M546" s="32"/>
      <c r="N546" s="32"/>
      <c r="O546" s="51" t="s">
        <v>5885</v>
      </c>
      <c r="P546" s="52"/>
    </row>
    <row r="547" spans="2:16" x14ac:dyDescent="0.25">
      <c r="B547" s="32">
        <v>536</v>
      </c>
      <c r="C547" s="271" t="s">
        <v>5887</v>
      </c>
      <c r="D547" s="272"/>
      <c r="E547" s="272"/>
      <c r="F547" s="272"/>
      <c r="G547" s="272"/>
      <c r="H547" s="272"/>
      <c r="I547" s="272"/>
      <c r="J547" s="59" t="s">
        <v>5888</v>
      </c>
      <c r="K547" s="46">
        <v>18750000</v>
      </c>
      <c r="L547" s="2">
        <v>45601</v>
      </c>
      <c r="M547" s="32"/>
      <c r="N547" s="32">
        <v>3006940601</v>
      </c>
      <c r="O547" s="51" t="s">
        <v>5889</v>
      </c>
      <c r="P547" s="52" t="s">
        <v>5890</v>
      </c>
    </row>
    <row r="548" spans="2:16" x14ac:dyDescent="0.25">
      <c r="B548" s="32">
        <v>537</v>
      </c>
      <c r="C548" s="271" t="s">
        <v>5891</v>
      </c>
      <c r="D548" s="272"/>
      <c r="E548" s="272"/>
      <c r="F548" s="272"/>
      <c r="G548" s="272"/>
      <c r="H548" s="272"/>
      <c r="I548" s="272"/>
      <c r="J548" s="59" t="s">
        <v>2200</v>
      </c>
      <c r="K548" s="46" t="s">
        <v>150</v>
      </c>
      <c r="L548" s="2">
        <v>45603</v>
      </c>
      <c r="M548" s="2"/>
      <c r="N548" s="32" t="s">
        <v>5892</v>
      </c>
      <c r="O548" s="51" t="s">
        <v>5847</v>
      </c>
      <c r="P548" s="55" t="s">
        <v>5846</v>
      </c>
    </row>
    <row r="549" spans="2:16" ht="15" customHeight="1" x14ac:dyDescent="0.25">
      <c r="B549" s="32">
        <v>538</v>
      </c>
      <c r="C549" s="271" t="s">
        <v>5893</v>
      </c>
      <c r="D549" s="272"/>
      <c r="E549" s="272"/>
      <c r="F549" s="272"/>
      <c r="G549" s="272"/>
      <c r="H549" s="272"/>
      <c r="I549" s="272"/>
      <c r="J549" s="59" t="s">
        <v>702</v>
      </c>
      <c r="K549" s="46">
        <v>1400000</v>
      </c>
      <c r="L549" s="2">
        <v>45602</v>
      </c>
      <c r="M549" s="32"/>
      <c r="N549" s="32">
        <v>3104165783</v>
      </c>
      <c r="O549" s="51" t="s">
        <v>4564</v>
      </c>
      <c r="P549" s="52" t="s">
        <v>4565</v>
      </c>
    </row>
    <row r="550" spans="2:16" x14ac:dyDescent="0.25">
      <c r="B550" s="32">
        <v>539</v>
      </c>
      <c r="C550" s="229" t="s">
        <v>5895</v>
      </c>
      <c r="D550" s="229"/>
      <c r="E550" s="229"/>
      <c r="F550" s="229"/>
      <c r="G550" s="229"/>
      <c r="H550" s="229"/>
      <c r="I550" s="229"/>
      <c r="J550" s="59" t="s">
        <v>2979</v>
      </c>
      <c r="K550" s="46">
        <v>15250000</v>
      </c>
      <c r="L550" s="2">
        <v>45602</v>
      </c>
      <c r="M550" s="32"/>
      <c r="N550" s="32">
        <v>3194913179</v>
      </c>
      <c r="O550" s="51" t="s">
        <v>5894</v>
      </c>
      <c r="P550" s="52" t="s">
        <v>3495</v>
      </c>
    </row>
    <row r="551" spans="2:16" x14ac:dyDescent="0.25">
      <c r="B551" s="32">
        <v>540</v>
      </c>
      <c r="C551" s="229" t="s">
        <v>5896</v>
      </c>
      <c r="D551" s="229"/>
      <c r="E551" s="229"/>
      <c r="F551" s="229"/>
      <c r="G551" s="229"/>
      <c r="H551" s="229"/>
      <c r="I551" s="229"/>
      <c r="J551" s="59" t="s">
        <v>2979</v>
      </c>
      <c r="K551" s="46">
        <v>9950000</v>
      </c>
      <c r="L551" s="2">
        <v>45602</v>
      </c>
      <c r="M551" s="32"/>
      <c r="N551" s="32">
        <v>3194913179</v>
      </c>
      <c r="O551" s="51" t="s">
        <v>5894</v>
      </c>
      <c r="P551" s="52" t="s">
        <v>3495</v>
      </c>
    </row>
    <row r="552" spans="2:16" x14ac:dyDescent="0.25">
      <c r="B552" s="32">
        <v>541</v>
      </c>
      <c r="C552" s="271" t="s">
        <v>5897</v>
      </c>
      <c r="D552" s="272"/>
      <c r="E552" s="272"/>
      <c r="F552" s="272"/>
      <c r="G552" s="272"/>
      <c r="H552" s="272"/>
      <c r="I552" s="272"/>
      <c r="J552" s="59" t="s">
        <v>702</v>
      </c>
      <c r="K552" s="46">
        <v>1500000</v>
      </c>
      <c r="L552" s="2">
        <v>45602</v>
      </c>
      <c r="M552" s="32"/>
      <c r="N552" s="32">
        <v>3104165783</v>
      </c>
      <c r="O552" s="51" t="s">
        <v>4564</v>
      </c>
      <c r="P552" s="52" t="s">
        <v>4565</v>
      </c>
    </row>
    <row r="553" spans="2:16" x14ac:dyDescent="0.25">
      <c r="B553" s="32">
        <v>542</v>
      </c>
      <c r="C553" s="229" t="s">
        <v>5898</v>
      </c>
      <c r="D553" s="229"/>
      <c r="E553" s="229"/>
      <c r="F553" s="229"/>
      <c r="G553" s="229"/>
      <c r="H553" s="229"/>
      <c r="I553" s="229"/>
      <c r="J553" s="59" t="s">
        <v>702</v>
      </c>
      <c r="K553" s="46"/>
      <c r="L553" s="2">
        <v>45602</v>
      </c>
      <c r="M553" s="32"/>
      <c r="N553" s="32">
        <v>3104165783</v>
      </c>
      <c r="O553" s="51" t="s">
        <v>4564</v>
      </c>
      <c r="P553" s="52" t="s">
        <v>4565</v>
      </c>
    </row>
    <row r="554" spans="2:16" x14ac:dyDescent="0.25">
      <c r="B554" s="32">
        <v>543</v>
      </c>
      <c r="C554" s="229" t="s">
        <v>5900</v>
      </c>
      <c r="D554" s="229"/>
      <c r="E554" s="229"/>
      <c r="F554" s="229"/>
      <c r="G554" s="229"/>
      <c r="H554" s="229"/>
      <c r="I554" s="229"/>
      <c r="J554" s="59" t="s">
        <v>3871</v>
      </c>
      <c r="K554" s="46">
        <v>27950000</v>
      </c>
      <c r="L554" s="2">
        <v>45602</v>
      </c>
      <c r="M554" s="32"/>
      <c r="N554" s="32"/>
      <c r="O554" s="51" t="s">
        <v>5899</v>
      </c>
      <c r="P554" s="52"/>
    </row>
    <row r="555" spans="2:16" x14ac:dyDescent="0.25">
      <c r="B555" s="32">
        <v>544</v>
      </c>
      <c r="C555" s="229" t="s">
        <v>5901</v>
      </c>
      <c r="D555" s="229"/>
      <c r="E555" s="229"/>
      <c r="F555" s="229"/>
      <c r="G555" s="229"/>
      <c r="H555" s="229"/>
      <c r="I555" s="229"/>
      <c r="J555" s="59" t="s">
        <v>4597</v>
      </c>
      <c r="K555" s="46">
        <v>2500000</v>
      </c>
      <c r="L555" s="2">
        <v>45602</v>
      </c>
      <c r="M555" s="32"/>
      <c r="N555" s="32" t="s">
        <v>5812</v>
      </c>
      <c r="O555" s="103" t="s">
        <v>4109</v>
      </c>
      <c r="P555" s="52" t="s">
        <v>5752</v>
      </c>
    </row>
    <row r="556" spans="2:16" x14ac:dyDescent="0.25">
      <c r="B556" s="32">
        <v>545</v>
      </c>
      <c r="C556" s="271" t="s">
        <v>5915</v>
      </c>
      <c r="D556" s="272"/>
      <c r="E556" s="272"/>
      <c r="F556" s="272"/>
      <c r="G556" s="272"/>
      <c r="H556" s="272"/>
      <c r="I556" s="272"/>
      <c r="J556" s="59" t="s">
        <v>4597</v>
      </c>
      <c r="K556" s="46">
        <v>4500000</v>
      </c>
      <c r="L556" s="2">
        <v>45604</v>
      </c>
      <c r="M556" s="32"/>
      <c r="N556" s="32" t="s">
        <v>5812</v>
      </c>
      <c r="O556" s="103" t="s">
        <v>4109</v>
      </c>
      <c r="P556" s="52" t="s">
        <v>5752</v>
      </c>
    </row>
    <row r="557" spans="2:16" x14ac:dyDescent="0.25">
      <c r="B557" s="32">
        <v>546</v>
      </c>
      <c r="C557" s="229" t="s">
        <v>5905</v>
      </c>
      <c r="D557" s="229"/>
      <c r="E557" s="229"/>
      <c r="F557" s="229"/>
      <c r="G557" s="229"/>
      <c r="H557" s="229"/>
      <c r="I557" s="229"/>
      <c r="J557" s="59" t="s">
        <v>5904</v>
      </c>
      <c r="K557" s="1">
        <v>1147500</v>
      </c>
      <c r="L557" s="2">
        <v>45602</v>
      </c>
      <c r="M557" s="32"/>
      <c r="N557" s="32">
        <v>3148921915</v>
      </c>
      <c r="O557" s="51" t="s">
        <v>5903</v>
      </c>
      <c r="P557" s="38" t="s">
        <v>5902</v>
      </c>
    </row>
    <row r="558" spans="2:16" x14ac:dyDescent="0.25">
      <c r="B558" s="32">
        <v>547</v>
      </c>
      <c r="C558" s="229" t="s">
        <v>5906</v>
      </c>
      <c r="D558" s="229"/>
      <c r="E558" s="229"/>
      <c r="F558" s="229"/>
      <c r="G558" s="229"/>
      <c r="H558" s="229"/>
      <c r="I558" s="229"/>
      <c r="J558" s="59" t="s">
        <v>5352</v>
      </c>
      <c r="K558" s="46">
        <v>2500000</v>
      </c>
      <c r="L558" s="2">
        <v>45602</v>
      </c>
      <c r="M558" s="32"/>
      <c r="N558" s="32">
        <v>3008113522</v>
      </c>
      <c r="O558" s="51" t="s">
        <v>1782</v>
      </c>
      <c r="P558" s="52" t="s">
        <v>1783</v>
      </c>
    </row>
    <row r="559" spans="2:16" x14ac:dyDescent="0.25">
      <c r="B559" s="32">
        <v>548</v>
      </c>
      <c r="C559" s="229" t="s">
        <v>5910</v>
      </c>
      <c r="D559" s="229"/>
      <c r="E559" s="229"/>
      <c r="F559" s="229"/>
      <c r="G559" s="229"/>
      <c r="H559" s="229"/>
      <c r="I559" s="229"/>
      <c r="J559" s="59" t="s">
        <v>5907</v>
      </c>
      <c r="K559" s="1">
        <v>4950000</v>
      </c>
      <c r="L559" s="2">
        <v>45603</v>
      </c>
      <c r="M559" s="32"/>
      <c r="N559" s="32">
        <v>4480648</v>
      </c>
      <c r="O559" s="51" t="s">
        <v>5908</v>
      </c>
      <c r="P559" s="38" t="s">
        <v>5909</v>
      </c>
    </row>
    <row r="560" spans="2:16" x14ac:dyDescent="0.25">
      <c r="B560" s="32">
        <v>549</v>
      </c>
      <c r="C560" s="271" t="s">
        <v>5911</v>
      </c>
      <c r="D560" s="272"/>
      <c r="E560" s="272"/>
      <c r="F560" s="272"/>
      <c r="G560" s="272"/>
      <c r="H560" s="272"/>
      <c r="I560" s="272"/>
      <c r="J560" s="59" t="s">
        <v>5448</v>
      </c>
      <c r="K560" s="1">
        <v>19950000</v>
      </c>
      <c r="L560" s="2">
        <v>45603</v>
      </c>
      <c r="M560" s="32"/>
      <c r="N560" s="32">
        <v>31104513967</v>
      </c>
      <c r="O560" s="51" t="s">
        <v>5710</v>
      </c>
      <c r="P560" s="52" t="s">
        <v>5709</v>
      </c>
    </row>
    <row r="561" spans="2:16" x14ac:dyDescent="0.25">
      <c r="B561" s="32">
        <v>550</v>
      </c>
      <c r="C561" s="263" t="s">
        <v>5913</v>
      </c>
      <c r="D561" s="229"/>
      <c r="E561" s="229"/>
      <c r="F561" s="229"/>
      <c r="G561" s="229"/>
      <c r="H561" s="229"/>
      <c r="I561" s="229"/>
      <c r="J561" s="59" t="s">
        <v>5912</v>
      </c>
      <c r="K561" s="1">
        <v>45950000</v>
      </c>
      <c r="L561" s="2">
        <v>45603</v>
      </c>
      <c r="M561" s="32"/>
      <c r="N561" s="32" t="s">
        <v>2326</v>
      </c>
      <c r="O561" s="51" t="s">
        <v>5662</v>
      </c>
      <c r="P561" s="52" t="s">
        <v>2328</v>
      </c>
    </row>
    <row r="562" spans="2:16" x14ac:dyDescent="0.25">
      <c r="B562" s="32">
        <v>551</v>
      </c>
      <c r="C562" s="229" t="s">
        <v>5914</v>
      </c>
      <c r="D562" s="229"/>
      <c r="E562" s="229"/>
      <c r="F562" s="229"/>
      <c r="G562" s="229"/>
      <c r="H562" s="229"/>
      <c r="I562" s="229"/>
      <c r="J562" s="59" t="s">
        <v>4597</v>
      </c>
      <c r="K562" s="46">
        <v>1300000</v>
      </c>
      <c r="L562" s="2">
        <v>45603</v>
      </c>
      <c r="M562" s="32"/>
      <c r="N562" s="32" t="s">
        <v>5812</v>
      </c>
      <c r="O562" s="103" t="s">
        <v>4109</v>
      </c>
      <c r="P562" s="52" t="s">
        <v>5752</v>
      </c>
    </row>
    <row r="563" spans="2:16" x14ac:dyDescent="0.25">
      <c r="B563" s="32">
        <v>552</v>
      </c>
      <c r="C563" s="229" t="s">
        <v>5916</v>
      </c>
      <c r="D563" s="229"/>
      <c r="E563" s="229"/>
      <c r="F563" s="229"/>
      <c r="G563" s="229"/>
      <c r="H563" s="229"/>
      <c r="I563" s="229"/>
      <c r="J563" s="59" t="s">
        <v>989</v>
      </c>
      <c r="K563" s="1">
        <v>12230000</v>
      </c>
      <c r="L563" s="2">
        <v>45609</v>
      </c>
      <c r="M563" s="32"/>
      <c r="N563" s="32">
        <v>3044003430</v>
      </c>
      <c r="O563" s="51" t="s">
        <v>989</v>
      </c>
      <c r="P563" s="38" t="s">
        <v>990</v>
      </c>
    </row>
    <row r="564" spans="2:16" x14ac:dyDescent="0.25">
      <c r="B564" s="32">
        <v>553</v>
      </c>
      <c r="C564" s="229" t="s">
        <v>5917</v>
      </c>
      <c r="D564" s="229"/>
      <c r="E564" s="229"/>
      <c r="F564" s="229"/>
      <c r="G564" s="229"/>
      <c r="H564" s="229"/>
      <c r="I564" s="229"/>
      <c r="J564" s="59" t="s">
        <v>5448</v>
      </c>
      <c r="K564" s="1">
        <v>11850000</v>
      </c>
      <c r="L564" s="2">
        <v>45603</v>
      </c>
      <c r="M564" s="32"/>
      <c r="N564" s="32">
        <v>31104513967</v>
      </c>
      <c r="O564" s="51" t="s">
        <v>5710</v>
      </c>
      <c r="P564" s="38"/>
    </row>
    <row r="565" spans="2:16" x14ac:dyDescent="0.25">
      <c r="B565" s="32">
        <v>554</v>
      </c>
      <c r="C565" s="229" t="s">
        <v>5918</v>
      </c>
      <c r="D565" s="229"/>
      <c r="E565" s="229"/>
      <c r="F565" s="229"/>
      <c r="G565" s="229"/>
      <c r="H565" s="229"/>
      <c r="I565" s="229"/>
      <c r="J565" s="59" t="s">
        <v>2779</v>
      </c>
      <c r="K565" s="1">
        <v>16930000</v>
      </c>
      <c r="L565" s="2">
        <v>45605</v>
      </c>
      <c r="M565" s="32"/>
      <c r="N565" s="32"/>
      <c r="O565" s="103" t="s">
        <v>2353</v>
      </c>
      <c r="P565" s="52" t="s">
        <v>1806</v>
      </c>
    </row>
    <row r="566" spans="2:16" x14ac:dyDescent="0.25">
      <c r="B566" s="32">
        <v>555</v>
      </c>
      <c r="C566" s="229" t="s">
        <v>5919</v>
      </c>
      <c r="D566" s="229"/>
      <c r="E566" s="229"/>
      <c r="F566" s="229"/>
      <c r="G566" s="229"/>
      <c r="H566" s="229"/>
      <c r="I566" s="229"/>
      <c r="J566" s="59" t="s">
        <v>5884</v>
      </c>
      <c r="K566" s="1">
        <v>37950000</v>
      </c>
      <c r="L566" s="2">
        <v>45608</v>
      </c>
      <c r="M566" s="32"/>
      <c r="N566" s="32" t="s">
        <v>5921</v>
      </c>
      <c r="O566" s="51" t="s">
        <v>5920</v>
      </c>
      <c r="P566" s="38" t="s">
        <v>5922</v>
      </c>
    </row>
    <row r="567" spans="2:16" x14ac:dyDescent="0.25">
      <c r="B567" s="32">
        <v>556</v>
      </c>
      <c r="C567" s="229" t="s">
        <v>5923</v>
      </c>
      <c r="D567" s="229"/>
      <c r="E567" s="229"/>
      <c r="F567" s="229"/>
      <c r="G567" s="229"/>
      <c r="H567" s="229"/>
      <c r="I567" s="229"/>
      <c r="J567" s="59" t="s">
        <v>1198</v>
      </c>
      <c r="K567" s="1">
        <v>950000</v>
      </c>
      <c r="L567" s="2">
        <v>45608</v>
      </c>
      <c r="M567" s="32"/>
      <c r="N567" s="32">
        <v>3053156721</v>
      </c>
      <c r="O567" s="51" t="s">
        <v>1199</v>
      </c>
      <c r="P567" s="38" t="s">
        <v>1200</v>
      </c>
    </row>
    <row r="568" spans="2:16" x14ac:dyDescent="0.25">
      <c r="B568" s="32">
        <v>557</v>
      </c>
      <c r="C568" s="271" t="s">
        <v>5925</v>
      </c>
      <c r="D568" s="272"/>
      <c r="E568" s="272"/>
      <c r="F568" s="272"/>
      <c r="G568" s="272"/>
      <c r="H568" s="272"/>
      <c r="I568" s="272"/>
      <c r="J568" s="59" t="s">
        <v>5350</v>
      </c>
      <c r="K568" s="1">
        <v>900000</v>
      </c>
      <c r="L568" s="2">
        <v>45609</v>
      </c>
      <c r="M568" s="32"/>
      <c r="N568" s="32" t="s">
        <v>5924</v>
      </c>
      <c r="O568" s="51" t="s">
        <v>3950</v>
      </c>
      <c r="P568" s="38" t="s">
        <v>4361</v>
      </c>
    </row>
    <row r="569" spans="2:16" x14ac:dyDescent="0.25">
      <c r="B569" s="32">
        <v>558</v>
      </c>
      <c r="C569" s="229" t="s">
        <v>5926</v>
      </c>
      <c r="D569" s="229"/>
      <c r="E569" s="229"/>
      <c r="F569" s="229"/>
      <c r="G569" s="229"/>
      <c r="H569" s="229"/>
      <c r="I569" s="229"/>
      <c r="J569" s="59" t="s">
        <v>5670</v>
      </c>
      <c r="K569" s="1">
        <v>1000</v>
      </c>
      <c r="L569" s="2">
        <v>45609</v>
      </c>
      <c r="M569" s="32"/>
      <c r="N569" s="32">
        <v>5978896976</v>
      </c>
      <c r="O569" s="103" t="s">
        <v>5794</v>
      </c>
      <c r="P569" s="52" t="s">
        <v>5792</v>
      </c>
    </row>
    <row r="570" spans="2:16" x14ac:dyDescent="0.25">
      <c r="B570" s="32">
        <v>559</v>
      </c>
      <c r="C570" s="229" t="s">
        <v>5928</v>
      </c>
      <c r="D570" s="229"/>
      <c r="E570" s="229"/>
      <c r="F570" s="229"/>
      <c r="G570" s="229"/>
      <c r="H570" s="229"/>
      <c r="I570" s="229"/>
      <c r="J570" s="59" t="s">
        <v>4939</v>
      </c>
      <c r="K570" s="1">
        <v>21950000</v>
      </c>
      <c r="L570" s="2">
        <v>45609</v>
      </c>
      <c r="M570" s="32"/>
      <c r="N570" s="32">
        <v>3206678830</v>
      </c>
      <c r="O570" s="51" t="s">
        <v>5927</v>
      </c>
      <c r="P570" s="38" t="s">
        <v>948</v>
      </c>
    </row>
    <row r="571" spans="2:16" x14ac:dyDescent="0.25">
      <c r="B571" s="32">
        <v>560</v>
      </c>
      <c r="C571" s="229" t="s">
        <v>5929</v>
      </c>
      <c r="D571" s="229"/>
      <c r="E571" s="229"/>
      <c r="F571" s="229"/>
      <c r="G571" s="229"/>
      <c r="H571" s="229"/>
      <c r="I571" s="229"/>
      <c r="J571" s="59" t="s">
        <v>4390</v>
      </c>
      <c r="K571" s="1">
        <v>6770000</v>
      </c>
      <c r="L571" s="2">
        <v>45610</v>
      </c>
      <c r="M571" s="32"/>
      <c r="N571" s="32">
        <v>3113391008</v>
      </c>
      <c r="O571" s="102" t="s">
        <v>4896</v>
      </c>
      <c r="P571" s="52" t="s">
        <v>2561</v>
      </c>
    </row>
    <row r="572" spans="2:16" x14ac:dyDescent="0.25">
      <c r="B572" s="32">
        <v>561</v>
      </c>
      <c r="C572" s="229" t="s">
        <v>5930</v>
      </c>
      <c r="D572" s="229"/>
      <c r="E572" s="229"/>
      <c r="F572" s="229"/>
      <c r="G572" s="229"/>
      <c r="H572" s="229"/>
      <c r="I572" s="229"/>
      <c r="J572" s="59" t="s">
        <v>702</v>
      </c>
      <c r="K572" s="1">
        <v>9970000</v>
      </c>
      <c r="L572" s="2">
        <v>45614</v>
      </c>
      <c r="M572" s="32"/>
      <c r="N572" s="32">
        <v>3104165783</v>
      </c>
      <c r="O572" s="51" t="s">
        <v>4564</v>
      </c>
      <c r="P572" s="52" t="s">
        <v>4565</v>
      </c>
    </row>
    <row r="573" spans="2:16" x14ac:dyDescent="0.25">
      <c r="B573" s="32">
        <v>562</v>
      </c>
      <c r="C573" s="229" t="s">
        <v>5931</v>
      </c>
      <c r="D573" s="229"/>
      <c r="E573" s="229"/>
      <c r="F573" s="229"/>
      <c r="G573" s="229"/>
      <c r="H573" s="229"/>
      <c r="I573" s="229"/>
      <c r="J573" s="59" t="s">
        <v>4436</v>
      </c>
      <c r="K573" s="1" t="s">
        <v>150</v>
      </c>
      <c r="L573" s="2">
        <v>45614</v>
      </c>
      <c r="M573" s="32"/>
      <c r="N573" s="32" t="s">
        <v>5312</v>
      </c>
      <c r="O573" s="51" t="s">
        <v>5427</v>
      </c>
      <c r="P573" s="38" t="s">
        <v>5311</v>
      </c>
    </row>
    <row r="574" spans="2:16" x14ac:dyDescent="0.25">
      <c r="B574" s="32">
        <v>563</v>
      </c>
      <c r="C574" s="229" t="s">
        <v>5934</v>
      </c>
      <c r="D574" s="229"/>
      <c r="E574" s="229"/>
      <c r="F574" s="229"/>
      <c r="G574" s="229"/>
      <c r="H574" s="229"/>
      <c r="I574" s="229"/>
      <c r="J574" s="59" t="s">
        <v>4436</v>
      </c>
      <c r="K574" s="1">
        <v>18800000</v>
      </c>
      <c r="L574" s="2">
        <v>45614</v>
      </c>
      <c r="M574" s="32"/>
      <c r="N574" s="32">
        <v>3004938086</v>
      </c>
      <c r="O574" s="51" t="s">
        <v>5932</v>
      </c>
      <c r="P574" s="38" t="s">
        <v>5933</v>
      </c>
    </row>
    <row r="575" spans="2:16" x14ac:dyDescent="0.25">
      <c r="B575" s="32">
        <v>564</v>
      </c>
      <c r="C575" s="263" t="s">
        <v>5938</v>
      </c>
      <c r="D575" s="229"/>
      <c r="E575" s="229"/>
      <c r="F575" s="229"/>
      <c r="G575" s="229"/>
      <c r="H575" s="229"/>
      <c r="I575" s="229"/>
      <c r="J575" s="59" t="s">
        <v>5935</v>
      </c>
      <c r="K575" s="1">
        <v>7500000</v>
      </c>
      <c r="L575" s="2">
        <v>45611</v>
      </c>
      <c r="M575" s="32"/>
      <c r="N575" s="32">
        <v>3007664029</v>
      </c>
      <c r="O575" s="51" t="s">
        <v>5936</v>
      </c>
      <c r="P575" s="38" t="s">
        <v>5937</v>
      </c>
    </row>
    <row r="576" spans="2:16" x14ac:dyDescent="0.25">
      <c r="B576" s="32">
        <v>565</v>
      </c>
      <c r="C576" s="229" t="s">
        <v>5939</v>
      </c>
      <c r="D576" s="229"/>
      <c r="E576" s="229"/>
      <c r="F576" s="229"/>
      <c r="G576" s="229"/>
      <c r="H576" s="229"/>
      <c r="I576" s="229"/>
      <c r="J576" s="59" t="s">
        <v>702</v>
      </c>
      <c r="K576" s="1">
        <v>17560000</v>
      </c>
      <c r="L576" s="2">
        <v>45616</v>
      </c>
      <c r="M576" s="32"/>
      <c r="N576" s="32">
        <v>3104165783</v>
      </c>
      <c r="O576" s="51" t="s">
        <v>4564</v>
      </c>
      <c r="P576" s="52" t="s">
        <v>4565</v>
      </c>
    </row>
    <row r="577" spans="2:16" x14ac:dyDescent="0.25">
      <c r="B577" s="32">
        <v>566</v>
      </c>
      <c r="C577" s="229" t="s">
        <v>5940</v>
      </c>
      <c r="D577" s="229"/>
      <c r="E577" s="229"/>
      <c r="F577" s="229"/>
      <c r="G577" s="229"/>
      <c r="H577" s="229"/>
      <c r="I577" s="229"/>
      <c r="J577" s="59" t="s">
        <v>702</v>
      </c>
      <c r="K577" s="1">
        <v>18750000</v>
      </c>
      <c r="L577" s="2">
        <v>45614</v>
      </c>
      <c r="M577" s="32"/>
      <c r="N577" s="32">
        <v>3104165783</v>
      </c>
      <c r="O577" s="51" t="s">
        <v>4564</v>
      </c>
      <c r="P577" s="52" t="s">
        <v>4565</v>
      </c>
    </row>
    <row r="578" spans="2:16" x14ac:dyDescent="0.25">
      <c r="B578" s="32">
        <v>567</v>
      </c>
      <c r="C578" s="229" t="s">
        <v>5943</v>
      </c>
      <c r="D578" s="229"/>
      <c r="E578" s="229"/>
      <c r="F578" s="229"/>
      <c r="G578" s="229"/>
      <c r="H578" s="229"/>
      <c r="I578" s="229"/>
      <c r="J578" s="59" t="s">
        <v>5942</v>
      </c>
      <c r="K578" s="1">
        <v>7950000</v>
      </c>
      <c r="L578" s="2">
        <v>45614</v>
      </c>
      <c r="M578" s="32"/>
      <c r="N578" s="32">
        <v>3111770</v>
      </c>
      <c r="O578" s="51" t="s">
        <v>5941</v>
      </c>
      <c r="P578" s="51"/>
    </row>
    <row r="579" spans="2:16" x14ac:dyDescent="0.25">
      <c r="B579" s="49">
        <v>598</v>
      </c>
      <c r="C579" s="229" t="s">
        <v>5944</v>
      </c>
      <c r="D579" s="229"/>
      <c r="E579" s="229"/>
      <c r="F579" s="229"/>
      <c r="G579" s="229"/>
      <c r="H579" s="229"/>
      <c r="I579" s="229"/>
      <c r="J579" s="59" t="s">
        <v>5448</v>
      </c>
      <c r="K579" s="1">
        <v>1350000</v>
      </c>
      <c r="L579" s="2">
        <v>45603</v>
      </c>
      <c r="M579" s="32"/>
      <c r="N579" s="32">
        <v>31104513967</v>
      </c>
      <c r="O579" s="51" t="s">
        <v>5710</v>
      </c>
      <c r="P579" s="38"/>
    </row>
    <row r="580" spans="2:16" x14ac:dyDescent="0.25">
      <c r="B580" s="32">
        <v>569</v>
      </c>
      <c r="C580" s="229" t="s">
        <v>3893</v>
      </c>
      <c r="D580" s="229"/>
      <c r="E580" s="229"/>
      <c r="F580" s="229"/>
      <c r="G580" s="229"/>
      <c r="H580" s="229"/>
      <c r="I580" s="229"/>
      <c r="J580" s="59" t="s">
        <v>702</v>
      </c>
      <c r="K580" s="1"/>
      <c r="L580" s="2">
        <v>45617</v>
      </c>
      <c r="M580" s="32"/>
      <c r="N580" s="32">
        <v>3104165783</v>
      </c>
      <c r="O580" s="51" t="s">
        <v>4564</v>
      </c>
      <c r="P580" s="52" t="s">
        <v>4565</v>
      </c>
    </row>
    <row r="581" spans="2:16" x14ac:dyDescent="0.25">
      <c r="B581" s="32">
        <v>570</v>
      </c>
      <c r="C581" s="229" t="s">
        <v>5945</v>
      </c>
      <c r="D581" s="229"/>
      <c r="E581" s="229"/>
      <c r="F581" s="229"/>
      <c r="G581" s="229"/>
      <c r="H581" s="229"/>
      <c r="I581" s="229"/>
      <c r="J581" s="59" t="s">
        <v>4902</v>
      </c>
      <c r="K581" s="1">
        <v>2050000</v>
      </c>
      <c r="L581" s="2">
        <v>45616</v>
      </c>
      <c r="M581" s="32"/>
      <c r="N581" s="32" t="s">
        <v>1897</v>
      </c>
      <c r="O581" s="102" t="s">
        <v>2076</v>
      </c>
      <c r="P581" s="38" t="s">
        <v>1899</v>
      </c>
    </row>
    <row r="582" spans="2:16" x14ac:dyDescent="0.25">
      <c r="B582" s="32">
        <v>571</v>
      </c>
      <c r="C582" s="263" t="s">
        <v>5946</v>
      </c>
      <c r="D582" s="229"/>
      <c r="E582" s="229"/>
      <c r="F582" s="229"/>
      <c r="G582" s="229"/>
      <c r="H582" s="229"/>
      <c r="I582" s="229"/>
      <c r="J582" s="59" t="s">
        <v>4216</v>
      </c>
      <c r="K582" s="1">
        <v>19990000</v>
      </c>
      <c r="L582" s="2">
        <v>45616</v>
      </c>
      <c r="M582" s="32"/>
      <c r="N582" s="32" t="s">
        <v>3554</v>
      </c>
      <c r="O582" s="51" t="s">
        <v>3552</v>
      </c>
      <c r="P582" s="38" t="s">
        <v>3553</v>
      </c>
    </row>
    <row r="583" spans="2:16" x14ac:dyDescent="0.25">
      <c r="B583" s="32">
        <v>572</v>
      </c>
      <c r="C583" s="263" t="s">
        <v>5948</v>
      </c>
      <c r="D583" s="263"/>
      <c r="E583" s="263"/>
      <c r="F583" s="263"/>
      <c r="G583" s="263"/>
      <c r="H583" s="263"/>
      <c r="I583" s="263"/>
      <c r="J583" s="59" t="s">
        <v>4949</v>
      </c>
      <c r="K583" s="1">
        <v>19950000</v>
      </c>
      <c r="L583" s="2">
        <v>45616</v>
      </c>
      <c r="M583" s="32"/>
      <c r="N583" s="32"/>
      <c r="O583" s="51" t="s">
        <v>400</v>
      </c>
      <c r="P583" s="51"/>
    </row>
    <row r="584" spans="2:16" x14ac:dyDescent="0.25">
      <c r="B584" s="32">
        <v>573</v>
      </c>
      <c r="C584" s="229" t="s">
        <v>5950</v>
      </c>
      <c r="D584" s="229"/>
      <c r="E584" s="229"/>
      <c r="F584" s="229"/>
      <c r="G584" s="229"/>
      <c r="H584" s="229"/>
      <c r="I584" s="229"/>
      <c r="J584" s="59" t="s">
        <v>5951</v>
      </c>
      <c r="K584" s="1">
        <v>13950000</v>
      </c>
      <c r="L584" s="2">
        <v>45617</v>
      </c>
      <c r="M584" s="32"/>
      <c r="N584" s="32">
        <v>3167424116</v>
      </c>
      <c r="O584" s="51" t="s">
        <v>5952</v>
      </c>
      <c r="P584" s="38" t="s">
        <v>5953</v>
      </c>
    </row>
    <row r="585" spans="2:16" x14ac:dyDescent="0.25">
      <c r="B585" s="32">
        <v>574</v>
      </c>
      <c r="C585" s="229" t="s">
        <v>5949</v>
      </c>
      <c r="D585" s="229"/>
      <c r="E585" s="229"/>
      <c r="F585" s="229"/>
      <c r="G585" s="229"/>
      <c r="H585" s="229"/>
      <c r="I585" s="229"/>
      <c r="J585" s="59" t="s">
        <v>5951</v>
      </c>
      <c r="K585" s="1">
        <v>3950000</v>
      </c>
      <c r="L585" s="2">
        <v>45617</v>
      </c>
      <c r="M585" s="32"/>
      <c r="N585" s="32">
        <v>3167424116</v>
      </c>
      <c r="O585" s="51" t="s">
        <v>5952</v>
      </c>
      <c r="P585" s="38" t="s">
        <v>5953</v>
      </c>
    </row>
    <row r="586" spans="2:16" x14ac:dyDescent="0.25">
      <c r="B586" s="32">
        <v>575</v>
      </c>
      <c r="C586" s="263" t="s">
        <v>5955</v>
      </c>
      <c r="D586" s="263"/>
      <c r="E586" s="263"/>
      <c r="F586" s="263"/>
      <c r="G586" s="263"/>
      <c r="H586" s="263"/>
      <c r="I586" s="263"/>
      <c r="J586" s="59" t="s">
        <v>5011</v>
      </c>
      <c r="K586" s="1">
        <v>21950000</v>
      </c>
      <c r="L586" s="2">
        <v>45617</v>
      </c>
      <c r="M586" s="32"/>
      <c r="N586" s="32"/>
      <c r="O586" s="51" t="s">
        <v>5954</v>
      </c>
      <c r="P586" s="38" t="s">
        <v>2834</v>
      </c>
    </row>
    <row r="587" spans="2:16" x14ac:dyDescent="0.25">
      <c r="B587" s="32">
        <v>576</v>
      </c>
      <c r="C587" s="263" t="s">
        <v>5956</v>
      </c>
      <c r="D587" s="263"/>
      <c r="E587" s="263"/>
      <c r="F587" s="263"/>
      <c r="G587" s="263"/>
      <c r="H587" s="263"/>
      <c r="I587" s="263"/>
      <c r="J587" s="59" t="s">
        <v>702</v>
      </c>
      <c r="K587" s="1">
        <v>2950000</v>
      </c>
      <c r="L587" s="2">
        <v>45618</v>
      </c>
      <c r="M587" s="32"/>
      <c r="N587" s="32">
        <v>3104165783</v>
      </c>
      <c r="O587" s="51" t="s">
        <v>4564</v>
      </c>
      <c r="P587" s="52" t="s">
        <v>4565</v>
      </c>
    </row>
    <row r="588" spans="2:16" x14ac:dyDescent="0.25">
      <c r="B588" s="32">
        <v>577</v>
      </c>
      <c r="C588" s="263" t="s">
        <v>5958</v>
      </c>
      <c r="D588" s="263"/>
      <c r="E588" s="263"/>
      <c r="F588" s="263"/>
      <c r="G588" s="263"/>
      <c r="H588" s="263"/>
      <c r="I588" s="263"/>
      <c r="J588" s="59" t="s">
        <v>5957</v>
      </c>
      <c r="K588" s="1">
        <v>3940000</v>
      </c>
      <c r="L588" s="2">
        <v>45618</v>
      </c>
      <c r="M588" s="32"/>
      <c r="N588" s="32">
        <v>3016065099</v>
      </c>
      <c r="O588" s="51" t="s">
        <v>5957</v>
      </c>
      <c r="P588" s="51"/>
    </row>
    <row r="589" spans="2:16" x14ac:dyDescent="0.25">
      <c r="B589" s="32">
        <v>578</v>
      </c>
      <c r="C589" s="263" t="s">
        <v>5984</v>
      </c>
      <c r="D589" s="263"/>
      <c r="E589" s="263"/>
      <c r="F589" s="263"/>
      <c r="G589" s="263"/>
      <c r="H589" s="263"/>
      <c r="I589" s="263"/>
      <c r="J589" s="59" t="s">
        <v>2204</v>
      </c>
      <c r="K589" s="1">
        <v>375550000</v>
      </c>
      <c r="L589" s="2">
        <v>45622</v>
      </c>
      <c r="M589" s="32"/>
      <c r="N589" s="32">
        <v>3117208541</v>
      </c>
      <c r="O589" s="102" t="s">
        <v>2240</v>
      </c>
      <c r="P589" s="52" t="s">
        <v>2241</v>
      </c>
    </row>
    <row r="590" spans="2:16" x14ac:dyDescent="0.25">
      <c r="B590" s="32">
        <v>579</v>
      </c>
      <c r="C590" s="271" t="s">
        <v>5962</v>
      </c>
      <c r="D590" s="271"/>
      <c r="E590" s="271"/>
      <c r="F590" s="271"/>
      <c r="G590" s="271"/>
      <c r="H590" s="271"/>
      <c r="I590" s="271"/>
      <c r="J590" s="59" t="s">
        <v>5549</v>
      </c>
      <c r="K590" s="1">
        <v>17950000</v>
      </c>
      <c r="L590" s="2">
        <v>45624</v>
      </c>
      <c r="M590" s="32"/>
      <c r="N590" s="32"/>
      <c r="O590" s="51" t="s">
        <v>5959</v>
      </c>
      <c r="P590" s="38" t="s">
        <v>5627</v>
      </c>
    </row>
    <row r="591" spans="2:16" x14ac:dyDescent="0.25">
      <c r="B591" s="32">
        <v>580</v>
      </c>
      <c r="C591" s="263" t="s">
        <v>5960</v>
      </c>
      <c r="D591" s="263"/>
      <c r="E591" s="263"/>
      <c r="F591" s="263"/>
      <c r="G591" s="263"/>
      <c r="H591" s="263"/>
      <c r="I591" s="263"/>
      <c r="J591" s="59" t="s">
        <v>747</v>
      </c>
      <c r="K591" s="1">
        <v>10950000</v>
      </c>
      <c r="L591" s="2">
        <v>45626</v>
      </c>
      <c r="M591" s="32"/>
      <c r="N591" s="32" t="s">
        <v>5961</v>
      </c>
      <c r="O591" s="51" t="s">
        <v>2045</v>
      </c>
      <c r="P591" s="38" t="s">
        <v>748</v>
      </c>
    </row>
    <row r="592" spans="2:16" x14ac:dyDescent="0.25">
      <c r="B592" s="32">
        <v>581</v>
      </c>
      <c r="C592" s="263" t="s">
        <v>5966</v>
      </c>
      <c r="D592" s="263"/>
      <c r="E592" s="263"/>
      <c r="F592" s="263"/>
      <c r="G592" s="263"/>
      <c r="H592" s="263"/>
      <c r="I592" s="263"/>
      <c r="J592" s="59" t="s">
        <v>5963</v>
      </c>
      <c r="K592" s="1">
        <v>21950000</v>
      </c>
      <c r="L592" s="2">
        <v>45624</v>
      </c>
      <c r="M592" s="32"/>
      <c r="N592" s="32" t="s">
        <v>5964</v>
      </c>
      <c r="O592" s="51" t="s">
        <v>5963</v>
      </c>
      <c r="P592" s="38" t="s">
        <v>5965</v>
      </c>
    </row>
    <row r="593" spans="2:16" x14ac:dyDescent="0.25">
      <c r="B593" s="32">
        <v>582</v>
      </c>
      <c r="C593" s="263" t="s">
        <v>5971</v>
      </c>
      <c r="D593" s="263"/>
      <c r="E593" s="263"/>
      <c r="F593" s="263"/>
      <c r="G593" s="263"/>
      <c r="H593" s="263"/>
      <c r="I593" s="263"/>
      <c r="J593" s="59" t="s">
        <v>5970</v>
      </c>
      <c r="K593" s="1">
        <v>38250000</v>
      </c>
      <c r="L593" s="2">
        <v>45625</v>
      </c>
      <c r="M593" s="32"/>
      <c r="N593" s="32" t="s">
        <v>5968</v>
      </c>
      <c r="O593" s="51" t="s">
        <v>5967</v>
      </c>
      <c r="P593" s="38" t="s">
        <v>5969</v>
      </c>
    </row>
    <row r="594" spans="2:16" x14ac:dyDescent="0.25">
      <c r="B594" s="32">
        <v>583</v>
      </c>
      <c r="C594" s="263" t="s">
        <v>5975</v>
      </c>
      <c r="D594" s="263"/>
      <c r="E594" s="263"/>
      <c r="F594" s="263"/>
      <c r="G594" s="263"/>
      <c r="H594" s="263"/>
      <c r="I594" s="263"/>
      <c r="J594" s="59" t="s">
        <v>5972</v>
      </c>
      <c r="K594" s="1">
        <v>4250000</v>
      </c>
      <c r="L594" s="2">
        <v>45625</v>
      </c>
      <c r="M594" s="32"/>
      <c r="N594" s="32">
        <v>3135931880</v>
      </c>
      <c r="O594" s="51" t="s">
        <v>5974</v>
      </c>
      <c r="P594" s="38" t="s">
        <v>5973</v>
      </c>
    </row>
    <row r="595" spans="2:16" x14ac:dyDescent="0.25">
      <c r="B595" s="32">
        <v>584</v>
      </c>
      <c r="C595" s="263" t="s">
        <v>5977</v>
      </c>
      <c r="D595" s="263"/>
      <c r="E595" s="263"/>
      <c r="F595" s="263"/>
      <c r="G595" s="263"/>
      <c r="H595" s="263"/>
      <c r="I595" s="263"/>
      <c r="J595" s="59" t="s">
        <v>5976</v>
      </c>
      <c r="K595" s="1">
        <v>22650000</v>
      </c>
      <c r="L595" s="2">
        <v>45625</v>
      </c>
      <c r="M595" s="32"/>
      <c r="N595" s="32">
        <v>3046764855</v>
      </c>
      <c r="O595" s="51" t="s">
        <v>5978</v>
      </c>
      <c r="P595" s="38" t="s">
        <v>5979</v>
      </c>
    </row>
    <row r="596" spans="2:16" x14ac:dyDescent="0.25">
      <c r="B596" s="32">
        <v>585</v>
      </c>
      <c r="C596" s="271" t="s">
        <v>5982</v>
      </c>
      <c r="D596" s="271"/>
      <c r="E596" s="271"/>
      <c r="F596" s="271"/>
      <c r="G596" s="271"/>
      <c r="H596" s="271"/>
      <c r="I596" s="271"/>
      <c r="J596" s="59" t="s">
        <v>5983</v>
      </c>
      <c r="K596" s="1">
        <v>11910000</v>
      </c>
      <c r="L596" s="2">
        <v>45626</v>
      </c>
      <c r="M596" s="32"/>
      <c r="N596" s="32"/>
      <c r="O596" s="51" t="s">
        <v>5980</v>
      </c>
      <c r="P596" s="38" t="s">
        <v>5981</v>
      </c>
    </row>
    <row r="597" spans="2:16" x14ac:dyDescent="0.25">
      <c r="B597" s="32">
        <v>586</v>
      </c>
      <c r="C597" s="263" t="s">
        <v>5977</v>
      </c>
      <c r="D597" s="263"/>
      <c r="E597" s="263"/>
      <c r="F597" s="263"/>
      <c r="G597" s="263"/>
      <c r="H597" s="263"/>
      <c r="I597" s="263"/>
      <c r="J597" s="59" t="s">
        <v>702</v>
      </c>
      <c r="K597" s="1">
        <v>22650000</v>
      </c>
      <c r="L597" s="2">
        <v>45626</v>
      </c>
      <c r="M597" s="32"/>
      <c r="N597" s="32">
        <v>3104165783</v>
      </c>
      <c r="O597" s="51" t="s">
        <v>4564</v>
      </c>
      <c r="P597" s="52" t="s">
        <v>4565</v>
      </c>
    </row>
    <row r="598" spans="2:16" x14ac:dyDescent="0.25">
      <c r="B598" s="32">
        <v>587</v>
      </c>
      <c r="C598" s="263" t="s">
        <v>5985</v>
      </c>
      <c r="D598" s="263"/>
      <c r="E598" s="263"/>
      <c r="F598" s="263"/>
      <c r="G598" s="263"/>
      <c r="H598" s="263"/>
      <c r="I598" s="263"/>
      <c r="J598" s="59" t="s">
        <v>4902</v>
      </c>
      <c r="K598" s="1">
        <v>11920000</v>
      </c>
      <c r="L598" s="2">
        <v>45629</v>
      </c>
      <c r="M598" s="32"/>
      <c r="N598" s="32" t="s">
        <v>1897</v>
      </c>
      <c r="O598" s="102" t="s">
        <v>2076</v>
      </c>
      <c r="P598" s="38" t="s">
        <v>1899</v>
      </c>
    </row>
    <row r="599" spans="2:16" x14ac:dyDescent="0.25">
      <c r="B599" s="32">
        <v>588</v>
      </c>
      <c r="C599" s="263" t="s">
        <v>5986</v>
      </c>
      <c r="D599" s="263"/>
      <c r="E599" s="263"/>
      <c r="F599" s="263"/>
      <c r="G599" s="263"/>
      <c r="H599" s="263"/>
      <c r="I599" s="263"/>
      <c r="J599" s="59" t="s">
        <v>989</v>
      </c>
      <c r="K599" s="1">
        <v>45900000</v>
      </c>
      <c r="L599" s="2">
        <v>45628</v>
      </c>
      <c r="M599" s="32"/>
      <c r="N599" s="32">
        <v>3044003430</v>
      </c>
      <c r="O599" s="51" t="s">
        <v>989</v>
      </c>
      <c r="P599" s="38" t="s">
        <v>990</v>
      </c>
    </row>
    <row r="600" spans="2:16" x14ac:dyDescent="0.25">
      <c r="B600" s="32">
        <v>589</v>
      </c>
      <c r="C600" s="263" t="s">
        <v>6076</v>
      </c>
      <c r="D600" s="229"/>
      <c r="E600" s="229"/>
      <c r="F600" s="229"/>
      <c r="G600" s="229"/>
      <c r="H600" s="229"/>
      <c r="I600" s="229"/>
      <c r="J600" s="59" t="s">
        <v>702</v>
      </c>
      <c r="K600" s="1">
        <v>2950000</v>
      </c>
      <c r="L600" s="2">
        <v>45629</v>
      </c>
      <c r="M600" s="32"/>
      <c r="N600" s="32">
        <v>3104165783</v>
      </c>
      <c r="O600" s="51" t="s">
        <v>4564</v>
      </c>
      <c r="P600" s="52" t="s">
        <v>4565</v>
      </c>
    </row>
    <row r="601" spans="2:16" x14ac:dyDescent="0.25">
      <c r="B601" s="32">
        <v>590</v>
      </c>
      <c r="C601" s="263" t="s">
        <v>5987</v>
      </c>
      <c r="D601" s="263"/>
      <c r="E601" s="263"/>
      <c r="F601" s="263"/>
      <c r="G601" s="263"/>
      <c r="H601" s="263"/>
      <c r="I601" s="263"/>
      <c r="J601" s="59" t="s">
        <v>5988</v>
      </c>
      <c r="K601" s="1">
        <v>34950000</v>
      </c>
      <c r="L601" s="2">
        <v>45629</v>
      </c>
      <c r="M601" s="32"/>
      <c r="N601" s="32"/>
      <c r="O601" s="51" t="s">
        <v>5989</v>
      </c>
      <c r="P601" s="38" t="s">
        <v>5990</v>
      </c>
    </row>
    <row r="602" spans="2:16" x14ac:dyDescent="0.25">
      <c r="B602" s="32">
        <v>591</v>
      </c>
      <c r="C602" s="263" t="s">
        <v>5994</v>
      </c>
      <c r="D602" s="263"/>
      <c r="E602" s="263"/>
      <c r="F602" s="263"/>
      <c r="G602" s="263"/>
      <c r="H602" s="263"/>
      <c r="I602" s="263"/>
      <c r="J602" s="59" t="s">
        <v>5044</v>
      </c>
      <c r="K602" s="1">
        <v>14680000</v>
      </c>
      <c r="L602" s="2">
        <v>45630</v>
      </c>
      <c r="M602" s="32"/>
      <c r="N602" s="32" t="s">
        <v>3892</v>
      </c>
      <c r="O602" s="102" t="s">
        <v>706</v>
      </c>
      <c r="P602" s="52" t="s">
        <v>707</v>
      </c>
    </row>
    <row r="603" spans="2:16" x14ac:dyDescent="0.25">
      <c r="B603" s="32">
        <v>592</v>
      </c>
      <c r="C603" s="263" t="s">
        <v>5991</v>
      </c>
      <c r="D603" s="263"/>
      <c r="E603" s="263"/>
      <c r="F603" s="263"/>
      <c r="G603" s="263"/>
      <c r="H603" s="263"/>
      <c r="I603" s="263"/>
      <c r="J603" s="59" t="s">
        <v>5993</v>
      </c>
      <c r="K603" s="1">
        <v>4400000</v>
      </c>
      <c r="L603" s="2">
        <v>45630</v>
      </c>
      <c r="M603" s="32"/>
      <c r="N603" s="32">
        <v>3013220631</v>
      </c>
      <c r="O603" s="51" t="s">
        <v>5992</v>
      </c>
      <c r="P603" s="51"/>
    </row>
    <row r="604" spans="2:16" ht="14.25" customHeight="1" x14ac:dyDescent="0.25">
      <c r="B604" s="32">
        <v>593</v>
      </c>
      <c r="C604" s="280" t="s">
        <v>5995</v>
      </c>
      <c r="D604" s="281"/>
      <c r="E604" s="281"/>
      <c r="F604" s="281"/>
      <c r="G604" s="281"/>
      <c r="H604" s="281"/>
      <c r="I604" s="282"/>
      <c r="J604" s="59" t="s">
        <v>5448</v>
      </c>
      <c r="K604" s="1">
        <v>9950000</v>
      </c>
      <c r="L604" s="2">
        <v>45631</v>
      </c>
      <c r="M604" s="32"/>
      <c r="N604" s="32">
        <v>3104513967</v>
      </c>
      <c r="O604" s="103" t="s">
        <v>5447</v>
      </c>
      <c r="P604" s="38" t="s">
        <v>5449</v>
      </c>
    </row>
    <row r="605" spans="2:16" ht="14.25" customHeight="1" x14ac:dyDescent="0.25">
      <c r="B605" s="32">
        <v>594</v>
      </c>
      <c r="C605" s="280" t="s">
        <v>5996</v>
      </c>
      <c r="D605" s="281"/>
      <c r="E605" s="281"/>
      <c r="F605" s="281"/>
      <c r="G605" s="281"/>
      <c r="H605" s="281"/>
      <c r="I605" s="282"/>
      <c r="J605" s="59" t="s">
        <v>5997</v>
      </c>
      <c r="K605" s="1">
        <v>2500000</v>
      </c>
      <c r="L605" s="2">
        <v>45631</v>
      </c>
      <c r="M605" s="32"/>
      <c r="N605" s="32"/>
      <c r="O605" s="51" t="s">
        <v>1443</v>
      </c>
      <c r="P605" s="51"/>
    </row>
    <row r="606" spans="2:16" ht="14.25" customHeight="1" x14ac:dyDescent="0.25">
      <c r="B606" s="32">
        <v>595</v>
      </c>
      <c r="C606" s="264" t="s">
        <v>5999</v>
      </c>
      <c r="D606" s="283"/>
      <c r="E606" s="283"/>
      <c r="F606" s="283"/>
      <c r="G606" s="283"/>
      <c r="H606" s="283"/>
      <c r="I606" s="284"/>
      <c r="J606" s="59" t="s">
        <v>5998</v>
      </c>
      <c r="K606" s="1" t="s">
        <v>150</v>
      </c>
      <c r="L606" s="2">
        <v>45636</v>
      </c>
      <c r="M606" s="32"/>
      <c r="N606" s="32">
        <v>3044830834</v>
      </c>
      <c r="O606" s="51" t="s">
        <v>6000</v>
      </c>
      <c r="P606" s="38" t="s">
        <v>6001</v>
      </c>
    </row>
    <row r="607" spans="2:16" ht="14.25" customHeight="1" x14ac:dyDescent="0.25">
      <c r="B607" s="32">
        <v>596</v>
      </c>
      <c r="C607" s="264" t="s">
        <v>6002</v>
      </c>
      <c r="D607" s="283"/>
      <c r="E607" s="283"/>
      <c r="F607" s="283"/>
      <c r="G607" s="283"/>
      <c r="H607" s="283"/>
      <c r="I607" s="284"/>
      <c r="J607" s="59" t="s">
        <v>5637</v>
      </c>
      <c r="K607" s="1" t="s">
        <v>150</v>
      </c>
      <c r="L607" s="2">
        <v>45632</v>
      </c>
      <c r="M607" s="32"/>
      <c r="N607" s="51">
        <v>3017500321</v>
      </c>
      <c r="O607" s="32" t="s">
        <v>4617</v>
      </c>
      <c r="P607" s="52" t="s">
        <v>4618</v>
      </c>
    </row>
    <row r="608" spans="2:16" ht="14.25" customHeight="1" x14ac:dyDescent="0.25">
      <c r="B608" s="32">
        <v>597</v>
      </c>
      <c r="C608" s="264" t="s">
        <v>6003</v>
      </c>
      <c r="D608" s="283"/>
      <c r="E608" s="283"/>
      <c r="F608" s="283"/>
      <c r="G608" s="283"/>
      <c r="H608" s="283"/>
      <c r="I608" s="284"/>
      <c r="J608" s="59" t="s">
        <v>6004</v>
      </c>
      <c r="K608" s="1">
        <v>19950000</v>
      </c>
      <c r="L608" s="2">
        <v>45632</v>
      </c>
      <c r="M608" s="32"/>
      <c r="N608" s="32">
        <v>3187346703</v>
      </c>
      <c r="O608" s="51" t="s">
        <v>6004</v>
      </c>
      <c r="P608" s="51" t="s">
        <v>6005</v>
      </c>
    </row>
    <row r="609" spans="2:16" ht="14.25" customHeight="1" x14ac:dyDescent="0.25">
      <c r="B609" s="32" t="s">
        <v>5947</v>
      </c>
      <c r="C609" s="264" t="s">
        <v>6009</v>
      </c>
      <c r="D609" s="283"/>
      <c r="E609" s="283"/>
      <c r="F609" s="283"/>
      <c r="G609" s="283"/>
      <c r="H609" s="283"/>
      <c r="I609" s="284"/>
      <c r="J609" s="59" t="s">
        <v>6008</v>
      </c>
      <c r="K609" s="1">
        <v>39750000</v>
      </c>
      <c r="L609" s="2">
        <v>45635</v>
      </c>
      <c r="M609" s="32"/>
      <c r="N609" s="32">
        <v>3176625173</v>
      </c>
      <c r="O609" s="51" t="s">
        <v>6006</v>
      </c>
      <c r="P609" s="38" t="s">
        <v>6007</v>
      </c>
    </row>
    <row r="610" spans="2:16" ht="14.25" customHeight="1" x14ac:dyDescent="0.25">
      <c r="B610" s="32">
        <v>599</v>
      </c>
      <c r="C610" s="264" t="s">
        <v>6010</v>
      </c>
      <c r="D610" s="283"/>
      <c r="E610" s="283"/>
      <c r="F610" s="283"/>
      <c r="G610" s="283"/>
      <c r="H610" s="283"/>
      <c r="I610" s="284"/>
      <c r="J610" s="59" t="s">
        <v>3799</v>
      </c>
      <c r="K610" s="1">
        <v>2550000</v>
      </c>
      <c r="L610" s="2">
        <v>45635</v>
      </c>
      <c r="M610" s="32"/>
      <c r="N610" s="32">
        <v>3134669894</v>
      </c>
      <c r="O610" s="51" t="s">
        <v>320</v>
      </c>
      <c r="P610" s="38" t="s">
        <v>1353</v>
      </c>
    </row>
    <row r="611" spans="2:16" ht="14.25" customHeight="1" x14ac:dyDescent="0.25">
      <c r="B611" s="32">
        <v>600</v>
      </c>
      <c r="C611" s="264" t="s">
        <v>6011</v>
      </c>
      <c r="D611" s="283"/>
      <c r="E611" s="283"/>
      <c r="F611" s="283"/>
      <c r="G611" s="283"/>
      <c r="H611" s="283"/>
      <c r="I611" s="284"/>
      <c r="J611" s="59" t="s">
        <v>6004</v>
      </c>
      <c r="K611" s="1">
        <v>2950000</v>
      </c>
      <c r="L611" s="2">
        <v>45635</v>
      </c>
      <c r="M611" s="32"/>
      <c r="N611" s="32">
        <v>3187346703</v>
      </c>
      <c r="O611" s="51" t="s">
        <v>6004</v>
      </c>
      <c r="P611" s="51" t="s">
        <v>6005</v>
      </c>
    </row>
    <row r="612" spans="2:16" ht="14.25" customHeight="1" x14ac:dyDescent="0.25">
      <c r="B612" s="32">
        <v>601</v>
      </c>
      <c r="C612" s="264" t="s">
        <v>6012</v>
      </c>
      <c r="D612" s="283"/>
      <c r="E612" s="283"/>
      <c r="F612" s="283"/>
      <c r="G612" s="283"/>
      <c r="H612" s="283"/>
      <c r="I612" s="284"/>
      <c r="J612" s="59" t="s">
        <v>880</v>
      </c>
      <c r="K612" s="1">
        <v>12250000</v>
      </c>
      <c r="L612" s="2">
        <v>45636</v>
      </c>
      <c r="M612" s="32"/>
      <c r="N612" s="57">
        <v>3134669894</v>
      </c>
      <c r="O612" s="51" t="s">
        <v>320</v>
      </c>
      <c r="P612" s="38" t="s">
        <v>1353</v>
      </c>
    </row>
    <row r="613" spans="2:16" ht="14.25" customHeight="1" x14ac:dyDescent="0.25">
      <c r="B613" s="32">
        <v>602</v>
      </c>
      <c r="C613" s="264" t="s">
        <v>6013</v>
      </c>
      <c r="D613" s="283"/>
      <c r="E613" s="283"/>
      <c r="F613" s="283"/>
      <c r="G613" s="283"/>
      <c r="H613" s="283"/>
      <c r="I613" s="284"/>
      <c r="J613" s="59" t="s">
        <v>989</v>
      </c>
      <c r="K613" s="1">
        <v>23830000</v>
      </c>
      <c r="L613" s="2">
        <v>45636</v>
      </c>
      <c r="M613" s="32"/>
      <c r="N613" s="32"/>
      <c r="O613" s="51" t="s">
        <v>989</v>
      </c>
      <c r="P613" s="38" t="s">
        <v>990</v>
      </c>
    </row>
    <row r="614" spans="2:16" ht="14.25" customHeight="1" x14ac:dyDescent="0.25">
      <c r="B614" s="32">
        <v>603</v>
      </c>
      <c r="C614" s="230" t="s">
        <v>6014</v>
      </c>
      <c r="D614" s="231"/>
      <c r="E614" s="231"/>
      <c r="F614" s="231"/>
      <c r="G614" s="231"/>
      <c r="H614" s="231"/>
      <c r="I614" s="232"/>
      <c r="J614" s="59" t="s">
        <v>5113</v>
      </c>
      <c r="K614" s="46">
        <v>12500000</v>
      </c>
      <c r="L614" s="2">
        <v>45636</v>
      </c>
      <c r="M614" s="2"/>
      <c r="N614" s="32" t="s">
        <v>5114</v>
      </c>
      <c r="O614" s="102" t="s">
        <v>5115</v>
      </c>
      <c r="P614" s="52"/>
    </row>
    <row r="615" spans="2:16" ht="14.25" customHeight="1" x14ac:dyDescent="0.25">
      <c r="B615" s="32">
        <v>604</v>
      </c>
      <c r="C615" s="280" t="s">
        <v>6015</v>
      </c>
      <c r="D615" s="286"/>
      <c r="E615" s="286"/>
      <c r="F615" s="286"/>
      <c r="G615" s="286"/>
      <c r="H615" s="286"/>
      <c r="I615" s="287"/>
      <c r="J615" s="59" t="s">
        <v>6016</v>
      </c>
      <c r="K615" s="1">
        <v>12250000</v>
      </c>
      <c r="L615" s="2">
        <v>45637</v>
      </c>
      <c r="M615" s="32"/>
      <c r="N615" s="32"/>
      <c r="O615" s="51"/>
      <c r="P615" s="51"/>
    </row>
    <row r="616" spans="2:16" ht="14.25" customHeight="1" x14ac:dyDescent="0.25">
      <c r="B616" s="32">
        <v>605</v>
      </c>
      <c r="C616" s="230" t="s">
        <v>6017</v>
      </c>
      <c r="D616" s="231"/>
      <c r="E616" s="231"/>
      <c r="F616" s="231"/>
      <c r="G616" s="231"/>
      <c r="H616" s="231"/>
      <c r="I616" s="232"/>
      <c r="J616" s="59" t="s">
        <v>4390</v>
      </c>
      <c r="K616" s="1">
        <v>7000000</v>
      </c>
      <c r="L616" s="2">
        <v>45638</v>
      </c>
      <c r="M616" s="32"/>
      <c r="N616" s="32">
        <v>3113391008</v>
      </c>
      <c r="O616" s="102" t="s">
        <v>4896</v>
      </c>
      <c r="P616" s="52" t="s">
        <v>2561</v>
      </c>
    </row>
    <row r="617" spans="2:16" ht="14.25" customHeight="1" x14ac:dyDescent="0.25">
      <c r="B617" s="32">
        <v>606</v>
      </c>
      <c r="C617" s="230" t="s">
        <v>6018</v>
      </c>
      <c r="D617" s="231"/>
      <c r="E617" s="231"/>
      <c r="F617" s="231"/>
      <c r="G617" s="231"/>
      <c r="H617" s="231"/>
      <c r="I617" s="232"/>
      <c r="J617" s="59" t="s">
        <v>702</v>
      </c>
      <c r="K617" s="1">
        <v>9410000</v>
      </c>
      <c r="L617" s="2">
        <v>45644</v>
      </c>
      <c r="M617" s="32"/>
      <c r="N617" s="32">
        <v>3104165783</v>
      </c>
      <c r="O617" s="51" t="s">
        <v>4564</v>
      </c>
      <c r="P617" s="52" t="s">
        <v>4565</v>
      </c>
    </row>
    <row r="618" spans="2:16" x14ac:dyDescent="0.25">
      <c r="B618" s="32">
        <v>607</v>
      </c>
      <c r="C618" s="229" t="s">
        <v>6022</v>
      </c>
      <c r="D618" s="229"/>
      <c r="E618" s="229"/>
      <c r="F618" s="229"/>
      <c r="G618" s="229"/>
      <c r="H618" s="229"/>
      <c r="I618" s="229"/>
      <c r="J618" s="59" t="s">
        <v>6021</v>
      </c>
      <c r="K618" s="1"/>
      <c r="L618" s="2">
        <v>45643</v>
      </c>
      <c r="M618" s="32"/>
      <c r="N618" s="32"/>
      <c r="O618" s="51" t="s">
        <v>6019</v>
      </c>
      <c r="P618" s="38" t="s">
        <v>6020</v>
      </c>
    </row>
    <row r="619" spans="2:16" x14ac:dyDescent="0.25">
      <c r="B619" s="32">
        <v>608</v>
      </c>
      <c r="C619" s="271" t="s">
        <v>6023</v>
      </c>
      <c r="D619" s="272"/>
      <c r="E619" s="272"/>
      <c r="F619" s="272"/>
      <c r="G619" s="272"/>
      <c r="H619" s="272"/>
      <c r="I619" s="272"/>
      <c r="J619" s="59" t="s">
        <v>6024</v>
      </c>
      <c r="K619" s="1">
        <v>6270000</v>
      </c>
      <c r="L619" s="2">
        <v>45644</v>
      </c>
      <c r="M619" s="32"/>
      <c r="N619" s="32" t="s">
        <v>4709</v>
      </c>
      <c r="O619" s="51" t="s">
        <v>4711</v>
      </c>
      <c r="P619" s="51"/>
    </row>
    <row r="620" spans="2:16" x14ac:dyDescent="0.25">
      <c r="B620" s="32">
        <v>609</v>
      </c>
      <c r="C620" s="229" t="s">
        <v>6025</v>
      </c>
      <c r="D620" s="229"/>
      <c r="E620" s="229"/>
      <c r="F620" s="229"/>
      <c r="G620" s="229"/>
      <c r="H620" s="229"/>
      <c r="I620" s="229"/>
      <c r="J620" s="59" t="s">
        <v>2743</v>
      </c>
      <c r="K620" s="1">
        <v>4000000</v>
      </c>
      <c r="L620" s="2">
        <v>45644</v>
      </c>
      <c r="M620" s="32"/>
      <c r="N620" s="32" t="s">
        <v>6026</v>
      </c>
      <c r="O620" s="51" t="s">
        <v>2045</v>
      </c>
      <c r="P620" s="38" t="s">
        <v>748</v>
      </c>
    </row>
    <row r="621" spans="2:16" x14ac:dyDescent="0.25">
      <c r="B621" s="32">
        <v>610</v>
      </c>
      <c r="C621" s="229" t="s">
        <v>6027</v>
      </c>
      <c r="D621" s="229"/>
      <c r="E621" s="229"/>
      <c r="F621" s="229"/>
      <c r="G621" s="229"/>
      <c r="H621" s="229"/>
      <c r="I621" s="229"/>
      <c r="J621" s="59" t="s">
        <v>702</v>
      </c>
      <c r="K621" s="1">
        <v>9950000</v>
      </c>
      <c r="L621" s="2">
        <v>45644</v>
      </c>
      <c r="M621" s="32"/>
      <c r="N621" s="32">
        <v>3104203649</v>
      </c>
      <c r="O621" s="51" t="s">
        <v>2973</v>
      </c>
      <c r="P621" s="38" t="s">
        <v>2621</v>
      </c>
    </row>
    <row r="622" spans="2:16" x14ac:dyDescent="0.25">
      <c r="B622" s="32">
        <v>611</v>
      </c>
      <c r="C622" s="264" t="s">
        <v>6030</v>
      </c>
      <c r="D622" s="283"/>
      <c r="E622" s="283"/>
      <c r="F622" s="283"/>
      <c r="G622" s="283"/>
      <c r="H622" s="283"/>
      <c r="I622" s="284"/>
      <c r="J622" s="59" t="s">
        <v>6028</v>
      </c>
      <c r="K622" s="1" t="s">
        <v>6031</v>
      </c>
      <c r="L622" s="2">
        <v>45644</v>
      </c>
      <c r="M622" s="32"/>
      <c r="N622" s="32">
        <v>3215701452</v>
      </c>
      <c r="O622" s="51" t="s">
        <v>6029</v>
      </c>
      <c r="P622" s="51"/>
    </row>
    <row r="623" spans="2:16" x14ac:dyDescent="0.25">
      <c r="B623" s="32">
        <v>612</v>
      </c>
      <c r="C623" s="229" t="s">
        <v>6032</v>
      </c>
      <c r="D623" s="229"/>
      <c r="E623" s="229"/>
      <c r="F623" s="229"/>
      <c r="G623" s="229"/>
      <c r="H623" s="229"/>
      <c r="I623" s="229"/>
      <c r="J623" s="59" t="s">
        <v>5448</v>
      </c>
      <c r="K623" s="1">
        <v>19950000</v>
      </c>
      <c r="L623" s="2">
        <v>45645</v>
      </c>
      <c r="M623" s="32"/>
      <c r="N623" s="32">
        <v>3104513967</v>
      </c>
      <c r="O623" s="51" t="s">
        <v>5710</v>
      </c>
      <c r="P623" s="38" t="s">
        <v>5709</v>
      </c>
    </row>
    <row r="624" spans="2:16" x14ac:dyDescent="0.25">
      <c r="B624" s="32">
        <v>613</v>
      </c>
      <c r="C624" s="229" t="s">
        <v>6033</v>
      </c>
      <c r="D624" s="229"/>
      <c r="E624" s="229"/>
      <c r="F624" s="229"/>
      <c r="G624" s="229"/>
      <c r="H624" s="229"/>
      <c r="I624" s="229"/>
      <c r="J624" s="59" t="s">
        <v>3396</v>
      </c>
      <c r="K624" s="1">
        <v>8950000</v>
      </c>
      <c r="L624" s="2">
        <v>45646</v>
      </c>
      <c r="M624" s="32"/>
      <c r="N624" s="32">
        <v>3017830739</v>
      </c>
      <c r="O624" s="51" t="s">
        <v>6034</v>
      </c>
      <c r="P624" s="38" t="s">
        <v>6035</v>
      </c>
    </row>
    <row r="625" spans="2:16" x14ac:dyDescent="0.25">
      <c r="B625" s="32">
        <v>614</v>
      </c>
      <c r="C625" s="271" t="s">
        <v>6036</v>
      </c>
      <c r="D625" s="272"/>
      <c r="E625" s="272"/>
      <c r="F625" s="272"/>
      <c r="G625" s="272"/>
      <c r="H625" s="272"/>
      <c r="I625" s="272"/>
      <c r="J625" s="59" t="s">
        <v>4390</v>
      </c>
      <c r="K625" s="1">
        <v>10980000</v>
      </c>
      <c r="L625" s="2">
        <v>45652</v>
      </c>
      <c r="M625" s="32"/>
      <c r="N625" s="32">
        <v>3113391008</v>
      </c>
      <c r="O625" s="103" t="s">
        <v>372</v>
      </c>
      <c r="P625" s="52" t="s">
        <v>2561</v>
      </c>
    </row>
    <row r="626" spans="2:16" x14ac:dyDescent="0.25">
      <c r="B626" s="32">
        <v>615</v>
      </c>
      <c r="C626" s="229" t="s">
        <v>6037</v>
      </c>
      <c r="D626" s="229"/>
      <c r="E626" s="229"/>
      <c r="F626" s="229"/>
      <c r="G626" s="229"/>
      <c r="H626" s="229"/>
      <c r="I626" s="229"/>
      <c r="J626" s="59" t="s">
        <v>4390</v>
      </c>
      <c r="K626" s="1">
        <v>9980000</v>
      </c>
      <c r="L626" s="2">
        <v>45652</v>
      </c>
      <c r="M626" s="32"/>
      <c r="N626" s="32">
        <v>3113391008</v>
      </c>
      <c r="O626" s="103" t="s">
        <v>372</v>
      </c>
      <c r="P626" s="52" t="s">
        <v>2561</v>
      </c>
    </row>
    <row r="627" spans="2:16" x14ac:dyDescent="0.25">
      <c r="B627" s="32"/>
      <c r="C627" s="229"/>
      <c r="D627" s="229"/>
      <c r="E627" s="229"/>
      <c r="F627" s="229"/>
      <c r="G627" s="229"/>
      <c r="H627" s="229"/>
      <c r="I627" s="229"/>
      <c r="J627" s="59"/>
      <c r="K627" s="1"/>
      <c r="L627" s="32"/>
      <c r="M627" s="32"/>
      <c r="N627" s="32"/>
      <c r="O627" s="51"/>
      <c r="P627" s="51"/>
    </row>
    <row r="628" spans="2:16" x14ac:dyDescent="0.25">
      <c r="B628" s="32"/>
      <c r="C628" s="229"/>
      <c r="D628" s="229"/>
      <c r="E628" s="229"/>
      <c r="F628" s="229"/>
      <c r="G628" s="229"/>
      <c r="H628" s="229"/>
      <c r="I628" s="229"/>
      <c r="J628" s="59"/>
      <c r="K628" s="1"/>
      <c r="L628" s="32"/>
      <c r="M628" s="32"/>
      <c r="N628" s="32"/>
      <c r="O628" s="51"/>
      <c r="P628" s="51"/>
    </row>
    <row r="629" spans="2:16" x14ac:dyDescent="0.25">
      <c r="B629" s="32"/>
      <c r="C629" s="229"/>
      <c r="D629" s="229"/>
      <c r="E629" s="229"/>
      <c r="F629" s="229"/>
      <c r="G629" s="229"/>
      <c r="H629" s="229"/>
      <c r="I629" s="229"/>
      <c r="J629" s="59"/>
      <c r="K629" s="1"/>
      <c r="L629" s="32"/>
      <c r="M629" s="32"/>
      <c r="N629" s="32"/>
      <c r="O629" s="51"/>
      <c r="P629" s="51"/>
    </row>
    <row r="630" spans="2:16" x14ac:dyDescent="0.25">
      <c r="B630" s="32"/>
      <c r="C630" s="229"/>
      <c r="D630" s="229"/>
      <c r="E630" s="229"/>
      <c r="F630" s="229"/>
      <c r="G630" s="229"/>
      <c r="H630" s="229"/>
      <c r="I630" s="229"/>
      <c r="J630" s="59"/>
      <c r="K630" s="1"/>
      <c r="L630" s="32"/>
      <c r="M630" s="32"/>
      <c r="N630" s="32"/>
      <c r="O630" s="51"/>
      <c r="P630" s="51"/>
    </row>
    <row r="631" spans="2:16" x14ac:dyDescent="0.25">
      <c r="B631" s="32"/>
      <c r="C631" s="229"/>
      <c r="D631" s="229"/>
      <c r="E631" s="229"/>
      <c r="F631" s="229"/>
      <c r="G631" s="229"/>
      <c r="H631" s="229"/>
      <c r="I631" s="229"/>
      <c r="J631" s="59"/>
      <c r="K631" s="1"/>
      <c r="L631" s="32"/>
      <c r="M631" s="32"/>
      <c r="N631" s="32"/>
      <c r="O631" s="51"/>
      <c r="P631" s="51"/>
    </row>
    <row r="632" spans="2:16" x14ac:dyDescent="0.25">
      <c r="B632" s="32"/>
      <c r="C632" s="229"/>
      <c r="D632" s="229"/>
      <c r="E632" s="229"/>
      <c r="F632" s="229"/>
      <c r="G632" s="229"/>
      <c r="H632" s="229"/>
      <c r="I632" s="229"/>
      <c r="J632" s="59"/>
      <c r="K632" s="1"/>
      <c r="L632" s="32"/>
      <c r="M632" s="32"/>
      <c r="N632" s="32"/>
      <c r="O632" s="51"/>
      <c r="P632" s="51"/>
    </row>
    <row r="633" spans="2:16" x14ac:dyDescent="0.25">
      <c r="B633" s="32"/>
      <c r="C633" s="229"/>
      <c r="D633" s="229"/>
      <c r="E633" s="229"/>
      <c r="F633" s="229"/>
      <c r="G633" s="229"/>
      <c r="H633" s="229"/>
      <c r="I633" s="229"/>
      <c r="J633" s="59"/>
      <c r="K633" s="1"/>
      <c r="L633" s="32"/>
      <c r="M633" s="32"/>
      <c r="N633" s="32"/>
      <c r="O633" s="51"/>
      <c r="P633" s="51"/>
    </row>
    <row r="634" spans="2:16" x14ac:dyDescent="0.25">
      <c r="B634" s="32"/>
      <c r="C634" s="229"/>
      <c r="D634" s="229"/>
      <c r="E634" s="229"/>
      <c r="F634" s="229"/>
      <c r="G634" s="229"/>
      <c r="H634" s="229"/>
      <c r="I634" s="229"/>
      <c r="J634" s="59"/>
      <c r="K634" s="1"/>
      <c r="L634" s="32"/>
      <c r="M634" s="32"/>
      <c r="N634" s="32"/>
      <c r="O634" s="51"/>
      <c r="P634" s="51"/>
    </row>
    <row r="635" spans="2:16" x14ac:dyDescent="0.25">
      <c r="B635" s="32"/>
      <c r="C635" s="229"/>
      <c r="D635" s="229"/>
      <c r="E635" s="229"/>
      <c r="F635" s="229"/>
      <c r="G635" s="229"/>
      <c r="H635" s="229"/>
      <c r="I635" s="229"/>
      <c r="J635" s="59"/>
      <c r="K635" s="1"/>
      <c r="L635" s="32"/>
      <c r="M635" s="32"/>
      <c r="N635" s="32"/>
      <c r="O635" s="51"/>
      <c r="P635" s="51"/>
    </row>
    <row r="636" spans="2:16" x14ac:dyDescent="0.25">
      <c r="B636" s="32"/>
      <c r="C636" s="229"/>
      <c r="D636" s="229"/>
      <c r="E636" s="229"/>
      <c r="F636" s="229"/>
      <c r="G636" s="229"/>
      <c r="H636" s="229"/>
      <c r="I636" s="229"/>
      <c r="J636" s="59"/>
      <c r="K636" s="1"/>
      <c r="L636" s="32"/>
      <c r="M636" s="32"/>
      <c r="N636" s="32"/>
      <c r="O636" s="51"/>
      <c r="P636" s="51"/>
    </row>
    <row r="637" spans="2:16" x14ac:dyDescent="0.25">
      <c r="B637" s="32"/>
      <c r="C637" s="229"/>
      <c r="D637" s="229"/>
      <c r="E637" s="229"/>
      <c r="F637" s="229"/>
      <c r="G637" s="229"/>
      <c r="H637" s="229"/>
      <c r="I637" s="229"/>
      <c r="J637" s="59"/>
      <c r="K637" s="1"/>
      <c r="L637" s="32"/>
      <c r="M637" s="32"/>
      <c r="N637" s="32"/>
      <c r="O637" s="51"/>
      <c r="P637" s="51"/>
    </row>
    <row r="638" spans="2:16" x14ac:dyDescent="0.25">
      <c r="B638" s="32"/>
      <c r="C638" s="229"/>
      <c r="D638" s="229"/>
      <c r="E638" s="229"/>
      <c r="F638" s="229"/>
      <c r="G638" s="229"/>
      <c r="H638" s="229"/>
      <c r="I638" s="229"/>
      <c r="J638" s="59"/>
      <c r="K638" s="1"/>
      <c r="L638" s="32"/>
      <c r="M638" s="32"/>
      <c r="N638" s="32"/>
      <c r="O638" s="51"/>
      <c r="P638" s="51"/>
    </row>
    <row r="639" spans="2:16" x14ac:dyDescent="0.25">
      <c r="B639" s="32"/>
      <c r="C639" s="229"/>
      <c r="D639" s="229"/>
      <c r="E639" s="229"/>
      <c r="F639" s="229"/>
      <c r="G639" s="229"/>
      <c r="H639" s="229"/>
      <c r="I639" s="229"/>
      <c r="J639" s="59"/>
      <c r="K639" s="1"/>
      <c r="L639" s="32"/>
      <c r="M639" s="32"/>
      <c r="N639" s="32"/>
      <c r="O639" s="51"/>
      <c r="P639" s="51"/>
    </row>
    <row r="640" spans="2:16" x14ac:dyDescent="0.25">
      <c r="B640" s="32"/>
      <c r="C640" s="229"/>
      <c r="D640" s="229"/>
      <c r="E640" s="229"/>
      <c r="F640" s="229"/>
      <c r="G640" s="229"/>
      <c r="H640" s="229"/>
      <c r="I640" s="229"/>
      <c r="J640" s="59"/>
      <c r="K640" s="1"/>
      <c r="L640" s="32"/>
      <c r="M640" s="32"/>
      <c r="N640" s="32"/>
      <c r="O640" s="51"/>
      <c r="P640" s="51"/>
    </row>
    <row r="641" spans="2:16" x14ac:dyDescent="0.25">
      <c r="B641" s="32"/>
      <c r="C641" s="229"/>
      <c r="D641" s="229"/>
      <c r="E641" s="229"/>
      <c r="F641" s="229"/>
      <c r="G641" s="229"/>
      <c r="H641" s="229"/>
      <c r="I641" s="229"/>
      <c r="J641" s="59"/>
      <c r="K641" s="1"/>
      <c r="L641" s="32"/>
      <c r="M641" s="32"/>
      <c r="N641" s="32"/>
      <c r="O641" s="51"/>
      <c r="P641" s="51"/>
    </row>
    <row r="642" spans="2:16" x14ac:dyDescent="0.25">
      <c r="B642" s="32"/>
      <c r="C642" s="229"/>
      <c r="D642" s="229"/>
      <c r="E642" s="229"/>
      <c r="F642" s="229"/>
      <c r="G642" s="229"/>
      <c r="H642" s="229"/>
      <c r="I642" s="229"/>
      <c r="J642" s="59"/>
      <c r="K642" s="1"/>
      <c r="L642" s="32"/>
      <c r="M642" s="32"/>
      <c r="N642" s="32"/>
      <c r="O642" s="51"/>
      <c r="P642" s="51"/>
    </row>
    <row r="643" spans="2:16" x14ac:dyDescent="0.25">
      <c r="B643" s="32"/>
      <c r="C643" s="229"/>
      <c r="D643" s="229"/>
      <c r="E643" s="229"/>
      <c r="F643" s="229"/>
      <c r="G643" s="229"/>
      <c r="H643" s="229"/>
      <c r="I643" s="229"/>
      <c r="J643" s="59"/>
      <c r="K643" s="1"/>
      <c r="L643" s="32"/>
      <c r="M643" s="32"/>
      <c r="N643" s="32"/>
      <c r="O643" s="51"/>
      <c r="P643" s="51"/>
    </row>
    <row r="644" spans="2:16" x14ac:dyDescent="0.25">
      <c r="B644" s="32"/>
      <c r="C644" s="229"/>
      <c r="D644" s="229"/>
      <c r="E644" s="229"/>
      <c r="F644" s="229"/>
      <c r="G644" s="229"/>
      <c r="H644" s="229"/>
      <c r="I644" s="229"/>
      <c r="J644" s="59"/>
      <c r="K644" s="1"/>
      <c r="L644" s="32"/>
      <c r="M644" s="32"/>
      <c r="N644" s="32"/>
      <c r="O644" s="51"/>
      <c r="P644" s="51"/>
    </row>
    <row r="645" spans="2:16" x14ac:dyDescent="0.25">
      <c r="B645" s="32"/>
      <c r="C645" s="229"/>
      <c r="D645" s="229"/>
      <c r="E645" s="229"/>
      <c r="F645" s="229"/>
      <c r="G645" s="229"/>
      <c r="H645" s="229"/>
      <c r="I645" s="229"/>
      <c r="J645" s="59"/>
      <c r="K645" s="1"/>
      <c r="L645" s="32"/>
      <c r="M645" s="32"/>
      <c r="N645" s="32"/>
      <c r="O645" s="51"/>
      <c r="P645" s="51"/>
    </row>
    <row r="646" spans="2:16" x14ac:dyDescent="0.25">
      <c r="B646" s="32"/>
      <c r="C646" s="229"/>
      <c r="D646" s="229"/>
      <c r="E646" s="229"/>
      <c r="F646" s="229"/>
      <c r="G646" s="229"/>
      <c r="H646" s="229"/>
      <c r="I646" s="229"/>
      <c r="J646" s="59"/>
      <c r="K646" s="1"/>
      <c r="L646" s="32"/>
      <c r="M646" s="32"/>
      <c r="N646" s="32"/>
      <c r="O646" s="51"/>
      <c r="P646" s="51"/>
    </row>
    <row r="647" spans="2:16" x14ac:dyDescent="0.25">
      <c r="B647" s="32"/>
      <c r="C647" s="229"/>
      <c r="D647" s="229"/>
      <c r="E647" s="229"/>
      <c r="F647" s="229"/>
      <c r="G647" s="229"/>
      <c r="H647" s="229"/>
      <c r="I647" s="229"/>
      <c r="J647" s="59"/>
      <c r="K647" s="1"/>
      <c r="L647" s="32"/>
      <c r="M647" s="32"/>
      <c r="N647" s="32"/>
      <c r="O647" s="51"/>
      <c r="P647" s="51"/>
    </row>
    <row r="648" spans="2:16" x14ac:dyDescent="0.25">
      <c r="B648" s="32"/>
      <c r="C648" s="229"/>
      <c r="D648" s="229"/>
      <c r="E648" s="229"/>
      <c r="F648" s="229"/>
      <c r="G648" s="229"/>
      <c r="H648" s="229"/>
      <c r="I648" s="229"/>
      <c r="J648" s="59"/>
      <c r="K648" s="1"/>
      <c r="L648" s="32"/>
      <c r="M648" s="32"/>
      <c r="N648" s="32"/>
      <c r="O648" s="51"/>
      <c r="P648" s="51"/>
    </row>
    <row r="649" spans="2:16" x14ac:dyDescent="0.25">
      <c r="B649" s="32"/>
      <c r="C649" s="229"/>
      <c r="D649" s="229"/>
      <c r="E649" s="229"/>
      <c r="F649" s="229"/>
      <c r="G649" s="229"/>
      <c r="H649" s="229"/>
      <c r="I649" s="229"/>
      <c r="J649" s="59"/>
      <c r="K649" s="1"/>
      <c r="L649" s="32"/>
      <c r="M649" s="32"/>
      <c r="N649" s="32"/>
      <c r="O649" s="51"/>
      <c r="P649" s="51"/>
    </row>
    <row r="650" spans="2:16" x14ac:dyDescent="0.25">
      <c r="B650" s="32"/>
      <c r="C650" s="229"/>
      <c r="D650" s="229"/>
      <c r="E650" s="229"/>
      <c r="F650" s="229"/>
      <c r="G650" s="229"/>
      <c r="H650" s="229"/>
      <c r="I650" s="229"/>
      <c r="J650" s="59"/>
      <c r="K650" s="1"/>
      <c r="L650" s="32"/>
      <c r="M650" s="32"/>
      <c r="N650" s="32"/>
      <c r="O650" s="51"/>
      <c r="P650" s="51"/>
    </row>
    <row r="651" spans="2:16" x14ac:dyDescent="0.25">
      <c r="B651" s="32"/>
      <c r="C651" s="229"/>
      <c r="D651" s="229"/>
      <c r="E651" s="229"/>
      <c r="F651" s="229"/>
      <c r="G651" s="229"/>
      <c r="H651" s="229"/>
      <c r="I651" s="229"/>
      <c r="J651" s="59"/>
      <c r="K651" s="1"/>
      <c r="L651" s="32"/>
      <c r="M651" s="32"/>
      <c r="N651" s="32"/>
      <c r="O651" s="51"/>
      <c r="P651" s="51"/>
    </row>
    <row r="652" spans="2:16" x14ac:dyDescent="0.25">
      <c r="B652" s="32"/>
      <c r="C652" s="229"/>
      <c r="D652" s="229"/>
      <c r="E652" s="229"/>
      <c r="F652" s="229"/>
      <c r="G652" s="229"/>
      <c r="H652" s="229"/>
      <c r="I652" s="229"/>
      <c r="J652" s="59"/>
      <c r="K652" s="1"/>
      <c r="L652" s="32"/>
      <c r="M652" s="32"/>
      <c r="N652" s="32"/>
      <c r="O652" s="51"/>
      <c r="P652" s="51"/>
    </row>
    <row r="653" spans="2:16" x14ac:dyDescent="0.25">
      <c r="B653" s="32"/>
      <c r="C653" s="229"/>
      <c r="D653" s="229"/>
      <c r="E653" s="229"/>
      <c r="F653" s="229"/>
      <c r="G653" s="229"/>
      <c r="H653" s="229"/>
      <c r="I653" s="229"/>
      <c r="J653" s="59"/>
      <c r="K653" s="1"/>
      <c r="L653" s="32"/>
      <c r="M653" s="32"/>
      <c r="N653" s="32"/>
      <c r="O653" s="51"/>
      <c r="P653" s="51"/>
    </row>
    <row r="654" spans="2:16" x14ac:dyDescent="0.25">
      <c r="B654" s="32"/>
      <c r="C654" s="229"/>
      <c r="D654" s="229"/>
      <c r="E654" s="229"/>
      <c r="F654" s="229"/>
      <c r="G654" s="229"/>
      <c r="H654" s="229"/>
      <c r="I654" s="229"/>
      <c r="J654" s="59"/>
      <c r="K654" s="1"/>
      <c r="L654" s="32"/>
      <c r="M654" s="32"/>
      <c r="N654" s="32"/>
      <c r="O654" s="51"/>
      <c r="P654" s="51"/>
    </row>
    <row r="655" spans="2:16" x14ac:dyDescent="0.25">
      <c r="B655" s="32"/>
      <c r="C655" s="229"/>
      <c r="D655" s="229"/>
      <c r="E655" s="229"/>
      <c r="F655" s="229"/>
      <c r="G655" s="229"/>
      <c r="H655" s="229"/>
      <c r="I655" s="229"/>
      <c r="J655" s="59"/>
      <c r="K655" s="1"/>
      <c r="L655" s="32"/>
      <c r="M655" s="32"/>
      <c r="N655" s="32"/>
      <c r="O655" s="51"/>
      <c r="P655" s="51"/>
    </row>
    <row r="656" spans="2:16" x14ac:dyDescent="0.25">
      <c r="B656" s="32"/>
      <c r="C656" s="229"/>
      <c r="D656" s="229"/>
      <c r="E656" s="229"/>
      <c r="F656" s="229"/>
      <c r="G656" s="229"/>
      <c r="H656" s="229"/>
      <c r="I656" s="229"/>
      <c r="J656" s="59"/>
      <c r="K656" s="1"/>
      <c r="L656" s="32"/>
      <c r="M656" s="32"/>
      <c r="N656" s="32"/>
      <c r="O656" s="51"/>
      <c r="P656" s="51"/>
    </row>
    <row r="657" spans="2:16" x14ac:dyDescent="0.25">
      <c r="B657" s="32"/>
      <c r="C657" s="229"/>
      <c r="D657" s="229"/>
      <c r="E657" s="229"/>
      <c r="F657" s="229"/>
      <c r="G657" s="229"/>
      <c r="H657" s="229"/>
      <c r="I657" s="229"/>
      <c r="J657" s="59"/>
      <c r="K657" s="1"/>
      <c r="L657" s="32"/>
      <c r="M657" s="32"/>
      <c r="N657" s="32"/>
      <c r="O657" s="51"/>
      <c r="P657" s="51"/>
    </row>
    <row r="658" spans="2:16" x14ac:dyDescent="0.25">
      <c r="B658" s="32"/>
      <c r="C658" s="229"/>
      <c r="D658" s="229"/>
      <c r="E658" s="229"/>
      <c r="F658" s="229"/>
      <c r="G658" s="229"/>
      <c r="H658" s="229"/>
      <c r="I658" s="229"/>
      <c r="J658" s="59"/>
      <c r="K658" s="1"/>
      <c r="L658" s="32"/>
      <c r="M658" s="32"/>
      <c r="N658" s="32"/>
      <c r="O658" s="51"/>
      <c r="P658" s="51"/>
    </row>
    <row r="659" spans="2:16" x14ac:dyDescent="0.25">
      <c r="B659" s="32"/>
      <c r="C659" s="229"/>
      <c r="D659" s="229"/>
      <c r="E659" s="229"/>
      <c r="F659" s="229"/>
      <c r="G659" s="229"/>
      <c r="H659" s="229"/>
      <c r="I659" s="229"/>
      <c r="J659" s="59"/>
      <c r="K659" s="1"/>
      <c r="L659" s="32"/>
      <c r="M659" s="32"/>
      <c r="N659" s="32"/>
      <c r="O659" s="51"/>
      <c r="P659" s="51"/>
    </row>
    <row r="660" spans="2:16" x14ac:dyDescent="0.25">
      <c r="B660" s="32"/>
      <c r="C660" s="229"/>
      <c r="D660" s="229"/>
      <c r="E660" s="229"/>
      <c r="F660" s="229"/>
      <c r="G660" s="229"/>
      <c r="H660" s="229"/>
      <c r="I660" s="229"/>
      <c r="J660" s="59"/>
      <c r="K660" s="1"/>
      <c r="L660" s="32"/>
      <c r="M660" s="32"/>
      <c r="N660" s="32"/>
      <c r="O660" s="51"/>
      <c r="P660" s="51"/>
    </row>
    <row r="661" spans="2:16" x14ac:dyDescent="0.25">
      <c r="B661" s="32"/>
      <c r="C661" s="229"/>
      <c r="D661" s="229"/>
      <c r="E661" s="229"/>
      <c r="F661" s="229"/>
      <c r="G661" s="229"/>
      <c r="H661" s="229"/>
      <c r="I661" s="229"/>
      <c r="J661" s="59"/>
      <c r="K661" s="1"/>
      <c r="L661" s="32"/>
      <c r="M661" s="32"/>
      <c r="N661" s="32"/>
      <c r="O661" s="51"/>
      <c r="P661" s="51"/>
    </row>
    <row r="662" spans="2:16" x14ac:dyDescent="0.25">
      <c r="B662" s="32"/>
      <c r="C662" s="229"/>
      <c r="D662" s="229"/>
      <c r="E662" s="229"/>
      <c r="F662" s="229"/>
      <c r="G662" s="229"/>
      <c r="H662" s="229"/>
      <c r="I662" s="229"/>
      <c r="J662" s="59"/>
      <c r="K662" s="1"/>
      <c r="L662" s="32"/>
      <c r="M662" s="32"/>
      <c r="N662" s="32"/>
      <c r="O662" s="51"/>
      <c r="P662" s="51"/>
    </row>
    <row r="663" spans="2:16" x14ac:dyDescent="0.25">
      <c r="B663" s="32"/>
      <c r="C663" s="229"/>
      <c r="D663" s="229"/>
      <c r="E663" s="229"/>
      <c r="F663" s="229"/>
      <c r="G663" s="229"/>
      <c r="H663" s="229"/>
      <c r="I663" s="229"/>
      <c r="J663" s="59"/>
      <c r="K663" s="1"/>
      <c r="L663" s="32"/>
      <c r="M663" s="32"/>
      <c r="N663" s="32"/>
      <c r="O663" s="51"/>
      <c r="P663" s="51"/>
    </row>
    <row r="664" spans="2:16" x14ac:dyDescent="0.25">
      <c r="B664" s="32"/>
      <c r="C664" s="229"/>
      <c r="D664" s="229"/>
      <c r="E664" s="229"/>
      <c r="F664" s="229"/>
      <c r="G664" s="229"/>
      <c r="H664" s="229"/>
      <c r="I664" s="229"/>
      <c r="J664" s="59"/>
      <c r="K664" s="1"/>
      <c r="L664" s="32"/>
      <c r="M664" s="32"/>
      <c r="N664" s="32"/>
      <c r="O664" s="51"/>
      <c r="P664" s="51"/>
    </row>
    <row r="665" spans="2:16" x14ac:dyDescent="0.25">
      <c r="B665" s="32"/>
      <c r="C665" s="229"/>
      <c r="D665" s="229"/>
      <c r="E665" s="229"/>
      <c r="F665" s="229"/>
      <c r="G665" s="229"/>
      <c r="H665" s="229"/>
      <c r="I665" s="229"/>
      <c r="J665" s="59"/>
      <c r="K665" s="1"/>
      <c r="L665" s="32"/>
      <c r="M665" s="32"/>
      <c r="N665" s="32"/>
      <c r="O665" s="51"/>
      <c r="P665" s="51"/>
    </row>
    <row r="666" spans="2:16" x14ac:dyDescent="0.25">
      <c r="B666" s="32"/>
      <c r="C666" s="229"/>
      <c r="D666" s="229"/>
      <c r="E666" s="229"/>
      <c r="F666" s="229"/>
      <c r="G666" s="229"/>
      <c r="H666" s="229"/>
      <c r="I666" s="229"/>
      <c r="J666" s="59"/>
      <c r="K666" s="1"/>
      <c r="L666" s="32"/>
      <c r="M666" s="32"/>
      <c r="N666" s="32"/>
      <c r="O666" s="51"/>
      <c r="P666" s="51"/>
    </row>
    <row r="667" spans="2:16" x14ac:dyDescent="0.25">
      <c r="B667" s="32"/>
      <c r="C667" s="229"/>
      <c r="D667" s="229"/>
      <c r="E667" s="229"/>
      <c r="F667" s="229"/>
      <c r="G667" s="229"/>
      <c r="H667" s="229"/>
      <c r="I667" s="229"/>
      <c r="J667" s="59"/>
      <c r="K667" s="1"/>
      <c r="L667" s="32"/>
      <c r="M667" s="32"/>
      <c r="N667" s="32"/>
      <c r="O667" s="51"/>
      <c r="P667" s="51"/>
    </row>
    <row r="668" spans="2:16" x14ac:dyDescent="0.25">
      <c r="B668" s="32"/>
      <c r="C668" s="229"/>
      <c r="D668" s="229"/>
      <c r="E668" s="229"/>
      <c r="F668" s="229"/>
      <c r="G668" s="229"/>
      <c r="H668" s="229"/>
      <c r="I668" s="229"/>
      <c r="J668" s="59"/>
      <c r="K668" s="1"/>
      <c r="L668" s="32"/>
      <c r="M668" s="32"/>
      <c r="N668" s="32"/>
      <c r="O668" s="51"/>
      <c r="P668" s="51"/>
    </row>
    <row r="669" spans="2:16" x14ac:dyDescent="0.25">
      <c r="B669" s="32"/>
      <c r="C669" s="229"/>
      <c r="D669" s="229"/>
      <c r="E669" s="229"/>
      <c r="F669" s="229"/>
      <c r="G669" s="229"/>
      <c r="H669" s="229"/>
      <c r="I669" s="229"/>
      <c r="J669" s="59"/>
      <c r="K669" s="1"/>
      <c r="L669" s="32"/>
      <c r="M669" s="32"/>
      <c r="N669" s="32"/>
      <c r="O669" s="51"/>
      <c r="P669" s="51"/>
    </row>
    <row r="670" spans="2:16" x14ac:dyDescent="0.25">
      <c r="B670" s="32"/>
      <c r="C670" s="229"/>
      <c r="D670" s="229"/>
      <c r="E670" s="229"/>
      <c r="F670" s="229"/>
      <c r="G670" s="229"/>
      <c r="H670" s="229"/>
      <c r="I670" s="229"/>
      <c r="J670" s="59"/>
      <c r="K670" s="1"/>
      <c r="L670" s="32"/>
      <c r="M670" s="32"/>
      <c r="N670" s="32"/>
      <c r="O670" s="51"/>
      <c r="P670" s="51"/>
    </row>
    <row r="671" spans="2:16" x14ac:dyDescent="0.25">
      <c r="B671" s="32"/>
      <c r="C671" s="229"/>
      <c r="D671" s="229"/>
      <c r="E671" s="229"/>
      <c r="F671" s="229"/>
      <c r="G671" s="229"/>
      <c r="H671" s="229"/>
      <c r="I671" s="229"/>
      <c r="J671" s="59"/>
      <c r="K671" s="1"/>
      <c r="L671" s="32"/>
      <c r="M671" s="32"/>
      <c r="N671" s="32"/>
      <c r="O671" s="51"/>
      <c r="P671" s="51"/>
    </row>
    <row r="672" spans="2:16" x14ac:dyDescent="0.25">
      <c r="B672" s="32"/>
      <c r="C672" s="229"/>
      <c r="D672" s="229"/>
      <c r="E672" s="229"/>
      <c r="F672" s="229"/>
      <c r="G672" s="229"/>
      <c r="H672" s="229"/>
      <c r="I672" s="229"/>
      <c r="J672" s="59"/>
      <c r="K672" s="1"/>
      <c r="L672" s="32"/>
      <c r="M672" s="32"/>
      <c r="N672" s="32"/>
      <c r="O672" s="51"/>
      <c r="P672" s="51"/>
    </row>
    <row r="673" spans="2:16" x14ac:dyDescent="0.25">
      <c r="B673" s="32"/>
      <c r="C673" s="229"/>
      <c r="D673" s="229"/>
      <c r="E673" s="229"/>
      <c r="F673" s="229"/>
      <c r="G673" s="229"/>
      <c r="H673" s="229"/>
      <c r="I673" s="229"/>
      <c r="J673" s="59"/>
      <c r="K673" s="1"/>
      <c r="L673" s="32"/>
      <c r="M673" s="32"/>
      <c r="N673" s="32"/>
      <c r="O673" s="51"/>
      <c r="P673" s="51"/>
    </row>
    <row r="674" spans="2:16" x14ac:dyDescent="0.25">
      <c r="B674" s="32"/>
      <c r="C674" s="229"/>
      <c r="D674" s="229"/>
      <c r="E674" s="229"/>
      <c r="F674" s="229"/>
      <c r="G674" s="229"/>
      <c r="H674" s="229"/>
      <c r="I674" s="229"/>
      <c r="J674" s="59"/>
      <c r="K674" s="1"/>
      <c r="L674" s="32"/>
      <c r="M674" s="32"/>
      <c r="N674" s="32"/>
      <c r="O674" s="51"/>
      <c r="P674" s="51"/>
    </row>
    <row r="675" spans="2:16" x14ac:dyDescent="0.25">
      <c r="B675" s="32"/>
      <c r="C675" s="229"/>
      <c r="D675" s="229"/>
      <c r="E675" s="229"/>
      <c r="F675" s="229"/>
      <c r="G675" s="229"/>
      <c r="H675" s="229"/>
      <c r="I675" s="229"/>
      <c r="J675" s="59"/>
      <c r="K675" s="1"/>
      <c r="L675" s="32"/>
      <c r="M675" s="32"/>
      <c r="N675" s="32"/>
      <c r="O675" s="51"/>
      <c r="P675" s="51"/>
    </row>
    <row r="676" spans="2:16" x14ac:dyDescent="0.25">
      <c r="B676" s="32"/>
      <c r="C676" s="229"/>
      <c r="D676" s="229"/>
      <c r="E676" s="229"/>
      <c r="F676" s="229"/>
      <c r="G676" s="229"/>
      <c r="H676" s="229"/>
      <c r="I676" s="229"/>
      <c r="J676" s="59"/>
      <c r="K676" s="1"/>
      <c r="L676" s="32"/>
      <c r="M676" s="32"/>
      <c r="N676" s="32"/>
      <c r="O676" s="51"/>
      <c r="P676" s="51"/>
    </row>
    <row r="677" spans="2:16" x14ac:dyDescent="0.25">
      <c r="B677" s="32"/>
      <c r="C677" s="229"/>
      <c r="D677" s="229"/>
      <c r="E677" s="229"/>
      <c r="F677" s="229"/>
      <c r="G677" s="229"/>
      <c r="H677" s="229"/>
      <c r="I677" s="229"/>
      <c r="J677" s="59"/>
      <c r="K677" s="1"/>
      <c r="L677" s="32"/>
      <c r="M677" s="32"/>
      <c r="N677" s="32"/>
      <c r="O677" s="51"/>
      <c r="P677" s="51"/>
    </row>
    <row r="678" spans="2:16" x14ac:dyDescent="0.25">
      <c r="B678" s="32"/>
      <c r="C678" s="229"/>
      <c r="D678" s="229"/>
      <c r="E678" s="229"/>
      <c r="F678" s="229"/>
      <c r="G678" s="229"/>
      <c r="H678" s="229"/>
      <c r="I678" s="229"/>
      <c r="J678" s="59"/>
      <c r="K678" s="1"/>
      <c r="L678" s="32"/>
      <c r="M678" s="32"/>
      <c r="N678" s="32"/>
      <c r="O678" s="51"/>
      <c r="P678" s="51"/>
    </row>
    <row r="679" spans="2:16" x14ac:dyDescent="0.25">
      <c r="B679" s="32"/>
      <c r="C679" s="229"/>
      <c r="D679" s="229"/>
      <c r="E679" s="229"/>
      <c r="F679" s="229"/>
      <c r="G679" s="229"/>
      <c r="H679" s="229"/>
      <c r="I679" s="229"/>
      <c r="J679" s="59"/>
      <c r="K679" s="1"/>
      <c r="L679" s="32"/>
      <c r="M679" s="32"/>
      <c r="N679" s="32"/>
      <c r="O679" s="51"/>
      <c r="P679" s="51"/>
    </row>
    <row r="680" spans="2:16" x14ac:dyDescent="0.25">
      <c r="B680" s="32"/>
      <c r="C680" s="229"/>
      <c r="D680" s="229"/>
      <c r="E680" s="229"/>
      <c r="F680" s="229"/>
      <c r="G680" s="229"/>
      <c r="H680" s="229"/>
      <c r="I680" s="229"/>
      <c r="J680" s="59"/>
      <c r="K680" s="1"/>
      <c r="L680" s="32"/>
      <c r="M680" s="32"/>
      <c r="N680" s="32"/>
      <c r="O680" s="51"/>
      <c r="P680" s="51"/>
    </row>
    <row r="681" spans="2:16" x14ac:dyDescent="0.25">
      <c r="B681" s="32"/>
      <c r="C681" s="229"/>
      <c r="D681" s="229"/>
      <c r="E681" s="229"/>
      <c r="F681" s="229"/>
      <c r="G681" s="229"/>
      <c r="H681" s="229"/>
      <c r="I681" s="229"/>
      <c r="J681" s="59"/>
      <c r="K681" s="1"/>
      <c r="L681" s="32"/>
      <c r="M681" s="32"/>
      <c r="N681" s="32"/>
      <c r="O681" s="51"/>
      <c r="P681" s="51"/>
    </row>
    <row r="682" spans="2:16" x14ac:dyDescent="0.25">
      <c r="B682" s="32"/>
      <c r="C682" s="229"/>
      <c r="D682" s="229"/>
      <c r="E682" s="229"/>
      <c r="F682" s="229"/>
      <c r="G682" s="229"/>
      <c r="H682" s="229"/>
      <c r="I682" s="229"/>
      <c r="J682" s="59"/>
      <c r="K682" s="1"/>
      <c r="L682" s="32"/>
      <c r="M682" s="32"/>
      <c r="N682" s="32"/>
      <c r="O682" s="51"/>
      <c r="P682" s="51"/>
    </row>
    <row r="683" spans="2:16" x14ac:dyDescent="0.25">
      <c r="B683" s="32"/>
      <c r="C683" s="229"/>
      <c r="D683" s="229"/>
      <c r="E683" s="229"/>
      <c r="F683" s="229"/>
      <c r="G683" s="229"/>
      <c r="H683" s="229"/>
      <c r="I683" s="229"/>
      <c r="J683" s="59"/>
      <c r="K683" s="1"/>
      <c r="L683" s="32"/>
      <c r="M683" s="32"/>
      <c r="N683" s="32"/>
      <c r="O683" s="51"/>
      <c r="P683" s="51"/>
    </row>
    <row r="684" spans="2:16" x14ac:dyDescent="0.25">
      <c r="B684" s="32"/>
      <c r="C684" s="229"/>
      <c r="D684" s="229"/>
      <c r="E684" s="229"/>
      <c r="F684" s="229"/>
      <c r="G684" s="229"/>
      <c r="H684" s="229"/>
      <c r="I684" s="229"/>
      <c r="J684" s="59"/>
      <c r="K684" s="1"/>
      <c r="L684" s="32"/>
      <c r="M684" s="32"/>
      <c r="N684" s="32"/>
      <c r="O684" s="51"/>
      <c r="P684" s="51"/>
    </row>
    <row r="685" spans="2:16" x14ac:dyDescent="0.25">
      <c r="B685" s="32"/>
      <c r="C685" s="229"/>
      <c r="D685" s="229"/>
      <c r="E685" s="229"/>
      <c r="F685" s="229"/>
      <c r="G685" s="229"/>
      <c r="H685" s="229"/>
      <c r="I685" s="229"/>
      <c r="J685" s="59"/>
      <c r="K685" s="1"/>
      <c r="L685" s="32"/>
      <c r="M685" s="32"/>
      <c r="N685" s="32"/>
      <c r="O685" s="51"/>
      <c r="P685" s="51"/>
    </row>
    <row r="686" spans="2:16" x14ac:dyDescent="0.25">
      <c r="B686" s="32"/>
      <c r="C686" s="229"/>
      <c r="D686" s="229"/>
      <c r="E686" s="229"/>
      <c r="F686" s="229"/>
      <c r="G686" s="229"/>
      <c r="H686" s="229"/>
      <c r="I686" s="229"/>
      <c r="J686" s="59"/>
      <c r="K686" s="1"/>
      <c r="L686" s="32"/>
      <c r="M686" s="32"/>
      <c r="N686" s="32"/>
      <c r="O686" s="51"/>
      <c r="P686" s="51"/>
    </row>
    <row r="687" spans="2:16" x14ac:dyDescent="0.25">
      <c r="B687" s="32"/>
      <c r="C687" s="229"/>
      <c r="D687" s="229"/>
      <c r="E687" s="229"/>
      <c r="F687" s="229"/>
      <c r="G687" s="229"/>
      <c r="H687" s="229"/>
      <c r="I687" s="229"/>
      <c r="J687" s="59"/>
      <c r="K687" s="1"/>
      <c r="L687" s="32"/>
      <c r="M687" s="32"/>
      <c r="N687" s="32"/>
      <c r="O687" s="51"/>
      <c r="P687" s="51"/>
    </row>
    <row r="688" spans="2:16" x14ac:dyDescent="0.25">
      <c r="B688" s="32"/>
      <c r="C688" s="229"/>
      <c r="D688" s="229"/>
      <c r="E688" s="229"/>
      <c r="F688" s="229"/>
      <c r="G688" s="229"/>
      <c r="H688" s="229"/>
      <c r="I688" s="229"/>
      <c r="J688" s="59"/>
      <c r="K688" s="1"/>
      <c r="L688" s="32"/>
      <c r="M688" s="32"/>
      <c r="N688" s="32"/>
      <c r="O688" s="51"/>
      <c r="P688" s="51"/>
    </row>
    <row r="689" spans="2:16" x14ac:dyDescent="0.25">
      <c r="B689" s="32"/>
      <c r="C689" s="229"/>
      <c r="D689" s="229"/>
      <c r="E689" s="229"/>
      <c r="F689" s="229"/>
      <c r="G689" s="229"/>
      <c r="H689" s="229"/>
      <c r="I689" s="229"/>
      <c r="J689" s="59"/>
      <c r="K689" s="1"/>
      <c r="L689" s="32"/>
      <c r="M689" s="32"/>
      <c r="N689" s="32"/>
      <c r="O689" s="51"/>
      <c r="P689" s="51"/>
    </row>
    <row r="690" spans="2:16" x14ac:dyDescent="0.25">
      <c r="B690" s="32"/>
      <c r="C690" s="229"/>
      <c r="D690" s="229"/>
      <c r="E690" s="229"/>
      <c r="F690" s="229"/>
      <c r="G690" s="229"/>
      <c r="H690" s="229"/>
      <c r="I690" s="229"/>
      <c r="J690" s="59"/>
      <c r="K690" s="1"/>
      <c r="L690" s="32"/>
      <c r="M690" s="32"/>
      <c r="N690" s="32"/>
      <c r="O690" s="51"/>
      <c r="P690" s="51"/>
    </row>
    <row r="691" spans="2:16" x14ac:dyDescent="0.25">
      <c r="B691" s="32"/>
      <c r="C691" s="229"/>
      <c r="D691" s="229"/>
      <c r="E691" s="229"/>
      <c r="F691" s="229"/>
      <c r="G691" s="229"/>
      <c r="H691" s="229"/>
      <c r="I691" s="229"/>
      <c r="J691" s="59"/>
      <c r="K691" s="1"/>
      <c r="L691" s="32"/>
      <c r="M691" s="32"/>
      <c r="N691" s="32"/>
      <c r="O691" s="51"/>
      <c r="P691" s="51"/>
    </row>
    <row r="692" spans="2:16" x14ac:dyDescent="0.25">
      <c r="B692" s="32"/>
      <c r="C692" s="229"/>
      <c r="D692" s="229"/>
      <c r="E692" s="229"/>
      <c r="F692" s="229"/>
      <c r="G692" s="229"/>
      <c r="H692" s="229"/>
      <c r="I692" s="229"/>
      <c r="J692" s="59"/>
      <c r="K692" s="1"/>
      <c r="L692" s="32"/>
      <c r="M692" s="32"/>
      <c r="N692" s="32"/>
      <c r="O692" s="51"/>
      <c r="P692" s="51"/>
    </row>
    <row r="693" spans="2:16" x14ac:dyDescent="0.25">
      <c r="B693" s="32"/>
      <c r="C693" s="229"/>
      <c r="D693" s="229"/>
      <c r="E693" s="229"/>
      <c r="F693" s="229"/>
      <c r="G693" s="229"/>
      <c r="H693" s="229"/>
      <c r="I693" s="229"/>
      <c r="J693" s="59"/>
      <c r="K693" s="1"/>
      <c r="L693" s="32"/>
      <c r="M693" s="32"/>
      <c r="N693" s="32"/>
      <c r="O693" s="51"/>
      <c r="P693" s="51"/>
    </row>
    <row r="694" spans="2:16" x14ac:dyDescent="0.25">
      <c r="B694" s="32"/>
      <c r="C694" s="229"/>
      <c r="D694" s="229"/>
      <c r="E694" s="229"/>
      <c r="F694" s="229"/>
      <c r="G694" s="229"/>
      <c r="H694" s="229"/>
      <c r="I694" s="229"/>
      <c r="J694" s="59"/>
      <c r="K694" s="1"/>
      <c r="L694" s="32"/>
      <c r="M694" s="32"/>
      <c r="N694" s="32"/>
      <c r="O694" s="51"/>
      <c r="P694" s="51"/>
    </row>
    <row r="695" spans="2:16" x14ac:dyDescent="0.25">
      <c r="B695" s="32"/>
      <c r="C695" s="229"/>
      <c r="D695" s="229"/>
      <c r="E695" s="229"/>
      <c r="F695" s="229"/>
      <c r="G695" s="229"/>
      <c r="H695" s="229"/>
      <c r="I695" s="229"/>
      <c r="J695" s="59"/>
      <c r="K695" s="1"/>
      <c r="L695" s="32"/>
      <c r="M695" s="32"/>
      <c r="N695" s="32"/>
      <c r="O695" s="51"/>
      <c r="P695" s="51"/>
    </row>
    <row r="696" spans="2:16" x14ac:dyDescent="0.25">
      <c r="B696" s="32"/>
      <c r="C696" s="229"/>
      <c r="D696" s="229"/>
      <c r="E696" s="229"/>
      <c r="F696" s="229"/>
      <c r="G696" s="229"/>
      <c r="H696" s="229"/>
      <c r="I696" s="229"/>
      <c r="J696" s="59"/>
      <c r="K696" s="1"/>
      <c r="L696" s="32"/>
      <c r="M696" s="32"/>
      <c r="N696" s="32"/>
      <c r="O696" s="51"/>
      <c r="P696" s="51"/>
    </row>
    <row r="697" spans="2:16" x14ac:dyDescent="0.25">
      <c r="B697" s="32"/>
      <c r="C697" s="229"/>
      <c r="D697" s="229"/>
      <c r="E697" s="229"/>
      <c r="F697" s="229"/>
      <c r="G697" s="229"/>
      <c r="H697" s="229"/>
      <c r="I697" s="229"/>
      <c r="J697" s="59"/>
      <c r="K697" s="1"/>
      <c r="L697" s="32"/>
      <c r="M697" s="32"/>
      <c r="N697" s="32"/>
      <c r="O697" s="51"/>
      <c r="P697" s="51"/>
    </row>
    <row r="698" spans="2:16" x14ac:dyDescent="0.25">
      <c r="B698" s="32"/>
      <c r="C698" s="229"/>
      <c r="D698" s="229"/>
      <c r="E698" s="229"/>
      <c r="F698" s="229"/>
      <c r="G698" s="229"/>
      <c r="H698" s="229"/>
      <c r="I698" s="229"/>
      <c r="J698" s="59"/>
      <c r="K698" s="1"/>
      <c r="L698" s="32"/>
      <c r="M698" s="32"/>
      <c r="N698" s="32"/>
      <c r="O698" s="51"/>
      <c r="P698" s="51"/>
    </row>
    <row r="699" spans="2:16" x14ac:dyDescent="0.25">
      <c r="B699" s="32"/>
      <c r="C699" s="229"/>
      <c r="D699" s="229"/>
      <c r="E699" s="229"/>
      <c r="F699" s="229"/>
      <c r="G699" s="229"/>
      <c r="H699" s="229"/>
      <c r="I699" s="229"/>
      <c r="J699" s="59"/>
      <c r="K699" s="1"/>
      <c r="L699" s="32"/>
      <c r="M699" s="32"/>
      <c r="N699" s="32"/>
      <c r="O699" s="51"/>
      <c r="P699" s="51"/>
    </row>
    <row r="700" spans="2:16" x14ac:dyDescent="0.25">
      <c r="B700" s="32"/>
      <c r="C700" s="229"/>
      <c r="D700" s="229"/>
      <c r="E700" s="229"/>
      <c r="F700" s="229"/>
      <c r="G700" s="229"/>
      <c r="H700" s="229"/>
      <c r="I700" s="229"/>
      <c r="J700" s="59"/>
      <c r="K700" s="1"/>
      <c r="L700" s="32"/>
      <c r="M700" s="32"/>
      <c r="N700" s="32"/>
      <c r="O700" s="51"/>
      <c r="P700" s="51"/>
    </row>
    <row r="701" spans="2:16" x14ac:dyDescent="0.25">
      <c r="B701" s="32"/>
      <c r="C701" s="229"/>
      <c r="D701" s="229"/>
      <c r="E701" s="229"/>
      <c r="F701" s="229"/>
      <c r="G701" s="229"/>
      <c r="H701" s="229"/>
      <c r="I701" s="229"/>
      <c r="J701" s="59"/>
      <c r="K701" s="1"/>
      <c r="L701" s="32"/>
      <c r="M701" s="32"/>
      <c r="N701" s="32"/>
      <c r="O701" s="51"/>
      <c r="P701" s="51"/>
    </row>
    <row r="702" spans="2:16" x14ac:dyDescent="0.25">
      <c r="B702" s="32"/>
      <c r="C702" s="229"/>
      <c r="D702" s="229"/>
      <c r="E702" s="229"/>
      <c r="F702" s="229"/>
      <c r="G702" s="229"/>
      <c r="H702" s="229"/>
      <c r="I702" s="229"/>
      <c r="J702" s="59"/>
      <c r="K702" s="1"/>
      <c r="L702" s="32"/>
      <c r="M702" s="32"/>
      <c r="N702" s="32"/>
      <c r="O702" s="51"/>
      <c r="P702" s="51"/>
    </row>
    <row r="703" spans="2:16" x14ac:dyDescent="0.25">
      <c r="B703" s="32"/>
      <c r="C703" s="229"/>
      <c r="D703" s="229"/>
      <c r="E703" s="229"/>
      <c r="F703" s="229"/>
      <c r="G703" s="229"/>
      <c r="H703" s="229"/>
      <c r="I703" s="229"/>
      <c r="J703" s="59"/>
      <c r="K703" s="1"/>
      <c r="L703" s="32"/>
      <c r="M703" s="32"/>
      <c r="N703" s="32"/>
      <c r="O703" s="51"/>
      <c r="P703" s="51"/>
    </row>
    <row r="704" spans="2:16" x14ac:dyDescent="0.25">
      <c r="B704" s="32"/>
      <c r="C704" s="229"/>
      <c r="D704" s="229"/>
      <c r="E704" s="229"/>
      <c r="F704" s="229"/>
      <c r="G704" s="229"/>
      <c r="H704" s="229"/>
      <c r="I704" s="229"/>
      <c r="J704" s="59"/>
      <c r="K704" s="1"/>
      <c r="L704" s="32"/>
      <c r="M704" s="32"/>
      <c r="N704" s="32"/>
      <c r="O704" s="51"/>
      <c r="P704" s="51"/>
    </row>
    <row r="705" spans="2:16" x14ac:dyDescent="0.25">
      <c r="B705" s="32"/>
      <c r="C705" s="229"/>
      <c r="D705" s="229"/>
      <c r="E705" s="229"/>
      <c r="F705" s="229"/>
      <c r="G705" s="229"/>
      <c r="H705" s="229"/>
      <c r="I705" s="229"/>
      <c r="J705" s="59"/>
      <c r="K705" s="1"/>
      <c r="L705" s="32"/>
      <c r="M705" s="32"/>
      <c r="N705" s="32"/>
      <c r="O705" s="51"/>
      <c r="P705" s="51"/>
    </row>
    <row r="706" spans="2:16" x14ac:dyDescent="0.25">
      <c r="B706" s="32"/>
      <c r="C706" s="229"/>
      <c r="D706" s="229"/>
      <c r="E706" s="229"/>
      <c r="F706" s="229"/>
      <c r="G706" s="229"/>
      <c r="H706" s="229"/>
      <c r="I706" s="229"/>
      <c r="J706" s="59"/>
      <c r="K706" s="1"/>
      <c r="L706" s="32"/>
      <c r="M706" s="32"/>
      <c r="N706" s="32"/>
      <c r="O706" s="51"/>
      <c r="P706" s="51"/>
    </row>
    <row r="707" spans="2:16" x14ac:dyDescent="0.25">
      <c r="B707" s="32"/>
      <c r="C707" s="229"/>
      <c r="D707" s="229"/>
      <c r="E707" s="229"/>
      <c r="F707" s="229"/>
      <c r="G707" s="229"/>
      <c r="H707" s="229"/>
      <c r="I707" s="229"/>
      <c r="J707" s="59"/>
      <c r="K707" s="1"/>
      <c r="L707" s="32"/>
      <c r="M707" s="32"/>
      <c r="N707" s="32"/>
      <c r="O707" s="51"/>
      <c r="P707" s="51"/>
    </row>
    <row r="708" spans="2:16" x14ac:dyDescent="0.25">
      <c r="B708" s="32"/>
      <c r="C708" s="229"/>
      <c r="D708" s="229"/>
      <c r="E708" s="229"/>
      <c r="F708" s="229"/>
      <c r="G708" s="229"/>
      <c r="H708" s="229"/>
      <c r="I708" s="229"/>
      <c r="J708" s="59"/>
      <c r="K708" s="1"/>
      <c r="L708" s="32"/>
      <c r="M708" s="32"/>
      <c r="N708" s="32"/>
      <c r="O708" s="51"/>
      <c r="P708" s="51"/>
    </row>
    <row r="709" spans="2:16" x14ac:dyDescent="0.25">
      <c r="B709" s="32"/>
      <c r="C709" s="229"/>
      <c r="D709" s="229"/>
      <c r="E709" s="229"/>
      <c r="F709" s="229"/>
      <c r="G709" s="229"/>
      <c r="H709" s="229"/>
      <c r="I709" s="229"/>
      <c r="J709" s="59"/>
      <c r="K709" s="1"/>
      <c r="L709" s="32"/>
      <c r="M709" s="32"/>
      <c r="N709" s="32"/>
      <c r="O709" s="51"/>
      <c r="P709" s="51"/>
    </row>
    <row r="710" spans="2:16" x14ac:dyDescent="0.25">
      <c r="B710" s="32"/>
      <c r="C710" s="229"/>
      <c r="D710" s="229"/>
      <c r="E710" s="229"/>
      <c r="F710" s="229"/>
      <c r="G710" s="229"/>
      <c r="H710" s="229"/>
      <c r="I710" s="229"/>
      <c r="J710" s="59"/>
      <c r="K710" s="1"/>
      <c r="L710" s="32"/>
      <c r="M710" s="32"/>
      <c r="N710" s="32"/>
      <c r="O710" s="51"/>
      <c r="P710" s="51"/>
    </row>
    <row r="711" spans="2:16" x14ac:dyDescent="0.25">
      <c r="B711" s="32"/>
      <c r="C711" s="229"/>
      <c r="D711" s="229"/>
      <c r="E711" s="229"/>
      <c r="F711" s="229"/>
      <c r="G711" s="229"/>
      <c r="H711" s="229"/>
      <c r="I711" s="229"/>
      <c r="J711" s="59"/>
      <c r="K711" s="1"/>
      <c r="L711" s="32"/>
      <c r="M711" s="32"/>
      <c r="N711" s="32"/>
      <c r="O711" s="51"/>
      <c r="P711" s="51"/>
    </row>
    <row r="712" spans="2:16" x14ac:dyDescent="0.25">
      <c r="B712" s="32"/>
      <c r="C712" s="229"/>
      <c r="D712" s="229"/>
      <c r="E712" s="229"/>
      <c r="F712" s="229"/>
      <c r="G712" s="229"/>
      <c r="H712" s="229"/>
      <c r="I712" s="229"/>
      <c r="J712" s="59"/>
      <c r="K712" s="1"/>
      <c r="L712" s="32"/>
      <c r="M712" s="32"/>
      <c r="N712" s="32"/>
      <c r="O712" s="51"/>
      <c r="P712" s="51"/>
    </row>
    <row r="713" spans="2:16" x14ac:dyDescent="0.25">
      <c r="B713" s="32"/>
      <c r="C713" s="229"/>
      <c r="D713" s="229"/>
      <c r="E713" s="229"/>
      <c r="F713" s="229"/>
      <c r="G713" s="229"/>
      <c r="H713" s="229"/>
      <c r="I713" s="229"/>
      <c r="J713" s="59"/>
      <c r="K713" s="1"/>
      <c r="L713" s="32"/>
      <c r="M713" s="32"/>
      <c r="N713" s="32"/>
      <c r="O713" s="51"/>
      <c r="P713" s="51"/>
    </row>
    <row r="714" spans="2:16" x14ac:dyDescent="0.25">
      <c r="B714" s="32"/>
      <c r="C714" s="229"/>
      <c r="D714" s="229"/>
      <c r="E714" s="229"/>
      <c r="F714" s="229"/>
      <c r="G714" s="229"/>
      <c r="H714" s="229"/>
      <c r="I714" s="229"/>
      <c r="J714" s="59"/>
      <c r="K714" s="1"/>
      <c r="L714" s="32"/>
      <c r="M714" s="32"/>
      <c r="N714" s="32"/>
      <c r="O714" s="51"/>
      <c r="P714" s="51"/>
    </row>
    <row r="715" spans="2:16" x14ac:dyDescent="0.25">
      <c r="B715" s="32"/>
      <c r="C715" s="229"/>
      <c r="D715" s="229"/>
      <c r="E715" s="229"/>
      <c r="F715" s="229"/>
      <c r="G715" s="229"/>
      <c r="H715" s="229"/>
      <c r="I715" s="229"/>
      <c r="J715" s="59"/>
      <c r="K715" s="1"/>
      <c r="L715" s="32"/>
      <c r="M715" s="32"/>
      <c r="N715" s="32"/>
      <c r="O715" s="51"/>
      <c r="P715" s="51"/>
    </row>
    <row r="716" spans="2:16" x14ac:dyDescent="0.25">
      <c r="B716" s="32"/>
      <c r="C716" s="229"/>
      <c r="D716" s="229"/>
      <c r="E716" s="229"/>
      <c r="F716" s="229"/>
      <c r="G716" s="229"/>
      <c r="H716" s="229"/>
      <c r="I716" s="229"/>
      <c r="J716" s="59"/>
      <c r="K716" s="1"/>
      <c r="L716" s="32"/>
      <c r="M716" s="32"/>
      <c r="N716" s="32"/>
      <c r="O716" s="51"/>
      <c r="P716" s="51"/>
    </row>
    <row r="717" spans="2:16" x14ac:dyDescent="0.25">
      <c r="B717" s="32"/>
      <c r="C717" s="229"/>
      <c r="D717" s="229"/>
      <c r="E717" s="229"/>
      <c r="F717" s="229"/>
      <c r="G717" s="229"/>
      <c r="H717" s="229"/>
      <c r="I717" s="229"/>
      <c r="J717" s="59"/>
      <c r="K717" s="1"/>
      <c r="L717" s="32"/>
      <c r="M717" s="32"/>
      <c r="N717" s="32"/>
      <c r="O717" s="51"/>
      <c r="P717" s="51"/>
    </row>
    <row r="718" spans="2:16" x14ac:dyDescent="0.25">
      <c r="B718" s="32"/>
      <c r="C718" s="229"/>
      <c r="D718" s="229"/>
      <c r="E718" s="229"/>
      <c r="F718" s="229"/>
      <c r="G718" s="229"/>
      <c r="H718" s="229"/>
      <c r="I718" s="229"/>
      <c r="J718" s="59"/>
      <c r="K718" s="1"/>
      <c r="L718" s="32"/>
      <c r="M718" s="32"/>
      <c r="N718" s="32"/>
      <c r="O718" s="51"/>
      <c r="P718" s="51"/>
    </row>
    <row r="719" spans="2:16" x14ac:dyDescent="0.25">
      <c r="B719" s="32"/>
      <c r="C719" s="229"/>
      <c r="D719" s="229"/>
      <c r="E719" s="229"/>
      <c r="F719" s="229"/>
      <c r="G719" s="229"/>
      <c r="H719" s="229"/>
      <c r="I719" s="229"/>
      <c r="J719" s="59"/>
      <c r="K719" s="1"/>
      <c r="L719" s="32"/>
      <c r="M719" s="32"/>
      <c r="N719" s="32"/>
      <c r="O719" s="51"/>
      <c r="P719" s="51"/>
    </row>
    <row r="720" spans="2:16" x14ac:dyDescent="0.25">
      <c r="B720" s="32"/>
      <c r="C720" s="229"/>
      <c r="D720" s="229"/>
      <c r="E720" s="229"/>
      <c r="F720" s="229"/>
      <c r="G720" s="229"/>
      <c r="H720" s="229"/>
      <c r="I720" s="229"/>
      <c r="J720" s="59"/>
      <c r="K720" s="1"/>
      <c r="L720" s="32"/>
      <c r="M720" s="32"/>
      <c r="N720" s="32"/>
      <c r="O720" s="51"/>
      <c r="P720" s="51"/>
    </row>
    <row r="721" spans="2:16" x14ac:dyDescent="0.25">
      <c r="B721" s="32"/>
      <c r="C721" s="229"/>
      <c r="D721" s="229"/>
      <c r="E721" s="229"/>
      <c r="F721" s="229"/>
      <c r="G721" s="229"/>
      <c r="H721" s="229"/>
      <c r="I721" s="229"/>
      <c r="J721" s="59"/>
      <c r="K721" s="1"/>
      <c r="L721" s="32"/>
      <c r="M721" s="32"/>
      <c r="N721" s="32"/>
      <c r="O721" s="51"/>
      <c r="P721" s="51"/>
    </row>
    <row r="722" spans="2:16" x14ac:dyDescent="0.25">
      <c r="B722" s="32"/>
      <c r="C722" s="229"/>
      <c r="D722" s="229"/>
      <c r="E722" s="229"/>
      <c r="F722" s="229"/>
      <c r="G722" s="229"/>
      <c r="H722" s="229"/>
      <c r="I722" s="229"/>
      <c r="J722" s="59"/>
      <c r="K722" s="1"/>
      <c r="L722" s="32"/>
      <c r="M722" s="32"/>
      <c r="N722" s="32"/>
      <c r="O722" s="51"/>
      <c r="P722" s="51"/>
    </row>
    <row r="723" spans="2:16" x14ac:dyDescent="0.25">
      <c r="B723" s="32"/>
      <c r="C723" s="229"/>
      <c r="D723" s="229"/>
      <c r="E723" s="229"/>
      <c r="F723" s="229"/>
      <c r="G723" s="229"/>
      <c r="H723" s="229"/>
      <c r="I723" s="229"/>
      <c r="J723" s="59"/>
      <c r="K723" s="1"/>
      <c r="L723" s="32"/>
      <c r="M723" s="32"/>
      <c r="N723" s="32"/>
      <c r="O723" s="51"/>
      <c r="P723" s="51"/>
    </row>
    <row r="724" spans="2:16" x14ac:dyDescent="0.25">
      <c r="B724" s="32"/>
      <c r="C724" s="229"/>
      <c r="D724" s="229"/>
      <c r="E724" s="229"/>
      <c r="F724" s="229"/>
      <c r="G724" s="229"/>
      <c r="H724" s="229"/>
      <c r="I724" s="229"/>
      <c r="J724" s="59"/>
      <c r="K724" s="1"/>
      <c r="L724" s="32"/>
      <c r="M724" s="32"/>
      <c r="N724" s="32"/>
      <c r="O724" s="51"/>
      <c r="P724" s="51"/>
    </row>
    <row r="725" spans="2:16" x14ac:dyDescent="0.25">
      <c r="B725" s="32"/>
      <c r="C725" s="229"/>
      <c r="D725" s="229"/>
      <c r="E725" s="229"/>
      <c r="F725" s="229"/>
      <c r="G725" s="229"/>
      <c r="H725" s="229"/>
      <c r="I725" s="229"/>
      <c r="J725" s="59"/>
      <c r="K725" s="1"/>
      <c r="L725" s="32"/>
      <c r="M725" s="32"/>
      <c r="N725" s="32"/>
      <c r="O725" s="51"/>
      <c r="P725" s="51"/>
    </row>
    <row r="726" spans="2:16" x14ac:dyDescent="0.25">
      <c r="B726" s="32"/>
      <c r="C726" s="229"/>
      <c r="D726" s="229"/>
      <c r="E726" s="229"/>
      <c r="F726" s="229"/>
      <c r="G726" s="229"/>
      <c r="H726" s="229"/>
      <c r="I726" s="229"/>
      <c r="J726" s="59"/>
      <c r="K726" s="1"/>
      <c r="L726" s="32"/>
      <c r="M726" s="32"/>
      <c r="N726" s="32"/>
      <c r="O726" s="51"/>
      <c r="P726" s="51"/>
    </row>
    <row r="727" spans="2:16" x14ac:dyDescent="0.25">
      <c r="B727" s="32"/>
      <c r="C727" s="229"/>
      <c r="D727" s="229"/>
      <c r="E727" s="229"/>
      <c r="F727" s="229"/>
      <c r="G727" s="229"/>
      <c r="H727" s="229"/>
      <c r="I727" s="229"/>
      <c r="J727" s="59"/>
      <c r="K727" s="1"/>
      <c r="L727" s="32"/>
      <c r="M727" s="32"/>
      <c r="N727" s="32"/>
      <c r="O727" s="51"/>
      <c r="P727" s="51"/>
    </row>
    <row r="728" spans="2:16" x14ac:dyDescent="0.25">
      <c r="B728" s="32"/>
      <c r="C728" s="229"/>
      <c r="D728" s="229"/>
      <c r="E728" s="229"/>
      <c r="F728" s="229"/>
      <c r="G728" s="229"/>
      <c r="H728" s="229"/>
      <c r="I728" s="229"/>
      <c r="J728" s="59"/>
      <c r="K728" s="1"/>
      <c r="L728" s="32"/>
      <c r="M728" s="32"/>
      <c r="N728" s="32"/>
      <c r="O728" s="51"/>
      <c r="P728" s="51"/>
    </row>
    <row r="729" spans="2:16" x14ac:dyDescent="0.25">
      <c r="B729" s="32"/>
      <c r="C729" s="229"/>
      <c r="D729" s="229"/>
      <c r="E729" s="229"/>
      <c r="F729" s="229"/>
      <c r="G729" s="229"/>
      <c r="H729" s="229"/>
      <c r="I729" s="229"/>
      <c r="J729" s="59"/>
      <c r="K729" s="1"/>
      <c r="L729" s="32"/>
      <c r="M729" s="32"/>
      <c r="N729" s="32"/>
      <c r="O729" s="51"/>
      <c r="P729" s="51"/>
    </row>
    <row r="730" spans="2:16" x14ac:dyDescent="0.25">
      <c r="B730" s="32"/>
      <c r="C730" s="229"/>
      <c r="D730" s="229"/>
      <c r="E730" s="229"/>
      <c r="F730" s="229"/>
      <c r="G730" s="229"/>
      <c r="H730" s="229"/>
      <c r="I730" s="229"/>
      <c r="J730" s="59"/>
      <c r="K730" s="1"/>
      <c r="L730" s="32"/>
      <c r="M730" s="32"/>
      <c r="N730" s="32"/>
      <c r="O730" s="51"/>
      <c r="P730" s="51"/>
    </row>
    <row r="731" spans="2:16" x14ac:dyDescent="0.25">
      <c r="B731" s="32"/>
      <c r="C731" s="229"/>
      <c r="D731" s="229"/>
      <c r="E731" s="229"/>
      <c r="F731" s="229"/>
      <c r="G731" s="229"/>
      <c r="H731" s="229"/>
      <c r="I731" s="229"/>
      <c r="J731" s="59"/>
      <c r="K731" s="1"/>
      <c r="L731" s="32"/>
      <c r="M731" s="32"/>
      <c r="N731" s="32"/>
      <c r="O731" s="51"/>
      <c r="P731" s="51"/>
    </row>
    <row r="732" spans="2:16" x14ac:dyDescent="0.25">
      <c r="B732" s="32"/>
      <c r="C732" s="229"/>
      <c r="D732" s="229"/>
      <c r="E732" s="229"/>
      <c r="F732" s="229"/>
      <c r="G732" s="229"/>
      <c r="H732" s="229"/>
      <c r="I732" s="229"/>
      <c r="J732" s="59"/>
      <c r="K732" s="1"/>
      <c r="L732" s="32"/>
      <c r="M732" s="32"/>
      <c r="N732" s="32"/>
      <c r="O732" s="51"/>
      <c r="P732" s="51"/>
    </row>
    <row r="733" spans="2:16" x14ac:dyDescent="0.25">
      <c r="B733" s="32"/>
      <c r="C733" s="229"/>
      <c r="D733" s="229"/>
      <c r="E733" s="229"/>
      <c r="F733" s="229"/>
      <c r="G733" s="229"/>
      <c r="H733" s="229"/>
      <c r="I733" s="229"/>
      <c r="J733" s="59"/>
      <c r="K733" s="1"/>
      <c r="L733" s="32"/>
      <c r="M733" s="32"/>
      <c r="N733" s="32"/>
      <c r="O733" s="51"/>
      <c r="P733" s="51"/>
    </row>
    <row r="734" spans="2:16" x14ac:dyDescent="0.25">
      <c r="B734" s="32"/>
      <c r="C734" s="229"/>
      <c r="D734" s="229"/>
      <c r="E734" s="229"/>
      <c r="F734" s="229"/>
      <c r="G734" s="229"/>
      <c r="H734" s="229"/>
      <c r="I734" s="229"/>
      <c r="J734" s="59"/>
      <c r="K734" s="1"/>
      <c r="L734" s="32"/>
      <c r="M734" s="32"/>
      <c r="N734" s="32"/>
      <c r="O734" s="51"/>
      <c r="P734" s="51"/>
    </row>
    <row r="735" spans="2:16" x14ac:dyDescent="0.25">
      <c r="B735" s="32"/>
      <c r="C735" s="229"/>
      <c r="D735" s="229"/>
      <c r="E735" s="229"/>
      <c r="F735" s="229"/>
      <c r="G735" s="229"/>
      <c r="H735" s="229"/>
      <c r="I735" s="229"/>
      <c r="J735" s="59"/>
      <c r="K735" s="1"/>
      <c r="L735" s="32"/>
      <c r="M735" s="32"/>
      <c r="N735" s="32"/>
      <c r="O735" s="51"/>
      <c r="P735" s="51"/>
    </row>
    <row r="736" spans="2:16" x14ac:dyDescent="0.25">
      <c r="B736" s="32"/>
      <c r="C736" s="229"/>
      <c r="D736" s="229"/>
      <c r="E736" s="229"/>
      <c r="F736" s="229"/>
      <c r="G736" s="229"/>
      <c r="H736" s="229"/>
      <c r="I736" s="229"/>
      <c r="J736" s="59"/>
      <c r="K736" s="1"/>
      <c r="L736" s="32"/>
      <c r="M736" s="32"/>
      <c r="N736" s="32"/>
      <c r="O736" s="51"/>
      <c r="P736" s="51"/>
    </row>
    <row r="737" spans="2:16" x14ac:dyDescent="0.25">
      <c r="B737" s="32"/>
      <c r="C737" s="229"/>
      <c r="D737" s="229"/>
      <c r="E737" s="229"/>
      <c r="F737" s="229"/>
      <c r="G737" s="229"/>
      <c r="H737" s="229"/>
      <c r="I737" s="229"/>
      <c r="J737" s="59"/>
      <c r="K737" s="1"/>
      <c r="L737" s="32"/>
      <c r="M737" s="32"/>
      <c r="N737" s="32"/>
      <c r="O737" s="51"/>
      <c r="P737" s="51"/>
    </row>
    <row r="738" spans="2:16" x14ac:dyDescent="0.25">
      <c r="B738" s="32"/>
      <c r="C738" s="229"/>
      <c r="D738" s="229"/>
      <c r="E738" s="229"/>
      <c r="F738" s="229"/>
      <c r="G738" s="229"/>
      <c r="H738" s="229"/>
      <c r="I738" s="229"/>
      <c r="J738" s="59"/>
      <c r="K738" s="1"/>
      <c r="L738" s="32"/>
      <c r="M738" s="32"/>
      <c r="N738" s="32"/>
      <c r="O738" s="51"/>
      <c r="P738" s="51"/>
    </row>
    <row r="739" spans="2:16" x14ac:dyDescent="0.25">
      <c r="B739" s="32"/>
      <c r="C739" s="229"/>
      <c r="D739" s="229"/>
      <c r="E739" s="229"/>
      <c r="F739" s="229"/>
      <c r="G739" s="229"/>
      <c r="H739" s="229"/>
      <c r="I739" s="229"/>
      <c r="J739" s="59"/>
      <c r="K739" s="1"/>
      <c r="L739" s="32"/>
      <c r="M739" s="32"/>
      <c r="N739" s="32"/>
      <c r="O739" s="51"/>
      <c r="P739" s="51"/>
    </row>
    <row r="740" spans="2:16" x14ac:dyDescent="0.25">
      <c r="B740" s="32"/>
      <c r="C740" s="229"/>
      <c r="D740" s="229"/>
      <c r="E740" s="229"/>
      <c r="F740" s="229"/>
      <c r="G740" s="229"/>
      <c r="H740" s="229"/>
      <c r="I740" s="229"/>
      <c r="J740" s="59"/>
      <c r="K740" s="1"/>
      <c r="L740" s="32"/>
      <c r="M740" s="32"/>
      <c r="N740" s="32"/>
      <c r="O740" s="51"/>
      <c r="P740" s="51"/>
    </row>
    <row r="741" spans="2:16" x14ac:dyDescent="0.25">
      <c r="B741" s="32"/>
      <c r="C741" s="229"/>
      <c r="D741" s="229"/>
      <c r="E741" s="229"/>
      <c r="F741" s="229"/>
      <c r="G741" s="229"/>
      <c r="H741" s="229"/>
      <c r="I741" s="229"/>
      <c r="J741" s="59"/>
      <c r="K741" s="1"/>
      <c r="L741" s="32"/>
      <c r="M741" s="32"/>
      <c r="N741" s="32"/>
      <c r="O741" s="51"/>
      <c r="P741" s="51"/>
    </row>
    <row r="742" spans="2:16" x14ac:dyDescent="0.25">
      <c r="B742" s="32"/>
      <c r="C742" s="229"/>
      <c r="D742" s="229"/>
      <c r="E742" s="229"/>
      <c r="F742" s="229"/>
      <c r="G742" s="229"/>
      <c r="H742" s="229"/>
      <c r="I742" s="229"/>
      <c r="J742" s="59"/>
      <c r="K742" s="1"/>
      <c r="L742" s="32"/>
      <c r="M742" s="32"/>
      <c r="N742" s="32"/>
      <c r="O742" s="51"/>
      <c r="P742" s="51"/>
    </row>
    <row r="743" spans="2:16" x14ac:dyDescent="0.25">
      <c r="B743" s="32"/>
      <c r="C743" s="229"/>
      <c r="D743" s="229"/>
      <c r="E743" s="229"/>
      <c r="F743" s="229"/>
      <c r="G743" s="229"/>
      <c r="H743" s="229"/>
      <c r="I743" s="229"/>
      <c r="J743" s="59"/>
      <c r="K743" s="1"/>
      <c r="L743" s="32"/>
      <c r="M743" s="32"/>
      <c r="N743" s="32"/>
      <c r="O743" s="51"/>
      <c r="P743" s="51"/>
    </row>
    <row r="744" spans="2:16" x14ac:dyDescent="0.25">
      <c r="B744" s="32"/>
      <c r="C744" s="229"/>
      <c r="D744" s="229"/>
      <c r="E744" s="229"/>
      <c r="F744" s="229"/>
      <c r="G744" s="229"/>
      <c r="H744" s="229"/>
      <c r="I744" s="229"/>
      <c r="J744" s="59"/>
      <c r="K744" s="1"/>
      <c r="L744" s="32"/>
      <c r="M744" s="32"/>
      <c r="N744" s="32"/>
      <c r="O744" s="51"/>
      <c r="P744" s="51"/>
    </row>
    <row r="745" spans="2:16" x14ac:dyDescent="0.25">
      <c r="B745" s="32"/>
      <c r="C745" s="229"/>
      <c r="D745" s="229"/>
      <c r="E745" s="229"/>
      <c r="F745" s="229"/>
      <c r="G745" s="229"/>
      <c r="H745" s="229"/>
      <c r="I745" s="229"/>
      <c r="J745" s="59"/>
      <c r="K745" s="1"/>
      <c r="L745" s="32"/>
      <c r="M745" s="32"/>
      <c r="N745" s="32"/>
      <c r="O745" s="51"/>
      <c r="P745" s="51"/>
    </row>
    <row r="746" spans="2:16" x14ac:dyDescent="0.25">
      <c r="B746" s="32"/>
      <c r="C746" s="229"/>
      <c r="D746" s="229"/>
      <c r="E746" s="229"/>
      <c r="F746" s="229"/>
      <c r="G746" s="229"/>
      <c r="H746" s="229"/>
      <c r="I746" s="229"/>
      <c r="J746" s="59"/>
      <c r="K746" s="1"/>
      <c r="L746" s="32"/>
      <c r="M746" s="32"/>
      <c r="N746" s="32"/>
      <c r="O746" s="51"/>
      <c r="P746" s="51"/>
    </row>
    <row r="747" spans="2:16" x14ac:dyDescent="0.25">
      <c r="B747" s="32"/>
      <c r="C747" s="229"/>
      <c r="D747" s="229"/>
      <c r="E747" s="229"/>
      <c r="F747" s="229"/>
      <c r="G747" s="229"/>
      <c r="H747" s="229"/>
      <c r="I747" s="229"/>
      <c r="J747" s="59"/>
      <c r="K747" s="1"/>
      <c r="L747" s="32"/>
      <c r="M747" s="32"/>
      <c r="N747" s="32"/>
      <c r="O747" s="51"/>
      <c r="P747" s="51"/>
    </row>
    <row r="748" spans="2:16" x14ac:dyDescent="0.25">
      <c r="B748" s="32"/>
      <c r="C748" s="229"/>
      <c r="D748" s="229"/>
      <c r="E748" s="229"/>
      <c r="F748" s="229"/>
      <c r="G748" s="229"/>
      <c r="H748" s="229"/>
      <c r="I748" s="229"/>
      <c r="J748" s="59"/>
      <c r="K748" s="1"/>
      <c r="L748" s="32"/>
      <c r="M748" s="32"/>
      <c r="N748" s="32"/>
      <c r="O748" s="51"/>
      <c r="P748" s="51"/>
    </row>
    <row r="749" spans="2:16" x14ac:dyDescent="0.25">
      <c r="B749" s="32"/>
      <c r="C749" s="229"/>
      <c r="D749" s="229"/>
      <c r="E749" s="229"/>
      <c r="F749" s="229"/>
      <c r="G749" s="229"/>
      <c r="H749" s="229"/>
      <c r="I749" s="229"/>
      <c r="J749" s="59"/>
      <c r="K749" s="1"/>
      <c r="L749" s="32"/>
      <c r="M749" s="32"/>
      <c r="N749" s="32"/>
      <c r="O749" s="51"/>
      <c r="P749" s="51"/>
    </row>
    <row r="750" spans="2:16" x14ac:dyDescent="0.25">
      <c r="B750" s="32"/>
      <c r="C750" s="229"/>
      <c r="D750" s="229"/>
      <c r="E750" s="229"/>
      <c r="F750" s="229"/>
      <c r="G750" s="229"/>
      <c r="H750" s="229"/>
      <c r="I750" s="229"/>
      <c r="J750" s="59"/>
      <c r="K750" s="1"/>
      <c r="L750" s="32"/>
      <c r="M750" s="32"/>
      <c r="N750" s="32"/>
      <c r="O750" s="51"/>
      <c r="P750" s="51"/>
    </row>
    <row r="751" spans="2:16" x14ac:dyDescent="0.25">
      <c r="B751" s="32"/>
      <c r="C751" s="229"/>
      <c r="D751" s="229"/>
      <c r="E751" s="229"/>
      <c r="F751" s="229"/>
      <c r="G751" s="229"/>
      <c r="H751" s="229"/>
      <c r="I751" s="229"/>
      <c r="J751" s="59"/>
      <c r="K751" s="1"/>
      <c r="L751" s="32"/>
      <c r="M751" s="32"/>
      <c r="N751" s="32"/>
      <c r="O751" s="51"/>
      <c r="P751" s="51"/>
    </row>
    <row r="752" spans="2:16" x14ac:dyDescent="0.25">
      <c r="B752" s="32"/>
      <c r="C752" s="229"/>
      <c r="D752" s="229"/>
      <c r="E752" s="229"/>
      <c r="F752" s="229"/>
      <c r="G752" s="229"/>
      <c r="H752" s="229"/>
      <c r="I752" s="229"/>
      <c r="J752" s="59"/>
      <c r="K752" s="1"/>
      <c r="L752" s="32"/>
      <c r="M752" s="32"/>
      <c r="N752" s="32"/>
      <c r="O752" s="51"/>
      <c r="P752" s="51"/>
    </row>
    <row r="753" spans="2:16" x14ac:dyDescent="0.25">
      <c r="B753" s="32"/>
      <c r="C753" s="229"/>
      <c r="D753" s="229"/>
      <c r="E753" s="229"/>
      <c r="F753" s="229"/>
      <c r="G753" s="229"/>
      <c r="H753" s="229"/>
      <c r="I753" s="229"/>
      <c r="J753" s="59"/>
      <c r="K753" s="1"/>
      <c r="L753" s="32"/>
      <c r="M753" s="32"/>
      <c r="N753" s="32"/>
      <c r="O753" s="51"/>
      <c r="P753" s="51"/>
    </row>
    <row r="754" spans="2:16" x14ac:dyDescent="0.25">
      <c r="B754" s="32"/>
      <c r="C754" s="229"/>
      <c r="D754" s="229"/>
      <c r="E754" s="229"/>
      <c r="F754" s="229"/>
      <c r="G754" s="229"/>
      <c r="H754" s="229"/>
      <c r="I754" s="229"/>
      <c r="J754" s="59"/>
      <c r="K754" s="1"/>
      <c r="L754" s="32"/>
      <c r="M754" s="32"/>
      <c r="N754" s="32"/>
      <c r="O754" s="51"/>
      <c r="P754" s="51"/>
    </row>
    <row r="755" spans="2:16" x14ac:dyDescent="0.25">
      <c r="B755" s="32"/>
      <c r="C755" s="229"/>
      <c r="D755" s="229"/>
      <c r="E755" s="229"/>
      <c r="F755" s="229"/>
      <c r="G755" s="229"/>
      <c r="H755" s="229"/>
      <c r="I755" s="229"/>
      <c r="J755" s="59"/>
      <c r="K755" s="1"/>
      <c r="L755" s="32"/>
      <c r="M755" s="32"/>
      <c r="N755" s="32"/>
      <c r="O755" s="51"/>
      <c r="P755" s="51"/>
    </row>
    <row r="756" spans="2:16" x14ac:dyDescent="0.25">
      <c r="B756" s="32"/>
      <c r="C756" s="229"/>
      <c r="D756" s="229"/>
      <c r="E756" s="229"/>
      <c r="F756" s="229"/>
      <c r="G756" s="229"/>
      <c r="H756" s="229"/>
      <c r="I756" s="229"/>
      <c r="J756" s="59"/>
      <c r="K756" s="1"/>
      <c r="L756" s="32"/>
      <c r="M756" s="32"/>
      <c r="N756" s="32"/>
      <c r="O756" s="51"/>
      <c r="P756" s="51"/>
    </row>
    <row r="757" spans="2:16" x14ac:dyDescent="0.25">
      <c r="B757" s="32"/>
      <c r="C757" s="229"/>
      <c r="D757" s="229"/>
      <c r="E757" s="229"/>
      <c r="F757" s="229"/>
      <c r="G757" s="229"/>
      <c r="H757" s="229"/>
      <c r="I757" s="229"/>
      <c r="J757" s="59"/>
      <c r="K757" s="1"/>
      <c r="L757" s="32"/>
      <c r="M757" s="32"/>
      <c r="N757" s="32"/>
      <c r="O757" s="51"/>
      <c r="P757" s="51"/>
    </row>
    <row r="758" spans="2:16" x14ac:dyDescent="0.25">
      <c r="B758" s="32"/>
      <c r="C758" s="229"/>
      <c r="D758" s="229"/>
      <c r="E758" s="229"/>
      <c r="F758" s="229"/>
      <c r="G758" s="229"/>
      <c r="H758" s="229"/>
      <c r="I758" s="229"/>
      <c r="J758" s="59"/>
      <c r="K758" s="1"/>
      <c r="L758" s="32"/>
      <c r="M758" s="32"/>
      <c r="N758" s="32"/>
      <c r="O758" s="51"/>
      <c r="P758" s="51"/>
    </row>
    <row r="759" spans="2:16" x14ac:dyDescent="0.25">
      <c r="B759" s="32"/>
      <c r="C759" s="229"/>
      <c r="D759" s="229"/>
      <c r="E759" s="229"/>
      <c r="F759" s="229"/>
      <c r="G759" s="229"/>
      <c r="H759" s="229"/>
      <c r="I759" s="229"/>
      <c r="J759" s="59"/>
      <c r="K759" s="1"/>
      <c r="L759" s="32"/>
      <c r="M759" s="32"/>
      <c r="N759" s="32"/>
      <c r="O759" s="51"/>
      <c r="P759" s="51"/>
    </row>
    <row r="760" spans="2:16" x14ac:dyDescent="0.25">
      <c r="B760" s="32"/>
      <c r="C760" s="229"/>
      <c r="D760" s="229"/>
      <c r="E760" s="229"/>
      <c r="F760" s="229"/>
      <c r="G760" s="229"/>
      <c r="H760" s="229"/>
      <c r="I760" s="229"/>
      <c r="J760" s="59"/>
      <c r="K760" s="1"/>
      <c r="L760" s="32"/>
      <c r="M760" s="32"/>
      <c r="N760" s="32"/>
      <c r="O760" s="51"/>
      <c r="P760" s="51"/>
    </row>
    <row r="761" spans="2:16" x14ac:dyDescent="0.25">
      <c r="B761" s="32"/>
      <c r="C761" s="229"/>
      <c r="D761" s="229"/>
      <c r="E761" s="229"/>
      <c r="F761" s="229"/>
      <c r="G761" s="229"/>
      <c r="H761" s="229"/>
      <c r="I761" s="229"/>
      <c r="J761" s="59"/>
      <c r="K761" s="1"/>
      <c r="L761" s="32"/>
      <c r="M761" s="32"/>
      <c r="N761" s="32"/>
      <c r="O761" s="51"/>
      <c r="P761" s="51"/>
    </row>
    <row r="762" spans="2:16" x14ac:dyDescent="0.25">
      <c r="B762" s="32"/>
      <c r="C762" s="229"/>
      <c r="D762" s="229"/>
      <c r="E762" s="229"/>
      <c r="F762" s="229"/>
      <c r="G762" s="229"/>
      <c r="H762" s="229"/>
      <c r="I762" s="229"/>
      <c r="J762" s="59"/>
      <c r="K762" s="1"/>
      <c r="L762" s="32"/>
      <c r="M762" s="32"/>
      <c r="N762" s="32"/>
      <c r="O762" s="51"/>
      <c r="P762" s="51"/>
    </row>
    <row r="763" spans="2:16" x14ac:dyDescent="0.25">
      <c r="J763" s="59"/>
      <c r="N763" s="32"/>
      <c r="O763" s="51"/>
      <c r="P763" s="51"/>
    </row>
    <row r="764" spans="2:16" x14ac:dyDescent="0.25">
      <c r="J764" s="59"/>
    </row>
    <row r="765" spans="2:16" x14ac:dyDescent="0.25">
      <c r="J765" s="59"/>
    </row>
  </sheetData>
  <autoFilter ref="B11:P626" xr:uid="{A0BB8923-D53D-4A37-A197-F25430EA8E57}"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754">
    <mergeCell ref="C762:I762"/>
    <mergeCell ref="C30:I30"/>
    <mergeCell ref="C756:I756"/>
    <mergeCell ref="C757:I757"/>
    <mergeCell ref="C758:I758"/>
    <mergeCell ref="C759:I759"/>
    <mergeCell ref="C760:I760"/>
    <mergeCell ref="C761:I761"/>
    <mergeCell ref="C750:I750"/>
    <mergeCell ref="C751:I751"/>
    <mergeCell ref="C752:I752"/>
    <mergeCell ref="C753:I753"/>
    <mergeCell ref="C754:I754"/>
    <mergeCell ref="C755:I755"/>
    <mergeCell ref="C744:I744"/>
    <mergeCell ref="C745:I745"/>
    <mergeCell ref="C746:I746"/>
    <mergeCell ref="C747:I747"/>
    <mergeCell ref="C748:I748"/>
    <mergeCell ref="C749:I749"/>
    <mergeCell ref="C738:I738"/>
    <mergeCell ref="C739:I739"/>
    <mergeCell ref="C740:I740"/>
    <mergeCell ref="C741:I741"/>
    <mergeCell ref="C742:I742"/>
    <mergeCell ref="C743:I743"/>
    <mergeCell ref="C732:I732"/>
    <mergeCell ref="C733:I733"/>
    <mergeCell ref="C734:I734"/>
    <mergeCell ref="C735:I735"/>
    <mergeCell ref="C736:I736"/>
    <mergeCell ref="C737:I737"/>
    <mergeCell ref="C726:I726"/>
    <mergeCell ref="C727:I727"/>
    <mergeCell ref="C728:I728"/>
    <mergeCell ref="C729:I729"/>
    <mergeCell ref="C730:I730"/>
    <mergeCell ref="C731:I731"/>
    <mergeCell ref="C720:I720"/>
    <mergeCell ref="C721:I721"/>
    <mergeCell ref="C722:I722"/>
    <mergeCell ref="C723:I723"/>
    <mergeCell ref="C724:I724"/>
    <mergeCell ref="C725:I725"/>
    <mergeCell ref="C714:I714"/>
    <mergeCell ref="C715:I715"/>
    <mergeCell ref="C716:I716"/>
    <mergeCell ref="C717:I717"/>
    <mergeCell ref="C718:I718"/>
    <mergeCell ref="C719:I719"/>
    <mergeCell ref="C708:I708"/>
    <mergeCell ref="C709:I709"/>
    <mergeCell ref="C710:I710"/>
    <mergeCell ref="C711:I711"/>
    <mergeCell ref="C712:I712"/>
    <mergeCell ref="C713:I713"/>
    <mergeCell ref="C702:I702"/>
    <mergeCell ref="C703:I703"/>
    <mergeCell ref="C704:I704"/>
    <mergeCell ref="C705:I705"/>
    <mergeCell ref="C706:I706"/>
    <mergeCell ref="C707:I707"/>
    <mergeCell ref="C696:I696"/>
    <mergeCell ref="C697:I697"/>
    <mergeCell ref="C698:I698"/>
    <mergeCell ref="C699:I699"/>
    <mergeCell ref="C700:I700"/>
    <mergeCell ref="C701:I701"/>
    <mergeCell ref="C690:I690"/>
    <mergeCell ref="C691:I691"/>
    <mergeCell ref="C692:I692"/>
    <mergeCell ref="C693:I693"/>
    <mergeCell ref="C694:I694"/>
    <mergeCell ref="C695:I695"/>
    <mergeCell ref="C684:I684"/>
    <mergeCell ref="C685:I685"/>
    <mergeCell ref="C686:I686"/>
    <mergeCell ref="C687:I687"/>
    <mergeCell ref="C688:I688"/>
    <mergeCell ref="C689:I689"/>
    <mergeCell ref="C678:I678"/>
    <mergeCell ref="C679:I679"/>
    <mergeCell ref="C680:I680"/>
    <mergeCell ref="C681:I681"/>
    <mergeCell ref="C682:I682"/>
    <mergeCell ref="C683:I683"/>
    <mergeCell ref="C672:I672"/>
    <mergeCell ref="C673:I673"/>
    <mergeCell ref="C674:I674"/>
    <mergeCell ref="C675:I675"/>
    <mergeCell ref="C676:I676"/>
    <mergeCell ref="C677:I677"/>
    <mergeCell ref="C666:I666"/>
    <mergeCell ref="C667:I667"/>
    <mergeCell ref="C668:I668"/>
    <mergeCell ref="C669:I669"/>
    <mergeCell ref="C670:I670"/>
    <mergeCell ref="C671:I671"/>
    <mergeCell ref="C660:I660"/>
    <mergeCell ref="C661:I661"/>
    <mergeCell ref="C662:I662"/>
    <mergeCell ref="C663:I663"/>
    <mergeCell ref="C664:I664"/>
    <mergeCell ref="C665:I665"/>
    <mergeCell ref="C654:I654"/>
    <mergeCell ref="C655:I655"/>
    <mergeCell ref="C656:I656"/>
    <mergeCell ref="C657:I657"/>
    <mergeCell ref="C658:I658"/>
    <mergeCell ref="C659:I659"/>
    <mergeCell ref="C648:I648"/>
    <mergeCell ref="C649:I649"/>
    <mergeCell ref="C650:I650"/>
    <mergeCell ref="C651:I651"/>
    <mergeCell ref="C652:I652"/>
    <mergeCell ref="C653:I653"/>
    <mergeCell ref="C642:I642"/>
    <mergeCell ref="C643:I643"/>
    <mergeCell ref="C644:I644"/>
    <mergeCell ref="C645:I645"/>
    <mergeCell ref="C646:I646"/>
    <mergeCell ref="C647:I647"/>
    <mergeCell ref="C636:I636"/>
    <mergeCell ref="C637:I637"/>
    <mergeCell ref="C638:I638"/>
    <mergeCell ref="C639:I639"/>
    <mergeCell ref="C640:I640"/>
    <mergeCell ref="C641:I641"/>
    <mergeCell ref="C630:I630"/>
    <mergeCell ref="C631:I631"/>
    <mergeCell ref="C632:I632"/>
    <mergeCell ref="C633:I633"/>
    <mergeCell ref="C634:I634"/>
    <mergeCell ref="C635:I635"/>
    <mergeCell ref="C624:I624"/>
    <mergeCell ref="C625:I625"/>
    <mergeCell ref="C626:I626"/>
    <mergeCell ref="C627:I627"/>
    <mergeCell ref="C628:I628"/>
    <mergeCell ref="C629:I629"/>
    <mergeCell ref="C618:I618"/>
    <mergeCell ref="C619:I619"/>
    <mergeCell ref="C620:I620"/>
    <mergeCell ref="C621:I621"/>
    <mergeCell ref="C622:I622"/>
    <mergeCell ref="C623:I623"/>
    <mergeCell ref="C612:I612"/>
    <mergeCell ref="C613:I613"/>
    <mergeCell ref="C614:I614"/>
    <mergeCell ref="C615:I615"/>
    <mergeCell ref="C616:I616"/>
    <mergeCell ref="C617:I617"/>
    <mergeCell ref="C606:I606"/>
    <mergeCell ref="C607:I607"/>
    <mergeCell ref="C608:I608"/>
    <mergeCell ref="C609:I609"/>
    <mergeCell ref="C610:I610"/>
    <mergeCell ref="C611:I611"/>
    <mergeCell ref="C600:I600"/>
    <mergeCell ref="C601:I601"/>
    <mergeCell ref="C602:I602"/>
    <mergeCell ref="C603:I603"/>
    <mergeCell ref="C604:I604"/>
    <mergeCell ref="C605:I605"/>
    <mergeCell ref="C594:I594"/>
    <mergeCell ref="C595:I595"/>
    <mergeCell ref="C596:I596"/>
    <mergeCell ref="C597:I597"/>
    <mergeCell ref="C598:I598"/>
    <mergeCell ref="C599:I599"/>
    <mergeCell ref="C588:I588"/>
    <mergeCell ref="C589:I589"/>
    <mergeCell ref="C590:I590"/>
    <mergeCell ref="C591:I591"/>
    <mergeCell ref="C592:I592"/>
    <mergeCell ref="C593:I593"/>
    <mergeCell ref="C582:I582"/>
    <mergeCell ref="C583:I583"/>
    <mergeCell ref="C584:I584"/>
    <mergeCell ref="C585:I585"/>
    <mergeCell ref="C586:I586"/>
    <mergeCell ref="C587:I587"/>
    <mergeCell ref="C576:I576"/>
    <mergeCell ref="C577:I577"/>
    <mergeCell ref="C578:I578"/>
    <mergeCell ref="C579:I579"/>
    <mergeCell ref="C580:I580"/>
    <mergeCell ref="C581:I581"/>
    <mergeCell ref="C570:I570"/>
    <mergeCell ref="C571:I571"/>
    <mergeCell ref="C572:I572"/>
    <mergeCell ref="C573:I573"/>
    <mergeCell ref="C574:I574"/>
    <mergeCell ref="C575:I575"/>
    <mergeCell ref="C564:I564"/>
    <mergeCell ref="C565:I565"/>
    <mergeCell ref="C566:I566"/>
    <mergeCell ref="C567:I567"/>
    <mergeCell ref="C568:I568"/>
    <mergeCell ref="C569:I569"/>
    <mergeCell ref="C558:I558"/>
    <mergeCell ref="C559:I559"/>
    <mergeCell ref="C560:I560"/>
    <mergeCell ref="C561:I561"/>
    <mergeCell ref="C562:I562"/>
    <mergeCell ref="C563:I563"/>
    <mergeCell ref="C552:I552"/>
    <mergeCell ref="C553:I553"/>
    <mergeCell ref="C554:I554"/>
    <mergeCell ref="C555:I555"/>
    <mergeCell ref="C556:I556"/>
    <mergeCell ref="C557:I557"/>
    <mergeCell ref="C547:I547"/>
    <mergeCell ref="C548:I548"/>
    <mergeCell ref="C549:I549"/>
    <mergeCell ref="C550:I550"/>
    <mergeCell ref="C551:I551"/>
    <mergeCell ref="C529:I529"/>
    <mergeCell ref="C530:I530"/>
    <mergeCell ref="C531:I531"/>
    <mergeCell ref="C532:I532"/>
    <mergeCell ref="C533:I533"/>
    <mergeCell ref="C534:I534"/>
    <mergeCell ref="C523:I523"/>
    <mergeCell ref="C524:I524"/>
    <mergeCell ref="C525:I525"/>
    <mergeCell ref="C526:I526"/>
    <mergeCell ref="C527:I527"/>
    <mergeCell ref="C528:I528"/>
    <mergeCell ref="C541:I541"/>
    <mergeCell ref="C542:I542"/>
    <mergeCell ref="C543:I543"/>
    <mergeCell ref="C544:I544"/>
    <mergeCell ref="C545:I545"/>
    <mergeCell ref="C546:I546"/>
    <mergeCell ref="C535:I535"/>
    <mergeCell ref="C536:I536"/>
    <mergeCell ref="C537:I537"/>
    <mergeCell ref="C538:I538"/>
    <mergeCell ref="C539:I539"/>
    <mergeCell ref="C540:I540"/>
    <mergeCell ref="C517:I517"/>
    <mergeCell ref="C518:I518"/>
    <mergeCell ref="C519:I519"/>
    <mergeCell ref="C520:I520"/>
    <mergeCell ref="C521:I521"/>
    <mergeCell ref="C522:I522"/>
    <mergeCell ref="C511:I511"/>
    <mergeCell ref="C512:I512"/>
    <mergeCell ref="C513:I513"/>
    <mergeCell ref="C514:I514"/>
    <mergeCell ref="C515:I515"/>
    <mergeCell ref="C516:I516"/>
    <mergeCell ref="C505:I505"/>
    <mergeCell ref="C506:I506"/>
    <mergeCell ref="C507:I507"/>
    <mergeCell ref="C508:I508"/>
    <mergeCell ref="C509:I509"/>
    <mergeCell ref="C510:I510"/>
    <mergeCell ref="C499:I499"/>
    <mergeCell ref="C500:I500"/>
    <mergeCell ref="C501:I501"/>
    <mergeCell ref="C502:I502"/>
    <mergeCell ref="C503:I503"/>
    <mergeCell ref="C504:I504"/>
    <mergeCell ref="C493:I493"/>
    <mergeCell ref="C494:I494"/>
    <mergeCell ref="C495:I495"/>
    <mergeCell ref="C496:I496"/>
    <mergeCell ref="C497:I497"/>
    <mergeCell ref="C498:I498"/>
    <mergeCell ref="C487:I487"/>
    <mergeCell ref="C488:I488"/>
    <mergeCell ref="C489:I489"/>
    <mergeCell ref="C490:I490"/>
    <mergeCell ref="C491:I491"/>
    <mergeCell ref="C492:I492"/>
    <mergeCell ref="C481:I481"/>
    <mergeCell ref="C482:I482"/>
    <mergeCell ref="C483:I483"/>
    <mergeCell ref="C484:I484"/>
    <mergeCell ref="C485:I485"/>
    <mergeCell ref="C486:I486"/>
    <mergeCell ref="C475:I475"/>
    <mergeCell ref="C476:I476"/>
    <mergeCell ref="C477:I477"/>
    <mergeCell ref="C478:I478"/>
    <mergeCell ref="C479:I479"/>
    <mergeCell ref="C480:I480"/>
    <mergeCell ref="C469:I469"/>
    <mergeCell ref="C470:I470"/>
    <mergeCell ref="C471:I471"/>
    <mergeCell ref="C472:I472"/>
    <mergeCell ref="C473:I473"/>
    <mergeCell ref="C474:I474"/>
    <mergeCell ref="C463:I463"/>
    <mergeCell ref="C464:I464"/>
    <mergeCell ref="C465:I465"/>
    <mergeCell ref="C466:I466"/>
    <mergeCell ref="C467:I467"/>
    <mergeCell ref="C468:I468"/>
    <mergeCell ref="C457:I457"/>
    <mergeCell ref="C458:I458"/>
    <mergeCell ref="C460:I460"/>
    <mergeCell ref="C461:I461"/>
    <mergeCell ref="C462:I462"/>
    <mergeCell ref="C451:I451"/>
    <mergeCell ref="C452:I452"/>
    <mergeCell ref="C453:I453"/>
    <mergeCell ref="C454:I454"/>
    <mergeCell ref="C455:I455"/>
    <mergeCell ref="C456:I456"/>
    <mergeCell ref="C459:I459"/>
    <mergeCell ref="C445:I445"/>
    <mergeCell ref="C446:I446"/>
    <mergeCell ref="C447:I447"/>
    <mergeCell ref="C448:I448"/>
    <mergeCell ref="C449:I449"/>
    <mergeCell ref="C450:I450"/>
    <mergeCell ref="C439:I439"/>
    <mergeCell ref="C440:I440"/>
    <mergeCell ref="C441:I441"/>
    <mergeCell ref="C442:I442"/>
    <mergeCell ref="C443:I443"/>
    <mergeCell ref="C444:I444"/>
    <mergeCell ref="C433:I433"/>
    <mergeCell ref="C434:I434"/>
    <mergeCell ref="C435:I435"/>
    <mergeCell ref="C436:I436"/>
    <mergeCell ref="C437:I437"/>
    <mergeCell ref="C438:I438"/>
    <mergeCell ref="C427:I427"/>
    <mergeCell ref="C428:I428"/>
    <mergeCell ref="C429:I429"/>
    <mergeCell ref="C430:I430"/>
    <mergeCell ref="C431:I431"/>
    <mergeCell ref="C432:I432"/>
    <mergeCell ref="C421:I421"/>
    <mergeCell ref="C422:I422"/>
    <mergeCell ref="C423:I423"/>
    <mergeCell ref="C424:I424"/>
    <mergeCell ref="C425:I425"/>
    <mergeCell ref="C426:I426"/>
    <mergeCell ref="C415:I415"/>
    <mergeCell ref="C416:I416"/>
    <mergeCell ref="C417:I417"/>
    <mergeCell ref="C418:I418"/>
    <mergeCell ref="C419:I419"/>
    <mergeCell ref="C420:I420"/>
    <mergeCell ref="C409:I409"/>
    <mergeCell ref="C410:I410"/>
    <mergeCell ref="C411:I411"/>
    <mergeCell ref="C412:I412"/>
    <mergeCell ref="C413:I413"/>
    <mergeCell ref="C414:I414"/>
    <mergeCell ref="C403:I403"/>
    <mergeCell ref="C404:I404"/>
    <mergeCell ref="C405:I405"/>
    <mergeCell ref="C406:I406"/>
    <mergeCell ref="C407:I407"/>
    <mergeCell ref="C408:I408"/>
    <mergeCell ref="C397:I397"/>
    <mergeCell ref="C398:I398"/>
    <mergeCell ref="C399:I399"/>
    <mergeCell ref="C400:I400"/>
    <mergeCell ref="C401:I401"/>
    <mergeCell ref="C402:I402"/>
    <mergeCell ref="C391:I391"/>
    <mergeCell ref="C392:I392"/>
    <mergeCell ref="C393:I393"/>
    <mergeCell ref="C394:I394"/>
    <mergeCell ref="C395:I395"/>
    <mergeCell ref="C396:I396"/>
    <mergeCell ref="C385:I385"/>
    <mergeCell ref="C386:I386"/>
    <mergeCell ref="C387:I387"/>
    <mergeCell ref="C388:I388"/>
    <mergeCell ref="C389:I389"/>
    <mergeCell ref="C390:I390"/>
    <mergeCell ref="C379:I379"/>
    <mergeCell ref="C380:I380"/>
    <mergeCell ref="C381:I381"/>
    <mergeCell ref="C382:I382"/>
    <mergeCell ref="C383:I383"/>
    <mergeCell ref="C384:I384"/>
    <mergeCell ref="C373:I373"/>
    <mergeCell ref="C374:I374"/>
    <mergeCell ref="C375:I375"/>
    <mergeCell ref="C376:I376"/>
    <mergeCell ref="C377:I377"/>
    <mergeCell ref="C378:I378"/>
    <mergeCell ref="C367:I367"/>
    <mergeCell ref="C368:I368"/>
    <mergeCell ref="C369:I369"/>
    <mergeCell ref="C370:I370"/>
    <mergeCell ref="C371:I371"/>
    <mergeCell ref="C372:I372"/>
    <mergeCell ref="C361:I361"/>
    <mergeCell ref="C362:I362"/>
    <mergeCell ref="C363:I363"/>
    <mergeCell ref="C364:I364"/>
    <mergeCell ref="C365:I365"/>
    <mergeCell ref="C366:I366"/>
    <mergeCell ref="C355:I355"/>
    <mergeCell ref="C356:I356"/>
    <mergeCell ref="C357:I357"/>
    <mergeCell ref="C358:I358"/>
    <mergeCell ref="C359:I359"/>
    <mergeCell ref="C360:I360"/>
    <mergeCell ref="C349:I349"/>
    <mergeCell ref="C350:I350"/>
    <mergeCell ref="C351:I351"/>
    <mergeCell ref="C352:I352"/>
    <mergeCell ref="C353:I353"/>
    <mergeCell ref="C354:I354"/>
    <mergeCell ref="C343:I343"/>
    <mergeCell ref="C344:I344"/>
    <mergeCell ref="C345:I345"/>
    <mergeCell ref="C346:I346"/>
    <mergeCell ref="C347:I347"/>
    <mergeCell ref="C348:I348"/>
    <mergeCell ref="C337:I337"/>
    <mergeCell ref="C338:I338"/>
    <mergeCell ref="C339:I339"/>
    <mergeCell ref="C340:I340"/>
    <mergeCell ref="C341:I341"/>
    <mergeCell ref="C342:I342"/>
    <mergeCell ref="C331:I331"/>
    <mergeCell ref="C332:I332"/>
    <mergeCell ref="C333:I333"/>
    <mergeCell ref="C334:I334"/>
    <mergeCell ref="C335:I335"/>
    <mergeCell ref="C336:I336"/>
    <mergeCell ref="C325:I325"/>
    <mergeCell ref="C326:I326"/>
    <mergeCell ref="C327:I327"/>
    <mergeCell ref="C328:I328"/>
    <mergeCell ref="C329:I329"/>
    <mergeCell ref="C330:I330"/>
    <mergeCell ref="C319:I319"/>
    <mergeCell ref="C320:I320"/>
    <mergeCell ref="C321:I321"/>
    <mergeCell ref="C322:I322"/>
    <mergeCell ref="C323:I323"/>
    <mergeCell ref="C324:I324"/>
    <mergeCell ref="C313:I313"/>
    <mergeCell ref="C314:I314"/>
    <mergeCell ref="C315:I315"/>
    <mergeCell ref="C316:I316"/>
    <mergeCell ref="C317:I317"/>
    <mergeCell ref="C318:I318"/>
    <mergeCell ref="C307:I307"/>
    <mergeCell ref="C308:I308"/>
    <mergeCell ref="C309:I309"/>
    <mergeCell ref="C310:I310"/>
    <mergeCell ref="C311:I311"/>
    <mergeCell ref="C312:I312"/>
    <mergeCell ref="C301:I301"/>
    <mergeCell ref="C302:I302"/>
    <mergeCell ref="C303:I303"/>
    <mergeCell ref="C304:I304"/>
    <mergeCell ref="C305:I305"/>
    <mergeCell ref="C306:I306"/>
    <mergeCell ref="C295:I295"/>
    <mergeCell ref="C296:I296"/>
    <mergeCell ref="C297:I297"/>
    <mergeCell ref="C298:I298"/>
    <mergeCell ref="C299:I299"/>
    <mergeCell ref="C300:I300"/>
    <mergeCell ref="C289:I289"/>
    <mergeCell ref="C290:I290"/>
    <mergeCell ref="C291:I291"/>
    <mergeCell ref="C292:I292"/>
    <mergeCell ref="C293:I293"/>
    <mergeCell ref="C294:I294"/>
    <mergeCell ref="C283:I283"/>
    <mergeCell ref="C284:I284"/>
    <mergeCell ref="C285:I285"/>
    <mergeCell ref="C286:I286"/>
    <mergeCell ref="C287:I287"/>
    <mergeCell ref="C288:I288"/>
    <mergeCell ref="C279:I279"/>
    <mergeCell ref="C280:I280"/>
    <mergeCell ref="C281:I281"/>
    <mergeCell ref="C282:I282"/>
    <mergeCell ref="C271:I271"/>
    <mergeCell ref="C272:I272"/>
    <mergeCell ref="C273:I273"/>
    <mergeCell ref="C274:I274"/>
    <mergeCell ref="C275:I275"/>
    <mergeCell ref="C278:I278"/>
    <mergeCell ref="C276:I276"/>
    <mergeCell ref="C277:I277"/>
    <mergeCell ref="C265:I265"/>
    <mergeCell ref="C266:I266"/>
    <mergeCell ref="C267:I267"/>
    <mergeCell ref="C268:I268"/>
    <mergeCell ref="C269:I269"/>
    <mergeCell ref="C270:I270"/>
    <mergeCell ref="C259:I259"/>
    <mergeCell ref="C260:I260"/>
    <mergeCell ref="C261:I261"/>
    <mergeCell ref="C262:I262"/>
    <mergeCell ref="C263:I263"/>
    <mergeCell ref="C264:I264"/>
    <mergeCell ref="C253:I253"/>
    <mergeCell ref="C254:I254"/>
    <mergeCell ref="C255:I255"/>
    <mergeCell ref="C256:I256"/>
    <mergeCell ref="C257:I257"/>
    <mergeCell ref="C258:I258"/>
    <mergeCell ref="C247:I247"/>
    <mergeCell ref="C248:I248"/>
    <mergeCell ref="C249:I249"/>
    <mergeCell ref="C250:I250"/>
    <mergeCell ref="C251:I251"/>
    <mergeCell ref="C252:I252"/>
    <mergeCell ref="C241:I241"/>
    <mergeCell ref="C242:I242"/>
    <mergeCell ref="C243:I243"/>
    <mergeCell ref="C244:I244"/>
    <mergeCell ref="C245:I245"/>
    <mergeCell ref="C246:I246"/>
    <mergeCell ref="C235:I235"/>
    <mergeCell ref="C236:I236"/>
    <mergeCell ref="C237:I237"/>
    <mergeCell ref="C238:I238"/>
    <mergeCell ref="C239:I239"/>
    <mergeCell ref="C240:I240"/>
    <mergeCell ref="C229:I229"/>
    <mergeCell ref="C230:I230"/>
    <mergeCell ref="C231:I231"/>
    <mergeCell ref="C232:I232"/>
    <mergeCell ref="C233:I233"/>
    <mergeCell ref="C234:I234"/>
    <mergeCell ref="C223:I223"/>
    <mergeCell ref="C224:I224"/>
    <mergeCell ref="C225:I225"/>
    <mergeCell ref="C226:I226"/>
    <mergeCell ref="C227:I227"/>
    <mergeCell ref="C228:I228"/>
    <mergeCell ref="C217:I217"/>
    <mergeCell ref="C218:I218"/>
    <mergeCell ref="C219:I219"/>
    <mergeCell ref="C220:I220"/>
    <mergeCell ref="C221:I221"/>
    <mergeCell ref="C222:I222"/>
    <mergeCell ref="C211:I211"/>
    <mergeCell ref="C212:I212"/>
    <mergeCell ref="C213:I213"/>
    <mergeCell ref="C214:I214"/>
    <mergeCell ref="C215:I215"/>
    <mergeCell ref="C216:I216"/>
    <mergeCell ref="C205:I205"/>
    <mergeCell ref="C206:I206"/>
    <mergeCell ref="C207:I207"/>
    <mergeCell ref="C208:I208"/>
    <mergeCell ref="C209:I209"/>
    <mergeCell ref="C210:I210"/>
    <mergeCell ref="C199:I199"/>
    <mergeCell ref="C200:I200"/>
    <mergeCell ref="C201:I201"/>
    <mergeCell ref="C202:I202"/>
    <mergeCell ref="C203:I203"/>
    <mergeCell ref="C204:I204"/>
    <mergeCell ref="C193:I193"/>
    <mergeCell ref="C194:I194"/>
    <mergeCell ref="C195:I195"/>
    <mergeCell ref="C196:I196"/>
    <mergeCell ref="C197:I197"/>
    <mergeCell ref="C198:I198"/>
    <mergeCell ref="C187:I187"/>
    <mergeCell ref="C188:I188"/>
    <mergeCell ref="C189:I189"/>
    <mergeCell ref="C190:I190"/>
    <mergeCell ref="C191:I191"/>
    <mergeCell ref="C192:I192"/>
    <mergeCell ref="C181:I181"/>
    <mergeCell ref="C182:I182"/>
    <mergeCell ref="C183:I183"/>
    <mergeCell ref="C184:I184"/>
    <mergeCell ref="C185:I185"/>
    <mergeCell ref="C186:I186"/>
    <mergeCell ref="C175:I175"/>
    <mergeCell ref="C176:I176"/>
    <mergeCell ref="C177:I177"/>
    <mergeCell ref="C178:I178"/>
    <mergeCell ref="C179:I179"/>
    <mergeCell ref="C180:I180"/>
    <mergeCell ref="C169:I169"/>
    <mergeCell ref="C170:I170"/>
    <mergeCell ref="C171:I171"/>
    <mergeCell ref="C172:I172"/>
    <mergeCell ref="C173:I173"/>
    <mergeCell ref="C174:I174"/>
    <mergeCell ref="C163:I163"/>
    <mergeCell ref="C164:I164"/>
    <mergeCell ref="C165:I165"/>
    <mergeCell ref="C166:I166"/>
    <mergeCell ref="C167:I167"/>
    <mergeCell ref="C168:I168"/>
    <mergeCell ref="C157:I157"/>
    <mergeCell ref="C158:I158"/>
    <mergeCell ref="C159:I159"/>
    <mergeCell ref="C160:I160"/>
    <mergeCell ref="C161:I161"/>
    <mergeCell ref="C162:I162"/>
    <mergeCell ref="C151:I151"/>
    <mergeCell ref="C152:I152"/>
    <mergeCell ref="C153:I153"/>
    <mergeCell ref="C154:I154"/>
    <mergeCell ref="C155:I155"/>
    <mergeCell ref="C156:I156"/>
    <mergeCell ref="C145:I145"/>
    <mergeCell ref="C146:I146"/>
    <mergeCell ref="C147:I147"/>
    <mergeCell ref="C148:I148"/>
    <mergeCell ref="C149:I149"/>
    <mergeCell ref="C150:I150"/>
    <mergeCell ref="C139:I139"/>
    <mergeCell ref="C140:I140"/>
    <mergeCell ref="C141:I141"/>
    <mergeCell ref="C142:I142"/>
    <mergeCell ref="C143:I143"/>
    <mergeCell ref="C144:I144"/>
    <mergeCell ref="C133:I133"/>
    <mergeCell ref="C134:I134"/>
    <mergeCell ref="C135:I135"/>
    <mergeCell ref="C136:I136"/>
    <mergeCell ref="C137:I137"/>
    <mergeCell ref="C138:I138"/>
    <mergeCell ref="C127:I127"/>
    <mergeCell ref="C128:I128"/>
    <mergeCell ref="C129:I129"/>
    <mergeCell ref="C130:I130"/>
    <mergeCell ref="C131:I131"/>
    <mergeCell ref="C132:I132"/>
    <mergeCell ref="C121:I121"/>
    <mergeCell ref="C122:I122"/>
    <mergeCell ref="C123:I123"/>
    <mergeCell ref="C124:I124"/>
    <mergeCell ref="C125:I125"/>
    <mergeCell ref="C126:I126"/>
    <mergeCell ref="C115:I115"/>
    <mergeCell ref="C116:I116"/>
    <mergeCell ref="C117:I117"/>
    <mergeCell ref="C118:I118"/>
    <mergeCell ref="C119:I119"/>
    <mergeCell ref="C120:I120"/>
    <mergeCell ref="C109:I109"/>
    <mergeCell ref="C110:I110"/>
    <mergeCell ref="C111:I111"/>
    <mergeCell ref="C112:I112"/>
    <mergeCell ref="C113:I113"/>
    <mergeCell ref="C114:I114"/>
    <mergeCell ref="C103:I103"/>
    <mergeCell ref="C104:I104"/>
    <mergeCell ref="C105:I105"/>
    <mergeCell ref="C106:I106"/>
    <mergeCell ref="C107:I107"/>
    <mergeCell ref="C108:I108"/>
    <mergeCell ref="C97:I97"/>
    <mergeCell ref="C98:I98"/>
    <mergeCell ref="C99:I99"/>
    <mergeCell ref="C100:I100"/>
    <mergeCell ref="C101:I101"/>
    <mergeCell ref="C102:I102"/>
    <mergeCell ref="C91:I91"/>
    <mergeCell ref="C92:I92"/>
    <mergeCell ref="C93:I93"/>
    <mergeCell ref="C94:I94"/>
    <mergeCell ref="C95:I95"/>
    <mergeCell ref="C96:I96"/>
    <mergeCell ref="C85:I85"/>
    <mergeCell ref="C86:I86"/>
    <mergeCell ref="C87:I87"/>
    <mergeCell ref="C88:I88"/>
    <mergeCell ref="C89:I89"/>
    <mergeCell ref="C90:I90"/>
    <mergeCell ref="C79:I79"/>
    <mergeCell ref="C80:I80"/>
    <mergeCell ref="C81:I81"/>
    <mergeCell ref="C82:I82"/>
    <mergeCell ref="C83:I83"/>
    <mergeCell ref="C84:I84"/>
    <mergeCell ref="C73:I73"/>
    <mergeCell ref="C74:I74"/>
    <mergeCell ref="C75:I75"/>
    <mergeCell ref="C76:I76"/>
    <mergeCell ref="C77:I77"/>
    <mergeCell ref="C78:I78"/>
    <mergeCell ref="C67:I67"/>
    <mergeCell ref="C68:I68"/>
    <mergeCell ref="C69:I69"/>
    <mergeCell ref="C70:I70"/>
    <mergeCell ref="C71:I71"/>
    <mergeCell ref="C72:I72"/>
    <mergeCell ref="C60:I60"/>
    <mergeCell ref="C62:I62"/>
    <mergeCell ref="C63:I63"/>
    <mergeCell ref="C64:I64"/>
    <mergeCell ref="C65:I65"/>
    <mergeCell ref="C66:I66"/>
    <mergeCell ref="C54:I54"/>
    <mergeCell ref="C55:I55"/>
    <mergeCell ref="C56:I56"/>
    <mergeCell ref="C57:I57"/>
    <mergeCell ref="C58:I58"/>
    <mergeCell ref="C59:I59"/>
    <mergeCell ref="C61:I61"/>
    <mergeCell ref="C48:I48"/>
    <mergeCell ref="C49:I49"/>
    <mergeCell ref="C50:I50"/>
    <mergeCell ref="C51:I51"/>
    <mergeCell ref="C52:I52"/>
    <mergeCell ref="C53:I53"/>
    <mergeCell ref="C42:I42"/>
    <mergeCell ref="C43:I43"/>
    <mergeCell ref="C44:I44"/>
    <mergeCell ref="C45:I45"/>
    <mergeCell ref="C46:I46"/>
    <mergeCell ref="C47:I47"/>
    <mergeCell ref="C36:I36"/>
    <mergeCell ref="C37:I37"/>
    <mergeCell ref="C38:I38"/>
    <mergeCell ref="C39:I39"/>
    <mergeCell ref="C40:I40"/>
    <mergeCell ref="C41:I41"/>
    <mergeCell ref="C29:I29"/>
    <mergeCell ref="C31:I31"/>
    <mergeCell ref="C32:I32"/>
    <mergeCell ref="C33:I33"/>
    <mergeCell ref="C34:I34"/>
    <mergeCell ref="C35:I35"/>
    <mergeCell ref="C24:I24"/>
    <mergeCell ref="C25:I25"/>
    <mergeCell ref="C26:I26"/>
    <mergeCell ref="C27:I27"/>
    <mergeCell ref="C28:I28"/>
    <mergeCell ref="C17:I17"/>
    <mergeCell ref="C18:I18"/>
    <mergeCell ref="C19:I19"/>
    <mergeCell ref="C20:I20"/>
    <mergeCell ref="C21:I21"/>
    <mergeCell ref="C22:I22"/>
    <mergeCell ref="C13:I13"/>
    <mergeCell ref="C14:I14"/>
    <mergeCell ref="C15:I15"/>
    <mergeCell ref="C16:I16"/>
    <mergeCell ref="B3:D10"/>
    <mergeCell ref="E3:P10"/>
    <mergeCell ref="C11:I11"/>
    <mergeCell ref="C12:I12"/>
    <mergeCell ref="C23:I23"/>
  </mergeCells>
  <hyperlinks>
    <hyperlink ref="P626" r:id="rId1" xr:uid="{9B9C0432-3471-4360-955D-A98CF3494A82}"/>
    <hyperlink ref="P625" r:id="rId2" xr:uid="{1F8DCF44-3AA5-4508-B072-D603A5F671B8}"/>
    <hyperlink ref="P624" r:id="rId3" xr:uid="{F7D01FF7-7A96-4B4D-8A6B-763592DF1128}"/>
    <hyperlink ref="P623" r:id="rId4" xr:uid="{8CAA909E-A708-4EC9-937E-50FCCCF620FA}"/>
    <hyperlink ref="P621" r:id="rId5" xr:uid="{9441EEC7-02A2-42D2-88A8-5794E5EB8105}"/>
    <hyperlink ref="P620" r:id="rId6" xr:uid="{AB42D30A-4A39-4E04-8236-9F6AEA598196}"/>
    <hyperlink ref="P618" r:id="rId7" xr:uid="{1ADBA749-7E3F-4D16-AA4B-97798E1A5672}"/>
    <hyperlink ref="P617" r:id="rId8" xr:uid="{8F43FF5F-77B0-4A05-A57D-EAE85F310D3B}"/>
    <hyperlink ref="P616" r:id="rId9" xr:uid="{E70CA3DD-B180-4AA5-943F-0BCE6F330BFF}"/>
    <hyperlink ref="P613" r:id="rId10" xr:uid="{D8233427-81A2-4DA2-8F17-EF4465A96E6D}"/>
    <hyperlink ref="P612" r:id="rId11" xr:uid="{C5B1F1B6-5A00-4242-A6AC-73286413065A}"/>
    <hyperlink ref="P610" r:id="rId12" xr:uid="{F86B95F3-256F-4323-B02C-E2CD4D2C323E}"/>
    <hyperlink ref="P609" r:id="rId13" xr:uid="{09FAF891-15CD-4C5D-A6AC-D43D0C191F0A}"/>
    <hyperlink ref="P607" r:id="rId14" xr:uid="{FB3EFE87-529E-4871-9F14-04636A86632C}"/>
    <hyperlink ref="P606" r:id="rId15" xr:uid="{689840BF-4292-4696-A3AC-572E1FE05D6F}"/>
    <hyperlink ref="P602" r:id="rId16" xr:uid="{B0BC77C9-5BAE-4626-8100-EEFAF77E04C0}"/>
    <hyperlink ref="P601" r:id="rId17" xr:uid="{941081C7-CD23-4577-8088-3285E0455DBE}"/>
    <hyperlink ref="P599" r:id="rId18" xr:uid="{3C5E9F6B-DF10-46F3-A5B3-EA115133C9F2}"/>
    <hyperlink ref="P600" r:id="rId19" xr:uid="{431B79CF-2E8D-4B0F-ABD3-06D7A58F592C}"/>
    <hyperlink ref="P598" r:id="rId20" xr:uid="{F0BEE86A-8137-4492-9A06-267ABBFCF844}"/>
    <hyperlink ref="P597" r:id="rId21" xr:uid="{54E015D2-9653-42AE-9BE6-D04C2C1306DC}"/>
    <hyperlink ref="P596" r:id="rId22" xr:uid="{81F9EBAD-56B6-4C1A-B339-D33743D4360D}"/>
    <hyperlink ref="P595" r:id="rId23" xr:uid="{252C0757-1BE9-4AF2-83A3-3D612C79440A}"/>
    <hyperlink ref="P594" r:id="rId24" xr:uid="{39329FC1-B652-4BF3-9916-CC559C5B13BE}"/>
    <hyperlink ref="P593" r:id="rId25" xr:uid="{B9058F4B-C75E-48F4-991E-0D84A8AC92DC}"/>
    <hyperlink ref="P592" r:id="rId26" xr:uid="{7FB03C2E-BA80-4BA0-A7FF-5FFC29F31939}"/>
    <hyperlink ref="P591" r:id="rId27" xr:uid="{6BCCA273-74CD-4CEC-8883-99308C70E477}"/>
    <hyperlink ref="P590" r:id="rId28" xr:uid="{6917737A-EF6E-4122-AD5F-CB4136348F65}"/>
    <hyperlink ref="P589" r:id="rId29" xr:uid="{E081AF56-BBF4-4909-86B7-B48DA8BB2294}"/>
    <hyperlink ref="P587" r:id="rId30" xr:uid="{0AA261B9-EC1C-40C9-AB3B-15FA23B347D5}"/>
    <hyperlink ref="P586" r:id="rId31" xr:uid="{4B927A2D-7507-4B0A-A5E0-476E0E3A93DB}"/>
    <hyperlink ref="P585" r:id="rId32" xr:uid="{DD04310C-E519-459A-A076-955666B99291}"/>
    <hyperlink ref="P584" r:id="rId33" xr:uid="{B4963FEE-94E4-43E7-99C6-3AEFFCBF8081}"/>
    <hyperlink ref="P582" r:id="rId34" xr:uid="{9EF0219D-E5BA-47AD-BDD5-BDD9EDEAB851}"/>
    <hyperlink ref="P581" r:id="rId35" xr:uid="{6483D69C-C538-4B39-A0D4-CA07FBD6515A}"/>
    <hyperlink ref="P580" r:id="rId36" xr:uid="{34993D93-FD4F-46B9-9B90-F83192AD574F}"/>
    <hyperlink ref="P577" r:id="rId37" xr:uid="{0CFBB0C1-289F-450F-975F-4CA84DB537B8}"/>
    <hyperlink ref="P576" r:id="rId38" xr:uid="{806FCBA5-EB93-484B-814E-4CC15D01141C}"/>
    <hyperlink ref="P575" r:id="rId39" xr:uid="{E2205D7C-94CD-4C5D-B7CD-34B6B8AFDB13}"/>
    <hyperlink ref="P574" r:id="rId40" xr:uid="{0C8294BA-B294-4227-936D-075268861ED1}"/>
    <hyperlink ref="P573" r:id="rId41" xr:uid="{5CCB9389-8ABD-439E-A359-5E9A66203B11}"/>
    <hyperlink ref="P572" r:id="rId42" xr:uid="{B49FA8DA-C5A4-4B8B-9C4F-7666F7251E91}"/>
    <hyperlink ref="P571" r:id="rId43" xr:uid="{6694379A-FB1C-442B-BC1C-A8D565C0A536}"/>
    <hyperlink ref="P570" r:id="rId44" xr:uid="{5C638CEA-5C42-426A-A431-454F1EC3EA90}"/>
    <hyperlink ref="P569" r:id="rId45" xr:uid="{B5C00908-8DBE-4306-89E4-261C7CDB6368}"/>
    <hyperlink ref="P563" r:id="rId46" xr:uid="{B8298154-1E93-47B8-852E-AEF2B612FB11}"/>
    <hyperlink ref="P568" r:id="rId47" xr:uid="{E06321E8-FEF2-4B22-A197-1DC4AA41982A}"/>
    <hyperlink ref="P567" r:id="rId48" xr:uid="{F5EB3C50-8074-482E-9428-CEC8D898A7EF}"/>
    <hyperlink ref="P566" r:id="rId49" xr:uid="{B9D9FDCC-F2CF-41BC-92E8-584D550BCCC9}"/>
    <hyperlink ref="P565" r:id="rId50" xr:uid="{1B8886C7-9609-4F99-8F92-46FC2C289E44}"/>
    <hyperlink ref="P562" r:id="rId51" xr:uid="{1C6A1C46-5F22-4FCE-B95F-A694285B7CE6}"/>
    <hyperlink ref="P561" r:id="rId52" xr:uid="{52225E31-BE36-4A1D-9C53-571E3B170B5C}"/>
    <hyperlink ref="P560" r:id="rId53" xr:uid="{E2839368-E318-486A-919C-5131DA7030A9}"/>
    <hyperlink ref="P559" r:id="rId54" xr:uid="{769EB84A-B3DF-43A1-9228-EA234BEE072F}"/>
    <hyperlink ref="P558" r:id="rId55" xr:uid="{C219C661-E219-49BD-B2A1-3E3D2002E628}"/>
    <hyperlink ref="P557" r:id="rId56" xr:uid="{87761999-7685-46B2-82C4-BE633EE6914C}"/>
    <hyperlink ref="P556" r:id="rId57" xr:uid="{F23722B2-7AC9-4D5E-AD27-D3314A88CBD3}"/>
    <hyperlink ref="P555" r:id="rId58" xr:uid="{985DF43A-DE41-4A76-A30D-77ECCC0A96FB}"/>
    <hyperlink ref="P553" r:id="rId59" xr:uid="{DDBCB5BE-D39C-4C77-A08B-48B8CFA3B8E4}"/>
    <hyperlink ref="P552" r:id="rId60" xr:uid="{34BC8209-0B8C-4B63-9AA8-8759637B3C5D}"/>
    <hyperlink ref="P549" r:id="rId61" xr:uid="{AF2719A2-7981-4387-B0E3-33CEF075C6D9}"/>
    <hyperlink ref="P548" r:id="rId62" xr:uid="{EA5F1B02-D8AE-48B1-B3A7-94EE5DE29759}"/>
    <hyperlink ref="P547" r:id="rId63" xr:uid="{51DB7497-6E2E-4841-9793-0A03457E22B7}"/>
    <hyperlink ref="P545" r:id="rId64" xr:uid="{29F81F13-A066-40ED-82FC-B9D5A6EF3FB1}"/>
    <hyperlink ref="P544" r:id="rId65" display="mailto:posventas@perfek.com.co" xr:uid="{99C6E836-9403-4825-B888-D60605C33A9D}"/>
    <hyperlink ref="P543" r:id="rId66" xr:uid="{6BF900EB-B454-45AF-90CA-B89CFAC48FD7}"/>
    <hyperlink ref="P542" r:id="rId67" xr:uid="{A0819414-94EF-4C21-84F1-12C3CDD0F814}"/>
    <hyperlink ref="P541" r:id="rId68" xr:uid="{3A1035A1-A58B-43FD-AB3C-70DBECB948AD}"/>
    <hyperlink ref="P540" r:id="rId69" xr:uid="{55D4CD0D-D19D-4675-8E5C-CF082787F2CD}"/>
    <hyperlink ref="P539" r:id="rId70" xr:uid="{AA780534-E760-409A-B7BF-904EDFD4E2DE}"/>
    <hyperlink ref="P538" r:id="rId71" xr:uid="{258E4DBC-B08F-4760-BFD9-7ACA1729EA30}"/>
    <hyperlink ref="P537" r:id="rId72" xr:uid="{9B47C556-92E1-4142-9918-48CA40E594BC}"/>
    <hyperlink ref="P536" r:id="rId73" xr:uid="{D3F08403-8E5E-41C1-BE8F-BAA1AAB87A8D}"/>
    <hyperlink ref="P534" r:id="rId74" xr:uid="{BDAA4837-EF99-4FC0-B931-52A8B7F8745B}"/>
    <hyperlink ref="P533" r:id="rId75" xr:uid="{6F92B364-AEF4-42A0-BB17-3906DF4C3C10}"/>
    <hyperlink ref="P531" r:id="rId76" xr:uid="{7DB2ED95-2FA5-4F14-BB88-B7B18A65AF49}"/>
    <hyperlink ref="P529" r:id="rId77" xr:uid="{3A68E9E2-C15C-4A4F-92D8-134BE0F7EFBE}"/>
    <hyperlink ref="P528" r:id="rId78" xr:uid="{81B4D8C4-88B8-42B6-83C6-E6487D02092E}"/>
    <hyperlink ref="P527" r:id="rId79" xr:uid="{620EF1CF-1C58-481E-9149-6DDFB84386EC}"/>
    <hyperlink ref="P526" r:id="rId80" xr:uid="{DF70EFE9-4C24-4CCD-AEF6-B4CAAA876DD7}"/>
    <hyperlink ref="P525" r:id="rId81" xr:uid="{AC275895-B1E5-43F1-B88A-CC91E6115445}"/>
    <hyperlink ref="P524" r:id="rId82" xr:uid="{14CC95B8-6286-40C2-96DC-208967B5D84C}"/>
    <hyperlink ref="P523" r:id="rId83" xr:uid="{DE5A0248-38FA-4FDE-A2E0-985E9AFAB195}"/>
    <hyperlink ref="P522" r:id="rId84" xr:uid="{970C0741-3B94-4C7F-A7F7-E51ED9368182}"/>
    <hyperlink ref="P521" r:id="rId85" xr:uid="{5D64D864-69AF-425C-A894-AB146DCAA7BF}"/>
    <hyperlink ref="P520" r:id="rId86" xr:uid="{7D6633D9-0A96-4221-B064-2F32109BFDAF}"/>
    <hyperlink ref="P519" r:id="rId87" display="mailto:awhite@mt.com.co" xr:uid="{BF580722-471C-4790-BF46-B30BB1F3C9BA}"/>
    <hyperlink ref="P518" r:id="rId88" xr:uid="{BE8D6DA0-B914-482B-A9C7-98DE672DC04F}"/>
    <hyperlink ref="P517" r:id="rId89" xr:uid="{C932E5F7-2C4D-4EFB-B0A8-65C1F74EFFFB}"/>
    <hyperlink ref="P516" r:id="rId90" xr:uid="{4D43702F-14B7-41BC-AB98-F94DFE2FD474}"/>
    <hyperlink ref="P515" r:id="rId91" xr:uid="{E94B743F-45C3-4D6D-9C72-C5FAB6040B04}"/>
    <hyperlink ref="P514" r:id="rId92" xr:uid="{07807BC7-71CD-416F-8274-D3D01C2DF3B7}"/>
    <hyperlink ref="P510" r:id="rId93" xr:uid="{3CDA6CDE-0E72-46C4-B56F-F7ACC2EBD3FC}"/>
    <hyperlink ref="P513" r:id="rId94" xr:uid="{BD0AD653-2F67-4F91-9EA2-786B6FBA7179}"/>
    <hyperlink ref="P477" r:id="rId95" xr:uid="{C4388A1E-4E21-4049-B592-829D5C2D307B}"/>
    <hyperlink ref="P476" r:id="rId96" xr:uid="{6435D18E-53F3-421D-A1A7-C728460AA347}"/>
    <hyperlink ref="P512" r:id="rId97" xr:uid="{B3C1AFD0-4788-4EAA-8ADC-BE2F486C5EF1}"/>
    <hyperlink ref="P511" r:id="rId98" xr:uid="{1C3CE73A-22F4-42D1-825C-5EF5A9DFC208}"/>
    <hyperlink ref="P509" r:id="rId99" xr:uid="{A90FC688-A0C2-4CA8-8687-D7EFCE59C82E}"/>
    <hyperlink ref="P508" r:id="rId100" xr:uid="{2207D3A6-EC7D-4F2F-9A7D-7AF8C4B891DE}"/>
    <hyperlink ref="P507" r:id="rId101" xr:uid="{9A566309-C571-4E90-92F9-FDD8EA40696B}"/>
    <hyperlink ref="P506" r:id="rId102" xr:uid="{09267586-0187-4D26-8197-087D1DD528C1}"/>
    <hyperlink ref="P505" r:id="rId103" xr:uid="{6AFA3BCD-3397-435E-94ED-E58B33472C61}"/>
    <hyperlink ref="P504" r:id="rId104" xr:uid="{02892D7C-F067-41E8-BD0C-A88F9A4D56EB}"/>
    <hyperlink ref="P503" r:id="rId105" xr:uid="{A5D6427A-D2F0-418D-A0FC-0ECB00F0987B}"/>
    <hyperlink ref="P502" r:id="rId106" xr:uid="{0E957CA2-A7F1-4556-8E98-324869BCE3D4}"/>
    <hyperlink ref="P501" r:id="rId107" xr:uid="{E245B016-738A-4C5A-AE24-7CEA3F3544C1}"/>
    <hyperlink ref="P500" r:id="rId108" xr:uid="{DF3FB811-6F18-4733-940B-00037E31772D}"/>
    <hyperlink ref="P498" r:id="rId109" xr:uid="{20C4A106-C4F8-4601-9F15-C94057CF18BD}"/>
    <hyperlink ref="P497" r:id="rId110" xr:uid="{D0F5915A-22BB-4988-8FC1-F4D9BE39F7D8}"/>
    <hyperlink ref="P496" r:id="rId111" xr:uid="{2AE8CE6E-D61C-434A-A79D-EB88A8633C4E}"/>
    <hyperlink ref="P495" r:id="rId112" xr:uid="{D423BA30-E862-4553-838C-15E7D7362F4D}"/>
    <hyperlink ref="P494" r:id="rId113" xr:uid="{C7F2C540-66BC-4206-A283-D439805A42AD}"/>
    <hyperlink ref="P492" r:id="rId114" xr:uid="{95D7180E-2342-4640-8C6B-7EB463F80D63}"/>
    <hyperlink ref="P491" r:id="rId115" xr:uid="{4325B560-C1D3-4A4E-AE11-08EE621880F8}"/>
    <hyperlink ref="P490" r:id="rId116" xr:uid="{83B95313-A9F9-4952-9FFE-2983013E1C44}"/>
    <hyperlink ref="P489" r:id="rId117" xr:uid="{02610225-7A95-4473-A33D-2A90162B7985}"/>
    <hyperlink ref="P488" r:id="rId118" xr:uid="{A3457FFE-EA9B-4D08-A622-595A6DA722E9}"/>
    <hyperlink ref="P487" r:id="rId119" xr:uid="{F750DCAD-E77C-41EB-ACF7-05278F69BD6A}"/>
    <hyperlink ref="P486" r:id="rId120" xr:uid="{AD8C4F72-5FC5-49FD-AA5E-52B8BC8279B5}"/>
    <hyperlink ref="P485" r:id="rId121" xr:uid="{15BF6B6E-CF75-4BBE-9985-17D095BBED9B}"/>
    <hyperlink ref="P484" r:id="rId122" xr:uid="{EF61EC41-ED23-42C1-936C-D9BD686FBC12}"/>
    <hyperlink ref="P482" r:id="rId123" xr:uid="{C4EF3B0C-B3A1-476E-B518-BB21A66C5A4B}"/>
    <hyperlink ref="P481" r:id="rId124" xr:uid="{AAEA6E78-166F-4DC5-B0CF-6E8BC9EF8683}"/>
    <hyperlink ref="P480" r:id="rId125" xr:uid="{0AAF1234-42B2-481A-ADE1-2EB486055F24}"/>
    <hyperlink ref="P479" r:id="rId126" xr:uid="{4CF1A851-FE35-4481-8620-AAFD70911A56}"/>
    <hyperlink ref="P478" r:id="rId127" xr:uid="{A8492F84-0884-417E-A955-884524C91217}"/>
    <hyperlink ref="P475" r:id="rId128" xr:uid="{69F58C8C-7CB4-4202-992A-92209D6C5F0A}"/>
    <hyperlink ref="P474" r:id="rId129" xr:uid="{B49A2A7C-BE76-4D82-B058-B269786BF1D5}"/>
    <hyperlink ref="P473" r:id="rId130" xr:uid="{12647395-E1B3-4F30-8E6B-F1B8CF34AEFB}"/>
    <hyperlink ref="P471" r:id="rId131" xr:uid="{727951FB-48F6-4861-B110-665988CD63C8}"/>
    <hyperlink ref="P470" r:id="rId132" xr:uid="{48B0D8EC-00FE-4DAB-83A0-F60FBD0A1DD0}"/>
    <hyperlink ref="P467" r:id="rId133" xr:uid="{5FA2F02F-2124-4B7D-B2FD-5E0DEE0CCCAA}"/>
    <hyperlink ref="P466" r:id="rId134" xr:uid="{AA51F380-62F6-4D57-A824-B9922F1C74F0}"/>
    <hyperlink ref="P465" r:id="rId135" display="mailto:detectarsystems@gmail.com" xr:uid="{FFF088AE-0C5F-46FC-8893-A27F58D4DFB7}"/>
    <hyperlink ref="P464" r:id="rId136" xr:uid="{A27E4EDE-D94E-4F08-98BE-AB4503B10EDC}"/>
    <hyperlink ref="P463" r:id="rId137" xr:uid="{A7CF7C97-F3F2-4023-9044-52DC401F46DA}"/>
    <hyperlink ref="P462" r:id="rId138" xr:uid="{0908BC2B-DF62-4317-ADFF-29D8DA7721D1}"/>
    <hyperlink ref="P461" r:id="rId139" xr:uid="{8BCAD9E5-4486-4719-9BF4-53A0029BD8C5}"/>
    <hyperlink ref="P460" r:id="rId140" xr:uid="{8C3C39BE-4150-4113-A551-FA31DDE035C0}"/>
    <hyperlink ref="P458" r:id="rId141" xr:uid="{C21036C6-BC4E-4AFE-811A-11932279F404}"/>
    <hyperlink ref="P459" r:id="rId142" xr:uid="{C8EF7B79-45FE-4E4B-81EE-A98FE67A52B0}"/>
    <hyperlink ref="P457" r:id="rId143" xr:uid="{87F9D4A9-2354-4D1C-9310-8ECFA4E2EF05}"/>
    <hyperlink ref="P456" r:id="rId144" xr:uid="{EEAAF3D6-17BF-4322-9E37-EC2A5282B92A}"/>
    <hyperlink ref="P455" r:id="rId145" xr:uid="{ED08F875-51C7-4C25-8CC4-613CB96CAC95}"/>
    <hyperlink ref="P454" r:id="rId146" xr:uid="{D218C58D-70D8-4DDC-81C2-788F4233CB50}"/>
    <hyperlink ref="P453" r:id="rId147" xr:uid="{FD084FE1-85A0-42F3-AE66-C09AC0954339}"/>
    <hyperlink ref="P452" r:id="rId148" xr:uid="{9D616F04-8249-4F61-B46E-059C9776AE68}"/>
    <hyperlink ref="P451" r:id="rId149" xr:uid="{BA37A35B-E404-465B-A67C-2E66F960F720}"/>
    <hyperlink ref="P450" r:id="rId150" xr:uid="{36C056ED-A05C-4524-8B7C-13D4A8F6427A}"/>
    <hyperlink ref="P449" r:id="rId151" xr:uid="{A591471E-C58D-4CF8-A6B9-1AE2E71C0D76}"/>
    <hyperlink ref="P448" r:id="rId152" xr:uid="{A3FCC508-4551-455E-A11C-C5DA99D9C6EF}"/>
    <hyperlink ref="P447" r:id="rId153" xr:uid="{3FA7D3DB-B693-405C-94A7-ECF7F4C7AB70}"/>
    <hyperlink ref="P445" r:id="rId154" xr:uid="{100835AB-554E-4DAC-A8B1-4F32A7AFB9D2}"/>
    <hyperlink ref="P446" r:id="rId155" xr:uid="{BA8686AF-426C-4ACD-8DF4-6E1EA009B2E6}"/>
    <hyperlink ref="P444" r:id="rId156" xr:uid="{1D349715-12DE-47EF-88BC-AA1A461B5DFB}"/>
    <hyperlink ref="P443" r:id="rId157" xr:uid="{62B8C837-A739-44B1-BC79-7D712E60E980}"/>
    <hyperlink ref="P442" r:id="rId158" display="mailto:diseno4@gyd.com.co" xr:uid="{BF551E40-E89D-43E9-AE6C-9D911B5A3283}"/>
    <hyperlink ref="P441" r:id="rId159" xr:uid="{35F16B4D-6E9F-4218-92DA-3B85D5B82A9B}"/>
    <hyperlink ref="P440" r:id="rId160" xr:uid="{BDFF8B42-D1CD-43A8-BDE7-AE4080D498CB}"/>
    <hyperlink ref="P439" r:id="rId161" xr:uid="{BE3F50BE-6BE5-4423-B38E-DD142DEE16E6}"/>
    <hyperlink ref="P438" r:id="rId162" xr:uid="{E22BE568-FEC0-416D-AC93-3094DC041A75}"/>
    <hyperlink ref="P437" r:id="rId163" xr:uid="{5984353A-40AD-4CA1-94BE-31E38A898197}"/>
    <hyperlink ref="P436" r:id="rId164" xr:uid="{25A9FB8F-553A-458F-8D50-185B1777AD3B}"/>
    <hyperlink ref="P434" r:id="rId165" xr:uid="{44C25F98-2100-420C-B894-9BE20834AF65}"/>
    <hyperlink ref="P435" r:id="rId166" display="mailto:jvenegas@conexoinmobiliario.com" xr:uid="{C3176B7A-EFE6-43A6-8E9A-FF08450E6913}"/>
    <hyperlink ref="P433" r:id="rId167" xr:uid="{791D688D-09B0-4499-9504-030B53F022F7}"/>
    <hyperlink ref="P432" r:id="rId168" xr:uid="{A9423DE8-20A3-41EC-9B50-79F2A08ECB22}"/>
    <hyperlink ref="P431" r:id="rId169" xr:uid="{F97CA6C4-48DD-433A-838A-30E1A83B8ACD}"/>
    <hyperlink ref="P430" r:id="rId170" xr:uid="{7EBC5C1E-E6BC-43A0-BC12-9D63EE99BDFA}"/>
    <hyperlink ref="P429" r:id="rId171" xr:uid="{53E2D105-9F34-4FF3-BA8B-402278FD44CE}"/>
    <hyperlink ref="P428" r:id="rId172" xr:uid="{3B0DA47A-FDF2-4EFD-A269-1FA115554733}"/>
    <hyperlink ref="P427" r:id="rId173" xr:uid="{317056D4-B2E9-4AC1-B56C-6719B7F98B9D}"/>
    <hyperlink ref="P426" r:id="rId174" xr:uid="{1A1BD1C8-E8D0-4529-B050-F1D7C37B6E31}"/>
    <hyperlink ref="P425" r:id="rId175" xr:uid="{B2F103F8-4874-4146-8167-9855BC764A38}"/>
    <hyperlink ref="P424" r:id="rId176" xr:uid="{4AC5F717-2F89-4851-B503-F68778A6A904}"/>
    <hyperlink ref="P423" r:id="rId177" xr:uid="{059EEC0F-2862-482B-803C-D5057924FE0B}"/>
    <hyperlink ref="P422" r:id="rId178" xr:uid="{C5F7F527-4137-47EB-9189-2A47EC32C3BE}"/>
    <hyperlink ref="P421" r:id="rId179" xr:uid="{AF9C6376-E9F8-4000-9898-B75F50C92A4E}"/>
    <hyperlink ref="P420" r:id="rId180" xr:uid="{38288A7C-2CA1-415F-9C00-B7B149C64A95}"/>
    <hyperlink ref="P419" r:id="rId181" xr:uid="{602EF82E-8875-4D6F-B9B4-5FD793B62C3A}"/>
    <hyperlink ref="P418" r:id="rId182" xr:uid="{B6D55D9B-91F0-4BC7-AA4E-282FD8FB13BC}"/>
    <hyperlink ref="P417" r:id="rId183" xr:uid="{B87EB365-EBC0-4230-9931-23007EE7999D}"/>
    <hyperlink ref="P416" r:id="rId184" xr:uid="{CAEDE4C3-3192-4FA1-8920-9514AC7251FB}"/>
    <hyperlink ref="P415" r:id="rId185" xr:uid="{30C4E594-8F65-4502-A189-62EA0A9B152D}"/>
    <hyperlink ref="P414" r:id="rId186" xr:uid="{81BD0911-2498-4843-A005-394FE557DAD8}"/>
    <hyperlink ref="P413" r:id="rId187" xr:uid="{AA193F56-F700-4C2E-B77F-66410BF45B7E}"/>
    <hyperlink ref="P412" r:id="rId188" xr:uid="{3426668C-2FAF-455C-9639-B1B1D16AAE77}"/>
    <hyperlink ref="P411" r:id="rId189" xr:uid="{1D09D13C-FE7C-45A5-B16E-787B1EF6DF11}"/>
    <hyperlink ref="P410" r:id="rId190" xr:uid="{F4A6A53A-FBF7-4DA5-9466-89D75D455189}"/>
    <hyperlink ref="P409" r:id="rId191" xr:uid="{05BE56AE-EB4D-4CBB-9E58-20A97457292E}"/>
    <hyperlink ref="P408" r:id="rId192" xr:uid="{2743E5B6-4D31-4A1F-B481-4B46221A7238}"/>
    <hyperlink ref="P407" r:id="rId193" xr:uid="{3935A3C0-EE1A-4E5B-B153-BBF280A64B3C}"/>
    <hyperlink ref="P406" r:id="rId194" xr:uid="{48A48E15-189B-421B-86A1-96ABF6A2D2F4}"/>
    <hyperlink ref="P405" r:id="rId195" xr:uid="{2336ABD9-1493-477A-9270-67D469AA4C6F}"/>
    <hyperlink ref="P401" r:id="rId196" xr:uid="{5DA31D86-446D-4266-A69D-F30095E4CCBF}"/>
    <hyperlink ref="P402" r:id="rId197" xr:uid="{DAEA2025-9CCF-445C-B5E2-FCEF67FFAEE4}"/>
    <hyperlink ref="P403" r:id="rId198" xr:uid="{20371A20-17B7-4A2D-BBFF-3DAAF7892293}"/>
    <hyperlink ref="P400" r:id="rId199" xr:uid="{341621E6-047D-4D71-8A6F-C9544F921EFE}"/>
    <hyperlink ref="P399" r:id="rId200" xr:uid="{DDAE9E5A-4A52-4F68-B55F-30CAD83A34D2}"/>
    <hyperlink ref="P398" r:id="rId201" xr:uid="{CA16F527-F568-49FA-80DD-01713F2FC968}"/>
    <hyperlink ref="P397" r:id="rId202" xr:uid="{658E7196-5878-4FA2-B450-78B8C1519F36}"/>
    <hyperlink ref="P396" r:id="rId203" xr:uid="{46C3AEEA-AD67-4B82-A81A-5F018E216949}"/>
    <hyperlink ref="P395" r:id="rId204" xr:uid="{6AD5A02A-1ED3-42D5-98D6-E920E0EB1A0F}"/>
    <hyperlink ref="P394" r:id="rId205" xr:uid="{DC788DD2-8D2C-49D4-BA99-F0B083A4FB55}"/>
    <hyperlink ref="P393" r:id="rId206" xr:uid="{435CEDE6-C06A-4E67-9FFB-FD103134CAE3}"/>
    <hyperlink ref="P392" r:id="rId207" xr:uid="{F9A1F4E0-7F88-488B-B2D1-B78B37939968}"/>
    <hyperlink ref="P391" r:id="rId208" xr:uid="{526600E4-9DCB-4436-A661-7EFE13389537}"/>
    <hyperlink ref="P390" r:id="rId209" xr:uid="{C2851EEA-DB22-46CC-A99D-9ADFA5B99C81}"/>
    <hyperlink ref="P378" r:id="rId210" xr:uid="{E40125A6-F752-452B-8D22-D96A7297373C}"/>
    <hyperlink ref="P389" r:id="rId211" xr:uid="{34AF1868-F1CB-41B3-8F9F-F563A28CB288}"/>
    <hyperlink ref="P388" r:id="rId212" xr:uid="{AA7DADF1-A71E-42CF-978D-4162FDA5F5DF}"/>
    <hyperlink ref="P387" r:id="rId213" xr:uid="{44668215-1EBA-4F5A-9DD3-6F83FC7712BC}"/>
    <hyperlink ref="P386" r:id="rId214" xr:uid="{4B8C82AF-065D-462D-8CD5-0130AB92C57F}"/>
    <hyperlink ref="P385" r:id="rId215" xr:uid="{ADB23A14-499E-4680-B856-729F50D70740}"/>
    <hyperlink ref="P384" r:id="rId216" xr:uid="{DA6E3081-BE50-4EE7-9AD0-F437D3024D5D}"/>
    <hyperlink ref="P382" r:id="rId217" xr:uid="{63C7B38D-28BF-4073-B2BA-FC61950F13B0}"/>
    <hyperlink ref="P383" r:id="rId218" xr:uid="{F300EC82-64FE-4BF1-9593-5F5A7015D330}"/>
    <hyperlink ref="P381" r:id="rId219" xr:uid="{D7F379C9-190E-41F9-A5E3-F120B0E11F9C}"/>
    <hyperlink ref="P380" r:id="rId220" xr:uid="{21AC130E-5B87-486D-8FEE-48589E2AF4CD}"/>
    <hyperlink ref="P379" r:id="rId221" xr:uid="{83B1597B-320F-42AF-B65D-3E64B8BFF17A}"/>
    <hyperlink ref="P377" r:id="rId222" xr:uid="{D408B237-9850-4B21-97D1-463421B01D90}"/>
    <hyperlink ref="P376" r:id="rId223" xr:uid="{1A5EE941-B001-4892-9CEE-C17827601BB6}"/>
    <hyperlink ref="P373" r:id="rId224" xr:uid="{0F5A9D87-10D4-40D3-ABD8-59833593D032}"/>
    <hyperlink ref="P375" r:id="rId225" xr:uid="{E88207A0-479E-441A-A1E7-F5E9FF9139EA}"/>
    <hyperlink ref="P374" r:id="rId226" xr:uid="{7988D6A8-E52C-45E2-A0EA-AD9BD6087388}"/>
    <hyperlink ref="P372" r:id="rId227" xr:uid="{A2EC7353-7D5E-4E0F-BD90-6CBF1BCCDA7E}"/>
    <hyperlink ref="P371" r:id="rId228" xr:uid="{34E48318-510B-49BF-9701-F7A97F0F934A}"/>
    <hyperlink ref="P370" r:id="rId229" xr:uid="{4851D8CF-8FE2-482A-9394-8FE3E6B1478E}"/>
    <hyperlink ref="P369" r:id="rId230" xr:uid="{73ED6FCA-5E6D-4985-8AA2-ED3D9C5F49FA}"/>
    <hyperlink ref="P368" r:id="rId231" xr:uid="{3042FCEF-6723-409B-BE44-D30F3B0068D4}"/>
    <hyperlink ref="P367" r:id="rId232" xr:uid="{8CC50B96-AE52-48E5-9C1D-A1EA8D2EF302}"/>
    <hyperlink ref="P366" r:id="rId233" xr:uid="{B64AF368-79AA-454F-9363-8B9AD9B5B377}"/>
    <hyperlink ref="P365" r:id="rId234" xr:uid="{EFF8F3B9-5B7A-4C81-9152-0D8D92C0EBCD}"/>
    <hyperlink ref="P364" r:id="rId235" xr:uid="{FEB43ED0-C308-493E-959F-C12EF3D8084E}"/>
    <hyperlink ref="P363" r:id="rId236" xr:uid="{EB2231C1-2786-4FAE-9B4C-99EAE2EE7E58}"/>
    <hyperlink ref="P362" r:id="rId237" xr:uid="{43C94C6F-1419-4827-86B1-1943A357D377}"/>
    <hyperlink ref="P361" r:id="rId238" xr:uid="{48A8C56B-5175-44C0-934B-E8127447CEF1}"/>
    <hyperlink ref="P359" r:id="rId239" xr:uid="{706F0EC6-1E14-40BF-AB41-55ECA6277ECE}"/>
    <hyperlink ref="P358" r:id="rId240" xr:uid="{2DC67152-AD0D-4777-8AA7-007A75D8D1CD}"/>
    <hyperlink ref="P357" r:id="rId241" xr:uid="{88B4CE8F-82A0-4848-84D3-4406EA226DD2}"/>
    <hyperlink ref="P356" r:id="rId242" xr:uid="{E30B6F25-4609-4515-8C35-C344F717B001}"/>
    <hyperlink ref="P353" r:id="rId243" xr:uid="{826D3CDB-01E9-47F9-A4A3-BC792028D8FA}"/>
    <hyperlink ref="P352" r:id="rId244" xr:uid="{9314AD5A-D185-4777-9CBE-CDB101A0CA9B}"/>
    <hyperlink ref="P351" r:id="rId245" xr:uid="{04A51667-1B7C-4744-8D05-68849769B7C1}"/>
    <hyperlink ref="P350" r:id="rId246" xr:uid="{F28100DB-10B9-47D0-9660-22B41EE1F8D6}"/>
    <hyperlink ref="P349" r:id="rId247" xr:uid="{FB82D671-96EF-4371-BCD0-B65D9E8AAFF7}"/>
    <hyperlink ref="P348" r:id="rId248" xr:uid="{8000FD1E-1FE2-4026-A169-01B8095D9FBF}"/>
    <hyperlink ref="P347" r:id="rId249" xr:uid="{2226ADED-2038-4849-BC5E-F3534A743026}"/>
    <hyperlink ref="P345" r:id="rId250" xr:uid="{F7FFAF79-61C1-4C70-B23D-08DFFB013A52}"/>
    <hyperlink ref="P346" r:id="rId251" xr:uid="{CA28698E-A4B8-4A08-A379-0CC2CDB7CA76}"/>
    <hyperlink ref="P344" r:id="rId252" xr:uid="{ECE40E04-7C4D-45B5-8B82-CA76D5C96860}"/>
    <hyperlink ref="P343" r:id="rId253" xr:uid="{D3B50B16-71E1-4C54-97F7-8ED98F69D277}"/>
    <hyperlink ref="P342" r:id="rId254" xr:uid="{E09007ED-EEEA-4117-843D-6DFAF2051D5D}"/>
    <hyperlink ref="P341" r:id="rId255" xr:uid="{E2F02E2B-FEF8-477A-8D63-216E66A1478F}"/>
    <hyperlink ref="P340" r:id="rId256" xr:uid="{072F8350-54A8-4BD1-AA6D-B0F3FE24265E}"/>
    <hyperlink ref="P339" r:id="rId257" xr:uid="{6E83612F-F48A-4094-B827-C984D40CC9C6}"/>
    <hyperlink ref="P338" r:id="rId258" xr:uid="{40DF342C-FE8D-4E58-9563-C6A099DA877E}"/>
    <hyperlink ref="P337" r:id="rId259" xr:uid="{DC300514-8554-4BBB-9357-04FAA5BC6DE2}"/>
    <hyperlink ref="P336" r:id="rId260" xr:uid="{482F7A1E-2F0C-4D7E-B07D-A14D93021AE9}"/>
    <hyperlink ref="P335" r:id="rId261" xr:uid="{D534931D-791D-47FF-A990-0DD2F615968C}"/>
    <hyperlink ref="P334" r:id="rId262" xr:uid="{485E1BEF-FB58-413F-8486-F7F06E4503BA}"/>
    <hyperlink ref="P332" r:id="rId263" xr:uid="{FE686FF0-2CE3-46C6-81A2-6FEA8CE82D40}"/>
    <hyperlink ref="P331" r:id="rId264" xr:uid="{52F3AEC2-1263-4983-B0B5-4D1D14E1230D}"/>
    <hyperlink ref="P328" r:id="rId265" xr:uid="{9DBE1450-E76B-4DF0-B352-57740358B9FA}"/>
    <hyperlink ref="P327" r:id="rId266" xr:uid="{49EE8524-6CF7-4B94-995E-86850C40219D}"/>
    <hyperlink ref="P325" r:id="rId267" xr:uid="{78DFC6B9-701F-4503-A41E-CB2D49EF5198}"/>
    <hyperlink ref="P323" r:id="rId268" xr:uid="{7C3C0747-9186-453C-8D32-61D86F6186EA}"/>
    <hyperlink ref="P322" r:id="rId269" xr:uid="{E32981AB-4284-4A63-93ED-907DF2D1CE20}"/>
    <hyperlink ref="P320" r:id="rId270" xr:uid="{E32F506F-C8A8-4921-8ADB-31E5C0CB65F1}"/>
    <hyperlink ref="P319" r:id="rId271" xr:uid="{9C27E12D-1B9F-4740-9596-9A71E7E969DF}"/>
    <hyperlink ref="P318" r:id="rId272" xr:uid="{F5E27303-110B-464D-9B5F-FEEDFB35F1B1}"/>
    <hyperlink ref="P317" r:id="rId273" xr:uid="{A683900B-6AE9-420B-A53C-674C12A14514}"/>
    <hyperlink ref="P314" r:id="rId274" xr:uid="{21EBFB08-704F-4A0B-A23A-C088D36FC024}"/>
    <hyperlink ref="P313" r:id="rId275" xr:uid="{EFC2B872-C0F7-47F8-B531-1231E8451FF7}"/>
    <hyperlink ref="P312" r:id="rId276" xr:uid="{FE423F8F-35B6-4C03-998E-3CEE0A6C359F}"/>
    <hyperlink ref="P310" r:id="rId277" xr:uid="{35DF578B-5EE8-4D6D-8669-603C05B16AC4}"/>
    <hyperlink ref="P311" r:id="rId278" display="mailto:david.lopera@socomes.com" xr:uid="{4C6B0CD2-E704-4147-9711-B08D840A5110}"/>
    <hyperlink ref="P309" r:id="rId279" xr:uid="{441CB42B-F3E2-44D4-B660-C241C74889FD}"/>
    <hyperlink ref="P308" r:id="rId280" xr:uid="{55596E09-0F2D-486D-A5AE-3662C7EEB521}"/>
    <hyperlink ref="P307" r:id="rId281" xr:uid="{3A8AE373-DB2F-411F-8727-E46CA9894B1C}"/>
    <hyperlink ref="P306" r:id="rId282" xr:uid="{AA5FB5C9-F4DB-4DFC-B9BF-933E42360622}"/>
    <hyperlink ref="P305" r:id="rId283" xr:uid="{23D0CFE1-BE42-405B-9048-CAF3BC53D006}"/>
    <hyperlink ref="P304" r:id="rId284" xr:uid="{1B54B546-8460-4090-9E91-BD6BBF62D231}"/>
    <hyperlink ref="P303" r:id="rId285" xr:uid="{42545951-A22C-4B3C-BE4E-7D14226A07B9}"/>
    <hyperlink ref="P302" r:id="rId286" xr:uid="{4CAD18D1-81E0-4770-A216-F2BEB0E2D1F6}"/>
    <hyperlink ref="P300" r:id="rId287" display="mailto:heder.cardozo@isciviles.com.co" xr:uid="{A4EE0330-8B10-48D0-B73D-32D202A24198}"/>
    <hyperlink ref="P299" r:id="rId288" xr:uid="{6EF11783-9180-43A2-BF2C-CB2D8E3240C0}"/>
    <hyperlink ref="P296" r:id="rId289" xr:uid="{9FF72A16-9664-4D5B-9BB8-5C1B228F3401}"/>
    <hyperlink ref="P297" r:id="rId290" xr:uid="{2D8F13E6-682D-4F11-9D9A-E718AF270FDA}"/>
    <hyperlink ref="P298" r:id="rId291" xr:uid="{81B12E5A-7267-4266-981A-E2D5E2EFC93C}"/>
    <hyperlink ref="P295" r:id="rId292" xr:uid="{96EB78A6-5DEB-476E-9567-AD42412F5C66}"/>
    <hyperlink ref="P294" r:id="rId293" xr:uid="{B9909A74-0EA2-47F4-AC4A-156915256670}"/>
    <hyperlink ref="P293" r:id="rId294" xr:uid="{F75ECDF3-58BD-4830-9564-242E94FCA640}"/>
    <hyperlink ref="P292" r:id="rId295" xr:uid="{22F85527-A856-4EFB-A383-CF96DF739372}"/>
    <hyperlink ref="P291" r:id="rId296" xr:uid="{7AFE8D6C-3346-475E-98EA-421013412A9F}"/>
    <hyperlink ref="P289" r:id="rId297" xr:uid="{A12C4ACE-35BB-4AD4-B2F2-EF23024DD5DF}"/>
    <hyperlink ref="P288" r:id="rId298" xr:uid="{5E2FBFA6-B27E-411C-8ED4-813E5D60A2EB}"/>
    <hyperlink ref="P287" r:id="rId299" xr:uid="{37EBB78B-E404-48AF-9346-180C449155B4}"/>
    <hyperlink ref="P286" r:id="rId300" xr:uid="{D0600D90-DD4C-4C92-880E-B9B815C973FE}"/>
    <hyperlink ref="P285" r:id="rId301" xr:uid="{C3179FB7-9A06-4C0B-A849-8DD159FADD78}"/>
    <hyperlink ref="P284" r:id="rId302" xr:uid="{CB2577BC-3510-4417-8C61-BF9D2E01A4FC}"/>
    <hyperlink ref="P283" r:id="rId303" xr:uid="{83763DAF-4262-4409-B3B2-A3ED33D89230}"/>
    <hyperlink ref="P280" r:id="rId304" xr:uid="{F08AC095-F8E2-4919-BC13-39673CDA6FA4}"/>
    <hyperlink ref="P279" r:id="rId305" xr:uid="{0AB95CD7-00D0-44C3-845D-77559B5F5771}"/>
    <hyperlink ref="P281" r:id="rId306" xr:uid="{604EE5F7-BC51-4EF3-B679-19EDF4595CDC}"/>
    <hyperlink ref="P273" r:id="rId307" xr:uid="{5718B730-C5C7-4481-9ABB-7D036A990920}"/>
    <hyperlink ref="P272" r:id="rId308" xr:uid="{DC18D8B6-D95B-4B1A-8C4C-320431493236}"/>
    <hyperlink ref="P271" r:id="rId309" xr:uid="{C29B5ED4-FAA8-4FE5-8527-8CF3FBD1CCC8}"/>
    <hyperlink ref="P282" r:id="rId310" xr:uid="{3CB8AEEA-6A45-4F1E-BD38-508538AB5325}"/>
    <hyperlink ref="P277" r:id="rId311" xr:uid="{45811CBE-A2C2-463F-B910-645AC14780BD}"/>
    <hyperlink ref="P276" r:id="rId312" xr:uid="{27E13A6D-EE39-4F06-8620-15D15C1A3AEA}"/>
    <hyperlink ref="P278" r:id="rId313" xr:uid="{5A1BFE67-B081-41E7-8099-BCB2BD68EA5B}"/>
    <hyperlink ref="P275" r:id="rId314" xr:uid="{7AEE4E24-F682-425F-A13B-90DBB0BB1F96}"/>
    <hyperlink ref="P274" r:id="rId315" xr:uid="{C758A7CE-9C80-427C-A8B7-8C8B0002D662}"/>
    <hyperlink ref="P270" r:id="rId316" xr:uid="{5B2737B1-8898-4E26-93E4-F115FE8F71C8}"/>
    <hyperlink ref="P269" r:id="rId317" xr:uid="{2C2732D6-7BC3-4FD2-BB26-A5402653D9DA}"/>
    <hyperlink ref="P268" r:id="rId318" xr:uid="{779EAA16-2B2E-40F8-A99E-AA93735B50CB}"/>
    <hyperlink ref="P267" r:id="rId319" xr:uid="{87B071FA-C08E-4B9A-B98B-46E13E4DD5EC}"/>
    <hyperlink ref="P266" r:id="rId320" xr:uid="{6E9D996B-C449-42D0-82E4-ED83D8EF211D}"/>
    <hyperlink ref="P265" r:id="rId321" xr:uid="{31F523D3-60B9-44AE-8F5A-8F41302CCCB4}"/>
    <hyperlink ref="P264" r:id="rId322" xr:uid="{F9F4AE57-64A9-4842-8E1D-68D25FF4C133}"/>
    <hyperlink ref="P262" r:id="rId323" xr:uid="{D5C46703-BA82-46F5-9B9B-D9FC477A010E}"/>
    <hyperlink ref="P261" r:id="rId324" xr:uid="{E624FD16-BE82-4360-9F55-8AACC2312899}"/>
    <hyperlink ref="P260" r:id="rId325" xr:uid="{34A6BDCC-607B-402C-B17E-9D14560F0C8D}"/>
    <hyperlink ref="P259" r:id="rId326" xr:uid="{B19133DE-03D7-4CD7-BEDF-DDBF61CFECF9}"/>
    <hyperlink ref="P258" r:id="rId327" xr:uid="{DD9D4070-267C-4C0C-BA3C-E0A5C82F33DF}"/>
    <hyperlink ref="P257" r:id="rId328" xr:uid="{780C04F5-9CE4-4C61-954E-2AEBA1C38ADE}"/>
    <hyperlink ref="P256" r:id="rId329" xr:uid="{20850C7F-C0DE-4A4F-85D9-00757FA5D1C7}"/>
    <hyperlink ref="P255" r:id="rId330" xr:uid="{1E1659C8-DDE9-4743-A9FD-FE2D6C0D308B}"/>
    <hyperlink ref="P254" r:id="rId331" xr:uid="{1020DFC9-2EC9-4401-9F6B-D102B53C3307}"/>
    <hyperlink ref="P253" r:id="rId332" xr:uid="{DFF30D04-7271-4566-AA2E-46CE5285F1D5}"/>
    <hyperlink ref="P250" r:id="rId333" xr:uid="{0CEBA2E7-8005-4EE3-B9E1-C0763DA66E48}"/>
    <hyperlink ref="P251" r:id="rId334" xr:uid="{26D3C669-DD05-4802-AF75-2A4747FDC1A9}"/>
    <hyperlink ref="P249" r:id="rId335" xr:uid="{20D383DA-EFFB-4B5B-B7E2-528574A4937E}"/>
    <hyperlink ref="P248" r:id="rId336" xr:uid="{0E346FD9-9A3E-40C2-9C75-1E4E749DDD91}"/>
    <hyperlink ref="P246" r:id="rId337" xr:uid="{6C113CEE-3690-4FA0-B9F6-3AA579759AEF}"/>
    <hyperlink ref="P245" r:id="rId338" xr:uid="{7A77CC33-32CA-4013-B937-58FE7816843D}"/>
    <hyperlink ref="P244" r:id="rId339" xr:uid="{7AB35181-49F0-46E8-BAAE-6A4F90285633}"/>
    <hyperlink ref="P243" r:id="rId340" xr:uid="{61E174E6-D17E-4A44-BDC7-56B1D1470002}"/>
    <hyperlink ref="P242" r:id="rId341" xr:uid="{1A24F960-C3E4-4436-BA3F-4F182E3CF409}"/>
    <hyperlink ref="P241" r:id="rId342" xr:uid="{A1977C06-5820-4CC9-9FD0-0DDAE314585D}"/>
    <hyperlink ref="P240" r:id="rId343" xr:uid="{7E0CDB2A-2B4A-4DF4-9458-F2DADEE318F0}"/>
    <hyperlink ref="P239" r:id="rId344" xr:uid="{B5CEC120-FFCE-4AB9-8442-D0250189E18B}"/>
    <hyperlink ref="P238" r:id="rId345" xr:uid="{CC9A6A10-C33C-4C12-A193-9EBFBCEBBF31}"/>
    <hyperlink ref="P236" r:id="rId346" xr:uid="{ABD8C801-B366-441F-8D32-57BCEF84DCFA}"/>
    <hyperlink ref="P237" r:id="rId347" xr:uid="{1FC8122B-9A3D-4FEA-919D-951EC048BB00}"/>
    <hyperlink ref="P235" r:id="rId348" xr:uid="{4E619D32-8DF0-4528-8434-8796D1DBADA4}"/>
    <hyperlink ref="P234" r:id="rId349" xr:uid="{4A2BA4B1-C5D9-46A5-AB18-70C1B83BB803}"/>
    <hyperlink ref="P233" r:id="rId350" xr:uid="{C6308BA7-5427-457B-B8A7-0C20FCBDF448}"/>
    <hyperlink ref="P232" r:id="rId351" xr:uid="{AB478C18-FE48-42A8-A78E-61F73C51C172}"/>
    <hyperlink ref="P231" r:id="rId352" xr:uid="{45039960-FCA6-44BC-B707-EE1A9DF4C2E0}"/>
    <hyperlink ref="P230" r:id="rId353" xr:uid="{6F1BCF47-8ECF-4D5E-A253-E2116D8D45C1}"/>
    <hyperlink ref="P228" r:id="rId354" xr:uid="{782972A5-7A61-434E-A2BE-BC34B7CB9BBF}"/>
    <hyperlink ref="P227" r:id="rId355" xr:uid="{AF51004B-A531-4D73-A8F7-BFE0879E3CCD}"/>
    <hyperlink ref="P226" r:id="rId356" xr:uid="{3F7B1F4F-3F24-49DF-8BCE-9032A7E407D5}"/>
    <hyperlink ref="P225" r:id="rId357" xr:uid="{025CCF92-07F7-4337-88AC-A081F84DA05D}"/>
    <hyperlink ref="P224" r:id="rId358" xr:uid="{42224D59-F427-47CE-B1D7-7A6ACD375580}"/>
    <hyperlink ref="P223" r:id="rId359" xr:uid="{46A60B99-008E-4ED6-8F51-5A82B88BFEC0}"/>
    <hyperlink ref="P222" r:id="rId360" xr:uid="{58A50B23-80F7-422A-959F-72496E9E40EA}"/>
    <hyperlink ref="P221" r:id="rId361" xr:uid="{47150C70-E80A-4F33-9857-2A4208B3900F}"/>
    <hyperlink ref="P220" r:id="rId362" xr:uid="{0E38BFEF-A2D5-4792-80CB-CD979B4CBEA7}"/>
    <hyperlink ref="P219" r:id="rId363" xr:uid="{0ED4E162-58F2-4595-BEB7-DD2FE0AC621B}"/>
    <hyperlink ref="P218" r:id="rId364" xr:uid="{A3786889-EC4A-4953-939C-A3C23757DDFA}"/>
    <hyperlink ref="P216" r:id="rId365" xr:uid="{0B683785-3689-4188-9ABB-06CB9AB84E19}"/>
    <hyperlink ref="P215" r:id="rId366" xr:uid="{953353B5-3312-4345-A658-0831253F7922}"/>
    <hyperlink ref="P214" r:id="rId367" xr:uid="{17A4D894-1900-4F85-AA19-7919B77F099A}"/>
    <hyperlink ref="P213" r:id="rId368" xr:uid="{E742B1D2-5A45-47C7-A152-F225A13E657A}"/>
    <hyperlink ref="P212" r:id="rId369" xr:uid="{5600622B-C363-47AA-9417-4D4CC68627D2}"/>
    <hyperlink ref="P211" r:id="rId370" xr:uid="{A082D46C-49DC-441C-9C48-862DDD6B129E}"/>
    <hyperlink ref="P210" r:id="rId371" xr:uid="{CFC6FE44-53EF-4E8B-B980-B683EEE8F918}"/>
    <hyperlink ref="P209" r:id="rId372" xr:uid="{EB0C1614-821D-403D-9837-D66ECBB38621}"/>
    <hyperlink ref="P208" r:id="rId373" xr:uid="{CF47FBDC-F7E3-469F-BAA7-BB6C597508E8}"/>
    <hyperlink ref="P206" r:id="rId374" xr:uid="{B74C5261-122F-4ABF-83DD-614755CC0EDA}"/>
    <hyperlink ref="P205" r:id="rId375" xr:uid="{C48B8C2D-F384-49F9-9AD4-3C90BBC56EAF}"/>
    <hyperlink ref="P204" r:id="rId376" xr:uid="{DEB21E75-EE53-420F-8943-0B2F2E205379}"/>
    <hyperlink ref="P202" r:id="rId377" xr:uid="{F7344EC8-0836-43D1-8E7B-62C2896FFCB5}"/>
    <hyperlink ref="P201" r:id="rId378" xr:uid="{0CA60D4F-0B9E-4192-BF71-278117D0A8FE}"/>
    <hyperlink ref="P200" r:id="rId379" xr:uid="{51AAE629-F3BB-46C6-B984-5CC564037DBE}"/>
    <hyperlink ref="P198" r:id="rId380" xr:uid="{A70E2A1E-3B65-4657-AF95-C10FCAADAA70}"/>
    <hyperlink ref="P197" r:id="rId381" xr:uid="{8D150594-D2E0-4FFD-8DEB-73BB82612539}"/>
    <hyperlink ref="P196" r:id="rId382" xr:uid="{0006C9D2-08FA-489F-9B57-FB5826BFD86C}"/>
    <hyperlink ref="P195" r:id="rId383" xr:uid="{CF3E9951-D7BF-4D64-A0D5-600D4BE6504B}"/>
    <hyperlink ref="P194" r:id="rId384" xr:uid="{CE71977E-A7DF-4766-A6C8-AE59B057C824}"/>
    <hyperlink ref="P193" r:id="rId385" xr:uid="{D678A94E-DDA9-47B1-9345-D9AB189D8C4E}"/>
    <hyperlink ref="P192" r:id="rId386" xr:uid="{6B41EB52-1515-44C2-917F-DC108F4A891E}"/>
    <hyperlink ref="P191" r:id="rId387" xr:uid="{5FCDBBB4-86B7-4C87-9933-17444667ED9D}"/>
    <hyperlink ref="P190" r:id="rId388" xr:uid="{1E61DE95-FD8E-472F-8BDD-088A2C79A102}"/>
    <hyperlink ref="P189" r:id="rId389" xr:uid="{8F4D5819-E62B-4C45-9D90-77CF887A11AD}"/>
    <hyperlink ref="P188" r:id="rId390" xr:uid="{C48644DC-8AD5-46F9-BE32-341AC19F6048}"/>
    <hyperlink ref="P187" r:id="rId391" xr:uid="{533C01AC-C607-4F1A-9864-83E10A7222B8}"/>
    <hyperlink ref="P186" r:id="rId392" xr:uid="{1E3C04DA-681E-4308-94BD-6A5136009D84}"/>
    <hyperlink ref="P185" r:id="rId393" xr:uid="{82A67471-43B9-488B-AFA5-85D6EBB83266}"/>
    <hyperlink ref="P184" r:id="rId394" xr:uid="{30C82D7E-14FE-4185-B2AA-0E9EDC600A90}"/>
    <hyperlink ref="P183" r:id="rId395" xr:uid="{1F7A8BB2-611D-4CDD-BBD6-0534AAB3C128}"/>
    <hyperlink ref="P182" r:id="rId396" xr:uid="{F344FAB2-D77E-47F7-9F83-56AFF583C7A1}"/>
    <hyperlink ref="P181" r:id="rId397" xr:uid="{4E45CEB0-F7E1-406E-BF68-5951D79C148C}"/>
    <hyperlink ref="P180" r:id="rId398" xr:uid="{3CB81CE3-BED5-467B-A02F-790E90442A2B}"/>
    <hyperlink ref="P179" r:id="rId399" xr:uid="{708FF03D-61C1-4CAF-B20F-CBC419107480}"/>
    <hyperlink ref="P178" r:id="rId400" xr:uid="{E9CBA061-1319-41AE-8F22-E6A53FA9DF61}"/>
    <hyperlink ref="P176" r:id="rId401" xr:uid="{69CD021A-0664-4127-AD88-D7492F4AF8DF}"/>
    <hyperlink ref="P175" r:id="rId402" xr:uid="{55BADA99-5F69-40FF-A327-84CB99A88192}"/>
    <hyperlink ref="P174" r:id="rId403" xr:uid="{7222386C-8397-4354-BFC2-172D589E9538}"/>
    <hyperlink ref="P173" r:id="rId404" xr:uid="{22CE60BF-ED86-41D1-A19E-1A85588ACD0D}"/>
    <hyperlink ref="P171" r:id="rId405" xr:uid="{666B8A7D-B1C6-4455-96B8-D47B1B275380}"/>
    <hyperlink ref="P170" r:id="rId406" xr:uid="{9BEDA145-72D3-41FC-8085-C3597733610C}"/>
    <hyperlink ref="P169" r:id="rId407" xr:uid="{070E3EB0-E58A-474F-8967-677F6478FFB7}"/>
    <hyperlink ref="P168" r:id="rId408" xr:uid="{93B9994D-76CB-4FB9-B656-626603C6CAD0}"/>
    <hyperlink ref="P167" r:id="rId409" xr:uid="{AA340A36-93E4-492D-A815-A6E1FDF0688D}"/>
    <hyperlink ref="P166" r:id="rId410" xr:uid="{07F085F0-D840-42F0-8D8F-D6823BD07FED}"/>
    <hyperlink ref="P165" r:id="rId411" xr:uid="{B376F2DD-BAD7-4CA1-8A6D-D71D504CA9FE}"/>
    <hyperlink ref="P164" r:id="rId412" xr:uid="{12D2A139-1045-4F97-8C7D-9AB012F79C95}"/>
    <hyperlink ref="P163" r:id="rId413" xr:uid="{80D9E4A4-9129-448C-9891-3F6BAB17A61C}"/>
    <hyperlink ref="P162" r:id="rId414" xr:uid="{80FDEA3F-B2C0-46FB-9926-0FFB69EF12F9}"/>
    <hyperlink ref="P160" r:id="rId415" xr:uid="{22820788-3A8C-4FA5-8183-8706A71073D6}"/>
    <hyperlink ref="P159" r:id="rId416" xr:uid="{4EE6D701-389A-4A9B-9872-9A2E1304DECD}"/>
    <hyperlink ref="P158" r:id="rId417" xr:uid="{348A67B0-2F80-4123-9A2F-602F3DDEBDC0}"/>
    <hyperlink ref="P157" r:id="rId418" xr:uid="{6614E810-ADD9-4DE8-AF19-9507EE5539DE}"/>
    <hyperlink ref="P155" r:id="rId419" xr:uid="{02275967-9FBF-48BA-994C-615C388D6CC7}"/>
    <hyperlink ref="P153" r:id="rId420" xr:uid="{E9CD9EDB-C115-46CD-A707-1E9BD549A8B6}"/>
    <hyperlink ref="P152" r:id="rId421" xr:uid="{18138645-C347-451D-A1E9-8D32BACB5327}"/>
    <hyperlink ref="P151" r:id="rId422" xr:uid="{9A635C7F-2DC3-4892-BEF5-C0BB02AF07C9}"/>
    <hyperlink ref="P150" r:id="rId423" xr:uid="{8F8C4F8F-2FF1-4956-915A-32FB8807F9AA}"/>
    <hyperlink ref="P149" r:id="rId424" xr:uid="{39F64CFC-8FA9-4920-A756-2BB7FD5D4400}"/>
    <hyperlink ref="P148" r:id="rId425" xr:uid="{91F58E43-0A6B-448F-9CA1-A5E3ADF4E9AD}"/>
    <hyperlink ref="P147" r:id="rId426" xr:uid="{D18AE854-B43A-45B6-A998-5679868A34C7}"/>
    <hyperlink ref="P146" r:id="rId427" xr:uid="{8B3CB69C-A4AD-498F-A1EF-E83FA5AFA8BF}"/>
    <hyperlink ref="P145" r:id="rId428" xr:uid="{F9FD2DFE-3E37-460D-97E4-E45B5292B06B}"/>
    <hyperlink ref="P143" r:id="rId429" xr:uid="{58F867F8-E7C4-4223-BA4E-F1F6059C208B}"/>
    <hyperlink ref="P142" r:id="rId430" xr:uid="{40407AEB-6CFA-4AC6-90F2-65DD32A43B8C}"/>
    <hyperlink ref="P141" r:id="rId431" xr:uid="{38415170-7111-4759-9D00-1BDE3495F54F}"/>
    <hyperlink ref="P140" r:id="rId432" xr:uid="{A335C52F-32F2-4FDE-9534-C414E2C5080C}"/>
    <hyperlink ref="P139" r:id="rId433" xr:uid="{242C6B40-EE21-4805-8BFF-58A44BE88A19}"/>
    <hyperlink ref="P138" r:id="rId434" xr:uid="{1121E987-DF79-4E76-B798-52934A8CF49C}"/>
    <hyperlink ref="P136" r:id="rId435" xr:uid="{906362D4-034B-4498-8F7B-E98F3228E2CF}"/>
    <hyperlink ref="P135" r:id="rId436" xr:uid="{65A131B7-0D41-4F50-95B3-7DBCE5F56381}"/>
    <hyperlink ref="P134" r:id="rId437" xr:uid="{F99C572B-EA31-4413-B628-5381DF39D489}"/>
    <hyperlink ref="P132" r:id="rId438" xr:uid="{DC79DF5C-8408-4BF8-BC08-68221C46F1EF}"/>
    <hyperlink ref="P131" r:id="rId439" xr:uid="{D0D8FC29-887D-4E93-9780-05D5DD95B4F4}"/>
    <hyperlink ref="P128" r:id="rId440" xr:uid="{D5D3121F-4A6A-4C71-9F8B-122732E6E0B8}"/>
    <hyperlink ref="P130" r:id="rId441" xr:uid="{2B3ADDEE-577E-432A-BEAA-6EE91EAEE265}"/>
    <hyperlink ref="P126" r:id="rId442" xr:uid="{8E76D75B-1C81-4398-ACBE-73C6BDF7F6A8}"/>
    <hyperlink ref="P125" r:id="rId443" xr:uid="{FA268DCB-18A0-42A1-885E-DA991382DB3B}"/>
    <hyperlink ref="P124" r:id="rId444" xr:uid="{E31988FA-6789-460D-969A-D5D03AD35CDC}"/>
    <hyperlink ref="P121" r:id="rId445" xr:uid="{47367009-66D2-49F9-95B7-DB33C6339B46}"/>
    <hyperlink ref="P119" r:id="rId446" xr:uid="{4D33E725-D8BF-4152-9A12-501391BDC719}"/>
    <hyperlink ref="P118" r:id="rId447" xr:uid="{3CE3B414-6E04-41AA-99F1-5860621DB03E}"/>
    <hyperlink ref="P117" r:id="rId448" xr:uid="{DFC1D9D0-6DC6-45F0-BDBD-A48192691A85}"/>
    <hyperlink ref="P115" r:id="rId449" xr:uid="{5D8E04AD-F2A4-4A6E-8FFE-9CE02BF7301E}"/>
    <hyperlink ref="P114" r:id="rId450" xr:uid="{816A43FC-0BE0-4E81-A81F-E651F45D67CD}"/>
    <hyperlink ref="P113" r:id="rId451" xr:uid="{71F32015-817F-466E-A89A-CB53098DACF9}"/>
    <hyperlink ref="P111" r:id="rId452" xr:uid="{D9940324-7672-4C03-87B9-7F2D95F515DF}"/>
    <hyperlink ref="P110" r:id="rId453" xr:uid="{9DE3985A-CEB8-4ADE-99AC-CAE9E73FD89D}"/>
    <hyperlink ref="P109" r:id="rId454" xr:uid="{69A2E8BC-3FD7-44EF-B132-438D20A74A7C}"/>
    <hyperlink ref="P106" r:id="rId455" xr:uid="{A55DCAF2-64DA-4753-B32F-B35366265BC6}"/>
    <hyperlink ref="P108" r:id="rId456" xr:uid="{5539B371-5F61-4FB9-9062-E96A2D4F8C9E}"/>
    <hyperlink ref="P107" r:id="rId457" xr:uid="{E2FB5201-9FE9-4DBF-A767-ACB9BBAE339B}"/>
    <hyperlink ref="P105" r:id="rId458" xr:uid="{1A92ABE9-ED67-44D4-BCC7-8DDAF2820B96}"/>
    <hyperlink ref="P104" r:id="rId459" xr:uid="{6B53BA60-3129-4301-A7C8-B67D433651DD}"/>
    <hyperlink ref="P103" r:id="rId460" xr:uid="{3CDF2603-A65E-4E9F-A893-D57ACEA1B08C}"/>
    <hyperlink ref="P102" r:id="rId461" xr:uid="{1BE0C8BF-8811-42C5-847A-B4FCC327C00D}"/>
    <hyperlink ref="P101" r:id="rId462" xr:uid="{2339665C-8118-41D8-BD59-8F4FFD987DAF}"/>
    <hyperlink ref="P100" r:id="rId463" xr:uid="{6300F5BF-5573-429D-A294-A64F811614F4}"/>
    <hyperlink ref="P99" r:id="rId464" xr:uid="{87F9919D-F940-4F75-BAC1-F7DCF725AD91}"/>
    <hyperlink ref="P98" r:id="rId465" xr:uid="{DBB307F8-185B-4134-9A2D-C89889E98E1F}"/>
    <hyperlink ref="P96" r:id="rId466" xr:uid="{345054FA-54D9-460F-AF8E-00126BBEB071}"/>
    <hyperlink ref="P95" r:id="rId467" xr:uid="{93DA230F-49E0-489D-B3F6-4FE401033B40}"/>
    <hyperlink ref="P94" r:id="rId468" xr:uid="{0985BF09-EC0E-46A5-A435-8E08C08929B7}"/>
    <hyperlink ref="P93" r:id="rId469" xr:uid="{4DB7B7F4-E3C5-447B-9A24-24EB93D84986}"/>
    <hyperlink ref="P92" r:id="rId470" xr:uid="{4EE0D534-11F2-467A-ADD5-7321AAC9FBF2}"/>
    <hyperlink ref="P91" r:id="rId471" xr:uid="{D7E0444D-F891-45B9-9738-0140A9132C68}"/>
    <hyperlink ref="P90" r:id="rId472" xr:uid="{253AA667-C6C8-4582-9769-FCADFDDC1EE9}"/>
    <hyperlink ref="P89" r:id="rId473" xr:uid="{D5C14AA5-7289-4D85-A285-1D6D9C12D228}"/>
    <hyperlink ref="P88" r:id="rId474" xr:uid="{AB030652-7BEF-4F95-8FDB-6DB047932808}"/>
    <hyperlink ref="P87" r:id="rId475" xr:uid="{CEDD9EB8-4134-4BF5-A4CE-51BDAF2B6FD2}"/>
    <hyperlink ref="P86" r:id="rId476" xr:uid="{C588C12C-71AB-464D-BC16-E154FC308716}"/>
    <hyperlink ref="P85" r:id="rId477" xr:uid="{0000F547-B13C-470D-BDBC-65985CAE882F}"/>
    <hyperlink ref="P84" r:id="rId478" xr:uid="{1375943B-5C75-4327-BBEA-C2A0186CBE30}"/>
    <hyperlink ref="P83" r:id="rId479" xr:uid="{2073001D-B593-4868-A245-AB885BAFFF03}"/>
    <hyperlink ref="P81" r:id="rId480" xr:uid="{69DCDBFE-173A-47BC-B25F-A745CFC0F8A6}"/>
    <hyperlink ref="P80" r:id="rId481" xr:uid="{A0E5D601-5BBE-44F7-B1E0-217D8E74E6DC}"/>
    <hyperlink ref="P79" r:id="rId482" xr:uid="{B8B02FE4-77A7-46C4-A86F-022BC974D32F}"/>
    <hyperlink ref="P78" r:id="rId483" xr:uid="{950B30E6-7DD0-49C0-A324-0AFE40A5915F}"/>
    <hyperlink ref="P76" r:id="rId484" xr:uid="{CF86FDEE-4EDB-4346-8A94-59CBA8B5D10B}"/>
    <hyperlink ref="P75" r:id="rId485" xr:uid="{E5CA30A5-E1D7-467D-B520-8353FF8CC293}"/>
    <hyperlink ref="P74" r:id="rId486" xr:uid="{1ED69E15-C42B-4033-9396-8868892ABF1F}"/>
    <hyperlink ref="P73" r:id="rId487" xr:uid="{73955445-92AF-4FAA-B5B0-12CA1BF92E6D}"/>
    <hyperlink ref="P72" r:id="rId488" xr:uid="{08F9D321-4FD7-4D43-B975-263ACE0D563E}"/>
    <hyperlink ref="P70" r:id="rId489" xr:uid="{DEC2F156-AB3A-4738-958E-D517BA2B9895}"/>
    <hyperlink ref="P69" r:id="rId490" xr:uid="{24B9D81B-FAB4-4D9F-9FF9-A22511925799}"/>
    <hyperlink ref="P68" r:id="rId491" xr:uid="{D9FC75BC-7A04-4A8E-BDD6-5B45938B680E}"/>
    <hyperlink ref="P67" r:id="rId492" xr:uid="{26B47EB8-803D-45E1-BEC7-978B747833A3}"/>
    <hyperlink ref="P66" r:id="rId493" xr:uid="{2F52A4D4-515E-4F2D-A5C3-1AF683345DCA}"/>
    <hyperlink ref="P65" r:id="rId494" xr:uid="{53454FED-426F-429B-95FA-1A44D8414000}"/>
    <hyperlink ref="P63" r:id="rId495" xr:uid="{13D68533-CC8C-42BD-9992-0F4EF560C616}"/>
    <hyperlink ref="P64" r:id="rId496" xr:uid="{B51AFF7F-1ABE-40B2-B0E4-45266B42ECC0}"/>
    <hyperlink ref="P61" r:id="rId497" xr:uid="{9603A9FF-77E4-45CF-B25E-82467FCFEAF7}"/>
    <hyperlink ref="P59" r:id="rId498" xr:uid="{DE3CFB59-76C2-4C00-B026-F75F7362F401}"/>
    <hyperlink ref="P58" r:id="rId499" xr:uid="{B8359E14-57FE-42EA-847B-AD65399484BC}"/>
    <hyperlink ref="P57" r:id="rId500" xr:uid="{70B6D0D8-ADFA-4800-8670-BA7AEED62F9D}"/>
    <hyperlink ref="P55" r:id="rId501" xr:uid="{3DEF529E-9511-4BC1-90DE-8FC215CC2B3F}"/>
    <hyperlink ref="P54" r:id="rId502" xr:uid="{D01553A9-BEB0-49F3-8E61-69A5CA119BB5}"/>
    <hyperlink ref="P53" r:id="rId503" xr:uid="{0C8C5349-0455-4EFB-84DD-94FDE77AB068}"/>
    <hyperlink ref="P52" r:id="rId504" xr:uid="{A8871F25-3FF3-4665-80E9-F18FE732B66E}"/>
    <hyperlink ref="P51" r:id="rId505" xr:uid="{A0EFD108-9DE6-4A27-AA01-24DEC4E84851}"/>
    <hyperlink ref="P50" r:id="rId506" xr:uid="{7CBA55B6-E86C-4FE4-B834-5C84DE765759}"/>
    <hyperlink ref="P48" r:id="rId507" xr:uid="{5EBB8D8B-C727-4C5C-A033-FD0FDA2D00AE}"/>
    <hyperlink ref="P47" r:id="rId508" xr:uid="{4D7365AA-D674-4149-A6F5-5B9716E03AEF}"/>
    <hyperlink ref="P46" r:id="rId509" xr:uid="{07E9F418-2E59-4F4F-9E1D-A59382BB0E15}"/>
    <hyperlink ref="P45" r:id="rId510" xr:uid="{5DE416EE-EA80-42A1-B310-EDFF3F44F12E}"/>
    <hyperlink ref="P44" r:id="rId511" xr:uid="{E43EEC48-792C-48F2-BEB1-85334DB73D8A}"/>
    <hyperlink ref="P42" r:id="rId512" xr:uid="{4A424DC4-6CF9-4D66-A180-BDB4F7C5BCF0}"/>
    <hyperlink ref="P41" r:id="rId513" xr:uid="{2E75E40D-5D17-43F0-9B6B-36391526ACC8}"/>
    <hyperlink ref="P40" r:id="rId514" xr:uid="{D3F9D716-2671-4398-87D1-5E8CC0C9FAD7}"/>
    <hyperlink ref="P39" r:id="rId515" xr:uid="{EBB661B6-4ADA-4F2E-8FCA-FE3D8BBBC235}"/>
    <hyperlink ref="P38" r:id="rId516" xr:uid="{C6EE7CAF-3530-41DD-B152-F790D21CFEE3}"/>
    <hyperlink ref="P37" r:id="rId517" xr:uid="{F6A685CD-0A9C-4F60-B8F7-08570F809D3B}"/>
    <hyperlink ref="P36" r:id="rId518" xr:uid="{9316BBAC-6FA2-4EE3-A9D7-5ACAD35817EF}"/>
    <hyperlink ref="P34" r:id="rId519" xr:uid="{36080569-706B-44E5-87BD-76F83D0A9BC0}"/>
    <hyperlink ref="P35" r:id="rId520" xr:uid="{70575568-A9BF-4220-B3AD-3B90E78AEDD6}"/>
    <hyperlink ref="P33" r:id="rId521" xr:uid="{63919B48-E1EC-4F03-BD96-01CD2E3C7A19}"/>
    <hyperlink ref="P32" r:id="rId522" xr:uid="{92DEF16A-BD08-4FFB-A992-4E4C7210FA2C}"/>
    <hyperlink ref="P31" r:id="rId523" xr:uid="{C939DF47-1558-4347-A95C-B98BE290B544}"/>
    <hyperlink ref="P30" r:id="rId524" xr:uid="{8BCAF304-E837-4274-82A8-49B1768880A0}"/>
    <hyperlink ref="P28" r:id="rId525" xr:uid="{2AED63A1-4019-4751-8733-FF1568BD03AE}"/>
    <hyperlink ref="P27" r:id="rId526" xr:uid="{6AB4C214-488F-4517-B72F-47B0B8A179C5}"/>
    <hyperlink ref="P24" r:id="rId527" xr:uid="{CF8BC2E2-7D2E-43A3-B447-B6E4D0B56212}"/>
    <hyperlink ref="P23" r:id="rId528" xr:uid="{A92A32CA-A093-421C-9A79-03B3B97985A8}"/>
    <hyperlink ref="P22" r:id="rId529" xr:uid="{CC40DD4D-03D1-4899-AE66-551828024EA3}"/>
    <hyperlink ref="P21" r:id="rId530" xr:uid="{33856063-4065-40EE-9576-705BED0FDF4B}"/>
    <hyperlink ref="P20" r:id="rId531" xr:uid="{3B540DA0-FCD4-41E7-A88E-1ABDFD0CC330}"/>
    <hyperlink ref="P19" r:id="rId532" xr:uid="{A2ABF50F-BBDB-49E8-AD30-7694593B6E50}"/>
    <hyperlink ref="P18" r:id="rId533" xr:uid="{A5FBD989-4FAB-47B7-A685-23710F5E6790}"/>
    <hyperlink ref="P17" r:id="rId534" xr:uid="{81F3BE4A-B08F-408B-9E74-6B4EBA6514C4}"/>
    <hyperlink ref="P16" r:id="rId535" xr:uid="{A189514C-1FF8-4961-934E-6D124B027FCB}"/>
    <hyperlink ref="P15" r:id="rId536" xr:uid="{69CA465E-FDEB-4BBD-B0E9-01F801592260}"/>
    <hyperlink ref="P14" r:id="rId537" xr:uid="{F89AF922-3ED0-4CBE-99D4-B10EFF79F926}"/>
    <hyperlink ref="P13" r:id="rId538" xr:uid="{E9557C21-4E3C-41C1-80A7-813DCA8B2303}"/>
  </hyperlinks>
  <pageMargins left="0.7" right="0.7" top="0.75" bottom="0.75" header="0.3" footer="0.3"/>
  <pageSetup orientation="portrait" horizontalDpi="4294967293" r:id="rId539"/>
  <drawing r:id="rId540"/>
  <legacyDrawing r:id="rId54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84B80-EA5B-4EC2-BB46-F12D7BF00777}">
  <sheetPr filterMode="1"/>
  <dimension ref="A1:P765"/>
  <sheetViews>
    <sheetView topLeftCell="A3" zoomScale="85" zoomScaleNormal="85" workbookViewId="0">
      <pane ySplit="8" topLeftCell="A319" activePane="bottomLeft" state="frozen"/>
      <selection activeCell="A3" sqref="A3"/>
      <selection pane="bottomLeft" activeCell="J631" sqref="J631:O631"/>
    </sheetView>
  </sheetViews>
  <sheetFormatPr baseColWidth="10" defaultColWidth="11.42578125" defaultRowHeight="15" x14ac:dyDescent="0.25"/>
  <cols>
    <col min="1" max="1" width="3.140625" customWidth="1"/>
    <col min="2" max="2" width="12.42578125" customWidth="1"/>
    <col min="3" max="3" width="13.5703125" customWidth="1"/>
    <col min="4" max="4" width="19.140625" customWidth="1"/>
    <col min="5" max="5" width="18.5703125" customWidth="1"/>
    <col min="6" max="6" width="18.85546875" customWidth="1"/>
    <col min="7" max="7" width="18.140625" customWidth="1"/>
    <col min="8" max="8" width="18" customWidth="1"/>
    <col min="9" max="9" width="30.42578125" customWidth="1"/>
    <col min="10" max="10" width="17.140625" bestFit="1" customWidth="1"/>
    <col min="11" max="11" width="12.5703125" customWidth="1"/>
    <col min="12" max="12" width="10.42578125" bestFit="1" customWidth="1"/>
    <col min="13" max="13" width="23.5703125" customWidth="1"/>
    <col min="14" max="14" width="32.42578125" customWidth="1"/>
    <col min="15" max="15" width="39" customWidth="1"/>
  </cols>
  <sheetData>
    <row r="1" spans="1:15" ht="15.75" thickBot="1" x14ac:dyDescent="0.3">
      <c r="A1" s="108"/>
      <c r="B1" s="109"/>
      <c r="C1" s="110"/>
      <c r="D1" s="110"/>
      <c r="E1" s="110"/>
      <c r="F1" s="110"/>
      <c r="G1" s="110"/>
      <c r="H1" s="110"/>
      <c r="I1" s="110"/>
      <c r="J1" s="109"/>
      <c r="K1" s="109"/>
      <c r="L1" s="109"/>
      <c r="M1" s="109"/>
      <c r="N1" s="109"/>
      <c r="O1" s="109"/>
    </row>
    <row r="2" spans="1:15" x14ac:dyDescent="0.25">
      <c r="A2" s="108"/>
      <c r="B2" s="163"/>
      <c r="C2" s="164"/>
      <c r="D2" s="169" t="s">
        <v>6087</v>
      </c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1"/>
    </row>
    <row r="3" spans="1:15" x14ac:dyDescent="0.25">
      <c r="A3" s="108"/>
      <c r="B3" s="165"/>
      <c r="C3" s="166"/>
      <c r="D3" s="172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4"/>
    </row>
    <row r="4" spans="1:15" x14ac:dyDescent="0.25">
      <c r="A4" s="108"/>
      <c r="B4" s="165"/>
      <c r="C4" s="166"/>
      <c r="D4" s="172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4"/>
    </row>
    <row r="5" spans="1:15" x14ac:dyDescent="0.25">
      <c r="A5" s="108"/>
      <c r="B5" s="165"/>
      <c r="C5" s="166"/>
      <c r="D5" s="172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4"/>
    </row>
    <row r="6" spans="1:15" x14ac:dyDescent="0.25">
      <c r="A6" s="108"/>
      <c r="B6" s="165"/>
      <c r="C6" s="166"/>
      <c r="D6" s="172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4"/>
    </row>
    <row r="7" spans="1:15" x14ac:dyDescent="0.25">
      <c r="A7" s="108"/>
      <c r="B7" s="165"/>
      <c r="C7" s="166"/>
      <c r="D7" s="172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4"/>
    </row>
    <row r="8" spans="1:15" x14ac:dyDescent="0.25">
      <c r="A8" s="108"/>
      <c r="B8" s="165"/>
      <c r="C8" s="166"/>
      <c r="D8" s="172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4"/>
    </row>
    <row r="9" spans="1:15" ht="15.75" thickBot="1" x14ac:dyDescent="0.3">
      <c r="A9" s="108"/>
      <c r="B9" s="167"/>
      <c r="C9" s="168"/>
      <c r="D9" s="175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7"/>
    </row>
    <row r="10" spans="1:15" ht="28.5" x14ac:dyDescent="0.25">
      <c r="A10" s="108"/>
      <c r="B10" s="120" t="s">
        <v>1</v>
      </c>
      <c r="C10" s="178" t="s">
        <v>2</v>
      </c>
      <c r="D10" s="179"/>
      <c r="E10" s="179"/>
      <c r="F10" s="180"/>
      <c r="G10" s="181"/>
      <c r="H10" s="182"/>
      <c r="I10" s="123" t="s">
        <v>696</v>
      </c>
      <c r="J10" s="121" t="s">
        <v>3</v>
      </c>
      <c r="K10" s="122" t="s">
        <v>4</v>
      </c>
      <c r="L10" s="122" t="s">
        <v>3924</v>
      </c>
      <c r="M10" s="123" t="s">
        <v>6</v>
      </c>
      <c r="N10" s="123" t="s">
        <v>7</v>
      </c>
      <c r="O10" s="123" t="s">
        <v>8</v>
      </c>
    </row>
    <row r="11" spans="1:15" hidden="1" x14ac:dyDescent="0.25">
      <c r="A11" s="108"/>
      <c r="B11" s="39">
        <v>1</v>
      </c>
      <c r="C11" s="288" t="s">
        <v>6038</v>
      </c>
      <c r="D11" s="289"/>
      <c r="E11" s="289"/>
      <c r="F11" s="289"/>
      <c r="G11" s="289"/>
      <c r="H11" s="289"/>
      <c r="I11" s="39" t="s">
        <v>6040</v>
      </c>
      <c r="J11" s="111">
        <v>4950000</v>
      </c>
      <c r="K11" s="112">
        <v>45666</v>
      </c>
      <c r="L11" s="39"/>
      <c r="M11" s="39">
        <v>3113555383</v>
      </c>
      <c r="N11" s="113" t="s">
        <v>4674</v>
      </c>
      <c r="O11" s="114" t="s">
        <v>4673</v>
      </c>
    </row>
    <row r="12" spans="1:15" hidden="1" x14ac:dyDescent="0.25">
      <c r="A12" s="108"/>
      <c r="B12" s="39">
        <v>2</v>
      </c>
      <c r="C12" s="288" t="s">
        <v>6039</v>
      </c>
      <c r="D12" s="289"/>
      <c r="E12" s="289"/>
      <c r="F12" s="289"/>
      <c r="G12" s="289"/>
      <c r="H12" s="289"/>
      <c r="I12" s="39" t="s">
        <v>6040</v>
      </c>
      <c r="J12" s="111">
        <v>7550000</v>
      </c>
      <c r="K12" s="112">
        <v>45666</v>
      </c>
      <c r="L12" s="39"/>
      <c r="M12" s="39">
        <v>3113555383</v>
      </c>
      <c r="N12" s="113" t="s">
        <v>4674</v>
      </c>
      <c r="O12" s="114" t="s">
        <v>4673</v>
      </c>
    </row>
    <row r="13" spans="1:15" hidden="1" x14ac:dyDescent="0.25">
      <c r="A13" s="108"/>
      <c r="B13" s="39">
        <v>3</v>
      </c>
      <c r="C13" s="162" t="s">
        <v>6041</v>
      </c>
      <c r="D13" s="162"/>
      <c r="E13" s="162"/>
      <c r="F13" s="162"/>
      <c r="G13" s="162"/>
      <c r="H13" s="162"/>
      <c r="I13" s="39" t="s">
        <v>6042</v>
      </c>
      <c r="J13" s="111">
        <v>15950000</v>
      </c>
      <c r="K13" s="112">
        <v>45670</v>
      </c>
      <c r="L13" s="39"/>
      <c r="M13" s="39">
        <v>3134451063</v>
      </c>
      <c r="N13" s="39" t="s">
        <v>4753</v>
      </c>
      <c r="O13" s="115" t="s">
        <v>5187</v>
      </c>
    </row>
    <row r="14" spans="1:15" hidden="1" x14ac:dyDescent="0.25">
      <c r="A14" s="108"/>
      <c r="B14" s="39">
        <v>4</v>
      </c>
      <c r="C14" s="162" t="s">
        <v>6043</v>
      </c>
      <c r="D14" s="162"/>
      <c r="E14" s="162"/>
      <c r="F14" s="162"/>
      <c r="G14" s="162"/>
      <c r="H14" s="162"/>
      <c r="I14" s="39" t="s">
        <v>6044</v>
      </c>
      <c r="J14" s="111">
        <v>26590000</v>
      </c>
      <c r="K14" s="112">
        <v>45671</v>
      </c>
      <c r="L14" s="39"/>
      <c r="M14" s="39">
        <v>3216438520</v>
      </c>
      <c r="N14" s="39" t="s">
        <v>6045</v>
      </c>
      <c r="O14" s="38" t="s">
        <v>6046</v>
      </c>
    </row>
    <row r="15" spans="1:15" hidden="1" x14ac:dyDescent="0.25">
      <c r="A15" s="108"/>
      <c r="B15" s="39">
        <v>5</v>
      </c>
      <c r="C15" s="162" t="s">
        <v>6047</v>
      </c>
      <c r="D15" s="162"/>
      <c r="E15" s="162"/>
      <c r="F15" s="162"/>
      <c r="G15" s="162"/>
      <c r="H15" s="162"/>
      <c r="I15" s="39" t="s">
        <v>3766</v>
      </c>
      <c r="J15" s="111">
        <v>10960000</v>
      </c>
      <c r="K15" s="112">
        <v>45671</v>
      </c>
      <c r="L15" s="39"/>
      <c r="M15" s="39">
        <v>3155264386</v>
      </c>
      <c r="N15" s="102" t="s">
        <v>5233</v>
      </c>
      <c r="O15" s="52" t="s">
        <v>5234</v>
      </c>
    </row>
    <row r="16" spans="1:15" hidden="1" x14ac:dyDescent="0.25">
      <c r="A16" s="108"/>
      <c r="B16" s="39">
        <v>6</v>
      </c>
      <c r="C16" s="162" t="s">
        <v>6049</v>
      </c>
      <c r="D16" s="162"/>
      <c r="E16" s="162"/>
      <c r="F16" s="162"/>
      <c r="G16" s="162"/>
      <c r="H16" s="162"/>
      <c r="I16" s="39" t="s">
        <v>6048</v>
      </c>
      <c r="J16" s="111" t="s">
        <v>150</v>
      </c>
      <c r="K16" s="112">
        <v>45671</v>
      </c>
      <c r="L16" s="39"/>
      <c r="M16" s="39">
        <v>3022295772</v>
      </c>
      <c r="N16" s="39" t="s">
        <v>1554</v>
      </c>
      <c r="O16" s="52" t="s">
        <v>1555</v>
      </c>
    </row>
    <row r="17" spans="1:15" hidden="1" x14ac:dyDescent="0.25">
      <c r="A17" s="108"/>
      <c r="B17" s="39">
        <v>7</v>
      </c>
      <c r="C17" s="162" t="s">
        <v>6085</v>
      </c>
      <c r="D17" s="162"/>
      <c r="E17" s="162"/>
      <c r="F17" s="162"/>
      <c r="G17" s="162"/>
      <c r="H17" s="162"/>
      <c r="I17" s="39" t="s">
        <v>702</v>
      </c>
      <c r="J17" s="111" t="s">
        <v>6086</v>
      </c>
      <c r="K17" s="112">
        <v>45671</v>
      </c>
      <c r="L17" s="39"/>
      <c r="M17" s="39">
        <v>3104165783</v>
      </c>
      <c r="N17" s="39" t="s">
        <v>4564</v>
      </c>
      <c r="O17" s="38" t="s">
        <v>4565</v>
      </c>
    </row>
    <row r="18" spans="1:15" hidden="1" x14ac:dyDescent="0.25">
      <c r="A18" s="108"/>
      <c r="B18" s="39">
        <v>8</v>
      </c>
      <c r="C18" s="162" t="s">
        <v>6050</v>
      </c>
      <c r="D18" s="162"/>
      <c r="E18" s="162"/>
      <c r="F18" s="162"/>
      <c r="G18" s="162"/>
      <c r="H18" s="162"/>
      <c r="I18" s="39" t="s">
        <v>702</v>
      </c>
      <c r="J18" s="111">
        <v>2500000</v>
      </c>
      <c r="K18" s="112">
        <v>45671</v>
      </c>
      <c r="L18" s="39"/>
      <c r="M18" s="39">
        <v>3104203649</v>
      </c>
      <c r="N18" s="39" t="s">
        <v>1257</v>
      </c>
      <c r="O18" s="38" t="s">
        <v>2621</v>
      </c>
    </row>
    <row r="19" spans="1:15" hidden="1" x14ac:dyDescent="0.25">
      <c r="A19" s="108"/>
      <c r="B19" s="39">
        <v>9</v>
      </c>
      <c r="C19" s="162" t="s">
        <v>6051</v>
      </c>
      <c r="D19" s="162"/>
      <c r="E19" s="162"/>
      <c r="F19" s="162"/>
      <c r="G19" s="162"/>
      <c r="H19" s="162"/>
      <c r="I19" s="39" t="s">
        <v>3202</v>
      </c>
      <c r="J19" s="111">
        <v>13170000</v>
      </c>
      <c r="K19" s="112">
        <v>45671</v>
      </c>
      <c r="L19" s="39"/>
      <c r="M19" s="39">
        <v>3137851941</v>
      </c>
      <c r="N19" s="39" t="s">
        <v>4126</v>
      </c>
      <c r="O19" s="38" t="s">
        <v>713</v>
      </c>
    </row>
    <row r="20" spans="1:15" hidden="1" x14ac:dyDescent="0.25">
      <c r="A20" s="108"/>
      <c r="B20" s="39">
        <v>10</v>
      </c>
      <c r="C20" s="162" t="s">
        <v>6051</v>
      </c>
      <c r="D20" s="162"/>
      <c r="E20" s="162"/>
      <c r="F20" s="162"/>
      <c r="G20" s="162"/>
      <c r="H20" s="162"/>
      <c r="I20" s="39" t="s">
        <v>4597</v>
      </c>
      <c r="J20" s="111">
        <v>13170000</v>
      </c>
      <c r="K20" s="112">
        <v>45671</v>
      </c>
      <c r="L20" s="39"/>
      <c r="M20" s="39">
        <v>3135401714</v>
      </c>
      <c r="N20" s="39" t="s">
        <v>4810</v>
      </c>
      <c r="O20" s="38" t="s">
        <v>1662</v>
      </c>
    </row>
    <row r="21" spans="1:15" hidden="1" x14ac:dyDescent="0.25">
      <c r="A21" s="108"/>
      <c r="B21" s="39">
        <v>11</v>
      </c>
      <c r="C21" s="162" t="s">
        <v>6052</v>
      </c>
      <c r="D21" s="162"/>
      <c r="E21" s="162"/>
      <c r="F21" s="162"/>
      <c r="G21" s="162"/>
      <c r="H21" s="162"/>
      <c r="I21" s="39" t="s">
        <v>6289</v>
      </c>
      <c r="J21" s="111">
        <v>19950000</v>
      </c>
      <c r="K21" s="112">
        <v>45671</v>
      </c>
      <c r="L21" s="39"/>
      <c r="M21" s="39">
        <v>3194913179</v>
      </c>
      <c r="N21" s="103" t="s">
        <v>3495</v>
      </c>
      <c r="O21" s="52" t="s">
        <v>3496</v>
      </c>
    </row>
    <row r="22" spans="1:15" hidden="1" x14ac:dyDescent="0.25">
      <c r="A22" s="108"/>
      <c r="B22" s="39">
        <v>12</v>
      </c>
      <c r="C22" s="162" t="s">
        <v>6053</v>
      </c>
      <c r="D22" s="162"/>
      <c r="E22" s="162"/>
      <c r="F22" s="162"/>
      <c r="G22" s="162"/>
      <c r="H22" s="162"/>
      <c r="I22" s="39" t="s">
        <v>6289</v>
      </c>
      <c r="J22" s="111">
        <v>19850000</v>
      </c>
      <c r="K22" s="112">
        <v>45671</v>
      </c>
      <c r="L22" s="39"/>
      <c r="M22" s="39">
        <v>3194913179</v>
      </c>
      <c r="N22" s="103" t="s">
        <v>3495</v>
      </c>
      <c r="O22" s="52" t="s">
        <v>3496</v>
      </c>
    </row>
    <row r="23" spans="1:15" hidden="1" x14ac:dyDescent="0.25">
      <c r="A23" s="108"/>
      <c r="B23" s="39">
        <v>13</v>
      </c>
      <c r="C23" s="162" t="s">
        <v>6054</v>
      </c>
      <c r="D23" s="162"/>
      <c r="E23" s="162"/>
      <c r="F23" s="162"/>
      <c r="G23" s="162"/>
      <c r="H23" s="162"/>
      <c r="I23" s="39" t="s">
        <v>3766</v>
      </c>
      <c r="J23" s="111">
        <v>6950000</v>
      </c>
      <c r="K23" s="112">
        <v>45672</v>
      </c>
      <c r="L23" s="39"/>
      <c r="M23" s="39">
        <v>3155264386</v>
      </c>
      <c r="N23" s="102" t="s">
        <v>5233</v>
      </c>
      <c r="O23" s="52" t="s">
        <v>5234</v>
      </c>
    </row>
    <row r="24" spans="1:15" hidden="1" x14ac:dyDescent="0.25">
      <c r="A24" s="108"/>
      <c r="B24" s="39">
        <v>14</v>
      </c>
      <c r="C24" s="162" t="s">
        <v>6056</v>
      </c>
      <c r="D24" s="162"/>
      <c r="E24" s="162"/>
      <c r="F24" s="162"/>
      <c r="G24" s="162"/>
      <c r="H24" s="162"/>
      <c r="I24" s="39" t="s">
        <v>6055</v>
      </c>
      <c r="J24" s="111">
        <v>18000000</v>
      </c>
      <c r="K24" s="112">
        <v>45674</v>
      </c>
      <c r="L24" s="39"/>
      <c r="M24" s="39">
        <v>3044003430</v>
      </c>
      <c r="N24" s="39" t="s">
        <v>6057</v>
      </c>
      <c r="O24" s="38" t="s">
        <v>990</v>
      </c>
    </row>
    <row r="25" spans="1:15" hidden="1" x14ac:dyDescent="0.25">
      <c r="A25" s="108"/>
      <c r="B25" s="39">
        <v>15</v>
      </c>
      <c r="C25" s="162" t="s">
        <v>6058</v>
      </c>
      <c r="D25" s="162"/>
      <c r="E25" s="162"/>
      <c r="F25" s="162"/>
      <c r="G25" s="162"/>
      <c r="H25" s="162"/>
      <c r="I25" s="39" t="s">
        <v>702</v>
      </c>
      <c r="J25" s="111">
        <v>25810000</v>
      </c>
      <c r="K25" s="112">
        <v>45674</v>
      </c>
      <c r="L25" s="39"/>
      <c r="M25" s="39">
        <v>3104165783</v>
      </c>
      <c r="N25" s="39" t="s">
        <v>4564</v>
      </c>
      <c r="O25" s="38" t="s">
        <v>4565</v>
      </c>
    </row>
    <row r="26" spans="1:15" hidden="1" x14ac:dyDescent="0.25">
      <c r="A26" s="108"/>
      <c r="B26" s="39">
        <v>16</v>
      </c>
      <c r="C26" s="162" t="s">
        <v>6062</v>
      </c>
      <c r="D26" s="162"/>
      <c r="E26" s="162"/>
      <c r="F26" s="162"/>
      <c r="G26" s="162"/>
      <c r="H26" s="162"/>
      <c r="I26" s="39" t="s">
        <v>5474</v>
      </c>
      <c r="J26" s="111">
        <v>10670000</v>
      </c>
      <c r="K26" s="112">
        <v>45677</v>
      </c>
      <c r="L26" s="39"/>
      <c r="M26" s="39">
        <v>3107195105</v>
      </c>
      <c r="N26" s="39" t="s">
        <v>6063</v>
      </c>
      <c r="O26" s="38" t="s">
        <v>6064</v>
      </c>
    </row>
    <row r="27" spans="1:15" hidden="1" x14ac:dyDescent="0.25">
      <c r="A27" s="108"/>
      <c r="B27" s="39">
        <v>17</v>
      </c>
      <c r="C27" s="162" t="s">
        <v>6066</v>
      </c>
      <c r="D27" s="162"/>
      <c r="E27" s="162"/>
      <c r="F27" s="162"/>
      <c r="G27" s="162"/>
      <c r="H27" s="162"/>
      <c r="I27" s="39" t="s">
        <v>4597</v>
      </c>
      <c r="J27" s="111">
        <v>17950000</v>
      </c>
      <c r="K27" s="112">
        <v>45677</v>
      </c>
      <c r="L27" s="39"/>
      <c r="M27" s="39">
        <v>3135401714</v>
      </c>
      <c r="N27" s="39" t="s">
        <v>4810</v>
      </c>
      <c r="O27" s="38" t="s">
        <v>1662</v>
      </c>
    </row>
    <row r="28" spans="1:15" hidden="1" x14ac:dyDescent="0.25">
      <c r="A28" s="108"/>
      <c r="B28" s="39">
        <v>18</v>
      </c>
      <c r="C28" s="162" t="s">
        <v>6061</v>
      </c>
      <c r="D28" s="162"/>
      <c r="E28" s="162"/>
      <c r="F28" s="162"/>
      <c r="G28" s="162"/>
      <c r="H28" s="162"/>
      <c r="I28" s="39" t="s">
        <v>6059</v>
      </c>
      <c r="J28" s="111">
        <v>7650000</v>
      </c>
      <c r="K28" s="112">
        <v>45674</v>
      </c>
      <c r="L28" s="39"/>
      <c r="M28" s="39">
        <v>3012409366</v>
      </c>
      <c r="N28" s="39" t="s">
        <v>6060</v>
      </c>
      <c r="O28" s="38" t="s">
        <v>1024</v>
      </c>
    </row>
    <row r="29" spans="1:15" hidden="1" x14ac:dyDescent="0.25">
      <c r="A29" s="108"/>
      <c r="B29" s="39">
        <v>19</v>
      </c>
      <c r="C29" s="162" t="s">
        <v>6065</v>
      </c>
      <c r="D29" s="162"/>
      <c r="E29" s="162"/>
      <c r="F29" s="162"/>
      <c r="G29" s="162"/>
      <c r="H29" s="162"/>
      <c r="I29" s="39" t="s">
        <v>2743</v>
      </c>
      <c r="J29" s="111">
        <v>14850000</v>
      </c>
      <c r="K29" s="112">
        <v>45677</v>
      </c>
      <c r="L29" s="39"/>
      <c r="M29" s="39">
        <v>3175594091</v>
      </c>
      <c r="N29" s="39" t="s">
        <v>2045</v>
      </c>
      <c r="O29" s="38" t="s">
        <v>748</v>
      </c>
    </row>
    <row r="30" spans="1:15" ht="14.25" hidden="1" customHeight="1" x14ac:dyDescent="0.25">
      <c r="A30" s="108"/>
      <c r="B30" s="39">
        <v>20</v>
      </c>
      <c r="C30" s="162" t="s">
        <v>5050</v>
      </c>
      <c r="D30" s="162"/>
      <c r="E30" s="162"/>
      <c r="F30" s="162"/>
      <c r="G30" s="162"/>
      <c r="H30" s="162"/>
      <c r="I30" s="39" t="s">
        <v>870</v>
      </c>
      <c r="J30" s="111">
        <v>11520000</v>
      </c>
      <c r="K30" s="112">
        <v>45677</v>
      </c>
      <c r="L30" s="39"/>
      <c r="M30" s="39"/>
      <c r="N30" s="39" t="s">
        <v>5048</v>
      </c>
      <c r="O30" s="38" t="s">
        <v>5049</v>
      </c>
    </row>
    <row r="31" spans="1:15" hidden="1" x14ac:dyDescent="0.25">
      <c r="A31" s="108"/>
      <c r="B31" s="39">
        <v>21</v>
      </c>
      <c r="C31" s="162" t="s">
        <v>6067</v>
      </c>
      <c r="D31" s="162"/>
      <c r="E31" s="162"/>
      <c r="F31" s="162"/>
      <c r="G31" s="162"/>
      <c r="H31" s="162"/>
      <c r="I31" s="39" t="s">
        <v>3002</v>
      </c>
      <c r="J31" s="111">
        <v>24840000</v>
      </c>
      <c r="K31" s="112">
        <v>45677</v>
      </c>
      <c r="L31" s="39"/>
      <c r="M31" s="39" t="s">
        <v>5232</v>
      </c>
      <c r="N31" s="39" t="s">
        <v>5199</v>
      </c>
      <c r="O31" s="38" t="s">
        <v>5200</v>
      </c>
    </row>
    <row r="32" spans="1:15" hidden="1" x14ac:dyDescent="0.25">
      <c r="A32" s="108"/>
      <c r="B32" s="39">
        <v>22</v>
      </c>
      <c r="C32" s="162" t="s">
        <v>6068</v>
      </c>
      <c r="D32" s="162"/>
      <c r="E32" s="162"/>
      <c r="F32" s="162"/>
      <c r="G32" s="162"/>
      <c r="H32" s="162"/>
      <c r="I32" s="39" t="s">
        <v>2743</v>
      </c>
      <c r="J32" s="111">
        <v>14000000</v>
      </c>
      <c r="K32" s="112">
        <v>45678</v>
      </c>
      <c r="L32" s="39"/>
      <c r="M32" s="39">
        <v>3175594091</v>
      </c>
      <c r="N32" s="39" t="s">
        <v>2045</v>
      </c>
      <c r="O32" s="38" t="s">
        <v>748</v>
      </c>
    </row>
    <row r="33" spans="1:15" hidden="1" x14ac:dyDescent="0.25">
      <c r="A33" s="108"/>
      <c r="B33" s="39">
        <v>23</v>
      </c>
      <c r="C33" s="162" t="s">
        <v>6081</v>
      </c>
      <c r="D33" s="162"/>
      <c r="E33" s="162"/>
      <c r="F33" s="162"/>
      <c r="G33" s="162"/>
      <c r="H33" s="162"/>
      <c r="I33" s="39" t="s">
        <v>702</v>
      </c>
      <c r="J33" s="111">
        <f>7900000+4010000</f>
        <v>11910000</v>
      </c>
      <c r="K33" s="112">
        <v>45679</v>
      </c>
      <c r="L33" s="39"/>
      <c r="M33" s="39">
        <v>3104165783</v>
      </c>
      <c r="N33" s="39" t="s">
        <v>4564</v>
      </c>
      <c r="O33" s="38" t="s">
        <v>4565</v>
      </c>
    </row>
    <row r="34" spans="1:15" hidden="1" x14ac:dyDescent="0.25">
      <c r="A34" s="108"/>
      <c r="B34" s="39">
        <v>24</v>
      </c>
      <c r="C34" s="162" t="s">
        <v>6080</v>
      </c>
      <c r="D34" s="162"/>
      <c r="E34" s="162"/>
      <c r="F34" s="162"/>
      <c r="G34" s="162"/>
      <c r="H34" s="162"/>
      <c r="I34" s="39" t="s">
        <v>6069</v>
      </c>
      <c r="J34" s="111">
        <v>2500000</v>
      </c>
      <c r="K34" s="112">
        <v>45679</v>
      </c>
      <c r="L34" s="39"/>
      <c r="M34" s="39">
        <v>3224188478</v>
      </c>
      <c r="N34" s="39" t="s">
        <v>5434</v>
      </c>
      <c r="O34" s="38" t="s">
        <v>5061</v>
      </c>
    </row>
    <row r="35" spans="1:15" ht="15" hidden="1" customHeight="1" x14ac:dyDescent="0.25">
      <c r="A35" s="108"/>
      <c r="B35" s="39">
        <v>25</v>
      </c>
      <c r="C35" s="162" t="s">
        <v>6078</v>
      </c>
      <c r="D35" s="162"/>
      <c r="E35" s="162"/>
      <c r="F35" s="162"/>
      <c r="G35" s="162"/>
      <c r="H35" s="162"/>
      <c r="I35" s="39" t="s">
        <v>4436</v>
      </c>
      <c r="J35" s="111">
        <v>6270000</v>
      </c>
      <c r="K35" s="112">
        <v>45679</v>
      </c>
      <c r="L35" s="39"/>
      <c r="M35" s="39">
        <v>3148721400</v>
      </c>
      <c r="N35" s="39" t="s">
        <v>4575</v>
      </c>
      <c r="O35" s="38" t="s">
        <v>4576</v>
      </c>
    </row>
    <row r="36" spans="1:15" hidden="1" x14ac:dyDescent="0.25">
      <c r="A36" s="108"/>
      <c r="B36" s="39">
        <v>26</v>
      </c>
      <c r="C36" s="162" t="s">
        <v>6070</v>
      </c>
      <c r="D36" s="162"/>
      <c r="E36" s="162"/>
      <c r="F36" s="162"/>
      <c r="G36" s="162"/>
      <c r="H36" s="162"/>
      <c r="I36" s="39" t="s">
        <v>5189</v>
      </c>
      <c r="J36" s="111">
        <v>14450000</v>
      </c>
      <c r="K36" s="112">
        <v>45679</v>
      </c>
      <c r="L36" s="39"/>
      <c r="M36" s="39">
        <v>3137337587</v>
      </c>
      <c r="N36" s="39" t="s">
        <v>4141</v>
      </c>
      <c r="O36" s="117" t="s">
        <v>6071</v>
      </c>
    </row>
    <row r="37" spans="1:15" hidden="1" x14ac:dyDescent="0.25">
      <c r="A37" s="108"/>
      <c r="B37" s="39">
        <v>27</v>
      </c>
      <c r="C37" s="162" t="s">
        <v>6072</v>
      </c>
      <c r="D37" s="162"/>
      <c r="E37" s="162"/>
      <c r="F37" s="162"/>
      <c r="G37" s="162"/>
      <c r="H37" s="162"/>
      <c r="I37" s="39" t="s">
        <v>6077</v>
      </c>
      <c r="J37" s="111">
        <v>6270000</v>
      </c>
      <c r="K37" s="112">
        <v>45679</v>
      </c>
      <c r="L37" s="39"/>
      <c r="M37" s="39">
        <v>3148600291</v>
      </c>
      <c r="N37" s="39" t="s">
        <v>6073</v>
      </c>
      <c r="O37" s="38" t="s">
        <v>6074</v>
      </c>
    </row>
    <row r="38" spans="1:15" hidden="1" x14ac:dyDescent="0.25">
      <c r="A38" s="108"/>
      <c r="B38" s="39">
        <v>28</v>
      </c>
      <c r="C38" s="162" t="s">
        <v>6075</v>
      </c>
      <c r="D38" s="162"/>
      <c r="E38" s="162"/>
      <c r="F38" s="162"/>
      <c r="G38" s="162"/>
      <c r="H38" s="162"/>
      <c r="I38" s="39" t="s">
        <v>2743</v>
      </c>
      <c r="J38" s="111">
        <v>8780000</v>
      </c>
      <c r="K38" s="112">
        <v>45679</v>
      </c>
      <c r="L38" s="39"/>
      <c r="M38" s="39">
        <v>3175594091</v>
      </c>
      <c r="N38" s="39" t="s">
        <v>2045</v>
      </c>
      <c r="O38" s="38" t="s">
        <v>748</v>
      </c>
    </row>
    <row r="39" spans="1:15" hidden="1" x14ac:dyDescent="0.25">
      <c r="A39" s="108"/>
      <c r="B39" s="39">
        <v>29</v>
      </c>
      <c r="C39" s="162" t="s">
        <v>6079</v>
      </c>
      <c r="D39" s="162"/>
      <c r="E39" s="162"/>
      <c r="F39" s="162"/>
      <c r="G39" s="162"/>
      <c r="H39" s="162"/>
      <c r="I39" s="39" t="s">
        <v>702</v>
      </c>
      <c r="J39" s="111">
        <v>2500000</v>
      </c>
      <c r="K39" s="112">
        <v>45679</v>
      </c>
      <c r="L39" s="39"/>
      <c r="M39" s="39">
        <v>3104165783</v>
      </c>
      <c r="N39" s="39" t="s">
        <v>4564</v>
      </c>
      <c r="O39" s="38" t="s">
        <v>4565</v>
      </c>
    </row>
    <row r="40" spans="1:15" hidden="1" x14ac:dyDescent="0.25">
      <c r="A40" s="108"/>
      <c r="B40" s="39">
        <v>30</v>
      </c>
      <c r="C40" s="162" t="s">
        <v>6082</v>
      </c>
      <c r="D40" s="162"/>
      <c r="E40" s="162"/>
      <c r="F40" s="162"/>
      <c r="G40" s="162"/>
      <c r="H40" s="162"/>
      <c r="I40" s="39" t="s">
        <v>6280</v>
      </c>
      <c r="J40" s="111">
        <v>12500000</v>
      </c>
      <c r="K40" s="112">
        <v>45680</v>
      </c>
      <c r="L40" s="39"/>
      <c r="M40" s="39" t="s">
        <v>1897</v>
      </c>
      <c r="N40" s="39" t="s">
        <v>2076</v>
      </c>
      <c r="O40" s="38" t="s">
        <v>1899</v>
      </c>
    </row>
    <row r="41" spans="1:15" hidden="1" x14ac:dyDescent="0.25">
      <c r="A41" s="108"/>
      <c r="B41" s="39">
        <v>31</v>
      </c>
      <c r="C41" s="162" t="s">
        <v>6084</v>
      </c>
      <c r="D41" s="162"/>
      <c r="E41" s="162"/>
      <c r="F41" s="162"/>
      <c r="G41" s="162"/>
      <c r="H41" s="162"/>
      <c r="I41" s="39" t="s">
        <v>6083</v>
      </c>
      <c r="J41" s="111" t="s">
        <v>150</v>
      </c>
      <c r="K41" s="112">
        <v>45681</v>
      </c>
      <c r="L41" s="39"/>
      <c r="M41" s="39">
        <v>3012547727</v>
      </c>
      <c r="N41" s="39" t="s">
        <v>1027</v>
      </c>
      <c r="O41" s="116"/>
    </row>
    <row r="42" spans="1:15" ht="15" hidden="1" customHeight="1" x14ac:dyDescent="0.25">
      <c r="A42" s="108"/>
      <c r="B42" s="39">
        <v>32</v>
      </c>
      <c r="C42" s="162" t="s">
        <v>6088</v>
      </c>
      <c r="D42" s="162"/>
      <c r="E42" s="162"/>
      <c r="F42" s="162"/>
      <c r="G42" s="162"/>
      <c r="H42" s="162"/>
      <c r="I42" s="39" t="s">
        <v>6089</v>
      </c>
      <c r="J42" s="111">
        <v>2950000</v>
      </c>
      <c r="K42" s="112">
        <v>45685</v>
      </c>
      <c r="L42" s="39"/>
      <c r="M42" s="39">
        <v>3006940601</v>
      </c>
      <c r="N42" s="39" t="s">
        <v>5889</v>
      </c>
      <c r="O42" s="116" t="s">
        <v>5890</v>
      </c>
    </row>
    <row r="43" spans="1:15" hidden="1" x14ac:dyDescent="0.25">
      <c r="A43" s="108"/>
      <c r="B43" s="39">
        <v>33</v>
      </c>
      <c r="C43" s="162" t="s">
        <v>6090</v>
      </c>
      <c r="D43" s="162"/>
      <c r="E43" s="162"/>
      <c r="F43" s="162"/>
      <c r="G43" s="162"/>
      <c r="H43" s="162"/>
      <c r="I43" s="39" t="s">
        <v>6092</v>
      </c>
      <c r="J43" s="111">
        <v>66750000</v>
      </c>
      <c r="K43" s="112">
        <v>45684</v>
      </c>
      <c r="L43" s="39"/>
      <c r="M43" s="39">
        <v>3127218621</v>
      </c>
      <c r="N43" s="39" t="s">
        <v>6091</v>
      </c>
      <c r="O43" s="116" t="s">
        <v>3668</v>
      </c>
    </row>
    <row r="44" spans="1:15" hidden="1" x14ac:dyDescent="0.25">
      <c r="A44" s="108"/>
      <c r="B44" s="39">
        <v>34</v>
      </c>
      <c r="C44" s="162" t="s">
        <v>6094</v>
      </c>
      <c r="D44" s="162"/>
      <c r="E44" s="162"/>
      <c r="F44" s="162"/>
      <c r="G44" s="162"/>
      <c r="H44" s="162"/>
      <c r="I44" s="39" t="s">
        <v>6093</v>
      </c>
      <c r="J44" s="111">
        <v>21950000</v>
      </c>
      <c r="K44" s="112">
        <v>45684</v>
      </c>
      <c r="L44" s="39"/>
      <c r="M44" s="39">
        <v>3045239213</v>
      </c>
      <c r="N44" s="39" t="s">
        <v>6095</v>
      </c>
      <c r="O44" s="116" t="s">
        <v>6096</v>
      </c>
    </row>
    <row r="45" spans="1:15" hidden="1" x14ac:dyDescent="0.25">
      <c r="A45" s="108"/>
      <c r="B45" s="39">
        <v>35</v>
      </c>
      <c r="C45" s="162" t="s">
        <v>6097</v>
      </c>
      <c r="D45" s="162"/>
      <c r="E45" s="162"/>
      <c r="F45" s="162"/>
      <c r="G45" s="162"/>
      <c r="H45" s="162"/>
      <c r="I45" s="39" t="s">
        <v>4390</v>
      </c>
      <c r="J45" s="46">
        <v>12540000</v>
      </c>
      <c r="K45" s="112">
        <v>45685</v>
      </c>
      <c r="L45" s="2"/>
      <c r="M45" s="39">
        <v>3113391008</v>
      </c>
      <c r="N45" s="39" t="s">
        <v>372</v>
      </c>
      <c r="O45" s="118" t="s">
        <v>2561</v>
      </c>
    </row>
    <row r="46" spans="1:15" hidden="1" x14ac:dyDescent="0.25">
      <c r="A46" s="108"/>
      <c r="B46" s="39">
        <v>36</v>
      </c>
      <c r="C46" s="162" t="s">
        <v>6098</v>
      </c>
      <c r="D46" s="162"/>
      <c r="E46" s="162"/>
      <c r="F46" s="162"/>
      <c r="G46" s="162"/>
      <c r="H46" s="162"/>
      <c r="I46" s="39" t="s">
        <v>5549</v>
      </c>
      <c r="J46" s="111">
        <v>1950000</v>
      </c>
      <c r="K46" s="112">
        <v>45685</v>
      </c>
      <c r="L46" s="39"/>
      <c r="M46" s="39">
        <v>3162963854</v>
      </c>
      <c r="N46" s="39" t="s">
        <v>5374</v>
      </c>
      <c r="O46" s="116" t="s">
        <v>5375</v>
      </c>
    </row>
    <row r="47" spans="1:15" hidden="1" x14ac:dyDescent="0.25">
      <c r="A47" s="108"/>
      <c r="B47" s="39">
        <v>37</v>
      </c>
      <c r="C47" s="162" t="s">
        <v>6099</v>
      </c>
      <c r="D47" s="162"/>
      <c r="E47" s="162"/>
      <c r="F47" s="162"/>
      <c r="G47" s="162"/>
      <c r="H47" s="162"/>
      <c r="I47" s="39" t="s">
        <v>3002</v>
      </c>
      <c r="J47" s="111">
        <v>39510000</v>
      </c>
      <c r="K47" s="112">
        <v>45685</v>
      </c>
      <c r="L47" s="39"/>
      <c r="M47" s="39">
        <v>3014317086</v>
      </c>
      <c r="N47" s="39" t="s">
        <v>4153</v>
      </c>
      <c r="O47" s="116" t="s">
        <v>4152</v>
      </c>
    </row>
    <row r="48" spans="1:15" hidden="1" x14ac:dyDescent="0.25">
      <c r="A48" s="108"/>
      <c r="B48" s="39">
        <v>38</v>
      </c>
      <c r="C48" s="162" t="s">
        <v>6100</v>
      </c>
      <c r="D48" s="162"/>
      <c r="E48" s="162"/>
      <c r="F48" s="162"/>
      <c r="G48" s="162"/>
      <c r="H48" s="162"/>
      <c r="I48" s="39" t="s">
        <v>702</v>
      </c>
      <c r="J48" s="111">
        <v>6590000</v>
      </c>
      <c r="K48" s="112">
        <v>45685</v>
      </c>
      <c r="L48" s="39"/>
      <c r="M48" s="39">
        <v>3104165783</v>
      </c>
      <c r="N48" s="39" t="s">
        <v>4564</v>
      </c>
      <c r="O48" s="38" t="s">
        <v>4565</v>
      </c>
    </row>
    <row r="49" spans="1:15" ht="15" hidden="1" customHeight="1" x14ac:dyDescent="0.25">
      <c r="A49" s="108"/>
      <c r="B49" s="39">
        <v>39</v>
      </c>
      <c r="C49" s="162" t="s">
        <v>6101</v>
      </c>
      <c r="D49" s="162"/>
      <c r="E49" s="162"/>
      <c r="F49" s="162"/>
      <c r="G49" s="162"/>
      <c r="H49" s="162"/>
      <c r="I49" s="39" t="s">
        <v>4597</v>
      </c>
      <c r="J49" s="111">
        <v>15920000</v>
      </c>
      <c r="K49" s="112">
        <v>45685</v>
      </c>
      <c r="L49" s="39"/>
      <c r="M49" s="39" t="s">
        <v>5812</v>
      </c>
      <c r="N49" s="39" t="s">
        <v>4109</v>
      </c>
      <c r="O49" s="52" t="s">
        <v>5752</v>
      </c>
    </row>
    <row r="50" spans="1:15" ht="15" hidden="1" customHeight="1" x14ac:dyDescent="0.25">
      <c r="A50" s="108"/>
      <c r="B50" s="39">
        <v>40</v>
      </c>
      <c r="C50" s="162" t="s">
        <v>6102</v>
      </c>
      <c r="D50" s="162"/>
      <c r="E50" s="162"/>
      <c r="F50" s="162"/>
      <c r="G50" s="162"/>
      <c r="H50" s="162"/>
      <c r="I50" s="39" t="s">
        <v>6103</v>
      </c>
      <c r="J50" s="111" t="s">
        <v>6086</v>
      </c>
      <c r="K50" s="112">
        <v>45685</v>
      </c>
      <c r="L50" s="39"/>
      <c r="M50" s="39" t="s">
        <v>2908</v>
      </c>
      <c r="N50" s="39" t="s">
        <v>4963</v>
      </c>
      <c r="O50" s="52" t="s">
        <v>4960</v>
      </c>
    </row>
    <row r="51" spans="1:15" hidden="1" x14ac:dyDescent="0.25">
      <c r="A51" s="108"/>
      <c r="B51" s="39">
        <v>41</v>
      </c>
      <c r="C51" s="162" t="s">
        <v>6104</v>
      </c>
      <c r="D51" s="162"/>
      <c r="E51" s="162"/>
      <c r="F51" s="162"/>
      <c r="G51" s="162"/>
      <c r="H51" s="162"/>
      <c r="I51" s="39" t="s">
        <v>4949</v>
      </c>
      <c r="J51" s="111">
        <v>20450000</v>
      </c>
      <c r="K51" s="112">
        <v>45685</v>
      </c>
      <c r="L51" s="39"/>
      <c r="M51" s="39"/>
      <c r="N51" s="39" t="s">
        <v>6106</v>
      </c>
      <c r="O51" s="116" t="s">
        <v>4777</v>
      </c>
    </row>
    <row r="52" spans="1:15" hidden="1" x14ac:dyDescent="0.25">
      <c r="A52" s="108"/>
      <c r="B52" s="39">
        <v>42</v>
      </c>
      <c r="C52" s="162" t="s">
        <v>6105</v>
      </c>
      <c r="D52" s="162"/>
      <c r="E52" s="162"/>
      <c r="F52" s="162"/>
      <c r="G52" s="162"/>
      <c r="H52" s="162"/>
      <c r="I52" s="39" t="s">
        <v>702</v>
      </c>
      <c r="J52" s="111">
        <v>24960000</v>
      </c>
      <c r="K52" s="112">
        <v>45685</v>
      </c>
      <c r="L52" s="39"/>
      <c r="M52" s="39">
        <v>3104165783</v>
      </c>
      <c r="N52" s="39" t="s">
        <v>4564</v>
      </c>
      <c r="O52" s="38" t="s">
        <v>4565</v>
      </c>
    </row>
    <row r="53" spans="1:15" hidden="1" x14ac:dyDescent="0.25">
      <c r="A53" s="108"/>
      <c r="B53" s="39">
        <v>43</v>
      </c>
      <c r="C53" s="162" t="s">
        <v>6107</v>
      </c>
      <c r="D53" s="162"/>
      <c r="E53" s="162"/>
      <c r="F53" s="162"/>
      <c r="G53" s="162"/>
      <c r="H53" s="162"/>
      <c r="I53" s="39" t="s">
        <v>6008</v>
      </c>
      <c r="J53" s="111">
        <v>4000000</v>
      </c>
      <c r="K53" s="112">
        <v>45686</v>
      </c>
      <c r="L53" s="39"/>
      <c r="M53" s="39">
        <v>3045281069</v>
      </c>
      <c r="N53" s="39" t="s">
        <v>6108</v>
      </c>
      <c r="O53" s="38" t="s">
        <v>6109</v>
      </c>
    </row>
    <row r="54" spans="1:15" hidden="1" x14ac:dyDescent="0.25">
      <c r="A54" s="108"/>
      <c r="B54" s="39">
        <v>43</v>
      </c>
      <c r="C54" s="159" t="s">
        <v>6122</v>
      </c>
      <c r="D54" s="160"/>
      <c r="E54" s="160"/>
      <c r="F54" s="160"/>
      <c r="G54" s="160"/>
      <c r="H54" s="161"/>
      <c r="I54" s="39" t="s">
        <v>702</v>
      </c>
      <c r="J54" s="111" t="s">
        <v>263</v>
      </c>
      <c r="K54" s="112">
        <v>45687</v>
      </c>
      <c r="L54" s="39"/>
      <c r="M54" s="39">
        <v>3104165783</v>
      </c>
      <c r="N54" s="39" t="s">
        <v>4564</v>
      </c>
      <c r="O54" s="38" t="s">
        <v>4565</v>
      </c>
    </row>
    <row r="55" spans="1:15" hidden="1" x14ac:dyDescent="0.25">
      <c r="A55" s="108"/>
      <c r="B55" s="39">
        <v>44</v>
      </c>
      <c r="C55" s="162" t="s">
        <v>6110</v>
      </c>
      <c r="D55" s="162"/>
      <c r="E55" s="162"/>
      <c r="F55" s="162"/>
      <c r="G55" s="162"/>
      <c r="H55" s="162"/>
      <c r="I55" s="39" t="s">
        <v>4597</v>
      </c>
      <c r="J55" s="111">
        <v>17950000</v>
      </c>
      <c r="K55" s="112">
        <v>45687</v>
      </c>
      <c r="L55" s="39"/>
      <c r="M55" s="39">
        <v>3014201614</v>
      </c>
      <c r="N55" s="39" t="s">
        <v>196</v>
      </c>
      <c r="O55" s="38" t="s">
        <v>6111</v>
      </c>
    </row>
    <row r="56" spans="1:15" hidden="1" x14ac:dyDescent="0.25">
      <c r="A56" s="108"/>
      <c r="B56" s="39">
        <v>45</v>
      </c>
      <c r="C56" s="162" t="s">
        <v>6160</v>
      </c>
      <c r="D56" s="162"/>
      <c r="E56" s="162"/>
      <c r="F56" s="162"/>
      <c r="G56" s="162"/>
      <c r="H56" s="162"/>
      <c r="I56" s="39" t="s">
        <v>6112</v>
      </c>
      <c r="J56" s="111">
        <v>2905100</v>
      </c>
      <c r="K56" s="112">
        <v>45701</v>
      </c>
      <c r="L56" s="39"/>
      <c r="M56" s="39">
        <v>3125447366</v>
      </c>
      <c r="N56" s="39" t="s">
        <v>6113</v>
      </c>
      <c r="O56" s="116"/>
    </row>
    <row r="57" spans="1:15" hidden="1" x14ac:dyDescent="0.25">
      <c r="A57" s="108"/>
      <c r="B57" s="39">
        <v>46</v>
      </c>
      <c r="C57" s="162" t="s">
        <v>6117</v>
      </c>
      <c r="D57" s="162"/>
      <c r="E57" s="162"/>
      <c r="F57" s="162"/>
      <c r="G57" s="162"/>
      <c r="H57" s="162"/>
      <c r="I57" s="39" t="s">
        <v>6114</v>
      </c>
      <c r="J57" s="111">
        <v>5640000</v>
      </c>
      <c r="K57" s="112">
        <v>45687</v>
      </c>
      <c r="L57" s="39"/>
      <c r="M57" s="39">
        <v>3122426622</v>
      </c>
      <c r="N57" s="39" t="s">
        <v>6115</v>
      </c>
      <c r="O57" s="38" t="s">
        <v>6116</v>
      </c>
    </row>
    <row r="58" spans="1:15" hidden="1" x14ac:dyDescent="0.25">
      <c r="A58" s="108"/>
      <c r="B58" s="39">
        <v>47</v>
      </c>
      <c r="C58" s="162" t="s">
        <v>6118</v>
      </c>
      <c r="D58" s="162"/>
      <c r="E58" s="162"/>
      <c r="F58" s="162"/>
      <c r="G58" s="162"/>
      <c r="H58" s="162"/>
      <c r="I58" s="39" t="s">
        <v>702</v>
      </c>
      <c r="J58" s="111">
        <v>14950000</v>
      </c>
      <c r="K58" s="112">
        <v>45688</v>
      </c>
      <c r="L58" s="39"/>
      <c r="M58" s="39">
        <v>3104165783</v>
      </c>
      <c r="N58" s="39" t="s">
        <v>4564</v>
      </c>
      <c r="O58" s="38" t="s">
        <v>4565</v>
      </c>
    </row>
    <row r="59" spans="1:15" hidden="1" x14ac:dyDescent="0.25">
      <c r="A59" s="108"/>
      <c r="B59" s="39">
        <v>48</v>
      </c>
      <c r="C59" s="162" t="s">
        <v>6119</v>
      </c>
      <c r="D59" s="162"/>
      <c r="E59" s="162"/>
      <c r="F59" s="162"/>
      <c r="G59" s="162"/>
      <c r="H59" s="162"/>
      <c r="I59" s="39" t="s">
        <v>6120</v>
      </c>
      <c r="J59" s="111">
        <v>22850000</v>
      </c>
      <c r="K59" s="112">
        <v>45688</v>
      </c>
      <c r="L59" s="39"/>
      <c r="M59" s="39"/>
      <c r="N59" s="39" t="s">
        <v>6120</v>
      </c>
      <c r="O59" s="116" t="s">
        <v>6121</v>
      </c>
    </row>
    <row r="60" spans="1:15" hidden="1" x14ac:dyDescent="0.25">
      <c r="A60" s="108"/>
      <c r="B60" s="39">
        <v>49</v>
      </c>
      <c r="C60" s="162" t="s">
        <v>6123</v>
      </c>
      <c r="D60" s="162"/>
      <c r="E60" s="162"/>
      <c r="F60" s="162"/>
      <c r="G60" s="162"/>
      <c r="H60" s="162"/>
      <c r="I60" s="39" t="s">
        <v>6137</v>
      </c>
      <c r="J60" s="111">
        <v>4950000</v>
      </c>
      <c r="K60" s="112">
        <v>45692</v>
      </c>
      <c r="L60" s="39"/>
      <c r="M60" s="39">
        <v>3167417025</v>
      </c>
      <c r="N60" s="39"/>
      <c r="O60" s="116" t="s">
        <v>4361</v>
      </c>
    </row>
    <row r="61" spans="1:15" hidden="1" x14ac:dyDescent="0.25">
      <c r="A61" s="108"/>
      <c r="B61" s="39">
        <v>50</v>
      </c>
      <c r="C61" s="162" t="s">
        <v>6124</v>
      </c>
      <c r="D61" s="162"/>
      <c r="E61" s="162"/>
      <c r="F61" s="162"/>
      <c r="G61" s="162"/>
      <c r="H61" s="162"/>
      <c r="I61" s="39" t="s">
        <v>4949</v>
      </c>
      <c r="J61" s="111">
        <v>26340000</v>
      </c>
      <c r="K61" s="112">
        <v>45692</v>
      </c>
      <c r="L61" s="39"/>
      <c r="M61" s="39"/>
      <c r="N61" s="39" t="s">
        <v>6106</v>
      </c>
      <c r="O61" s="116" t="s">
        <v>4777</v>
      </c>
    </row>
    <row r="62" spans="1:15" hidden="1" x14ac:dyDescent="0.25">
      <c r="A62" s="108"/>
      <c r="B62" s="39">
        <v>51</v>
      </c>
      <c r="C62" s="162" t="s">
        <v>6126</v>
      </c>
      <c r="D62" s="162"/>
      <c r="E62" s="162"/>
      <c r="F62" s="162"/>
      <c r="G62" s="162"/>
      <c r="H62" s="162"/>
      <c r="I62" s="39" t="s">
        <v>6125</v>
      </c>
      <c r="J62" s="111">
        <v>29650000</v>
      </c>
      <c r="K62" s="112">
        <v>45693</v>
      </c>
      <c r="L62" s="39"/>
      <c r="M62" s="39" t="s">
        <v>6128</v>
      </c>
      <c r="N62" s="39" t="s">
        <v>6127</v>
      </c>
      <c r="O62" s="116" t="s">
        <v>6129</v>
      </c>
    </row>
    <row r="63" spans="1:15" hidden="1" x14ac:dyDescent="0.25">
      <c r="A63" s="108"/>
      <c r="B63" s="39">
        <v>52</v>
      </c>
      <c r="C63" s="162" t="s">
        <v>6130</v>
      </c>
      <c r="D63" s="162"/>
      <c r="E63" s="162"/>
      <c r="F63" s="162"/>
      <c r="G63" s="162"/>
      <c r="H63" s="162"/>
      <c r="I63" s="39" t="s">
        <v>6131</v>
      </c>
      <c r="J63" s="111">
        <v>39510000</v>
      </c>
      <c r="K63" s="112">
        <v>45693</v>
      </c>
      <c r="L63" s="39"/>
      <c r="M63" s="39">
        <v>3014170260</v>
      </c>
      <c r="N63" s="39" t="s">
        <v>4765</v>
      </c>
      <c r="O63" s="116" t="s">
        <v>4766</v>
      </c>
    </row>
    <row r="64" spans="1:15" hidden="1" x14ac:dyDescent="0.25">
      <c r="A64" s="108"/>
      <c r="B64" s="39">
        <v>53</v>
      </c>
      <c r="C64" s="162" t="s">
        <v>6132</v>
      </c>
      <c r="D64" s="162"/>
      <c r="E64" s="162"/>
      <c r="F64" s="162"/>
      <c r="G64" s="162"/>
      <c r="H64" s="162"/>
      <c r="I64" s="39" t="s">
        <v>6133</v>
      </c>
      <c r="J64" s="111">
        <v>28850000</v>
      </c>
      <c r="K64" s="112">
        <v>45692</v>
      </c>
      <c r="L64" s="39"/>
      <c r="M64" s="39"/>
      <c r="N64" s="39" t="s">
        <v>5854</v>
      </c>
      <c r="O64" s="38" t="s">
        <v>5855</v>
      </c>
    </row>
    <row r="65" spans="1:15" hidden="1" x14ac:dyDescent="0.25">
      <c r="A65" s="108"/>
      <c r="B65" s="39">
        <v>54</v>
      </c>
      <c r="C65" s="162" t="s">
        <v>6134</v>
      </c>
      <c r="D65" s="162"/>
      <c r="E65" s="162"/>
      <c r="F65" s="162"/>
      <c r="G65" s="162"/>
      <c r="H65" s="162"/>
      <c r="I65" s="39" t="s">
        <v>5352</v>
      </c>
      <c r="J65" s="111">
        <v>1500000</v>
      </c>
      <c r="K65" s="112">
        <v>45692</v>
      </c>
      <c r="L65" s="39"/>
      <c r="M65" s="39" t="s">
        <v>6135</v>
      </c>
      <c r="N65" s="39" t="s">
        <v>474</v>
      </c>
      <c r="O65" s="116" t="s">
        <v>6136</v>
      </c>
    </row>
    <row r="66" spans="1:15" hidden="1" x14ac:dyDescent="0.25">
      <c r="A66" s="108"/>
      <c r="B66" s="39">
        <v>55</v>
      </c>
      <c r="C66" s="162" t="s">
        <v>3738</v>
      </c>
      <c r="D66" s="162"/>
      <c r="E66" s="162"/>
      <c r="F66" s="162"/>
      <c r="G66" s="162"/>
      <c r="H66" s="162"/>
      <c r="I66" s="39" t="s">
        <v>3731</v>
      </c>
      <c r="J66" s="111">
        <v>16600000</v>
      </c>
      <c r="K66" s="112">
        <v>45694</v>
      </c>
      <c r="L66" s="39"/>
      <c r="M66" s="39">
        <v>3205535416</v>
      </c>
      <c r="N66" s="39" t="s">
        <v>3556</v>
      </c>
      <c r="O66" s="116" t="s">
        <v>3557</v>
      </c>
    </row>
    <row r="67" spans="1:15" hidden="1" x14ac:dyDescent="0.25">
      <c r="A67" s="108"/>
      <c r="B67" s="39">
        <v>56</v>
      </c>
      <c r="C67" s="162" t="s">
        <v>6138</v>
      </c>
      <c r="D67" s="162"/>
      <c r="E67" s="162"/>
      <c r="F67" s="162"/>
      <c r="G67" s="162"/>
      <c r="H67" s="162"/>
      <c r="I67" s="39" t="s">
        <v>6059</v>
      </c>
      <c r="J67" s="46">
        <v>6950000</v>
      </c>
      <c r="K67" s="112">
        <v>45694</v>
      </c>
      <c r="L67" s="32"/>
      <c r="M67" s="39">
        <v>3004659012</v>
      </c>
      <c r="N67" s="39" t="s">
        <v>6139</v>
      </c>
      <c r="O67" s="52" t="s">
        <v>1748</v>
      </c>
    </row>
    <row r="68" spans="1:15" hidden="1" x14ac:dyDescent="0.25">
      <c r="A68" s="108"/>
      <c r="B68" s="39">
        <v>57</v>
      </c>
      <c r="C68" s="162" t="s">
        <v>6140</v>
      </c>
      <c r="D68" s="162"/>
      <c r="E68" s="162"/>
      <c r="F68" s="162"/>
      <c r="G68" s="162"/>
      <c r="H68" s="162"/>
      <c r="I68" s="39" t="s">
        <v>6059</v>
      </c>
      <c r="J68" s="111">
        <v>31950000</v>
      </c>
      <c r="K68" s="112">
        <v>45695</v>
      </c>
      <c r="L68" s="39"/>
      <c r="M68" s="39">
        <v>3007808119</v>
      </c>
      <c r="N68" s="39" t="s">
        <v>2387</v>
      </c>
      <c r="O68" s="116" t="s">
        <v>2388</v>
      </c>
    </row>
    <row r="69" spans="1:15" hidden="1" x14ac:dyDescent="0.25">
      <c r="A69" s="108"/>
      <c r="B69" s="39">
        <v>58</v>
      </c>
      <c r="C69" s="162" t="s">
        <v>6141</v>
      </c>
      <c r="D69" s="162"/>
      <c r="E69" s="162"/>
      <c r="F69" s="162"/>
      <c r="G69" s="162"/>
      <c r="H69" s="162"/>
      <c r="I69" s="39" t="s">
        <v>702</v>
      </c>
      <c r="J69" s="111">
        <v>15000000</v>
      </c>
      <c r="K69" s="112">
        <v>45700</v>
      </c>
      <c r="L69" s="39"/>
      <c r="M69" s="39">
        <v>3104165783</v>
      </c>
      <c r="N69" s="39" t="s">
        <v>4564</v>
      </c>
      <c r="O69" s="52" t="s">
        <v>4565</v>
      </c>
    </row>
    <row r="70" spans="1:15" ht="15" hidden="1" customHeight="1" x14ac:dyDescent="0.25">
      <c r="A70" s="108"/>
      <c r="B70" s="39">
        <v>59</v>
      </c>
      <c r="C70" s="162" t="s">
        <v>6142</v>
      </c>
      <c r="D70" s="162"/>
      <c r="E70" s="162"/>
      <c r="F70" s="162"/>
      <c r="G70" s="162"/>
      <c r="H70" s="162"/>
      <c r="I70" s="39" t="s">
        <v>4949</v>
      </c>
      <c r="J70" s="111">
        <v>6250000</v>
      </c>
      <c r="K70" s="112">
        <v>45698</v>
      </c>
      <c r="L70" s="39"/>
      <c r="M70" s="39"/>
      <c r="N70" s="39" t="s">
        <v>6106</v>
      </c>
      <c r="O70" s="116" t="s">
        <v>4777</v>
      </c>
    </row>
    <row r="71" spans="1:15" hidden="1" x14ac:dyDescent="0.25">
      <c r="A71" s="108"/>
      <c r="B71" s="39">
        <v>60</v>
      </c>
      <c r="C71" s="162" t="s">
        <v>6143</v>
      </c>
      <c r="D71" s="162"/>
      <c r="E71" s="162"/>
      <c r="F71" s="162"/>
      <c r="G71" s="162"/>
      <c r="H71" s="162"/>
      <c r="I71" s="39" t="s">
        <v>6144</v>
      </c>
      <c r="J71" s="111">
        <v>4750000</v>
      </c>
      <c r="K71" s="112">
        <v>45699</v>
      </c>
      <c r="L71" s="39"/>
      <c r="M71" s="39">
        <v>3054231775</v>
      </c>
      <c r="N71" s="39" t="s">
        <v>6145</v>
      </c>
      <c r="O71" s="116" t="s">
        <v>6146</v>
      </c>
    </row>
    <row r="72" spans="1:15" hidden="1" x14ac:dyDescent="0.25">
      <c r="A72" s="108"/>
      <c r="B72" s="39">
        <v>61</v>
      </c>
      <c r="C72" s="162" t="s">
        <v>6147</v>
      </c>
      <c r="D72" s="162"/>
      <c r="E72" s="162"/>
      <c r="F72" s="162"/>
      <c r="G72" s="162"/>
      <c r="H72" s="162"/>
      <c r="I72" s="39" t="s">
        <v>6077</v>
      </c>
      <c r="J72" s="111">
        <v>35550000</v>
      </c>
      <c r="K72" s="112">
        <v>45699</v>
      </c>
      <c r="L72" s="39"/>
      <c r="M72" s="39"/>
      <c r="N72" s="39" t="s">
        <v>2368</v>
      </c>
      <c r="O72" s="116" t="s">
        <v>2369</v>
      </c>
    </row>
    <row r="73" spans="1:15" hidden="1" x14ac:dyDescent="0.25">
      <c r="A73" s="108"/>
      <c r="B73" s="39">
        <v>62</v>
      </c>
      <c r="C73" s="162" t="s">
        <v>6148</v>
      </c>
      <c r="D73" s="162"/>
      <c r="E73" s="162"/>
      <c r="F73" s="162"/>
      <c r="G73" s="162"/>
      <c r="H73" s="162"/>
      <c r="I73" s="39" t="s">
        <v>5167</v>
      </c>
      <c r="J73" s="111">
        <v>2500000</v>
      </c>
      <c r="K73" s="112">
        <v>45699</v>
      </c>
      <c r="L73" s="39"/>
      <c r="M73" s="39">
        <v>3117208541</v>
      </c>
      <c r="N73" s="39" t="s">
        <v>2240</v>
      </c>
      <c r="O73" s="116" t="s">
        <v>2241</v>
      </c>
    </row>
    <row r="74" spans="1:15" ht="15" hidden="1" customHeight="1" x14ac:dyDescent="0.25">
      <c r="A74" s="108"/>
      <c r="B74" s="39">
        <v>63</v>
      </c>
      <c r="C74" s="162" t="s">
        <v>6149</v>
      </c>
      <c r="D74" s="162"/>
      <c r="E74" s="162"/>
      <c r="F74" s="162"/>
      <c r="G74" s="162"/>
      <c r="H74" s="162"/>
      <c r="I74" s="39" t="s">
        <v>6172</v>
      </c>
      <c r="J74" s="111">
        <v>4000000</v>
      </c>
      <c r="K74" s="112">
        <v>45699</v>
      </c>
      <c r="L74" s="39"/>
      <c r="M74" s="39" t="s">
        <v>3892</v>
      </c>
      <c r="N74" s="39" t="s">
        <v>706</v>
      </c>
      <c r="O74" s="116" t="s">
        <v>707</v>
      </c>
    </row>
    <row r="75" spans="1:15" hidden="1" x14ac:dyDescent="0.25">
      <c r="A75" s="108"/>
      <c r="B75" s="39">
        <v>64</v>
      </c>
      <c r="C75" s="162" t="s">
        <v>6150</v>
      </c>
      <c r="D75" s="162"/>
      <c r="E75" s="162"/>
      <c r="F75" s="162"/>
      <c r="G75" s="162"/>
      <c r="H75" s="162"/>
      <c r="I75" s="39" t="s">
        <v>6172</v>
      </c>
      <c r="J75" s="111">
        <v>4000000</v>
      </c>
      <c r="K75" s="112">
        <v>45699</v>
      </c>
      <c r="L75" s="39"/>
      <c r="M75" s="39" t="s">
        <v>3892</v>
      </c>
      <c r="N75" s="39" t="s">
        <v>706</v>
      </c>
      <c r="O75" s="116" t="s">
        <v>707</v>
      </c>
    </row>
    <row r="76" spans="1:15" hidden="1" x14ac:dyDescent="0.25">
      <c r="A76" s="108"/>
      <c r="B76" s="39">
        <v>65</v>
      </c>
      <c r="C76" s="162" t="s">
        <v>6151</v>
      </c>
      <c r="D76" s="162"/>
      <c r="E76" s="162"/>
      <c r="F76" s="162"/>
      <c r="G76" s="162"/>
      <c r="H76" s="162"/>
      <c r="I76" s="39" t="s">
        <v>6092</v>
      </c>
      <c r="J76" s="111">
        <v>26250000</v>
      </c>
      <c r="K76" s="112">
        <v>45700</v>
      </c>
      <c r="L76" s="39"/>
      <c r="M76" s="39">
        <v>3127218621</v>
      </c>
      <c r="N76" s="39" t="s">
        <v>6091</v>
      </c>
      <c r="O76" s="116" t="s">
        <v>3668</v>
      </c>
    </row>
    <row r="77" spans="1:15" hidden="1" x14ac:dyDescent="0.25">
      <c r="A77" s="108"/>
      <c r="B77" s="39">
        <v>66</v>
      </c>
      <c r="C77" s="162" t="s">
        <v>6152</v>
      </c>
      <c r="D77" s="162"/>
      <c r="E77" s="162"/>
      <c r="F77" s="162"/>
      <c r="G77" s="162"/>
      <c r="H77" s="162"/>
      <c r="I77" s="39" t="s">
        <v>702</v>
      </c>
      <c r="J77" s="111">
        <v>54180000</v>
      </c>
      <c r="K77" s="112">
        <v>45701</v>
      </c>
      <c r="L77" s="39"/>
      <c r="M77" s="39">
        <v>3104165783</v>
      </c>
      <c r="N77" s="39" t="s">
        <v>4564</v>
      </c>
      <c r="O77" s="52" t="s">
        <v>4565</v>
      </c>
    </row>
    <row r="78" spans="1:15" hidden="1" x14ac:dyDescent="0.25">
      <c r="A78" s="108"/>
      <c r="B78" s="39">
        <v>67</v>
      </c>
      <c r="C78" s="162" t="s">
        <v>6153</v>
      </c>
      <c r="D78" s="162"/>
      <c r="E78" s="162"/>
      <c r="F78" s="162"/>
      <c r="G78" s="162"/>
      <c r="H78" s="162"/>
      <c r="I78" s="39" t="s">
        <v>6154</v>
      </c>
      <c r="J78" s="111">
        <v>11950</v>
      </c>
      <c r="K78" s="112">
        <v>45700</v>
      </c>
      <c r="L78" s="39"/>
      <c r="M78" s="39" t="s">
        <v>6157</v>
      </c>
      <c r="N78" s="39" t="s">
        <v>6155</v>
      </c>
      <c r="O78" s="116" t="s">
        <v>6156</v>
      </c>
    </row>
    <row r="79" spans="1:15" hidden="1" x14ac:dyDescent="0.25">
      <c r="A79" s="108"/>
      <c r="B79" s="39">
        <v>68</v>
      </c>
      <c r="C79" s="162" t="s">
        <v>6158</v>
      </c>
      <c r="D79" s="162"/>
      <c r="E79" s="162"/>
      <c r="F79" s="162"/>
      <c r="G79" s="162"/>
      <c r="H79" s="162"/>
      <c r="I79" s="39" t="s">
        <v>6159</v>
      </c>
      <c r="J79" s="111"/>
      <c r="K79" s="112">
        <v>45701</v>
      </c>
      <c r="L79" s="39"/>
      <c r="M79" s="39" t="s">
        <v>5622</v>
      </c>
      <c r="N79" s="39" t="s">
        <v>5620</v>
      </c>
      <c r="O79" s="116" t="s">
        <v>5621</v>
      </c>
    </row>
    <row r="80" spans="1:15" hidden="1" x14ac:dyDescent="0.25">
      <c r="A80" s="108"/>
      <c r="B80" s="39">
        <v>69</v>
      </c>
      <c r="C80" s="162" t="s">
        <v>6161</v>
      </c>
      <c r="D80" s="162"/>
      <c r="E80" s="162"/>
      <c r="F80" s="162"/>
      <c r="G80" s="162"/>
      <c r="H80" s="162"/>
      <c r="I80" s="39" t="s">
        <v>4947</v>
      </c>
      <c r="J80" s="111">
        <v>2950000</v>
      </c>
      <c r="K80" s="112">
        <v>45701</v>
      </c>
      <c r="L80" s="39"/>
      <c r="M80" s="39" t="s">
        <v>4946</v>
      </c>
      <c r="N80" s="39" t="s">
        <v>4834</v>
      </c>
      <c r="O80" s="116" t="s">
        <v>1301</v>
      </c>
    </row>
    <row r="81" spans="1:15" hidden="1" x14ac:dyDescent="0.25">
      <c r="A81" s="108"/>
      <c r="B81" s="39">
        <v>70</v>
      </c>
      <c r="C81" s="162" t="s">
        <v>6162</v>
      </c>
      <c r="D81" s="162"/>
      <c r="E81" s="162"/>
      <c r="F81" s="162"/>
      <c r="G81" s="162"/>
      <c r="H81" s="162"/>
      <c r="I81" s="39" t="s">
        <v>6172</v>
      </c>
      <c r="J81" s="111">
        <v>4000000</v>
      </c>
      <c r="K81" s="112">
        <v>45701</v>
      </c>
      <c r="L81" s="39"/>
      <c r="M81" s="39" t="s">
        <v>3892</v>
      </c>
      <c r="N81" s="39" t="s">
        <v>706</v>
      </c>
      <c r="O81" s="116" t="s">
        <v>707</v>
      </c>
    </row>
    <row r="82" spans="1:15" ht="15" hidden="1" customHeight="1" x14ac:dyDescent="0.25">
      <c r="A82" s="108"/>
      <c r="B82" s="39">
        <v>71</v>
      </c>
      <c r="C82" s="162" t="s">
        <v>6147</v>
      </c>
      <c r="D82" s="162"/>
      <c r="E82" s="162"/>
      <c r="F82" s="162"/>
      <c r="G82" s="162"/>
      <c r="H82" s="162"/>
      <c r="I82" s="39" t="s">
        <v>6172</v>
      </c>
      <c r="J82" s="111">
        <v>35550000</v>
      </c>
      <c r="K82" s="112">
        <v>45701</v>
      </c>
      <c r="L82" s="39"/>
      <c r="M82" s="39" t="s">
        <v>3892</v>
      </c>
      <c r="N82" s="39" t="s">
        <v>706</v>
      </c>
      <c r="O82" s="116" t="s">
        <v>707</v>
      </c>
    </row>
    <row r="83" spans="1:15" hidden="1" x14ac:dyDescent="0.25">
      <c r="A83" s="108"/>
      <c r="B83" s="39">
        <v>72</v>
      </c>
      <c r="C83" s="162" t="s">
        <v>6163</v>
      </c>
      <c r="D83" s="162"/>
      <c r="E83" s="162"/>
      <c r="F83" s="162"/>
      <c r="G83" s="162"/>
      <c r="H83" s="162"/>
      <c r="I83" s="39" t="s">
        <v>6164</v>
      </c>
      <c r="J83" s="111">
        <v>21950000</v>
      </c>
      <c r="K83" s="112">
        <v>45701</v>
      </c>
      <c r="L83" s="39"/>
      <c r="M83" s="39">
        <v>3053308954</v>
      </c>
      <c r="N83" s="39" t="s">
        <v>6169</v>
      </c>
      <c r="O83" s="116" t="s">
        <v>6170</v>
      </c>
    </row>
    <row r="84" spans="1:15" hidden="1" x14ac:dyDescent="0.25">
      <c r="A84" s="108"/>
      <c r="B84" s="39">
        <v>73</v>
      </c>
      <c r="C84" s="162" t="s">
        <v>6166</v>
      </c>
      <c r="D84" s="162"/>
      <c r="E84" s="162"/>
      <c r="F84" s="162"/>
      <c r="G84" s="162"/>
      <c r="H84" s="162"/>
      <c r="I84" s="39" t="s">
        <v>4597</v>
      </c>
      <c r="J84" s="111">
        <v>13800000</v>
      </c>
      <c r="K84" s="112">
        <v>45701</v>
      </c>
      <c r="L84" s="39"/>
      <c r="M84" s="39">
        <v>3135401714</v>
      </c>
      <c r="N84" s="39" t="s">
        <v>4294</v>
      </c>
      <c r="O84" s="116" t="s">
        <v>1662</v>
      </c>
    </row>
    <row r="85" spans="1:15" hidden="1" x14ac:dyDescent="0.25">
      <c r="A85" s="108"/>
      <c r="B85" s="39">
        <v>74</v>
      </c>
      <c r="C85" s="162" t="s">
        <v>6165</v>
      </c>
      <c r="D85" s="162"/>
      <c r="E85" s="162"/>
      <c r="F85" s="162"/>
      <c r="G85" s="162"/>
      <c r="H85" s="162"/>
      <c r="I85" s="39" t="s">
        <v>4597</v>
      </c>
      <c r="J85" s="111">
        <v>21950000</v>
      </c>
      <c r="K85" s="112">
        <v>45701</v>
      </c>
      <c r="L85" s="39"/>
      <c r="M85" s="39">
        <v>3135401714</v>
      </c>
      <c r="N85" s="39" t="s">
        <v>4294</v>
      </c>
      <c r="O85" s="116" t="s">
        <v>1662</v>
      </c>
    </row>
    <row r="86" spans="1:15" hidden="1" x14ac:dyDescent="0.25">
      <c r="A86" s="108"/>
      <c r="B86" s="39">
        <v>75</v>
      </c>
      <c r="C86" s="162" t="s">
        <v>6167</v>
      </c>
      <c r="D86" s="162"/>
      <c r="E86" s="162"/>
      <c r="F86" s="162"/>
      <c r="G86" s="162"/>
      <c r="H86" s="162"/>
      <c r="I86" s="39" t="s">
        <v>4597</v>
      </c>
      <c r="J86" s="111">
        <v>9970000</v>
      </c>
      <c r="K86" s="112">
        <v>45701</v>
      </c>
      <c r="L86" s="39"/>
      <c r="M86" s="39">
        <v>3135401714</v>
      </c>
      <c r="N86" s="39" t="s">
        <v>4294</v>
      </c>
      <c r="O86" s="116" t="s">
        <v>1662</v>
      </c>
    </row>
    <row r="87" spans="1:15" hidden="1" x14ac:dyDescent="0.25">
      <c r="A87" s="108"/>
      <c r="B87" s="39">
        <v>76</v>
      </c>
      <c r="C87" s="162" t="s">
        <v>6168</v>
      </c>
      <c r="D87" s="162"/>
      <c r="E87" s="162"/>
      <c r="F87" s="162"/>
      <c r="G87" s="162"/>
      <c r="H87" s="162"/>
      <c r="I87" s="39" t="s">
        <v>4597</v>
      </c>
      <c r="J87" s="111">
        <v>8970000</v>
      </c>
      <c r="K87" s="112">
        <v>45702</v>
      </c>
      <c r="L87" s="39"/>
      <c r="M87" s="39">
        <v>3135401714</v>
      </c>
      <c r="N87" s="39" t="s">
        <v>4294</v>
      </c>
      <c r="O87" s="116" t="s">
        <v>1662</v>
      </c>
    </row>
    <row r="88" spans="1:15" hidden="1" x14ac:dyDescent="0.25">
      <c r="A88" s="108"/>
      <c r="B88" s="39">
        <v>77</v>
      </c>
      <c r="C88" s="162" t="s">
        <v>6171</v>
      </c>
      <c r="D88" s="162"/>
      <c r="E88" s="162"/>
      <c r="F88" s="162"/>
      <c r="G88" s="162"/>
      <c r="H88" s="162"/>
      <c r="I88" s="39" t="s">
        <v>6069</v>
      </c>
      <c r="J88" s="111">
        <v>7650000</v>
      </c>
      <c r="K88" s="112">
        <v>45701</v>
      </c>
      <c r="L88" s="39"/>
      <c r="M88" s="39">
        <v>3224188478</v>
      </c>
      <c r="N88" s="39" t="s">
        <v>5434</v>
      </c>
      <c r="O88" s="116" t="s">
        <v>5061</v>
      </c>
    </row>
    <row r="89" spans="1:15" hidden="1" x14ac:dyDescent="0.25">
      <c r="A89" s="108"/>
      <c r="B89" s="39">
        <v>78</v>
      </c>
      <c r="C89" s="162" t="s">
        <v>6173</v>
      </c>
      <c r="D89" s="162"/>
      <c r="E89" s="162"/>
      <c r="F89" s="162"/>
      <c r="G89" s="162"/>
      <c r="H89" s="162"/>
      <c r="I89" s="39" t="s">
        <v>1890</v>
      </c>
      <c r="J89" s="111">
        <v>3760000</v>
      </c>
      <c r="K89" s="112">
        <v>45707</v>
      </c>
      <c r="L89" s="39"/>
      <c r="M89" s="39" t="s">
        <v>6175</v>
      </c>
      <c r="N89" s="39" t="s">
        <v>6174</v>
      </c>
      <c r="O89" s="116" t="s">
        <v>5846</v>
      </c>
    </row>
    <row r="90" spans="1:15" ht="15" hidden="1" customHeight="1" x14ac:dyDescent="0.25">
      <c r="A90" s="108"/>
      <c r="B90" s="39">
        <v>79</v>
      </c>
      <c r="C90" s="162" t="s">
        <v>6179</v>
      </c>
      <c r="D90" s="162"/>
      <c r="E90" s="162"/>
      <c r="F90" s="162"/>
      <c r="G90" s="162"/>
      <c r="H90" s="162"/>
      <c r="I90" s="39" t="s">
        <v>6176</v>
      </c>
      <c r="J90" s="111">
        <v>5270000</v>
      </c>
      <c r="K90" s="112">
        <v>45707</v>
      </c>
      <c r="L90" s="39"/>
      <c r="M90" s="39">
        <v>3103964703</v>
      </c>
      <c r="N90" s="39" t="s">
        <v>6177</v>
      </c>
      <c r="O90" s="116" t="s">
        <v>6178</v>
      </c>
    </row>
    <row r="91" spans="1:15" ht="15" hidden="1" customHeight="1" x14ac:dyDescent="0.25">
      <c r="A91" s="108"/>
      <c r="B91" s="39">
        <v>80</v>
      </c>
      <c r="C91" s="162" t="s">
        <v>6180</v>
      </c>
      <c r="D91" s="162"/>
      <c r="E91" s="162"/>
      <c r="F91" s="162"/>
      <c r="G91" s="162"/>
      <c r="H91" s="162"/>
      <c r="I91" s="39" t="s">
        <v>6176</v>
      </c>
      <c r="J91" s="111">
        <v>6770000</v>
      </c>
      <c r="K91" s="112">
        <v>45707</v>
      </c>
      <c r="L91" s="39"/>
      <c r="M91" s="39">
        <v>3103964703</v>
      </c>
      <c r="N91" s="39" t="s">
        <v>6177</v>
      </c>
      <c r="O91" s="116" t="s">
        <v>6178</v>
      </c>
    </row>
    <row r="92" spans="1:15" hidden="1" x14ac:dyDescent="0.25">
      <c r="A92" s="108"/>
      <c r="B92" s="39">
        <v>81</v>
      </c>
      <c r="C92" s="162" t="s">
        <v>6181</v>
      </c>
      <c r="D92" s="162"/>
      <c r="E92" s="162"/>
      <c r="F92" s="162"/>
      <c r="G92" s="162"/>
      <c r="H92" s="162"/>
      <c r="I92" s="39" t="s">
        <v>6176</v>
      </c>
      <c r="J92" s="111">
        <v>15240000</v>
      </c>
      <c r="K92" s="112">
        <v>45707</v>
      </c>
      <c r="L92" s="39"/>
      <c r="M92" s="39">
        <v>3103964703</v>
      </c>
      <c r="N92" s="39" t="s">
        <v>6177</v>
      </c>
      <c r="O92" s="116" t="s">
        <v>6178</v>
      </c>
    </row>
    <row r="93" spans="1:15" hidden="1" x14ac:dyDescent="0.25">
      <c r="A93" s="108"/>
      <c r="B93" s="39">
        <v>82</v>
      </c>
      <c r="C93" s="162" t="s">
        <v>6182</v>
      </c>
      <c r="D93" s="162"/>
      <c r="E93" s="162"/>
      <c r="F93" s="162"/>
      <c r="G93" s="162"/>
      <c r="H93" s="162"/>
      <c r="I93" s="39" t="s">
        <v>4597</v>
      </c>
      <c r="J93" s="111">
        <v>4950000</v>
      </c>
      <c r="K93" s="112">
        <v>45707</v>
      </c>
      <c r="L93" s="39"/>
      <c r="M93" s="39">
        <v>3135401714</v>
      </c>
      <c r="N93" s="39" t="s">
        <v>4294</v>
      </c>
      <c r="O93" s="116" t="s">
        <v>1662</v>
      </c>
    </row>
    <row r="94" spans="1:15" hidden="1" x14ac:dyDescent="0.25">
      <c r="A94" s="108"/>
      <c r="B94" s="39">
        <v>83</v>
      </c>
      <c r="C94" s="162" t="s">
        <v>6183</v>
      </c>
      <c r="D94" s="162"/>
      <c r="E94" s="162"/>
      <c r="F94" s="162"/>
      <c r="G94" s="162"/>
      <c r="H94" s="162"/>
      <c r="I94" s="39" t="s">
        <v>4597</v>
      </c>
      <c r="J94" s="111">
        <v>17940000</v>
      </c>
      <c r="K94" s="112">
        <v>45707</v>
      </c>
      <c r="L94" s="39"/>
      <c r="M94" s="39">
        <v>3135401714</v>
      </c>
      <c r="N94" s="39" t="s">
        <v>4294</v>
      </c>
      <c r="O94" s="116" t="s">
        <v>1662</v>
      </c>
    </row>
    <row r="95" spans="1:15" hidden="1" x14ac:dyDescent="0.25">
      <c r="A95" s="108"/>
      <c r="B95" s="39">
        <v>84</v>
      </c>
      <c r="C95" s="162" t="s">
        <v>6184</v>
      </c>
      <c r="D95" s="162"/>
      <c r="E95" s="162"/>
      <c r="F95" s="162"/>
      <c r="G95" s="162"/>
      <c r="H95" s="162"/>
      <c r="I95" s="39" t="s">
        <v>5352</v>
      </c>
      <c r="J95" s="111">
        <v>1000000</v>
      </c>
      <c r="K95" s="112">
        <v>45707</v>
      </c>
      <c r="L95" s="39"/>
      <c r="M95" s="39" t="s">
        <v>6185</v>
      </c>
      <c r="N95" s="39" t="s">
        <v>6186</v>
      </c>
      <c r="O95" s="116" t="s">
        <v>6187</v>
      </c>
    </row>
    <row r="96" spans="1:15" hidden="1" x14ac:dyDescent="0.25">
      <c r="A96" s="108"/>
      <c r="B96" s="39">
        <v>85</v>
      </c>
      <c r="C96" s="162" t="s">
        <v>6188</v>
      </c>
      <c r="D96" s="162"/>
      <c r="E96" s="162"/>
      <c r="F96" s="162"/>
      <c r="G96" s="162"/>
      <c r="H96" s="162"/>
      <c r="I96" s="39" t="s">
        <v>702</v>
      </c>
      <c r="J96" s="111">
        <v>9970000</v>
      </c>
      <c r="K96" s="112">
        <v>45706</v>
      </c>
      <c r="L96" s="39"/>
      <c r="M96" s="39">
        <v>3104165783</v>
      </c>
      <c r="N96" s="39" t="s">
        <v>4564</v>
      </c>
      <c r="O96" s="116" t="s">
        <v>4565</v>
      </c>
    </row>
    <row r="97" spans="1:15" hidden="1" x14ac:dyDescent="0.25">
      <c r="A97" s="108"/>
      <c r="B97" s="39">
        <v>86</v>
      </c>
      <c r="C97" s="162" t="s">
        <v>6189</v>
      </c>
      <c r="D97" s="162"/>
      <c r="E97" s="162"/>
      <c r="F97" s="162"/>
      <c r="G97" s="162"/>
      <c r="H97" s="162"/>
      <c r="I97" s="39" t="s">
        <v>6190</v>
      </c>
      <c r="J97" s="111">
        <v>15990000</v>
      </c>
      <c r="K97" s="112">
        <v>45706</v>
      </c>
      <c r="L97" s="39"/>
      <c r="M97" s="39">
        <v>3148620055</v>
      </c>
      <c r="N97" s="39" t="s">
        <v>6191</v>
      </c>
      <c r="O97" s="116" t="s">
        <v>6192</v>
      </c>
    </row>
    <row r="98" spans="1:15" hidden="1" x14ac:dyDescent="0.25">
      <c r="A98" s="108"/>
      <c r="B98" s="39">
        <v>87</v>
      </c>
      <c r="C98" s="162" t="s">
        <v>6193</v>
      </c>
      <c r="D98" s="162"/>
      <c r="E98" s="162"/>
      <c r="F98" s="162"/>
      <c r="G98" s="162"/>
      <c r="H98" s="162"/>
      <c r="I98" s="39" t="s">
        <v>6194</v>
      </c>
      <c r="J98" s="111">
        <v>55850000</v>
      </c>
      <c r="K98" s="112">
        <v>45706</v>
      </c>
      <c r="L98" s="39"/>
      <c r="M98" s="39" t="s">
        <v>6197</v>
      </c>
      <c r="N98" s="39" t="s">
        <v>6195</v>
      </c>
      <c r="O98" s="116" t="s">
        <v>6196</v>
      </c>
    </row>
    <row r="99" spans="1:15" hidden="1" x14ac:dyDescent="0.25">
      <c r="A99" s="108"/>
      <c r="B99" s="39">
        <v>88</v>
      </c>
      <c r="C99" s="162" t="s">
        <v>6198</v>
      </c>
      <c r="D99" s="162"/>
      <c r="E99" s="162"/>
      <c r="F99" s="162"/>
      <c r="G99" s="162"/>
      <c r="H99" s="162"/>
      <c r="I99" s="39" t="s">
        <v>6199</v>
      </c>
      <c r="J99" s="111">
        <v>32550000</v>
      </c>
      <c r="K99" s="112">
        <v>45707</v>
      </c>
      <c r="L99" s="39"/>
      <c r="M99" s="39" t="s">
        <v>6200</v>
      </c>
      <c r="N99" s="39" t="s">
        <v>2353</v>
      </c>
      <c r="O99" s="116" t="s">
        <v>1806</v>
      </c>
    </row>
    <row r="100" spans="1:15" hidden="1" x14ac:dyDescent="0.25">
      <c r="A100" s="108"/>
      <c r="B100" s="39">
        <v>89</v>
      </c>
      <c r="C100" s="162" t="s">
        <v>6201</v>
      </c>
      <c r="D100" s="162"/>
      <c r="E100" s="162"/>
      <c r="F100" s="162"/>
      <c r="G100" s="162"/>
      <c r="H100" s="162"/>
      <c r="I100" s="39" t="s">
        <v>5474</v>
      </c>
      <c r="J100" s="111">
        <v>7110000</v>
      </c>
      <c r="K100" s="112">
        <v>45709</v>
      </c>
      <c r="L100" s="39"/>
      <c r="M100" s="39">
        <v>3107195105</v>
      </c>
      <c r="N100" s="39" t="s">
        <v>6202</v>
      </c>
      <c r="O100" s="116" t="s">
        <v>6064</v>
      </c>
    </row>
    <row r="101" spans="1:15" hidden="1" x14ac:dyDescent="0.25">
      <c r="A101" s="108"/>
      <c r="B101" s="39">
        <v>90</v>
      </c>
      <c r="C101" s="162" t="s">
        <v>6206</v>
      </c>
      <c r="D101" s="162"/>
      <c r="E101" s="162"/>
      <c r="F101" s="162"/>
      <c r="G101" s="162"/>
      <c r="H101" s="162"/>
      <c r="I101" s="39" t="s">
        <v>6205</v>
      </c>
      <c r="J101" s="111">
        <v>27950000</v>
      </c>
      <c r="K101" s="112">
        <v>45708</v>
      </c>
      <c r="L101" s="39"/>
      <c r="M101" s="39">
        <v>3148128006</v>
      </c>
      <c r="N101" s="39" t="s">
        <v>6204</v>
      </c>
      <c r="O101" s="116" t="s">
        <v>6203</v>
      </c>
    </row>
    <row r="102" spans="1:15" hidden="1" x14ac:dyDescent="0.25">
      <c r="A102" s="108"/>
      <c r="B102" s="39">
        <v>91</v>
      </c>
      <c r="C102" s="162" t="s">
        <v>6209</v>
      </c>
      <c r="D102" s="162"/>
      <c r="E102" s="162"/>
      <c r="F102" s="162"/>
      <c r="G102" s="162"/>
      <c r="H102" s="162"/>
      <c r="I102" s="39" t="s">
        <v>6208</v>
      </c>
      <c r="J102" s="111">
        <v>3150000</v>
      </c>
      <c r="K102" s="112">
        <v>45708</v>
      </c>
      <c r="L102" s="39"/>
      <c r="M102" s="39">
        <v>3163069332</v>
      </c>
      <c r="N102" s="39" t="s">
        <v>6207</v>
      </c>
      <c r="O102" s="116" t="s">
        <v>6210</v>
      </c>
    </row>
    <row r="103" spans="1:15" hidden="1" x14ac:dyDescent="0.25">
      <c r="A103" s="108"/>
      <c r="B103" s="39">
        <v>92</v>
      </c>
      <c r="C103" s="162" t="s">
        <v>6212</v>
      </c>
      <c r="D103" s="162"/>
      <c r="E103" s="162"/>
      <c r="F103" s="162"/>
      <c r="G103" s="162"/>
      <c r="H103" s="162"/>
      <c r="I103" s="39" t="s">
        <v>4947</v>
      </c>
      <c r="J103" s="111">
        <v>20700000</v>
      </c>
      <c r="K103" s="112">
        <v>45709</v>
      </c>
      <c r="L103" s="39"/>
      <c r="M103" s="39">
        <v>3127575897</v>
      </c>
      <c r="N103" s="39" t="s">
        <v>6211</v>
      </c>
      <c r="O103" s="116"/>
    </row>
    <row r="104" spans="1:15" hidden="1" x14ac:dyDescent="0.25">
      <c r="A104" s="108"/>
      <c r="B104" s="39">
        <v>93</v>
      </c>
      <c r="C104" s="162" t="s">
        <v>6213</v>
      </c>
      <c r="D104" s="162"/>
      <c r="E104" s="162"/>
      <c r="F104" s="162"/>
      <c r="G104" s="162"/>
      <c r="H104" s="162"/>
      <c r="I104" s="39" t="s">
        <v>6214</v>
      </c>
      <c r="J104" s="111">
        <v>20950000</v>
      </c>
      <c r="K104" s="112">
        <v>45709</v>
      </c>
      <c r="L104" s="39"/>
      <c r="M104" s="39">
        <v>3045950866</v>
      </c>
      <c r="N104" s="39" t="s">
        <v>6214</v>
      </c>
      <c r="O104" s="116" t="s">
        <v>5513</v>
      </c>
    </row>
    <row r="105" spans="1:15" ht="15" hidden="1" customHeight="1" x14ac:dyDescent="0.25">
      <c r="A105" s="108"/>
      <c r="B105" s="39">
        <v>94</v>
      </c>
      <c r="C105" s="162" t="s">
        <v>6215</v>
      </c>
      <c r="D105" s="162"/>
      <c r="E105" s="162"/>
      <c r="F105" s="162"/>
      <c r="G105" s="162"/>
      <c r="H105" s="162"/>
      <c r="I105" s="39" t="s">
        <v>3002</v>
      </c>
      <c r="J105" s="111">
        <v>23960000</v>
      </c>
      <c r="K105" s="112">
        <v>45709</v>
      </c>
      <c r="L105" s="39"/>
      <c r="M105" s="39" t="s">
        <v>6219</v>
      </c>
      <c r="N105" s="39" t="s">
        <v>6217</v>
      </c>
      <c r="O105" s="116" t="s">
        <v>2658</v>
      </c>
    </row>
    <row r="106" spans="1:15" hidden="1" x14ac:dyDescent="0.25">
      <c r="A106" s="108"/>
      <c r="B106" s="39">
        <v>95</v>
      </c>
      <c r="C106" s="162" t="s">
        <v>6216</v>
      </c>
      <c r="D106" s="162"/>
      <c r="E106" s="162"/>
      <c r="F106" s="162"/>
      <c r="G106" s="162"/>
      <c r="H106" s="162"/>
      <c r="I106" s="39" t="s">
        <v>3002</v>
      </c>
      <c r="J106" s="111">
        <v>16930000</v>
      </c>
      <c r="K106" s="112">
        <v>45709</v>
      </c>
      <c r="L106" s="39"/>
      <c r="M106" s="39" t="s">
        <v>6219</v>
      </c>
      <c r="N106" s="39" t="s">
        <v>6217</v>
      </c>
      <c r="O106" s="116" t="s">
        <v>2658</v>
      </c>
    </row>
    <row r="107" spans="1:15" hidden="1" x14ac:dyDescent="0.25">
      <c r="A107" s="108"/>
      <c r="B107" s="39">
        <v>96</v>
      </c>
      <c r="C107" s="162" t="s">
        <v>6218</v>
      </c>
      <c r="D107" s="162"/>
      <c r="E107" s="162"/>
      <c r="F107" s="162"/>
      <c r="G107" s="162"/>
      <c r="H107" s="162"/>
      <c r="I107" s="39" t="s">
        <v>702</v>
      </c>
      <c r="J107" s="111">
        <v>18820000</v>
      </c>
      <c r="K107" s="112">
        <v>45709</v>
      </c>
      <c r="L107" s="39"/>
      <c r="M107" s="39">
        <v>3104165783</v>
      </c>
      <c r="N107" s="39" t="s">
        <v>4564</v>
      </c>
      <c r="O107" s="116" t="s">
        <v>4565</v>
      </c>
    </row>
    <row r="108" spans="1:15" hidden="1" x14ac:dyDescent="0.25">
      <c r="A108" s="108"/>
      <c r="B108" s="39">
        <v>97</v>
      </c>
      <c r="C108" s="162" t="s">
        <v>6220</v>
      </c>
      <c r="D108" s="162"/>
      <c r="E108" s="162"/>
      <c r="F108" s="162"/>
      <c r="G108" s="162"/>
      <c r="H108" s="162"/>
      <c r="I108" s="39" t="s">
        <v>6221</v>
      </c>
      <c r="J108" s="111">
        <v>16450000</v>
      </c>
      <c r="K108" s="112">
        <v>45709</v>
      </c>
      <c r="L108" s="39"/>
      <c r="M108" s="39">
        <v>3135204138</v>
      </c>
      <c r="N108" s="39" t="s">
        <v>6222</v>
      </c>
      <c r="O108" s="116" t="s">
        <v>6223</v>
      </c>
    </row>
    <row r="109" spans="1:15" hidden="1" x14ac:dyDescent="0.25">
      <c r="A109" s="108"/>
      <c r="B109" s="39">
        <v>98</v>
      </c>
      <c r="C109" s="162" t="s">
        <v>6225</v>
      </c>
      <c r="D109" s="162"/>
      <c r="E109" s="162"/>
      <c r="F109" s="162"/>
      <c r="G109" s="162"/>
      <c r="H109" s="162"/>
      <c r="I109" s="39" t="s">
        <v>6226</v>
      </c>
      <c r="J109" s="111">
        <v>29950000</v>
      </c>
      <c r="K109" s="112">
        <v>45709</v>
      </c>
      <c r="L109" s="39"/>
      <c r="M109" s="39">
        <v>3045430256</v>
      </c>
      <c r="N109" s="125" t="s">
        <v>6224</v>
      </c>
      <c r="O109" s="116" t="s">
        <v>3805</v>
      </c>
    </row>
    <row r="110" spans="1:15" hidden="1" x14ac:dyDescent="0.25">
      <c r="A110" s="108"/>
      <c r="B110" s="39">
        <v>99</v>
      </c>
      <c r="C110" s="162" t="s">
        <v>6227</v>
      </c>
      <c r="D110" s="162"/>
      <c r="E110" s="162"/>
      <c r="F110" s="162"/>
      <c r="G110" s="162"/>
      <c r="H110" s="162"/>
      <c r="I110" s="39" t="s">
        <v>6228</v>
      </c>
      <c r="J110" s="111">
        <v>5500000</v>
      </c>
      <c r="K110" s="112">
        <v>45709</v>
      </c>
      <c r="L110" s="39"/>
      <c r="M110" s="39">
        <v>3006007770</v>
      </c>
      <c r="N110" s="39" t="s">
        <v>6229</v>
      </c>
      <c r="O110" s="116" t="s">
        <v>6230</v>
      </c>
    </row>
    <row r="111" spans="1:15" hidden="1" x14ac:dyDescent="0.25">
      <c r="A111" s="108"/>
      <c r="B111" s="39">
        <v>100</v>
      </c>
      <c r="C111" s="162" t="s">
        <v>6232</v>
      </c>
      <c r="D111" s="162"/>
      <c r="E111" s="162"/>
      <c r="F111" s="162"/>
      <c r="G111" s="162"/>
      <c r="H111" s="162"/>
      <c r="I111" s="39" t="s">
        <v>6231</v>
      </c>
      <c r="J111" s="111"/>
      <c r="K111" s="112">
        <v>45709</v>
      </c>
      <c r="L111" s="39"/>
      <c r="M111" s="39">
        <v>3116728287</v>
      </c>
      <c r="N111" s="39" t="s">
        <v>4416</v>
      </c>
      <c r="O111" s="116" t="s">
        <v>4415</v>
      </c>
    </row>
    <row r="112" spans="1:15" hidden="1" x14ac:dyDescent="0.25">
      <c r="A112" s="108"/>
      <c r="B112" s="39">
        <v>101</v>
      </c>
      <c r="C112" s="162" t="s">
        <v>6233</v>
      </c>
      <c r="D112" s="162"/>
      <c r="E112" s="162"/>
      <c r="F112" s="162"/>
      <c r="G112" s="162"/>
      <c r="H112" s="162"/>
      <c r="I112" s="39" t="s">
        <v>5252</v>
      </c>
      <c r="J112" s="111">
        <v>7500000</v>
      </c>
      <c r="K112" s="112">
        <v>45712</v>
      </c>
      <c r="L112" s="39"/>
      <c r="M112" s="39">
        <v>3147537411</v>
      </c>
      <c r="N112" s="39" t="s">
        <v>5253</v>
      </c>
      <c r="O112" s="116" t="s">
        <v>1131</v>
      </c>
    </row>
    <row r="113" spans="1:15" hidden="1" x14ac:dyDescent="0.25">
      <c r="A113" s="108"/>
      <c r="B113" s="39">
        <v>102</v>
      </c>
      <c r="C113" s="162" t="s">
        <v>6234</v>
      </c>
      <c r="D113" s="162"/>
      <c r="E113" s="162"/>
      <c r="F113" s="162"/>
      <c r="G113" s="162"/>
      <c r="H113" s="162"/>
      <c r="I113" s="39" t="s">
        <v>702</v>
      </c>
      <c r="J113" s="111">
        <v>12920000</v>
      </c>
      <c r="K113" s="112">
        <v>45712</v>
      </c>
      <c r="L113" s="39"/>
      <c r="M113" s="39">
        <v>3104165783</v>
      </c>
      <c r="N113" s="39" t="s">
        <v>4564</v>
      </c>
      <c r="O113" s="116" t="s">
        <v>4565</v>
      </c>
    </row>
    <row r="114" spans="1:15" hidden="1" x14ac:dyDescent="0.25">
      <c r="A114" s="108"/>
      <c r="B114" s="39">
        <v>103</v>
      </c>
      <c r="C114" s="162" t="s">
        <v>6235</v>
      </c>
      <c r="D114" s="162"/>
      <c r="E114" s="162"/>
      <c r="F114" s="162"/>
      <c r="G114" s="162"/>
      <c r="H114" s="162"/>
      <c r="I114" s="39" t="s">
        <v>6236</v>
      </c>
      <c r="J114" s="111">
        <v>23840000</v>
      </c>
      <c r="K114" s="112">
        <v>45713</v>
      </c>
      <c r="L114" s="39"/>
      <c r="M114" s="39">
        <v>3015201382</v>
      </c>
      <c r="N114" s="39" t="s">
        <v>6237</v>
      </c>
      <c r="O114" s="38" t="s">
        <v>6238</v>
      </c>
    </row>
    <row r="115" spans="1:15" hidden="1" x14ac:dyDescent="0.25">
      <c r="A115" s="108"/>
      <c r="B115" s="39">
        <v>104</v>
      </c>
      <c r="C115" s="162" t="s">
        <v>6239</v>
      </c>
      <c r="D115" s="162"/>
      <c r="E115" s="162"/>
      <c r="F115" s="162"/>
      <c r="G115" s="162"/>
      <c r="H115" s="162"/>
      <c r="I115" s="39" t="s">
        <v>702</v>
      </c>
      <c r="J115" s="111">
        <v>10770000</v>
      </c>
      <c r="K115" s="112">
        <v>45713</v>
      </c>
      <c r="L115" s="39"/>
      <c r="M115" s="39">
        <v>3104165783</v>
      </c>
      <c r="N115" s="39" t="s">
        <v>4564</v>
      </c>
      <c r="O115" s="116" t="s">
        <v>4565</v>
      </c>
    </row>
    <row r="116" spans="1:15" hidden="1" x14ac:dyDescent="0.25">
      <c r="A116" s="108"/>
      <c r="B116" s="39">
        <v>105</v>
      </c>
      <c r="C116" s="162" t="s">
        <v>6242</v>
      </c>
      <c r="D116" s="162"/>
      <c r="E116" s="162"/>
      <c r="F116" s="162"/>
      <c r="G116" s="162"/>
      <c r="H116" s="162"/>
      <c r="I116" s="39" t="s">
        <v>3871</v>
      </c>
      <c r="J116" s="111">
        <v>25950000</v>
      </c>
      <c r="K116" s="112">
        <v>45714</v>
      </c>
      <c r="L116" s="39"/>
      <c r="M116" s="39">
        <v>3117797497</v>
      </c>
      <c r="N116" s="39" t="s">
        <v>6241</v>
      </c>
      <c r="O116" s="38" t="s">
        <v>6240</v>
      </c>
    </row>
    <row r="117" spans="1:15" ht="15" hidden="1" customHeight="1" x14ac:dyDescent="0.25">
      <c r="A117" s="108"/>
      <c r="B117" s="39">
        <v>106</v>
      </c>
      <c r="C117" s="162" t="s">
        <v>6243</v>
      </c>
      <c r="D117" s="162"/>
      <c r="E117" s="162"/>
      <c r="F117" s="162"/>
      <c r="G117" s="162"/>
      <c r="H117" s="162"/>
      <c r="I117" s="39" t="s">
        <v>6172</v>
      </c>
      <c r="J117" s="111">
        <v>5000000</v>
      </c>
      <c r="K117" s="112">
        <v>45714</v>
      </c>
      <c r="L117" s="39"/>
      <c r="M117" s="39">
        <v>3014487912</v>
      </c>
      <c r="N117" s="39" t="s">
        <v>706</v>
      </c>
      <c r="O117" s="116" t="s">
        <v>707</v>
      </c>
    </row>
    <row r="118" spans="1:15" hidden="1" x14ac:dyDescent="0.25">
      <c r="A118" s="108"/>
      <c r="B118" s="39">
        <v>107</v>
      </c>
      <c r="C118" s="162" t="s">
        <v>6244</v>
      </c>
      <c r="D118" s="162"/>
      <c r="E118" s="162"/>
      <c r="F118" s="162"/>
      <c r="G118" s="162"/>
      <c r="H118" s="162"/>
      <c r="I118" s="39" t="s">
        <v>4390</v>
      </c>
      <c r="J118" s="111">
        <v>7500000</v>
      </c>
      <c r="K118" s="112">
        <v>45716</v>
      </c>
      <c r="L118" s="39"/>
      <c r="M118" s="39">
        <v>3213005574</v>
      </c>
      <c r="N118" s="39" t="s">
        <v>5829</v>
      </c>
      <c r="O118" s="116" t="s">
        <v>5830</v>
      </c>
    </row>
    <row r="119" spans="1:15" hidden="1" x14ac:dyDescent="0.25">
      <c r="A119" s="108"/>
      <c r="B119" s="39">
        <v>108</v>
      </c>
      <c r="C119" s="162" t="s">
        <v>6247</v>
      </c>
      <c r="D119" s="162"/>
      <c r="E119" s="162"/>
      <c r="F119" s="162"/>
      <c r="G119" s="162"/>
      <c r="H119" s="162"/>
      <c r="I119" s="39" t="s">
        <v>5372</v>
      </c>
      <c r="J119" s="46">
        <v>11950000</v>
      </c>
      <c r="K119" s="112">
        <v>45716</v>
      </c>
      <c r="L119" s="2"/>
      <c r="M119" s="39">
        <v>3108227462</v>
      </c>
      <c r="N119" s="39" t="s">
        <v>1064</v>
      </c>
      <c r="O119" s="116" t="s">
        <v>2310</v>
      </c>
    </row>
    <row r="120" spans="1:15" ht="15" hidden="1" customHeight="1" x14ac:dyDescent="0.25">
      <c r="A120" s="108"/>
      <c r="B120" s="39">
        <v>109</v>
      </c>
      <c r="C120" s="162" t="s">
        <v>6246</v>
      </c>
      <c r="D120" s="162"/>
      <c r="E120" s="162"/>
      <c r="F120" s="162"/>
      <c r="G120" s="162"/>
      <c r="H120" s="162"/>
      <c r="I120" s="39" t="s">
        <v>2838</v>
      </c>
      <c r="J120" s="111">
        <v>2500000</v>
      </c>
      <c r="K120" s="112">
        <v>45694</v>
      </c>
      <c r="L120" s="39"/>
      <c r="M120" s="39">
        <v>3052501777</v>
      </c>
      <c r="N120" s="39" t="s">
        <v>6245</v>
      </c>
      <c r="O120" s="116" t="s">
        <v>5258</v>
      </c>
    </row>
    <row r="121" spans="1:15" ht="15" hidden="1" customHeight="1" x14ac:dyDescent="0.25">
      <c r="A121" s="108"/>
      <c r="B121" s="39">
        <v>110</v>
      </c>
      <c r="C121" s="162" t="s">
        <v>6248</v>
      </c>
      <c r="D121" s="162"/>
      <c r="E121" s="162"/>
      <c r="F121" s="162"/>
      <c r="G121" s="162"/>
      <c r="H121" s="162"/>
      <c r="I121" s="39" t="s">
        <v>3885</v>
      </c>
      <c r="J121" s="111">
        <v>950000</v>
      </c>
      <c r="K121" s="112">
        <v>45719</v>
      </c>
      <c r="L121" s="39"/>
      <c r="M121" s="39"/>
      <c r="N121" s="39"/>
      <c r="O121" s="116"/>
    </row>
    <row r="122" spans="1:15" hidden="1" x14ac:dyDescent="0.25">
      <c r="A122" s="108"/>
      <c r="B122" s="39">
        <v>111</v>
      </c>
      <c r="C122" s="162" t="s">
        <v>6249</v>
      </c>
      <c r="D122" s="162"/>
      <c r="E122" s="162"/>
      <c r="F122" s="162"/>
      <c r="G122" s="162"/>
      <c r="H122" s="162"/>
      <c r="I122" s="39" t="s">
        <v>4436</v>
      </c>
      <c r="J122" s="111">
        <v>7270000</v>
      </c>
      <c r="K122" s="112">
        <v>45722</v>
      </c>
      <c r="L122" s="39"/>
      <c r="M122" s="39">
        <v>3006563981</v>
      </c>
      <c r="N122" s="39" t="s">
        <v>5427</v>
      </c>
      <c r="O122" s="116" t="s">
        <v>5428</v>
      </c>
    </row>
    <row r="123" spans="1:15" hidden="1" x14ac:dyDescent="0.25">
      <c r="A123" s="108"/>
      <c r="B123" s="39">
        <v>112</v>
      </c>
      <c r="C123" s="162" t="s">
        <v>6250</v>
      </c>
      <c r="D123" s="162"/>
      <c r="E123" s="162"/>
      <c r="F123" s="162"/>
      <c r="G123" s="162"/>
      <c r="H123" s="162"/>
      <c r="I123" s="39" t="s">
        <v>5189</v>
      </c>
      <c r="J123" s="111">
        <v>47500000</v>
      </c>
      <c r="K123" s="112">
        <v>45730</v>
      </c>
      <c r="L123" s="39"/>
      <c r="M123" s="39"/>
      <c r="N123" s="39" t="s">
        <v>4544</v>
      </c>
      <c r="O123" s="116" t="s">
        <v>4545</v>
      </c>
    </row>
    <row r="124" spans="1:15" hidden="1" x14ac:dyDescent="0.25">
      <c r="A124" s="108"/>
      <c r="B124" s="39">
        <v>113</v>
      </c>
      <c r="C124" s="162" t="s">
        <v>4790</v>
      </c>
      <c r="D124" s="162"/>
      <c r="E124" s="162"/>
      <c r="F124" s="162"/>
      <c r="G124" s="162"/>
      <c r="H124" s="162"/>
      <c r="I124" s="39" t="s">
        <v>3871</v>
      </c>
      <c r="J124" s="111">
        <v>10170000</v>
      </c>
      <c r="K124" s="112">
        <v>45721</v>
      </c>
      <c r="L124" s="39"/>
      <c r="M124" s="39">
        <v>3008643710</v>
      </c>
      <c r="N124" s="39" t="s">
        <v>6251</v>
      </c>
      <c r="O124" s="116" t="s">
        <v>1326</v>
      </c>
    </row>
    <row r="125" spans="1:15" hidden="1" x14ac:dyDescent="0.25">
      <c r="A125" s="108"/>
      <c r="B125" s="39">
        <v>114</v>
      </c>
      <c r="C125" s="162" t="s">
        <v>6252</v>
      </c>
      <c r="D125" s="162"/>
      <c r="E125" s="162"/>
      <c r="F125" s="162"/>
      <c r="G125" s="162"/>
      <c r="H125" s="162"/>
      <c r="I125" s="39" t="s">
        <v>6253</v>
      </c>
      <c r="J125" s="111">
        <v>4000000</v>
      </c>
      <c r="K125" s="112">
        <v>45721</v>
      </c>
      <c r="L125" s="39"/>
      <c r="M125" s="39">
        <v>3194419426</v>
      </c>
      <c r="N125" s="39" t="s">
        <v>6254</v>
      </c>
      <c r="O125" s="116" t="s">
        <v>6255</v>
      </c>
    </row>
    <row r="126" spans="1:15" ht="15" hidden="1" customHeight="1" x14ac:dyDescent="0.25">
      <c r="A126" s="108"/>
      <c r="B126" s="39">
        <v>115</v>
      </c>
      <c r="C126" s="162" t="s">
        <v>6256</v>
      </c>
      <c r="D126" s="162"/>
      <c r="E126" s="162"/>
      <c r="F126" s="162"/>
      <c r="G126" s="162"/>
      <c r="H126" s="162"/>
      <c r="I126" s="39" t="s">
        <v>6253</v>
      </c>
      <c r="J126" s="111">
        <v>3500000</v>
      </c>
      <c r="K126" s="112">
        <v>45721</v>
      </c>
      <c r="L126" s="39"/>
      <c r="M126" s="39">
        <v>3194419426</v>
      </c>
      <c r="N126" s="39" t="s">
        <v>6254</v>
      </c>
      <c r="O126" s="116" t="s">
        <v>6255</v>
      </c>
    </row>
    <row r="127" spans="1:15" hidden="1" x14ac:dyDescent="0.25">
      <c r="A127" s="108"/>
      <c r="B127" s="39">
        <v>116</v>
      </c>
      <c r="C127" s="162" t="s">
        <v>6259</v>
      </c>
      <c r="D127" s="162"/>
      <c r="E127" s="162"/>
      <c r="F127" s="162"/>
      <c r="G127" s="162"/>
      <c r="H127" s="162"/>
      <c r="I127" s="39" t="s">
        <v>6258</v>
      </c>
      <c r="J127" s="111">
        <v>10910000</v>
      </c>
      <c r="K127" s="112">
        <v>45722</v>
      </c>
      <c r="L127" s="39"/>
      <c r="M127" s="39">
        <v>3007853269</v>
      </c>
      <c r="N127" s="39" t="s">
        <v>6257</v>
      </c>
      <c r="O127" s="116"/>
    </row>
    <row r="128" spans="1:15" hidden="1" x14ac:dyDescent="0.25">
      <c r="A128" s="108"/>
      <c r="B128" s="39">
        <v>117</v>
      </c>
      <c r="C128" s="162" t="s">
        <v>6260</v>
      </c>
      <c r="D128" s="162"/>
      <c r="E128" s="162"/>
      <c r="F128" s="162"/>
      <c r="G128" s="162"/>
      <c r="H128" s="162"/>
      <c r="I128" s="39" t="s">
        <v>6262</v>
      </c>
      <c r="J128" s="111">
        <v>10990000</v>
      </c>
      <c r="K128" s="112">
        <v>45722</v>
      </c>
      <c r="L128" s="39"/>
      <c r="M128" s="39">
        <v>3012468674</v>
      </c>
      <c r="N128" s="39" t="s">
        <v>6261</v>
      </c>
      <c r="O128" s="116" t="s">
        <v>6263</v>
      </c>
    </row>
    <row r="129" spans="1:15" hidden="1" x14ac:dyDescent="0.25">
      <c r="A129" s="108"/>
      <c r="B129" s="39">
        <v>118</v>
      </c>
      <c r="C129" s="162" t="s">
        <v>6265</v>
      </c>
      <c r="D129" s="162"/>
      <c r="E129" s="162"/>
      <c r="F129" s="162"/>
      <c r="G129" s="162"/>
      <c r="H129" s="162"/>
      <c r="I129" s="39" t="s">
        <v>5637</v>
      </c>
      <c r="J129" s="111">
        <v>29720000</v>
      </c>
      <c r="K129" s="112">
        <v>45722</v>
      </c>
      <c r="L129" s="39"/>
      <c r="M129" s="39">
        <v>3122310202</v>
      </c>
      <c r="N129" s="39" t="s">
        <v>6266</v>
      </c>
      <c r="O129" s="116" t="s">
        <v>6267</v>
      </c>
    </row>
    <row r="130" spans="1:15" ht="15" hidden="1" customHeight="1" x14ac:dyDescent="0.25">
      <c r="A130" s="108"/>
      <c r="B130" s="39">
        <v>119</v>
      </c>
      <c r="C130" s="162" t="s">
        <v>6264</v>
      </c>
      <c r="D130" s="162"/>
      <c r="E130" s="162"/>
      <c r="F130" s="162"/>
      <c r="G130" s="162"/>
      <c r="H130" s="162"/>
      <c r="I130" s="39" t="s">
        <v>5637</v>
      </c>
      <c r="J130" s="111">
        <v>33860000</v>
      </c>
      <c r="K130" s="112">
        <v>45722</v>
      </c>
      <c r="L130" s="39"/>
      <c r="M130" s="39">
        <v>3122310202</v>
      </c>
      <c r="N130" s="39" t="s">
        <v>6266</v>
      </c>
      <c r="O130" s="116" t="s">
        <v>6267</v>
      </c>
    </row>
    <row r="131" spans="1:15" hidden="1" x14ac:dyDescent="0.25">
      <c r="A131" s="108"/>
      <c r="B131" s="39">
        <v>120</v>
      </c>
      <c r="C131" s="162" t="s">
        <v>6268</v>
      </c>
      <c r="D131" s="162"/>
      <c r="E131" s="162"/>
      <c r="F131" s="162"/>
      <c r="G131" s="162"/>
      <c r="H131" s="162"/>
      <c r="I131" s="39" t="s">
        <v>6282</v>
      </c>
      <c r="J131" s="111">
        <v>10980000</v>
      </c>
      <c r="K131" s="112">
        <v>45722</v>
      </c>
      <c r="L131" s="39"/>
      <c r="M131" s="39" t="s">
        <v>6270</v>
      </c>
      <c r="N131" s="39" t="s">
        <v>6269</v>
      </c>
      <c r="O131" s="116" t="s">
        <v>6271</v>
      </c>
    </row>
    <row r="132" spans="1:15" hidden="1" x14ac:dyDescent="0.25">
      <c r="A132" s="108"/>
      <c r="B132" s="39">
        <v>121</v>
      </c>
      <c r="C132" s="162" t="s">
        <v>6279</v>
      </c>
      <c r="D132" s="162"/>
      <c r="E132" s="162"/>
      <c r="F132" s="162"/>
      <c r="G132" s="162"/>
      <c r="H132" s="162"/>
      <c r="I132" s="39" t="s">
        <v>6008</v>
      </c>
      <c r="J132" s="111">
        <v>38950000</v>
      </c>
      <c r="K132" s="112">
        <v>45722</v>
      </c>
      <c r="L132" s="39"/>
      <c r="M132" s="39">
        <v>3127769261</v>
      </c>
      <c r="N132" s="39" t="s">
        <v>6272</v>
      </c>
      <c r="O132" s="116" t="s">
        <v>6273</v>
      </c>
    </row>
    <row r="133" spans="1:15" ht="15" hidden="1" customHeight="1" x14ac:dyDescent="0.25">
      <c r="A133" s="108"/>
      <c r="B133" s="39">
        <v>122</v>
      </c>
      <c r="C133" s="162" t="s">
        <v>6274</v>
      </c>
      <c r="D133" s="162"/>
      <c r="E133" s="162"/>
      <c r="F133" s="162"/>
      <c r="G133" s="162"/>
      <c r="H133" s="162"/>
      <c r="I133" s="39" t="s">
        <v>4597</v>
      </c>
      <c r="J133" s="111">
        <v>12500000</v>
      </c>
      <c r="K133" s="112">
        <v>45723</v>
      </c>
      <c r="L133" s="39"/>
      <c r="M133" s="39">
        <v>3135401714</v>
      </c>
      <c r="N133" s="39" t="s">
        <v>4294</v>
      </c>
      <c r="O133" s="116" t="s">
        <v>1662</v>
      </c>
    </row>
    <row r="134" spans="1:15" hidden="1" x14ac:dyDescent="0.25">
      <c r="A134" s="108"/>
      <c r="B134" s="39">
        <v>123</v>
      </c>
      <c r="C134" s="162" t="s">
        <v>6275</v>
      </c>
      <c r="D134" s="162"/>
      <c r="E134" s="162"/>
      <c r="F134" s="162"/>
      <c r="G134" s="162"/>
      <c r="H134" s="162"/>
      <c r="I134" s="39" t="s">
        <v>6276</v>
      </c>
      <c r="J134" s="111">
        <v>16850000</v>
      </c>
      <c r="K134" s="112">
        <v>45723</v>
      </c>
      <c r="L134" s="39"/>
      <c r="M134" s="39">
        <v>3165767257</v>
      </c>
      <c r="N134" s="39" t="s">
        <v>6277</v>
      </c>
      <c r="O134" s="116" t="s">
        <v>6278</v>
      </c>
    </row>
    <row r="135" spans="1:15" hidden="1" x14ac:dyDescent="0.25">
      <c r="A135" s="108"/>
      <c r="B135" s="39">
        <v>124</v>
      </c>
      <c r="C135" s="162" t="s">
        <v>6281</v>
      </c>
      <c r="D135" s="162"/>
      <c r="E135" s="162"/>
      <c r="F135" s="162"/>
      <c r="G135" s="162"/>
      <c r="H135" s="162"/>
      <c r="I135" s="39" t="s">
        <v>6280</v>
      </c>
      <c r="J135" s="111">
        <v>10980000</v>
      </c>
      <c r="K135" s="112">
        <v>45723</v>
      </c>
      <c r="L135" s="39"/>
      <c r="M135" s="39" t="s">
        <v>1897</v>
      </c>
      <c r="N135" s="39" t="s">
        <v>2076</v>
      </c>
      <c r="O135" s="116" t="s">
        <v>1899</v>
      </c>
    </row>
    <row r="136" spans="1:15" hidden="1" x14ac:dyDescent="0.25">
      <c r="A136" s="108"/>
      <c r="B136" s="39">
        <v>125</v>
      </c>
      <c r="C136" s="162" t="s">
        <v>6283</v>
      </c>
      <c r="D136" s="162"/>
      <c r="E136" s="162"/>
      <c r="F136" s="162"/>
      <c r="G136" s="162"/>
      <c r="H136" s="162"/>
      <c r="I136" s="39" t="s">
        <v>6286</v>
      </c>
      <c r="J136" s="111"/>
      <c r="K136" s="112">
        <v>45726</v>
      </c>
      <c r="L136" s="39"/>
      <c r="M136" s="39" t="s">
        <v>6285</v>
      </c>
      <c r="N136" s="39"/>
      <c r="O136" s="38" t="s">
        <v>6284</v>
      </c>
    </row>
    <row r="137" spans="1:15" ht="14.45" hidden="1" customHeight="1" x14ac:dyDescent="0.25">
      <c r="A137" s="108"/>
      <c r="B137" s="39">
        <v>126</v>
      </c>
      <c r="C137" s="162" t="s">
        <v>6287</v>
      </c>
      <c r="D137" s="162"/>
      <c r="E137" s="162"/>
      <c r="F137" s="162"/>
      <c r="G137" s="162"/>
      <c r="H137" s="162"/>
      <c r="I137" s="39" t="s">
        <v>3202</v>
      </c>
      <c r="J137" s="111">
        <v>5000000</v>
      </c>
      <c r="K137" s="112">
        <v>45726</v>
      </c>
      <c r="L137" s="39"/>
      <c r="M137" s="39">
        <v>3137851941</v>
      </c>
      <c r="N137" s="39" t="s">
        <v>192</v>
      </c>
      <c r="O137" s="116" t="s">
        <v>713</v>
      </c>
    </row>
    <row r="138" spans="1:15" hidden="1" x14ac:dyDescent="0.25">
      <c r="A138" s="108"/>
      <c r="B138" s="39">
        <v>127</v>
      </c>
      <c r="C138" s="162" t="s">
        <v>6288</v>
      </c>
      <c r="D138" s="162"/>
      <c r="E138" s="162"/>
      <c r="F138" s="162"/>
      <c r="G138" s="162"/>
      <c r="H138" s="162"/>
      <c r="I138" s="39" t="s">
        <v>4597</v>
      </c>
      <c r="J138" s="111">
        <v>16930000</v>
      </c>
      <c r="K138" s="112">
        <v>45727</v>
      </c>
      <c r="L138" s="39"/>
      <c r="M138" s="39">
        <v>3014201614</v>
      </c>
      <c r="N138" s="39" t="s">
        <v>196</v>
      </c>
      <c r="O138" s="116" t="s">
        <v>6111</v>
      </c>
    </row>
    <row r="139" spans="1:15" ht="15" hidden="1" customHeight="1" x14ac:dyDescent="0.25">
      <c r="A139" s="108"/>
      <c r="B139" s="39">
        <v>128</v>
      </c>
      <c r="C139" s="162" t="s">
        <v>6291</v>
      </c>
      <c r="D139" s="162"/>
      <c r="E139" s="162"/>
      <c r="F139" s="162"/>
      <c r="G139" s="162"/>
      <c r="H139" s="162"/>
      <c r="I139" s="39" t="s">
        <v>6289</v>
      </c>
      <c r="J139" s="111">
        <v>17950000</v>
      </c>
      <c r="K139" s="112">
        <v>45726</v>
      </c>
      <c r="L139" s="39"/>
      <c r="M139" s="39">
        <v>3194306523</v>
      </c>
      <c r="N139" s="39" t="s">
        <v>6290</v>
      </c>
      <c r="O139" s="116" t="s">
        <v>6292</v>
      </c>
    </row>
    <row r="140" spans="1:15" ht="15" hidden="1" customHeight="1" x14ac:dyDescent="0.25">
      <c r="A140" s="108"/>
      <c r="B140" s="39">
        <v>129</v>
      </c>
      <c r="C140" s="162" t="s">
        <v>6293</v>
      </c>
      <c r="D140" s="162"/>
      <c r="E140" s="162"/>
      <c r="F140" s="162"/>
      <c r="G140" s="162"/>
      <c r="H140" s="162"/>
      <c r="I140" s="39" t="s">
        <v>1890</v>
      </c>
      <c r="J140" s="111">
        <v>6500000</v>
      </c>
      <c r="K140" s="112">
        <v>45726</v>
      </c>
      <c r="L140" s="39"/>
      <c r="M140" s="39" t="s">
        <v>6175</v>
      </c>
      <c r="N140" s="126" t="s">
        <v>6174</v>
      </c>
      <c r="O140" s="116" t="s">
        <v>5846</v>
      </c>
    </row>
    <row r="141" spans="1:15" ht="15" hidden="1" customHeight="1" x14ac:dyDescent="0.25">
      <c r="A141" s="108"/>
      <c r="B141" s="39">
        <v>130</v>
      </c>
      <c r="C141" s="162" t="s">
        <v>6294</v>
      </c>
      <c r="D141" s="162"/>
      <c r="E141" s="162"/>
      <c r="F141" s="162"/>
      <c r="G141" s="162"/>
      <c r="H141" s="162"/>
      <c r="I141" s="39" t="s">
        <v>6048</v>
      </c>
      <c r="J141" s="111">
        <v>4730000</v>
      </c>
      <c r="K141" s="112">
        <v>45726</v>
      </c>
      <c r="L141" s="39"/>
      <c r="M141" s="39">
        <v>3012567186</v>
      </c>
      <c r="N141" s="39" t="s">
        <v>6295</v>
      </c>
      <c r="O141" s="116" t="s">
        <v>3780</v>
      </c>
    </row>
    <row r="142" spans="1:15" ht="15" hidden="1" customHeight="1" x14ac:dyDescent="0.25">
      <c r="A142" s="108"/>
      <c r="B142" s="39">
        <v>131</v>
      </c>
      <c r="C142" s="162" t="s">
        <v>6296</v>
      </c>
      <c r="D142" s="162"/>
      <c r="E142" s="162"/>
      <c r="F142" s="162"/>
      <c r="G142" s="162"/>
      <c r="H142" s="162"/>
      <c r="I142" s="39" t="s">
        <v>6048</v>
      </c>
      <c r="J142" s="111">
        <v>10910000</v>
      </c>
      <c r="K142" s="112">
        <v>45726</v>
      </c>
      <c r="L142" s="39"/>
      <c r="M142" s="39">
        <v>3008594811</v>
      </c>
      <c r="N142" s="39" t="s">
        <v>4402</v>
      </c>
      <c r="O142" s="116" t="s">
        <v>3780</v>
      </c>
    </row>
    <row r="143" spans="1:15" ht="15" hidden="1" customHeight="1" x14ac:dyDescent="0.25">
      <c r="A143" s="108"/>
      <c r="B143" s="39">
        <v>132</v>
      </c>
      <c r="C143" s="162" t="s">
        <v>6297</v>
      </c>
      <c r="D143" s="162"/>
      <c r="E143" s="162"/>
      <c r="F143" s="162"/>
      <c r="G143" s="162"/>
      <c r="H143" s="162"/>
      <c r="I143" s="39" t="s">
        <v>5137</v>
      </c>
      <c r="J143" s="111">
        <v>19950000</v>
      </c>
      <c r="K143" s="112">
        <v>45730</v>
      </c>
      <c r="L143" s="39"/>
      <c r="M143" s="39">
        <v>3104139821</v>
      </c>
      <c r="N143" s="39" t="s">
        <v>6298</v>
      </c>
      <c r="O143" s="116" t="s">
        <v>1114</v>
      </c>
    </row>
    <row r="144" spans="1:15" hidden="1" x14ac:dyDescent="0.25">
      <c r="A144" s="108"/>
      <c r="B144" s="39">
        <v>133</v>
      </c>
      <c r="C144" s="162" t="s">
        <v>6299</v>
      </c>
      <c r="D144" s="162"/>
      <c r="E144" s="162"/>
      <c r="F144" s="162"/>
      <c r="G144" s="162"/>
      <c r="H144" s="162"/>
      <c r="I144" s="39" t="s">
        <v>4059</v>
      </c>
      <c r="J144" s="111">
        <v>14930000</v>
      </c>
      <c r="K144" s="112">
        <v>45728</v>
      </c>
      <c r="L144" s="32"/>
      <c r="M144" s="39" t="s">
        <v>5410</v>
      </c>
      <c r="N144" s="39" t="s">
        <v>4059</v>
      </c>
      <c r="O144" s="116"/>
    </row>
    <row r="145" spans="1:15" hidden="1" x14ac:dyDescent="0.25">
      <c r="A145" s="108"/>
      <c r="B145" s="39">
        <v>134</v>
      </c>
      <c r="C145" s="162" t="s">
        <v>6300</v>
      </c>
      <c r="D145" s="162"/>
      <c r="E145" s="162"/>
      <c r="F145" s="162"/>
      <c r="G145" s="162"/>
      <c r="H145" s="162"/>
      <c r="I145" s="39" t="s">
        <v>3766</v>
      </c>
      <c r="J145" s="111">
        <v>47500000</v>
      </c>
      <c r="K145" s="112">
        <v>45728</v>
      </c>
      <c r="L145" s="39"/>
      <c r="M145" s="39">
        <v>3155264386</v>
      </c>
      <c r="N145" s="39" t="s">
        <v>6301</v>
      </c>
      <c r="O145" s="116" t="s">
        <v>5234</v>
      </c>
    </row>
    <row r="146" spans="1:15" hidden="1" x14ac:dyDescent="0.25">
      <c r="A146" s="108"/>
      <c r="B146" s="39">
        <v>135</v>
      </c>
      <c r="C146" s="162" t="s">
        <v>6302</v>
      </c>
      <c r="D146" s="162"/>
      <c r="E146" s="162"/>
      <c r="F146" s="162"/>
      <c r="G146" s="162"/>
      <c r="H146" s="162"/>
      <c r="I146" s="39" t="s">
        <v>2743</v>
      </c>
      <c r="J146" s="111">
        <v>9400000</v>
      </c>
      <c r="K146" s="112">
        <v>45730</v>
      </c>
      <c r="L146" s="39"/>
      <c r="M146" s="39">
        <v>3175594091</v>
      </c>
      <c r="N146" s="39" t="s">
        <v>6303</v>
      </c>
      <c r="O146" s="38" t="s">
        <v>748</v>
      </c>
    </row>
    <row r="147" spans="1:15" hidden="1" x14ac:dyDescent="0.25">
      <c r="A147" s="108"/>
      <c r="B147" s="39">
        <v>136</v>
      </c>
      <c r="C147" s="162" t="s">
        <v>6304</v>
      </c>
      <c r="D147" s="162"/>
      <c r="E147" s="162"/>
      <c r="F147" s="162"/>
      <c r="G147" s="162"/>
      <c r="H147" s="162"/>
      <c r="I147" s="39" t="s">
        <v>702</v>
      </c>
      <c r="J147" s="111">
        <v>22580000</v>
      </c>
      <c r="K147" s="112">
        <v>45733</v>
      </c>
      <c r="L147" s="39"/>
      <c r="M147" s="39">
        <v>3104165783</v>
      </c>
      <c r="N147" s="39" t="s">
        <v>4564</v>
      </c>
      <c r="O147" s="116" t="s">
        <v>4565</v>
      </c>
    </row>
    <row r="148" spans="1:15" hidden="1" x14ac:dyDescent="0.25">
      <c r="A148" s="108"/>
      <c r="B148" s="39">
        <v>137</v>
      </c>
      <c r="C148" s="162" t="s">
        <v>6305</v>
      </c>
      <c r="D148" s="162"/>
      <c r="E148" s="162"/>
      <c r="F148" s="162"/>
      <c r="G148" s="162"/>
      <c r="H148" s="162"/>
      <c r="I148" s="39" t="s">
        <v>3766</v>
      </c>
      <c r="J148" s="111">
        <v>13170000</v>
      </c>
      <c r="K148" s="112">
        <v>45733</v>
      </c>
      <c r="L148" s="39"/>
      <c r="M148" s="39">
        <v>3155264386</v>
      </c>
      <c r="N148" s="39" t="s">
        <v>6301</v>
      </c>
      <c r="O148" s="116" t="s">
        <v>5234</v>
      </c>
    </row>
    <row r="149" spans="1:15" hidden="1" x14ac:dyDescent="0.25">
      <c r="A149" s="108"/>
      <c r="B149" s="39">
        <v>138</v>
      </c>
      <c r="C149" s="162" t="s">
        <v>6306</v>
      </c>
      <c r="D149" s="162"/>
      <c r="E149" s="162"/>
      <c r="F149" s="162"/>
      <c r="G149" s="162"/>
      <c r="H149" s="162"/>
      <c r="I149" s="39" t="s">
        <v>3766</v>
      </c>
      <c r="J149" s="111">
        <v>14420000</v>
      </c>
      <c r="K149" s="112">
        <v>45733</v>
      </c>
      <c r="L149" s="39"/>
      <c r="M149" s="39">
        <v>3006194323</v>
      </c>
      <c r="N149" s="39" t="s">
        <v>6307</v>
      </c>
      <c r="O149" s="116" t="s">
        <v>4731</v>
      </c>
    </row>
    <row r="150" spans="1:15" hidden="1" x14ac:dyDescent="0.25">
      <c r="A150" s="108"/>
      <c r="B150" s="39">
        <v>139</v>
      </c>
      <c r="C150" s="162" t="s">
        <v>6308</v>
      </c>
      <c r="D150" s="162"/>
      <c r="E150" s="162"/>
      <c r="F150" s="162"/>
      <c r="G150" s="162"/>
      <c r="H150" s="162"/>
      <c r="I150" s="39" t="s">
        <v>6059</v>
      </c>
      <c r="J150" s="111">
        <v>24950000</v>
      </c>
      <c r="K150" s="112">
        <v>45729</v>
      </c>
      <c r="L150" s="39"/>
      <c r="M150" s="39">
        <v>3103861763</v>
      </c>
      <c r="N150" s="39" t="s">
        <v>6309</v>
      </c>
      <c r="O150" s="116" t="s">
        <v>1075</v>
      </c>
    </row>
    <row r="151" spans="1:15" hidden="1" x14ac:dyDescent="0.25">
      <c r="A151" s="108"/>
      <c r="B151" s="39">
        <v>140</v>
      </c>
      <c r="C151" s="162" t="s">
        <v>6310</v>
      </c>
      <c r="D151" s="162"/>
      <c r="E151" s="162"/>
      <c r="F151" s="162"/>
      <c r="G151" s="162"/>
      <c r="H151" s="162"/>
      <c r="I151" s="39" t="s">
        <v>4939</v>
      </c>
      <c r="J151" s="111">
        <v>5950000</v>
      </c>
      <c r="K151" s="112">
        <v>45729</v>
      </c>
      <c r="L151" s="39"/>
      <c r="M151" s="39">
        <v>3206698730</v>
      </c>
      <c r="N151" s="39" t="s">
        <v>6311</v>
      </c>
      <c r="O151" s="116" t="s">
        <v>1287</v>
      </c>
    </row>
    <row r="152" spans="1:15" hidden="1" x14ac:dyDescent="0.25">
      <c r="A152" s="108"/>
      <c r="B152" s="39">
        <v>141</v>
      </c>
      <c r="C152" s="162" t="s">
        <v>6312</v>
      </c>
      <c r="D152" s="162"/>
      <c r="E152" s="162"/>
      <c r="F152" s="162"/>
      <c r="G152" s="162"/>
      <c r="H152" s="162"/>
      <c r="I152" s="39" t="s">
        <v>4436</v>
      </c>
      <c r="J152" s="111">
        <v>8780000</v>
      </c>
      <c r="K152" s="112">
        <v>45733</v>
      </c>
      <c r="L152" s="39"/>
      <c r="M152" s="39">
        <v>3006563981</v>
      </c>
      <c r="N152" s="39" t="s">
        <v>6313</v>
      </c>
      <c r="O152" s="116" t="s">
        <v>5311</v>
      </c>
    </row>
    <row r="153" spans="1:15" hidden="1" x14ac:dyDescent="0.25">
      <c r="A153" s="108"/>
      <c r="B153" s="39">
        <v>142</v>
      </c>
      <c r="C153" s="162" t="s">
        <v>6314</v>
      </c>
      <c r="D153" s="162"/>
      <c r="E153" s="162"/>
      <c r="F153" s="162"/>
      <c r="G153" s="162"/>
      <c r="H153" s="162"/>
      <c r="I153" s="39" t="s">
        <v>6315</v>
      </c>
      <c r="J153" s="111">
        <v>25970000</v>
      </c>
      <c r="K153" s="112">
        <v>45733</v>
      </c>
      <c r="L153" s="39"/>
      <c r="M153" s="39">
        <v>3104654784</v>
      </c>
      <c r="N153" s="39" t="s">
        <v>6317</v>
      </c>
      <c r="O153" s="116" t="s">
        <v>6316</v>
      </c>
    </row>
    <row r="154" spans="1:15" hidden="1" x14ac:dyDescent="0.25">
      <c r="A154" s="108"/>
      <c r="B154" s="39">
        <v>143</v>
      </c>
      <c r="C154" s="162" t="s">
        <v>6318</v>
      </c>
      <c r="D154" s="162"/>
      <c r="E154" s="162"/>
      <c r="F154" s="162"/>
      <c r="G154" s="162"/>
      <c r="H154" s="162"/>
      <c r="I154" s="39" t="s">
        <v>6319</v>
      </c>
      <c r="J154" s="111">
        <v>1000000</v>
      </c>
      <c r="K154" s="112">
        <v>45734</v>
      </c>
      <c r="L154" s="39"/>
      <c r="M154" s="39"/>
      <c r="N154" s="39" t="s">
        <v>6320</v>
      </c>
      <c r="O154" s="116" t="s">
        <v>6321</v>
      </c>
    </row>
    <row r="155" spans="1:15" hidden="1" x14ac:dyDescent="0.25">
      <c r="A155" s="108"/>
      <c r="B155" s="39">
        <v>144</v>
      </c>
      <c r="C155" s="162" t="s">
        <v>6322</v>
      </c>
      <c r="D155" s="162"/>
      <c r="E155" s="162"/>
      <c r="F155" s="162"/>
      <c r="G155" s="162"/>
      <c r="H155" s="162"/>
      <c r="I155" s="39" t="s">
        <v>989</v>
      </c>
      <c r="J155" s="111" t="s">
        <v>150</v>
      </c>
      <c r="K155" s="112">
        <v>45737</v>
      </c>
      <c r="L155" s="39"/>
      <c r="M155" s="39">
        <v>3044003430</v>
      </c>
      <c r="N155" s="39" t="s">
        <v>989</v>
      </c>
      <c r="O155" s="116" t="s">
        <v>990</v>
      </c>
    </row>
    <row r="156" spans="1:15" hidden="1" x14ac:dyDescent="0.25">
      <c r="A156" s="108"/>
      <c r="B156" s="39">
        <v>145</v>
      </c>
      <c r="C156" s="162" t="s">
        <v>6323</v>
      </c>
      <c r="D156" s="162"/>
      <c r="E156" s="162"/>
      <c r="F156" s="162"/>
      <c r="G156" s="162"/>
      <c r="H156" s="162"/>
      <c r="I156" s="39" t="s">
        <v>989</v>
      </c>
      <c r="J156" s="111" t="s">
        <v>150</v>
      </c>
      <c r="K156" s="112">
        <v>45737</v>
      </c>
      <c r="L156" s="39"/>
      <c r="M156" s="39">
        <v>3044003430</v>
      </c>
      <c r="N156" s="39" t="s">
        <v>989</v>
      </c>
      <c r="O156" s="116" t="s">
        <v>990</v>
      </c>
    </row>
    <row r="157" spans="1:15" hidden="1" x14ac:dyDescent="0.25">
      <c r="A157" s="108"/>
      <c r="B157" s="39">
        <v>146</v>
      </c>
      <c r="C157" s="162" t="s">
        <v>6324</v>
      </c>
      <c r="D157" s="162"/>
      <c r="E157" s="162"/>
      <c r="F157" s="162"/>
      <c r="G157" s="162"/>
      <c r="H157" s="162"/>
      <c r="I157" s="39" t="s">
        <v>989</v>
      </c>
      <c r="J157" s="111" t="s">
        <v>150</v>
      </c>
      <c r="K157" s="112">
        <v>45737</v>
      </c>
      <c r="L157" s="39"/>
      <c r="M157" s="39">
        <v>3044003430</v>
      </c>
      <c r="N157" s="39" t="s">
        <v>989</v>
      </c>
      <c r="O157" s="116" t="s">
        <v>990</v>
      </c>
    </row>
    <row r="158" spans="1:15" hidden="1" x14ac:dyDescent="0.25">
      <c r="A158" s="108"/>
      <c r="B158" s="39">
        <v>147</v>
      </c>
      <c r="C158" s="162" t="s">
        <v>6325</v>
      </c>
      <c r="D158" s="162"/>
      <c r="E158" s="162"/>
      <c r="F158" s="162"/>
      <c r="G158" s="162"/>
      <c r="H158" s="162"/>
      <c r="I158" s="39" t="s">
        <v>989</v>
      </c>
      <c r="J158" s="111" t="s">
        <v>150</v>
      </c>
      <c r="K158" s="112">
        <v>45737</v>
      </c>
      <c r="L158" s="39"/>
      <c r="M158" s="39">
        <v>3044003430</v>
      </c>
      <c r="N158" s="39" t="s">
        <v>989</v>
      </c>
      <c r="O158" s="116" t="s">
        <v>990</v>
      </c>
    </row>
    <row r="159" spans="1:15" hidden="1" x14ac:dyDescent="0.25">
      <c r="A159" s="108"/>
      <c r="B159" s="39">
        <v>148</v>
      </c>
      <c r="C159" s="162" t="s">
        <v>6326</v>
      </c>
      <c r="D159" s="162"/>
      <c r="E159" s="162"/>
      <c r="F159" s="162"/>
      <c r="G159" s="162"/>
      <c r="H159" s="162"/>
      <c r="I159" s="39" t="s">
        <v>989</v>
      </c>
      <c r="J159" s="111" t="s">
        <v>150</v>
      </c>
      <c r="K159" s="112">
        <v>45737</v>
      </c>
      <c r="L159" s="39"/>
      <c r="M159" s="39">
        <v>3044003430</v>
      </c>
      <c r="N159" s="39" t="s">
        <v>989</v>
      </c>
      <c r="O159" s="116" t="s">
        <v>990</v>
      </c>
    </row>
    <row r="160" spans="1:15" hidden="1" x14ac:dyDescent="0.25">
      <c r="A160" s="108"/>
      <c r="B160" s="39">
        <v>149</v>
      </c>
      <c r="C160" s="162" t="s">
        <v>6343</v>
      </c>
      <c r="D160" s="162"/>
      <c r="E160" s="162"/>
      <c r="F160" s="162"/>
      <c r="G160" s="162"/>
      <c r="H160" s="162"/>
      <c r="I160" s="39" t="s">
        <v>989</v>
      </c>
      <c r="J160" s="111">
        <v>7840000</v>
      </c>
      <c r="K160" s="112">
        <v>45737</v>
      </c>
      <c r="L160" s="39"/>
      <c r="M160" s="39">
        <v>3044003430</v>
      </c>
      <c r="N160" s="39" t="s">
        <v>989</v>
      </c>
      <c r="O160" s="116" t="s">
        <v>990</v>
      </c>
    </row>
    <row r="161" spans="1:15" hidden="1" x14ac:dyDescent="0.25">
      <c r="A161" s="108"/>
      <c r="B161" s="39">
        <v>150</v>
      </c>
      <c r="C161" s="162" t="s">
        <v>6328</v>
      </c>
      <c r="D161" s="162"/>
      <c r="E161" s="162"/>
      <c r="F161" s="162"/>
      <c r="G161" s="162"/>
      <c r="H161" s="162"/>
      <c r="I161" s="39" t="s">
        <v>3002</v>
      </c>
      <c r="J161" s="111">
        <v>28850000</v>
      </c>
      <c r="K161" s="112">
        <v>45735</v>
      </c>
      <c r="L161" s="39"/>
      <c r="M161" s="39"/>
      <c r="N161" s="39" t="s">
        <v>6327</v>
      </c>
      <c r="O161" s="116" t="s">
        <v>4724</v>
      </c>
    </row>
    <row r="162" spans="1:15" hidden="1" x14ac:dyDescent="0.25">
      <c r="A162" s="108"/>
      <c r="B162" s="39">
        <v>151</v>
      </c>
      <c r="C162" s="162" t="s">
        <v>6330</v>
      </c>
      <c r="D162" s="162"/>
      <c r="E162" s="162"/>
      <c r="F162" s="162"/>
      <c r="G162" s="162"/>
      <c r="H162" s="162"/>
      <c r="I162" s="39" t="s">
        <v>6329</v>
      </c>
      <c r="J162" s="111">
        <v>7950000</v>
      </c>
      <c r="K162" s="112">
        <v>45735</v>
      </c>
      <c r="L162" s="39"/>
      <c r="M162" s="39">
        <v>3104513967</v>
      </c>
      <c r="N162" s="39" t="s">
        <v>5710</v>
      </c>
      <c r="O162" s="116" t="s">
        <v>5709</v>
      </c>
    </row>
    <row r="163" spans="1:15" hidden="1" x14ac:dyDescent="0.25">
      <c r="A163" s="108"/>
      <c r="B163" s="39">
        <v>152</v>
      </c>
      <c r="C163" s="162" t="s">
        <v>6333</v>
      </c>
      <c r="D163" s="162"/>
      <c r="E163" s="162"/>
      <c r="F163" s="162"/>
      <c r="G163" s="162"/>
      <c r="H163" s="162"/>
      <c r="I163" s="39" t="s">
        <v>3871</v>
      </c>
      <c r="J163" s="111">
        <v>11950000</v>
      </c>
      <c r="K163" s="112">
        <v>45736</v>
      </c>
      <c r="L163" s="39"/>
      <c r="M163" s="39">
        <v>3017284784</v>
      </c>
      <c r="N163" s="39" t="s">
        <v>6331</v>
      </c>
      <c r="O163" s="116" t="s">
        <v>6332</v>
      </c>
    </row>
    <row r="164" spans="1:15" hidden="1" x14ac:dyDescent="0.25">
      <c r="A164" s="108"/>
      <c r="B164" s="39">
        <v>153</v>
      </c>
      <c r="C164" s="162" t="s">
        <v>6334</v>
      </c>
      <c r="D164" s="162"/>
      <c r="E164" s="162"/>
      <c r="F164" s="162"/>
      <c r="G164" s="162"/>
      <c r="H164" s="162"/>
      <c r="I164" s="39" t="s">
        <v>6335</v>
      </c>
      <c r="J164" s="111">
        <v>3000000</v>
      </c>
      <c r="K164" s="112">
        <v>45736</v>
      </c>
      <c r="L164" s="39"/>
      <c r="M164" s="39"/>
      <c r="N164" s="39" t="s">
        <v>6336</v>
      </c>
      <c r="O164" s="116" t="s">
        <v>6337</v>
      </c>
    </row>
    <row r="165" spans="1:15" hidden="1" x14ac:dyDescent="0.25">
      <c r="A165" s="108"/>
      <c r="B165" s="39">
        <v>154</v>
      </c>
      <c r="C165" s="162" t="s">
        <v>6338</v>
      </c>
      <c r="D165" s="162"/>
      <c r="E165" s="162"/>
      <c r="F165" s="162"/>
      <c r="G165" s="162"/>
      <c r="H165" s="162"/>
      <c r="I165" s="39" t="s">
        <v>6329</v>
      </c>
      <c r="J165" s="111">
        <v>3750000</v>
      </c>
      <c r="K165" s="112">
        <v>45736</v>
      </c>
      <c r="L165" s="39"/>
      <c r="M165" s="39">
        <v>3104513967</v>
      </c>
      <c r="N165" s="39" t="s">
        <v>5710</v>
      </c>
      <c r="O165" s="116" t="s">
        <v>5709</v>
      </c>
    </row>
    <row r="166" spans="1:15" hidden="1" x14ac:dyDescent="0.25">
      <c r="A166" s="108"/>
      <c r="B166" s="39">
        <v>155</v>
      </c>
      <c r="C166" s="162" t="s">
        <v>6339</v>
      </c>
      <c r="D166" s="162"/>
      <c r="E166" s="162"/>
      <c r="F166" s="162"/>
      <c r="G166" s="162"/>
      <c r="H166" s="162"/>
      <c r="I166" s="39" t="s">
        <v>6340</v>
      </c>
      <c r="J166" s="111">
        <v>5000000</v>
      </c>
      <c r="K166" s="112">
        <v>45737</v>
      </c>
      <c r="L166" s="39"/>
      <c r="M166" s="39">
        <v>3128051452</v>
      </c>
      <c r="N166" s="39" t="s">
        <v>6341</v>
      </c>
      <c r="O166" s="116" t="s">
        <v>6342</v>
      </c>
    </row>
    <row r="167" spans="1:15" ht="15" hidden="1" customHeight="1" x14ac:dyDescent="0.25">
      <c r="A167" s="108"/>
      <c r="B167" s="39">
        <v>156</v>
      </c>
      <c r="C167" s="162" t="s">
        <v>6344</v>
      </c>
      <c r="D167" s="162"/>
      <c r="E167" s="162"/>
      <c r="F167" s="162"/>
      <c r="G167" s="162"/>
      <c r="H167" s="162"/>
      <c r="I167" s="39" t="s">
        <v>6346</v>
      </c>
      <c r="J167" s="111">
        <v>3950000</v>
      </c>
      <c r="K167" s="112">
        <v>45737</v>
      </c>
      <c r="L167" s="39"/>
      <c r="M167" s="39">
        <v>3008113522</v>
      </c>
      <c r="N167" s="39" t="s">
        <v>6345</v>
      </c>
      <c r="O167" s="116" t="s">
        <v>6347</v>
      </c>
    </row>
    <row r="168" spans="1:15" hidden="1" x14ac:dyDescent="0.25">
      <c r="A168" s="108"/>
      <c r="B168" s="39">
        <v>157</v>
      </c>
      <c r="C168" s="162" t="s">
        <v>6348</v>
      </c>
      <c r="D168" s="162"/>
      <c r="E168" s="162"/>
      <c r="F168" s="162"/>
      <c r="G168" s="162"/>
      <c r="H168" s="162"/>
      <c r="I168" s="39" t="s">
        <v>6349</v>
      </c>
      <c r="J168" s="111">
        <f>1200000*76</f>
        <v>91200000</v>
      </c>
      <c r="K168" s="112">
        <v>45738</v>
      </c>
      <c r="L168" s="39"/>
      <c r="M168" s="39">
        <v>3104473509</v>
      </c>
      <c r="N168" s="51" t="s">
        <v>1359</v>
      </c>
      <c r="O168" s="116" t="s">
        <v>1360</v>
      </c>
    </row>
    <row r="169" spans="1:15" hidden="1" x14ac:dyDescent="0.25">
      <c r="A169" s="108"/>
      <c r="B169" s="39">
        <v>158</v>
      </c>
      <c r="C169" s="162" t="s">
        <v>6350</v>
      </c>
      <c r="D169" s="162"/>
      <c r="E169" s="162"/>
      <c r="F169" s="162"/>
      <c r="G169" s="162"/>
      <c r="H169" s="162"/>
      <c r="I169" s="39" t="s">
        <v>6351</v>
      </c>
      <c r="J169" s="127">
        <v>10500000</v>
      </c>
      <c r="K169" s="112">
        <v>45741</v>
      </c>
      <c r="L169" s="39"/>
      <c r="M169" s="39"/>
      <c r="N169" s="39" t="s">
        <v>6352</v>
      </c>
      <c r="O169" s="116" t="s">
        <v>6353</v>
      </c>
    </row>
    <row r="170" spans="1:15" hidden="1" x14ac:dyDescent="0.25">
      <c r="A170" s="108"/>
      <c r="B170" s="39">
        <v>159</v>
      </c>
      <c r="C170" s="162" t="s">
        <v>6354</v>
      </c>
      <c r="D170" s="162"/>
      <c r="E170" s="162"/>
      <c r="F170" s="162"/>
      <c r="G170" s="162"/>
      <c r="H170" s="162"/>
      <c r="I170" s="39" t="s">
        <v>702</v>
      </c>
      <c r="J170" s="111">
        <v>27600000</v>
      </c>
      <c r="K170" s="112">
        <v>45741</v>
      </c>
      <c r="L170" s="39"/>
      <c r="M170" s="39">
        <v>3104165783</v>
      </c>
      <c r="N170" s="39" t="s">
        <v>4564</v>
      </c>
      <c r="O170" s="116" t="s">
        <v>4565</v>
      </c>
    </row>
    <row r="171" spans="1:15" hidden="1" x14ac:dyDescent="0.25">
      <c r="A171" s="108"/>
      <c r="B171" s="39">
        <v>160</v>
      </c>
      <c r="C171" s="162" t="s">
        <v>6355</v>
      </c>
      <c r="D171" s="162"/>
      <c r="E171" s="162"/>
      <c r="F171" s="162"/>
      <c r="G171" s="162"/>
      <c r="H171" s="162"/>
      <c r="I171" s="39" t="s">
        <v>4939</v>
      </c>
      <c r="J171" s="111">
        <v>46850000</v>
      </c>
      <c r="K171" s="112">
        <v>45741</v>
      </c>
      <c r="L171" s="39"/>
      <c r="M171" s="39">
        <v>3206678830</v>
      </c>
      <c r="N171" s="39" t="s">
        <v>5927</v>
      </c>
      <c r="O171" s="116" t="s">
        <v>948</v>
      </c>
    </row>
    <row r="172" spans="1:15" hidden="1" x14ac:dyDescent="0.25">
      <c r="A172" s="108"/>
      <c r="B172" s="39">
        <v>161</v>
      </c>
      <c r="C172" s="162" t="s">
        <v>6356</v>
      </c>
      <c r="D172" s="162"/>
      <c r="E172" s="162"/>
      <c r="F172" s="162"/>
      <c r="G172" s="162"/>
      <c r="H172" s="162"/>
      <c r="I172" s="39" t="s">
        <v>2838</v>
      </c>
      <c r="J172" s="111">
        <v>9570000</v>
      </c>
      <c r="K172" s="112">
        <v>45742</v>
      </c>
      <c r="L172" s="39"/>
      <c r="M172" s="39">
        <v>3052501777</v>
      </c>
      <c r="N172" s="39" t="s">
        <v>6245</v>
      </c>
      <c r="O172" s="116" t="s">
        <v>5258</v>
      </c>
    </row>
    <row r="173" spans="1:15" hidden="1" x14ac:dyDescent="0.25">
      <c r="A173" s="108"/>
      <c r="B173" s="39">
        <v>162</v>
      </c>
      <c r="C173" s="162" t="s">
        <v>6357</v>
      </c>
      <c r="D173" s="162"/>
      <c r="E173" s="162"/>
      <c r="F173" s="162"/>
      <c r="G173" s="162"/>
      <c r="H173" s="162"/>
      <c r="I173" s="39" t="s">
        <v>3002</v>
      </c>
      <c r="J173" s="111">
        <v>56370000</v>
      </c>
      <c r="K173" s="112">
        <v>45744</v>
      </c>
      <c r="L173" s="39"/>
      <c r="M173" s="39">
        <v>3014317086</v>
      </c>
      <c r="N173" s="39" t="s">
        <v>4153</v>
      </c>
      <c r="O173" s="116" t="s">
        <v>4152</v>
      </c>
    </row>
    <row r="174" spans="1:15" hidden="1" x14ac:dyDescent="0.25">
      <c r="A174" s="108"/>
      <c r="B174" s="39">
        <v>163</v>
      </c>
      <c r="C174" s="162" t="s">
        <v>6358</v>
      </c>
      <c r="D174" s="162"/>
      <c r="E174" s="162"/>
      <c r="F174" s="162"/>
      <c r="G174" s="162"/>
      <c r="H174" s="162"/>
      <c r="I174" s="39" t="s">
        <v>6289</v>
      </c>
      <c r="J174" s="111">
        <v>16930000</v>
      </c>
      <c r="K174" s="112">
        <v>45744</v>
      </c>
      <c r="L174" s="39"/>
      <c r="M174" s="39">
        <v>3194306523</v>
      </c>
      <c r="N174" s="39" t="s">
        <v>6290</v>
      </c>
      <c r="O174" s="116" t="s">
        <v>6292</v>
      </c>
    </row>
    <row r="175" spans="1:15" ht="15" hidden="1" customHeight="1" x14ac:dyDescent="0.25">
      <c r="A175" s="108"/>
      <c r="B175" s="39">
        <v>164</v>
      </c>
      <c r="C175" s="162" t="s">
        <v>6360</v>
      </c>
      <c r="D175" s="162"/>
      <c r="E175" s="162"/>
      <c r="F175" s="162"/>
      <c r="G175" s="162"/>
      <c r="H175" s="162"/>
      <c r="I175" s="39" t="s">
        <v>1890</v>
      </c>
      <c r="J175" s="111">
        <v>2950000</v>
      </c>
      <c r="K175" s="112">
        <v>45745</v>
      </c>
      <c r="L175" s="39"/>
      <c r="M175" s="39" t="s">
        <v>6368</v>
      </c>
      <c r="N175" s="39" t="s">
        <v>6361</v>
      </c>
      <c r="O175" s="38" t="s">
        <v>2764</v>
      </c>
    </row>
    <row r="176" spans="1:15" ht="15" hidden="1" customHeight="1" x14ac:dyDescent="0.25">
      <c r="A176" s="108"/>
      <c r="B176" s="39">
        <v>165</v>
      </c>
      <c r="C176" s="162" t="s">
        <v>6359</v>
      </c>
      <c r="D176" s="162"/>
      <c r="E176" s="162"/>
      <c r="F176" s="162"/>
      <c r="G176" s="162"/>
      <c r="H176" s="162"/>
      <c r="I176" s="39" t="s">
        <v>1890</v>
      </c>
      <c r="J176" s="111">
        <v>3500000</v>
      </c>
      <c r="K176" s="112">
        <v>45745</v>
      </c>
      <c r="L176" s="39"/>
      <c r="M176" s="39" t="s">
        <v>6368</v>
      </c>
      <c r="N176" s="39" t="s">
        <v>6361</v>
      </c>
      <c r="O176" s="116" t="s">
        <v>2764</v>
      </c>
    </row>
    <row r="177" spans="1:15" hidden="1" x14ac:dyDescent="0.25">
      <c r="A177" s="108"/>
      <c r="B177" s="39">
        <v>166</v>
      </c>
      <c r="C177" s="162" t="s">
        <v>6362</v>
      </c>
      <c r="D177" s="162"/>
      <c r="E177" s="162"/>
      <c r="F177" s="162"/>
      <c r="G177" s="162"/>
      <c r="H177" s="162"/>
      <c r="I177" s="39" t="s">
        <v>6172</v>
      </c>
      <c r="J177" s="111">
        <v>19950000</v>
      </c>
      <c r="K177" s="112">
        <v>45745</v>
      </c>
      <c r="L177" s="39"/>
      <c r="M177" s="39">
        <v>3014487912</v>
      </c>
      <c r="N177" s="39" t="s">
        <v>706</v>
      </c>
      <c r="O177" s="116" t="s">
        <v>707</v>
      </c>
    </row>
    <row r="178" spans="1:15" hidden="1" x14ac:dyDescent="0.25">
      <c r="A178" s="108"/>
      <c r="B178" s="39">
        <v>167</v>
      </c>
      <c r="C178" s="162" t="s">
        <v>6363</v>
      </c>
      <c r="D178" s="162"/>
      <c r="E178" s="162"/>
      <c r="F178" s="162"/>
      <c r="G178" s="162"/>
      <c r="H178" s="162"/>
      <c r="I178" s="39" t="s">
        <v>702</v>
      </c>
      <c r="J178" s="111">
        <v>14420000</v>
      </c>
      <c r="K178" s="112">
        <v>45745</v>
      </c>
      <c r="L178" s="39"/>
      <c r="M178" s="39">
        <v>3104165783</v>
      </c>
      <c r="N178" s="39" t="s">
        <v>4564</v>
      </c>
      <c r="O178" s="116" t="s">
        <v>4565</v>
      </c>
    </row>
    <row r="179" spans="1:15" ht="15" hidden="1" customHeight="1" x14ac:dyDescent="0.25">
      <c r="A179" s="108"/>
      <c r="B179" s="39">
        <v>168</v>
      </c>
      <c r="C179" s="162" t="s">
        <v>6364</v>
      </c>
      <c r="D179" s="162"/>
      <c r="E179" s="162"/>
      <c r="F179" s="162"/>
      <c r="G179" s="162"/>
      <c r="H179" s="162"/>
      <c r="I179" s="39" t="s">
        <v>6365</v>
      </c>
      <c r="J179" s="111">
        <v>29750000</v>
      </c>
      <c r="K179" s="112">
        <v>45744</v>
      </c>
      <c r="L179" s="39"/>
      <c r="M179" s="39">
        <v>3024787538</v>
      </c>
      <c r="N179" s="39" t="s">
        <v>6366</v>
      </c>
      <c r="O179" s="116" t="s">
        <v>6367</v>
      </c>
    </row>
    <row r="180" spans="1:15" hidden="1" x14ac:dyDescent="0.25">
      <c r="A180" s="108"/>
      <c r="B180" s="39">
        <v>169</v>
      </c>
      <c r="C180" s="162" t="s">
        <v>6369</v>
      </c>
      <c r="D180" s="162"/>
      <c r="E180" s="162"/>
      <c r="F180" s="162"/>
      <c r="G180" s="162"/>
      <c r="H180" s="162"/>
      <c r="I180" s="39" t="s">
        <v>5753</v>
      </c>
      <c r="J180" s="111">
        <v>3056170</v>
      </c>
      <c r="K180" s="112">
        <v>45748</v>
      </c>
      <c r="L180" s="39"/>
      <c r="M180" s="39" t="s">
        <v>6501</v>
      </c>
      <c r="N180" s="39" t="s">
        <v>6500</v>
      </c>
      <c r="O180" s="116"/>
    </row>
    <row r="181" spans="1:15" hidden="1" x14ac:dyDescent="0.25">
      <c r="A181" s="108"/>
      <c r="B181" s="39">
        <v>170</v>
      </c>
      <c r="C181" s="162" t="s">
        <v>6370</v>
      </c>
      <c r="D181" s="162"/>
      <c r="E181" s="162"/>
      <c r="F181" s="162"/>
      <c r="G181" s="162"/>
      <c r="H181" s="162"/>
      <c r="I181" s="39" t="s">
        <v>6371</v>
      </c>
      <c r="J181" s="111">
        <v>12500000</v>
      </c>
      <c r="K181" s="112">
        <v>45747</v>
      </c>
      <c r="L181" s="39"/>
      <c r="M181" s="39" t="s">
        <v>6372</v>
      </c>
      <c r="N181" s="39" t="s">
        <v>6373</v>
      </c>
      <c r="O181" s="116" t="s">
        <v>6374</v>
      </c>
    </row>
    <row r="182" spans="1:15" hidden="1" x14ac:dyDescent="0.25">
      <c r="A182" s="108"/>
      <c r="B182" s="39">
        <v>171</v>
      </c>
      <c r="C182" s="162" t="s">
        <v>6375</v>
      </c>
      <c r="D182" s="162"/>
      <c r="E182" s="162"/>
      <c r="F182" s="162"/>
      <c r="G182" s="162"/>
      <c r="H182" s="162"/>
      <c r="I182" s="39" t="s">
        <v>702</v>
      </c>
      <c r="J182" s="111">
        <v>2440000</v>
      </c>
      <c r="K182" s="112">
        <v>45749</v>
      </c>
      <c r="L182" s="39"/>
      <c r="M182" s="39">
        <v>3104165783</v>
      </c>
      <c r="N182" s="39" t="s">
        <v>4564</v>
      </c>
      <c r="O182" s="116" t="s">
        <v>4565</v>
      </c>
    </row>
    <row r="183" spans="1:15" hidden="1" x14ac:dyDescent="0.25">
      <c r="A183" s="108"/>
      <c r="B183" s="39">
        <v>172</v>
      </c>
      <c r="C183" s="162" t="s">
        <v>6376</v>
      </c>
      <c r="D183" s="162"/>
      <c r="E183" s="162"/>
      <c r="F183" s="162"/>
      <c r="G183" s="162"/>
      <c r="H183" s="162"/>
      <c r="I183" s="39" t="s">
        <v>702</v>
      </c>
      <c r="J183" s="111">
        <v>68950000</v>
      </c>
      <c r="K183" s="112">
        <v>45749</v>
      </c>
      <c r="L183" s="39"/>
      <c r="M183" s="39">
        <v>3006047984</v>
      </c>
      <c r="N183" s="39" t="s">
        <v>6377</v>
      </c>
      <c r="O183" s="116" t="s">
        <v>6379</v>
      </c>
    </row>
    <row r="184" spans="1:15" hidden="1" x14ac:dyDescent="0.25">
      <c r="A184" s="108"/>
      <c r="B184" s="39">
        <v>173</v>
      </c>
      <c r="C184" s="162" t="s">
        <v>6378</v>
      </c>
      <c r="D184" s="162"/>
      <c r="E184" s="162"/>
      <c r="F184" s="162"/>
      <c r="G184" s="162"/>
      <c r="H184" s="162"/>
      <c r="I184" s="39" t="s">
        <v>5067</v>
      </c>
      <c r="J184" s="111">
        <v>37250000</v>
      </c>
      <c r="K184" s="112">
        <v>45749</v>
      </c>
      <c r="L184" s="39"/>
      <c r="M184" s="39">
        <v>3127846921</v>
      </c>
      <c r="N184" s="39" t="s">
        <v>6380</v>
      </c>
      <c r="O184" s="116" t="s">
        <v>6381</v>
      </c>
    </row>
    <row r="185" spans="1:15" hidden="1" x14ac:dyDescent="0.25">
      <c r="A185" s="108"/>
      <c r="B185" s="39">
        <v>174</v>
      </c>
      <c r="C185" s="162" t="s">
        <v>6382</v>
      </c>
      <c r="D185" s="162"/>
      <c r="E185" s="162"/>
      <c r="F185" s="162"/>
      <c r="G185" s="162"/>
      <c r="H185" s="162"/>
      <c r="I185" s="39" t="s">
        <v>702</v>
      </c>
      <c r="J185" s="111">
        <v>6250000</v>
      </c>
      <c r="K185" s="112">
        <v>45749</v>
      </c>
      <c r="L185" s="39"/>
      <c r="M185" s="39">
        <v>3006047984</v>
      </c>
      <c r="N185" s="39" t="s">
        <v>6377</v>
      </c>
      <c r="O185" s="116" t="s">
        <v>6379</v>
      </c>
    </row>
    <row r="186" spans="1:15" hidden="1" x14ac:dyDescent="0.25">
      <c r="A186" s="108"/>
      <c r="B186" s="39">
        <v>175</v>
      </c>
      <c r="C186" s="162" t="s">
        <v>6383</v>
      </c>
      <c r="D186" s="162"/>
      <c r="E186" s="162"/>
      <c r="F186" s="162"/>
      <c r="G186" s="162"/>
      <c r="H186" s="162"/>
      <c r="I186" s="39" t="s">
        <v>6164</v>
      </c>
      <c r="J186" s="111">
        <v>4950000</v>
      </c>
      <c r="K186" s="112">
        <v>45749</v>
      </c>
      <c r="L186" s="39"/>
      <c r="M186" s="39">
        <v>3217007270</v>
      </c>
      <c r="N186" s="39" t="s">
        <v>6384</v>
      </c>
      <c r="O186" s="116" t="s">
        <v>6385</v>
      </c>
    </row>
    <row r="187" spans="1:15" ht="15" hidden="1" customHeight="1" x14ac:dyDescent="0.25">
      <c r="A187" s="108"/>
      <c r="B187" s="39">
        <v>176</v>
      </c>
      <c r="C187" s="162" t="s">
        <v>6389</v>
      </c>
      <c r="D187" s="162"/>
      <c r="E187" s="162"/>
      <c r="F187" s="162"/>
      <c r="G187" s="162"/>
      <c r="H187" s="162"/>
      <c r="I187" s="39" t="s">
        <v>6386</v>
      </c>
      <c r="J187" s="111">
        <v>87700000</v>
      </c>
      <c r="K187" s="112">
        <v>45754</v>
      </c>
      <c r="L187" s="39"/>
      <c r="M187" s="39">
        <v>3055907396</v>
      </c>
      <c r="N187" s="39" t="s">
        <v>6388</v>
      </c>
      <c r="O187" s="116" t="s">
        <v>6387</v>
      </c>
    </row>
    <row r="188" spans="1:15" ht="15" hidden="1" customHeight="1" x14ac:dyDescent="0.25">
      <c r="A188" s="108"/>
      <c r="B188" s="39">
        <v>177</v>
      </c>
      <c r="C188" s="162" t="s">
        <v>6390</v>
      </c>
      <c r="D188" s="162"/>
      <c r="E188" s="162"/>
      <c r="F188" s="162"/>
      <c r="G188" s="162"/>
      <c r="H188" s="162"/>
      <c r="I188" s="39" t="s">
        <v>702</v>
      </c>
      <c r="J188" s="111">
        <v>11920000</v>
      </c>
      <c r="K188" s="112">
        <v>45749</v>
      </c>
      <c r="L188" s="39"/>
      <c r="M188" s="39">
        <v>3104165783</v>
      </c>
      <c r="N188" s="39" t="s">
        <v>4564</v>
      </c>
      <c r="O188" s="116" t="s">
        <v>4565</v>
      </c>
    </row>
    <row r="189" spans="1:15" hidden="1" x14ac:dyDescent="0.25">
      <c r="A189" s="108"/>
      <c r="B189" s="39">
        <v>178</v>
      </c>
      <c r="C189" s="162" t="s">
        <v>6391</v>
      </c>
      <c r="D189" s="162"/>
      <c r="E189" s="162"/>
      <c r="F189" s="162"/>
      <c r="G189" s="162"/>
      <c r="H189" s="162"/>
      <c r="I189" s="39" t="s">
        <v>6371</v>
      </c>
      <c r="J189" s="111">
        <v>45160000</v>
      </c>
      <c r="K189" s="112">
        <v>45750</v>
      </c>
      <c r="L189" s="39"/>
      <c r="M189" s="39" t="s">
        <v>6372</v>
      </c>
      <c r="N189" s="39" t="s">
        <v>6373</v>
      </c>
      <c r="O189" s="116" t="s">
        <v>6374</v>
      </c>
    </row>
    <row r="190" spans="1:15" hidden="1" x14ac:dyDescent="0.25">
      <c r="A190" s="108"/>
      <c r="B190" s="39">
        <v>179</v>
      </c>
      <c r="C190" s="162" t="s">
        <v>6392</v>
      </c>
      <c r="D190" s="162"/>
      <c r="E190" s="162"/>
      <c r="F190" s="162"/>
      <c r="G190" s="162"/>
      <c r="H190" s="162"/>
      <c r="I190" s="39" t="s">
        <v>6092</v>
      </c>
      <c r="J190" s="111">
        <v>59250000</v>
      </c>
      <c r="K190" s="112">
        <v>45751</v>
      </c>
      <c r="L190" s="39"/>
      <c r="M190" s="39">
        <v>3127218621</v>
      </c>
      <c r="N190" s="39" t="s">
        <v>3666</v>
      </c>
      <c r="O190" s="116" t="s">
        <v>3668</v>
      </c>
    </row>
    <row r="191" spans="1:15" hidden="1" x14ac:dyDescent="0.25">
      <c r="A191" s="108"/>
      <c r="B191" s="39">
        <v>180</v>
      </c>
      <c r="C191" s="162" t="s">
        <v>6393</v>
      </c>
      <c r="D191" s="162"/>
      <c r="E191" s="162"/>
      <c r="F191" s="162"/>
      <c r="G191" s="162"/>
      <c r="H191" s="162"/>
      <c r="I191" s="39" t="s">
        <v>4597</v>
      </c>
      <c r="J191" s="111">
        <v>9970000</v>
      </c>
      <c r="K191" s="112">
        <v>45751</v>
      </c>
      <c r="L191" s="39"/>
      <c r="M191" s="39">
        <v>3218338189</v>
      </c>
      <c r="N191" s="39" t="s">
        <v>4109</v>
      </c>
      <c r="O191" s="116" t="s">
        <v>5752</v>
      </c>
    </row>
    <row r="192" spans="1:15" hidden="1" x14ac:dyDescent="0.25">
      <c r="A192" s="108"/>
      <c r="B192" s="39">
        <v>181</v>
      </c>
      <c r="C192" s="162" t="s">
        <v>6394</v>
      </c>
      <c r="D192" s="162"/>
      <c r="E192" s="162"/>
      <c r="F192" s="162"/>
      <c r="G192" s="162"/>
      <c r="H192" s="162"/>
      <c r="I192" s="39" t="s">
        <v>2743</v>
      </c>
      <c r="J192" s="111">
        <v>12500000</v>
      </c>
      <c r="K192" s="112">
        <v>45754</v>
      </c>
      <c r="L192" s="39"/>
      <c r="M192" s="39">
        <v>3175594091</v>
      </c>
      <c r="N192" s="39" t="s">
        <v>2045</v>
      </c>
      <c r="O192" s="116" t="s">
        <v>748</v>
      </c>
    </row>
    <row r="193" spans="1:15" hidden="1" x14ac:dyDescent="0.25">
      <c r="A193" s="108"/>
      <c r="B193" s="39">
        <v>182</v>
      </c>
      <c r="C193" s="162" t="s">
        <v>6395</v>
      </c>
      <c r="D193" s="162"/>
      <c r="E193" s="162"/>
      <c r="F193" s="162"/>
      <c r="G193" s="162"/>
      <c r="H193" s="162"/>
      <c r="I193" s="39" t="s">
        <v>6396</v>
      </c>
      <c r="J193" s="111">
        <v>8780000</v>
      </c>
      <c r="K193" s="112">
        <v>45755</v>
      </c>
      <c r="L193" s="39"/>
      <c r="M193" s="39" t="s">
        <v>6400</v>
      </c>
      <c r="N193" s="39" t="s">
        <v>6397</v>
      </c>
      <c r="O193" s="116"/>
    </row>
    <row r="194" spans="1:15" hidden="1" x14ac:dyDescent="0.25">
      <c r="A194" s="108"/>
      <c r="B194" s="39">
        <v>183</v>
      </c>
      <c r="C194" s="162" t="s">
        <v>6398</v>
      </c>
      <c r="D194" s="162"/>
      <c r="E194" s="162"/>
      <c r="F194" s="162"/>
      <c r="G194" s="162"/>
      <c r="H194" s="162"/>
      <c r="I194" s="39" t="s">
        <v>6399</v>
      </c>
      <c r="J194" s="111">
        <v>6980000</v>
      </c>
      <c r="K194" s="112">
        <v>45754</v>
      </c>
      <c r="L194" s="39"/>
      <c r="M194" s="39">
        <v>3007693372</v>
      </c>
      <c r="N194" s="39" t="s">
        <v>6403</v>
      </c>
      <c r="O194" s="116"/>
    </row>
    <row r="195" spans="1:15" hidden="1" x14ac:dyDescent="0.25">
      <c r="A195" s="108"/>
      <c r="B195" s="39">
        <v>184</v>
      </c>
      <c r="C195" s="162" t="s">
        <v>6401</v>
      </c>
      <c r="D195" s="162"/>
      <c r="E195" s="162"/>
      <c r="F195" s="162"/>
      <c r="G195" s="162"/>
      <c r="H195" s="162"/>
      <c r="I195" s="39" t="s">
        <v>2743</v>
      </c>
      <c r="J195" s="111">
        <v>20000000</v>
      </c>
      <c r="K195" s="112">
        <v>45755</v>
      </c>
      <c r="L195" s="39"/>
      <c r="M195" s="39">
        <v>3175594091</v>
      </c>
      <c r="N195" s="39" t="s">
        <v>2045</v>
      </c>
      <c r="O195" s="116" t="s">
        <v>748</v>
      </c>
    </row>
    <row r="196" spans="1:15" hidden="1" x14ac:dyDescent="0.25">
      <c r="A196" s="108"/>
      <c r="B196" s="39">
        <v>185</v>
      </c>
      <c r="C196" s="162" t="s">
        <v>6402</v>
      </c>
      <c r="D196" s="162"/>
      <c r="E196" s="162"/>
      <c r="F196" s="162"/>
      <c r="G196" s="162"/>
      <c r="H196" s="162"/>
      <c r="I196" s="39" t="s">
        <v>4597</v>
      </c>
      <c r="J196" s="111"/>
      <c r="K196" s="112">
        <v>45755</v>
      </c>
      <c r="L196" s="39"/>
      <c r="M196" s="39">
        <v>3014201614</v>
      </c>
      <c r="N196" s="39" t="s">
        <v>196</v>
      </c>
      <c r="O196" s="116" t="s">
        <v>6111</v>
      </c>
    </row>
    <row r="197" spans="1:15" hidden="1" x14ac:dyDescent="0.25">
      <c r="A197" s="108"/>
      <c r="B197" s="39">
        <v>186</v>
      </c>
      <c r="C197" s="162" t="s">
        <v>6404</v>
      </c>
      <c r="D197" s="162"/>
      <c r="E197" s="162"/>
      <c r="F197" s="162"/>
      <c r="G197" s="162"/>
      <c r="H197" s="162"/>
      <c r="I197" s="39" t="s">
        <v>6405</v>
      </c>
      <c r="J197" s="111">
        <v>25950000</v>
      </c>
      <c r="K197" s="112">
        <v>45757</v>
      </c>
      <c r="L197" s="39"/>
      <c r="M197" s="39" t="s">
        <v>6410</v>
      </c>
      <c r="N197" s="39" t="s">
        <v>6409</v>
      </c>
      <c r="O197" s="116" t="s">
        <v>6411</v>
      </c>
    </row>
    <row r="198" spans="1:15" hidden="1" x14ac:dyDescent="0.25">
      <c r="A198" s="108"/>
      <c r="B198" s="39">
        <v>187</v>
      </c>
      <c r="C198" s="162" t="s">
        <v>6406</v>
      </c>
      <c r="D198" s="162"/>
      <c r="E198" s="162"/>
      <c r="F198" s="162"/>
      <c r="G198" s="162"/>
      <c r="H198" s="162"/>
      <c r="I198" s="39" t="s">
        <v>2743</v>
      </c>
      <c r="J198" s="111" t="s">
        <v>381</v>
      </c>
      <c r="K198" s="112">
        <v>45757</v>
      </c>
      <c r="L198" s="39"/>
      <c r="M198" s="39">
        <v>3175594091</v>
      </c>
      <c r="N198" s="39" t="s">
        <v>2045</v>
      </c>
      <c r="O198" s="116" t="s">
        <v>748</v>
      </c>
    </row>
    <row r="199" spans="1:15" hidden="1" x14ac:dyDescent="0.25">
      <c r="A199" s="108"/>
      <c r="B199" s="39">
        <v>188</v>
      </c>
      <c r="C199" s="162" t="s">
        <v>6407</v>
      </c>
      <c r="D199" s="162"/>
      <c r="E199" s="162"/>
      <c r="F199" s="162"/>
      <c r="G199" s="162"/>
      <c r="H199" s="162"/>
      <c r="I199" s="39" t="s">
        <v>6408</v>
      </c>
      <c r="J199" s="111">
        <v>5000000</v>
      </c>
      <c r="K199" s="112">
        <v>45757</v>
      </c>
      <c r="L199" s="39"/>
      <c r="M199" s="32">
        <v>3174376208</v>
      </c>
      <c r="N199" s="32" t="s">
        <v>4174</v>
      </c>
      <c r="O199" s="116" t="s">
        <v>4012</v>
      </c>
    </row>
    <row r="200" spans="1:15" hidden="1" x14ac:dyDescent="0.25">
      <c r="A200" s="108"/>
      <c r="B200" s="39">
        <v>189</v>
      </c>
      <c r="C200" s="162" t="s">
        <v>6412</v>
      </c>
      <c r="D200" s="162"/>
      <c r="E200" s="162"/>
      <c r="F200" s="162"/>
      <c r="G200" s="162"/>
      <c r="H200" s="162"/>
      <c r="I200" s="39" t="s">
        <v>6413</v>
      </c>
      <c r="J200" s="111">
        <v>24850000</v>
      </c>
      <c r="K200" s="112">
        <v>45762</v>
      </c>
      <c r="L200" s="39"/>
      <c r="M200" s="39" t="s">
        <v>6416</v>
      </c>
      <c r="N200" s="39" t="s">
        <v>6414</v>
      </c>
      <c r="O200" s="116" t="s">
        <v>6415</v>
      </c>
    </row>
    <row r="201" spans="1:15" hidden="1" x14ac:dyDescent="0.25">
      <c r="A201" s="108"/>
      <c r="B201" s="39">
        <v>190</v>
      </c>
      <c r="C201" s="162" t="s">
        <v>6421</v>
      </c>
      <c r="D201" s="162"/>
      <c r="E201" s="162"/>
      <c r="F201" s="162"/>
      <c r="G201" s="162"/>
      <c r="H201" s="162"/>
      <c r="I201" s="39" t="s">
        <v>6420</v>
      </c>
      <c r="J201" s="111">
        <v>29480000</v>
      </c>
      <c r="K201" s="112">
        <v>45763</v>
      </c>
      <c r="L201" s="39"/>
      <c r="M201" s="39" t="s">
        <v>6417</v>
      </c>
      <c r="N201" s="39" t="s">
        <v>6419</v>
      </c>
      <c r="O201" s="116" t="s">
        <v>6418</v>
      </c>
    </row>
    <row r="202" spans="1:15" hidden="1" x14ac:dyDescent="0.25">
      <c r="A202" s="108"/>
      <c r="B202" s="39">
        <v>191</v>
      </c>
      <c r="C202" s="162" t="s">
        <v>6469</v>
      </c>
      <c r="D202" s="162"/>
      <c r="E202" s="162"/>
      <c r="F202" s="162"/>
      <c r="G202" s="162"/>
      <c r="H202" s="162"/>
      <c r="I202" s="39" t="s">
        <v>6423</v>
      </c>
      <c r="J202" s="111">
        <v>7950000</v>
      </c>
      <c r="K202" s="112">
        <v>45762</v>
      </c>
      <c r="L202" s="39"/>
      <c r="M202" s="39" t="s">
        <v>6424</v>
      </c>
      <c r="N202" s="39" t="s">
        <v>6425</v>
      </c>
      <c r="O202" s="116" t="s">
        <v>6426</v>
      </c>
    </row>
    <row r="203" spans="1:15" hidden="1" x14ac:dyDescent="0.25">
      <c r="A203" s="108"/>
      <c r="B203" s="39">
        <v>192</v>
      </c>
      <c r="C203" s="162" t="s">
        <v>6422</v>
      </c>
      <c r="D203" s="162"/>
      <c r="E203" s="162"/>
      <c r="F203" s="162"/>
      <c r="G203" s="162"/>
      <c r="H203" s="162"/>
      <c r="I203" s="39" t="s">
        <v>6231</v>
      </c>
      <c r="J203" s="111">
        <v>7950000</v>
      </c>
      <c r="K203" s="112">
        <v>45763</v>
      </c>
      <c r="L203" s="39"/>
      <c r="M203" s="39">
        <v>3012427405</v>
      </c>
      <c r="N203" s="39" t="s">
        <v>4407</v>
      </c>
      <c r="O203" s="116" t="s">
        <v>4404</v>
      </c>
    </row>
    <row r="204" spans="1:15" ht="15" hidden="1" customHeight="1" x14ac:dyDescent="0.25">
      <c r="A204" s="108"/>
      <c r="B204" s="39">
        <v>193</v>
      </c>
      <c r="C204" s="162" t="s">
        <v>6427</v>
      </c>
      <c r="D204" s="162"/>
      <c r="E204" s="162"/>
      <c r="F204" s="162"/>
      <c r="G204" s="162"/>
      <c r="H204" s="162"/>
      <c r="I204" s="39" t="s">
        <v>2445</v>
      </c>
      <c r="J204" s="111">
        <v>7000000</v>
      </c>
      <c r="K204" s="112">
        <v>45763</v>
      </c>
      <c r="L204" s="39"/>
      <c r="M204" s="39">
        <v>3106005558</v>
      </c>
      <c r="N204" s="39" t="s">
        <v>6428</v>
      </c>
      <c r="O204" s="116"/>
    </row>
    <row r="205" spans="1:15" hidden="1" x14ac:dyDescent="0.25">
      <c r="A205" s="108"/>
      <c r="B205" s="39">
        <v>194</v>
      </c>
      <c r="C205" s="162" t="s">
        <v>6431</v>
      </c>
      <c r="D205" s="162"/>
      <c r="E205" s="162"/>
      <c r="F205" s="162"/>
      <c r="G205" s="162"/>
      <c r="H205" s="162"/>
      <c r="I205" s="39" t="s">
        <v>6430</v>
      </c>
      <c r="J205" s="111">
        <v>62500000</v>
      </c>
      <c r="K205" s="112">
        <v>45768</v>
      </c>
      <c r="L205" s="39"/>
      <c r="M205" s="39">
        <v>3041137721</v>
      </c>
      <c r="N205" s="39" t="s">
        <v>6436</v>
      </c>
      <c r="O205" s="116" t="s">
        <v>6429</v>
      </c>
    </row>
    <row r="206" spans="1:15" hidden="1" x14ac:dyDescent="0.25">
      <c r="A206" s="108"/>
      <c r="B206" s="39">
        <v>195</v>
      </c>
      <c r="C206" s="162" t="s">
        <v>6432</v>
      </c>
      <c r="D206" s="162"/>
      <c r="E206" s="162"/>
      <c r="F206" s="162"/>
      <c r="G206" s="162"/>
      <c r="H206" s="162"/>
      <c r="I206" s="39" t="s">
        <v>4597</v>
      </c>
      <c r="J206" s="111">
        <v>6280000</v>
      </c>
      <c r="K206" s="112">
        <v>45768</v>
      </c>
      <c r="L206" s="39"/>
      <c r="M206" s="39" t="s">
        <v>5812</v>
      </c>
      <c r="N206" s="39" t="s">
        <v>4109</v>
      </c>
      <c r="O206" s="116" t="s">
        <v>5752</v>
      </c>
    </row>
    <row r="207" spans="1:15" hidden="1" x14ac:dyDescent="0.25">
      <c r="A207" s="108"/>
      <c r="B207" s="39">
        <v>196</v>
      </c>
      <c r="C207" s="162" t="s">
        <v>6433</v>
      </c>
      <c r="D207" s="162"/>
      <c r="E207" s="162"/>
      <c r="F207" s="162"/>
      <c r="G207" s="162"/>
      <c r="H207" s="162"/>
      <c r="I207" s="39" t="s">
        <v>4597</v>
      </c>
      <c r="J207" s="111">
        <v>9780000</v>
      </c>
      <c r="K207" s="112">
        <v>45768</v>
      </c>
      <c r="L207" s="39"/>
      <c r="M207" s="39" t="s">
        <v>5812</v>
      </c>
      <c r="N207" s="39" t="s">
        <v>4109</v>
      </c>
      <c r="O207" s="116" t="s">
        <v>5752</v>
      </c>
    </row>
    <row r="208" spans="1:15" ht="15" hidden="1" customHeight="1" x14ac:dyDescent="0.25">
      <c r="A208" s="108"/>
      <c r="B208" s="39">
        <v>197</v>
      </c>
      <c r="C208" s="162" t="s">
        <v>6434</v>
      </c>
      <c r="D208" s="162"/>
      <c r="E208" s="162"/>
      <c r="F208" s="162"/>
      <c r="G208" s="162"/>
      <c r="H208" s="162"/>
      <c r="I208" s="59" t="s">
        <v>4537</v>
      </c>
      <c r="J208" s="111">
        <v>6280000</v>
      </c>
      <c r="K208" s="112">
        <v>45768</v>
      </c>
      <c r="L208" s="39"/>
      <c r="M208" s="39"/>
      <c r="N208" s="39" t="s">
        <v>4538</v>
      </c>
      <c r="O208" s="116" t="s">
        <v>4539</v>
      </c>
    </row>
    <row r="209" spans="1:15" hidden="1" x14ac:dyDescent="0.25">
      <c r="A209" s="108"/>
      <c r="B209" s="39">
        <v>198</v>
      </c>
      <c r="C209" s="162" t="s">
        <v>6435</v>
      </c>
      <c r="D209" s="162"/>
      <c r="E209" s="162"/>
      <c r="F209" s="162"/>
      <c r="G209" s="162"/>
      <c r="H209" s="162"/>
      <c r="I209" s="59" t="s">
        <v>4537</v>
      </c>
      <c r="J209" s="111">
        <v>6280000</v>
      </c>
      <c r="K209" s="112">
        <v>45768</v>
      </c>
      <c r="L209" s="39"/>
      <c r="M209" s="39"/>
      <c r="N209" s="39" t="s">
        <v>4538</v>
      </c>
      <c r="O209" s="116" t="s">
        <v>4539</v>
      </c>
    </row>
    <row r="210" spans="1:15" hidden="1" x14ac:dyDescent="0.25">
      <c r="A210" s="108"/>
      <c r="B210" s="39">
        <v>199</v>
      </c>
      <c r="C210" s="162" t="s">
        <v>6438</v>
      </c>
      <c r="D210" s="162"/>
      <c r="E210" s="162"/>
      <c r="F210" s="162"/>
      <c r="G210" s="162"/>
      <c r="H210" s="162"/>
      <c r="I210" s="39" t="s">
        <v>1648</v>
      </c>
      <c r="J210" s="111">
        <v>16850000</v>
      </c>
      <c r="K210" s="112">
        <v>45768</v>
      </c>
      <c r="L210" s="39"/>
      <c r="M210" s="39"/>
      <c r="N210" s="39" t="s">
        <v>1648</v>
      </c>
      <c r="O210" s="38" t="s">
        <v>6437</v>
      </c>
    </row>
    <row r="211" spans="1:15" hidden="1" x14ac:dyDescent="0.25">
      <c r="A211" s="108"/>
      <c r="B211" s="39">
        <v>200</v>
      </c>
      <c r="C211" s="162" t="s">
        <v>6439</v>
      </c>
      <c r="D211" s="162"/>
      <c r="E211" s="162"/>
      <c r="F211" s="162"/>
      <c r="G211" s="162"/>
      <c r="H211" s="162"/>
      <c r="I211" s="39" t="s">
        <v>774</v>
      </c>
      <c r="J211" s="111">
        <v>1250000</v>
      </c>
      <c r="K211" s="112">
        <v>45769</v>
      </c>
      <c r="L211" s="39"/>
      <c r="M211" s="39" t="s">
        <v>6442</v>
      </c>
      <c r="N211" s="39" t="s">
        <v>6440</v>
      </c>
      <c r="O211" s="38" t="s">
        <v>6441</v>
      </c>
    </row>
    <row r="212" spans="1:15" ht="15" hidden="1" customHeight="1" x14ac:dyDescent="0.25">
      <c r="A212" s="108"/>
      <c r="B212" s="39">
        <v>201</v>
      </c>
      <c r="C212" s="162" t="s">
        <v>6443</v>
      </c>
      <c r="D212" s="162"/>
      <c r="E212" s="162"/>
      <c r="F212" s="162"/>
      <c r="G212" s="162"/>
      <c r="H212" s="162"/>
      <c r="I212" s="39" t="s">
        <v>4597</v>
      </c>
      <c r="J212" s="111">
        <f>6280000+3140000</f>
        <v>9420000</v>
      </c>
      <c r="K212" s="112">
        <v>45772</v>
      </c>
      <c r="L212" s="39"/>
      <c r="M212" s="39" t="s">
        <v>5812</v>
      </c>
      <c r="N212" s="39" t="s">
        <v>4109</v>
      </c>
      <c r="O212" s="116" t="s">
        <v>5752</v>
      </c>
    </row>
    <row r="213" spans="1:15" hidden="1" x14ac:dyDescent="0.25">
      <c r="A213" s="108"/>
      <c r="B213" s="39">
        <v>202</v>
      </c>
      <c r="C213" s="162" t="s">
        <v>6444</v>
      </c>
      <c r="D213" s="162"/>
      <c r="E213" s="162"/>
      <c r="F213" s="162"/>
      <c r="G213" s="162"/>
      <c r="H213" s="162"/>
      <c r="I213" s="39" t="s">
        <v>2743</v>
      </c>
      <c r="J213" s="111" t="s">
        <v>6445</v>
      </c>
      <c r="K213" s="112">
        <v>45769</v>
      </c>
      <c r="L213" s="39"/>
      <c r="M213" s="39">
        <v>3175594091</v>
      </c>
      <c r="N213" s="39" t="s">
        <v>2045</v>
      </c>
      <c r="O213" s="38" t="s">
        <v>748</v>
      </c>
    </row>
    <row r="214" spans="1:15" hidden="1" x14ac:dyDescent="0.25">
      <c r="A214" s="108"/>
      <c r="B214" s="39">
        <v>203</v>
      </c>
      <c r="C214" s="162" t="s">
        <v>6446</v>
      </c>
      <c r="D214" s="162"/>
      <c r="E214" s="162"/>
      <c r="F214" s="162"/>
      <c r="G214" s="162"/>
      <c r="H214" s="162"/>
      <c r="I214" s="39" t="s">
        <v>5372</v>
      </c>
      <c r="J214" s="46">
        <v>37650000</v>
      </c>
      <c r="K214" s="112">
        <v>45769</v>
      </c>
      <c r="L214" s="2"/>
      <c r="M214" s="39">
        <v>3108227462</v>
      </c>
      <c r="N214" s="39" t="s">
        <v>1064</v>
      </c>
      <c r="O214" s="116" t="s">
        <v>2310</v>
      </c>
    </row>
    <row r="215" spans="1:15" hidden="1" x14ac:dyDescent="0.25">
      <c r="A215" s="108"/>
      <c r="B215" s="39">
        <v>204</v>
      </c>
      <c r="C215" s="162" t="s">
        <v>6447</v>
      </c>
      <c r="D215" s="162"/>
      <c r="E215" s="162"/>
      <c r="F215" s="162"/>
      <c r="G215" s="162"/>
      <c r="H215" s="162"/>
      <c r="I215" s="39" t="s">
        <v>702</v>
      </c>
      <c r="J215" s="111">
        <v>6950000</v>
      </c>
      <c r="K215" s="112">
        <v>45772</v>
      </c>
      <c r="L215" s="39"/>
      <c r="M215" s="39">
        <v>3104165783</v>
      </c>
      <c r="N215" s="39" t="s">
        <v>4564</v>
      </c>
      <c r="O215" s="116" t="s">
        <v>4565</v>
      </c>
    </row>
    <row r="216" spans="1:15" hidden="1" x14ac:dyDescent="0.25">
      <c r="A216" s="108"/>
      <c r="B216" s="39">
        <v>205</v>
      </c>
      <c r="C216" s="162" t="s">
        <v>6448</v>
      </c>
      <c r="D216" s="162"/>
      <c r="E216" s="162"/>
      <c r="F216" s="162"/>
      <c r="G216" s="162"/>
      <c r="H216" s="162"/>
      <c r="I216" s="39" t="s">
        <v>6452</v>
      </c>
      <c r="J216" s="111">
        <v>26340000</v>
      </c>
      <c r="K216" s="112">
        <v>45772</v>
      </c>
      <c r="L216" s="39"/>
      <c r="M216" s="39" t="s">
        <v>6451</v>
      </c>
      <c r="N216" s="39" t="s">
        <v>6450</v>
      </c>
      <c r="O216" s="116" t="s">
        <v>6449</v>
      </c>
    </row>
    <row r="217" spans="1:15" hidden="1" x14ac:dyDescent="0.25">
      <c r="A217" s="108"/>
      <c r="B217" s="39">
        <v>206</v>
      </c>
      <c r="C217" s="162" t="s">
        <v>6453</v>
      </c>
      <c r="D217" s="162"/>
      <c r="E217" s="162"/>
      <c r="F217" s="162"/>
      <c r="G217" s="162"/>
      <c r="H217" s="162"/>
      <c r="I217" s="39" t="s">
        <v>6454</v>
      </c>
      <c r="J217" s="111">
        <v>6280000</v>
      </c>
      <c r="K217" s="112">
        <v>45772</v>
      </c>
      <c r="L217" s="39"/>
      <c r="M217" s="39">
        <v>3146109521</v>
      </c>
      <c r="N217" s="39" t="s">
        <v>6454</v>
      </c>
      <c r="O217" s="116" t="s">
        <v>6455</v>
      </c>
    </row>
    <row r="218" spans="1:15" hidden="1" x14ac:dyDescent="0.25">
      <c r="A218" s="108"/>
      <c r="B218" s="39">
        <v>207</v>
      </c>
      <c r="C218" s="162" t="s">
        <v>6456</v>
      </c>
      <c r="D218" s="162"/>
      <c r="E218" s="162"/>
      <c r="F218" s="162"/>
      <c r="G218" s="162"/>
      <c r="H218" s="162"/>
      <c r="I218" s="39" t="s">
        <v>4597</v>
      </c>
      <c r="J218" s="111">
        <v>11920000</v>
      </c>
      <c r="K218" s="112">
        <v>45772</v>
      </c>
      <c r="L218" s="39"/>
      <c r="M218" s="39">
        <v>3135401714</v>
      </c>
      <c r="N218" s="39" t="s">
        <v>4294</v>
      </c>
      <c r="O218" s="116" t="s">
        <v>1662</v>
      </c>
    </row>
    <row r="219" spans="1:15" hidden="1" x14ac:dyDescent="0.25">
      <c r="A219" s="108"/>
      <c r="B219" s="39">
        <v>208</v>
      </c>
      <c r="C219" s="162" t="s">
        <v>6457</v>
      </c>
      <c r="D219" s="162"/>
      <c r="E219" s="162"/>
      <c r="F219" s="162"/>
      <c r="G219" s="162"/>
      <c r="H219" s="162"/>
      <c r="I219" s="39" t="s">
        <v>5372</v>
      </c>
      <c r="J219" s="1">
        <v>8500</v>
      </c>
      <c r="K219" s="112">
        <v>45771</v>
      </c>
      <c r="L219" s="2"/>
      <c r="M219" s="39">
        <v>3108227462</v>
      </c>
      <c r="N219" s="39" t="s">
        <v>1064</v>
      </c>
      <c r="O219" s="116" t="s">
        <v>2310</v>
      </c>
    </row>
    <row r="220" spans="1:15" hidden="1" x14ac:dyDescent="0.25">
      <c r="A220" s="108"/>
      <c r="B220" s="39">
        <v>209</v>
      </c>
      <c r="C220" s="162" t="s">
        <v>6458</v>
      </c>
      <c r="D220" s="162"/>
      <c r="E220" s="162"/>
      <c r="F220" s="162"/>
      <c r="G220" s="162"/>
      <c r="H220" s="162"/>
      <c r="I220" s="39" t="s">
        <v>4597</v>
      </c>
      <c r="J220" s="111">
        <v>7900000</v>
      </c>
      <c r="K220" s="112">
        <v>45772</v>
      </c>
      <c r="L220" s="39"/>
      <c r="M220" s="39" t="s">
        <v>5812</v>
      </c>
      <c r="N220" s="39" t="s">
        <v>4109</v>
      </c>
      <c r="O220" s="116" t="s">
        <v>5752</v>
      </c>
    </row>
    <row r="221" spans="1:15" hidden="1" x14ac:dyDescent="0.25">
      <c r="A221" s="108"/>
      <c r="B221" s="39">
        <v>210</v>
      </c>
      <c r="C221" s="162" t="s">
        <v>6459</v>
      </c>
      <c r="D221" s="162"/>
      <c r="E221" s="162"/>
      <c r="F221" s="162"/>
      <c r="G221" s="162"/>
      <c r="H221" s="162"/>
      <c r="I221" s="39" t="s">
        <v>5884</v>
      </c>
      <c r="J221" s="111">
        <v>3000000</v>
      </c>
      <c r="K221" s="112">
        <v>45772</v>
      </c>
      <c r="L221" s="39"/>
      <c r="M221" s="113">
        <v>3116456726</v>
      </c>
      <c r="N221" s="39" t="s">
        <v>5920</v>
      </c>
      <c r="O221" s="116" t="s">
        <v>5922</v>
      </c>
    </row>
    <row r="222" spans="1:15" hidden="1" x14ac:dyDescent="0.25">
      <c r="A222" s="108"/>
      <c r="B222" s="39">
        <v>211</v>
      </c>
      <c r="C222" s="162" t="s">
        <v>6460</v>
      </c>
      <c r="D222" s="162"/>
      <c r="E222" s="162"/>
      <c r="F222" s="162"/>
      <c r="G222" s="162"/>
      <c r="H222" s="162"/>
      <c r="I222" s="39" t="s">
        <v>6461</v>
      </c>
      <c r="J222" s="111">
        <v>26950000</v>
      </c>
      <c r="K222" s="112">
        <v>45772</v>
      </c>
      <c r="L222" s="39"/>
      <c r="M222" s="39">
        <v>3143624300</v>
      </c>
      <c r="N222" s="39" t="s">
        <v>6462</v>
      </c>
      <c r="O222" s="116" t="s">
        <v>5293</v>
      </c>
    </row>
    <row r="223" spans="1:15" hidden="1" x14ac:dyDescent="0.25">
      <c r="A223" s="108"/>
      <c r="B223" s="39">
        <v>212</v>
      </c>
      <c r="C223" s="162" t="s">
        <v>555</v>
      </c>
      <c r="D223" s="162"/>
      <c r="E223" s="162"/>
      <c r="F223" s="162"/>
      <c r="G223" s="162"/>
      <c r="H223" s="162"/>
      <c r="I223" s="39" t="s">
        <v>702</v>
      </c>
      <c r="J223" s="111">
        <v>25000000</v>
      </c>
      <c r="K223" s="112">
        <v>45775</v>
      </c>
      <c r="L223" s="39"/>
      <c r="M223" s="39">
        <v>3104165783</v>
      </c>
      <c r="N223" s="39" t="s">
        <v>4564</v>
      </c>
      <c r="O223" s="116" t="s">
        <v>4565</v>
      </c>
    </row>
    <row r="224" spans="1:15" hidden="1" x14ac:dyDescent="0.25">
      <c r="A224" s="108"/>
      <c r="B224" s="39">
        <v>213</v>
      </c>
      <c r="C224" s="162" t="s">
        <v>6463</v>
      </c>
      <c r="D224" s="162"/>
      <c r="E224" s="162"/>
      <c r="F224" s="162"/>
      <c r="G224" s="162"/>
      <c r="H224" s="162"/>
      <c r="I224" s="39" t="s">
        <v>6473</v>
      </c>
      <c r="J224" s="111">
        <v>6250000</v>
      </c>
      <c r="K224" s="112">
        <v>45775</v>
      </c>
      <c r="L224" s="39"/>
      <c r="M224" s="39">
        <v>3204377378</v>
      </c>
      <c r="N224" s="39" t="s">
        <v>6464</v>
      </c>
      <c r="O224" s="116" t="s">
        <v>3160</v>
      </c>
    </row>
    <row r="225" spans="1:15" hidden="1" x14ac:dyDescent="0.25">
      <c r="A225" s="108"/>
      <c r="B225" s="39">
        <v>214</v>
      </c>
      <c r="C225" s="162" t="s">
        <v>6465</v>
      </c>
      <c r="D225" s="162"/>
      <c r="E225" s="162"/>
      <c r="F225" s="162"/>
      <c r="G225" s="162"/>
      <c r="H225" s="162"/>
      <c r="I225" s="39" t="s">
        <v>6466</v>
      </c>
      <c r="J225" s="111">
        <v>29950000</v>
      </c>
      <c r="K225" s="112">
        <v>45782</v>
      </c>
      <c r="L225" s="39"/>
      <c r="M225" s="39">
        <v>3176477619</v>
      </c>
      <c r="N225" s="39" t="s">
        <v>6467</v>
      </c>
      <c r="O225" s="116" t="s">
        <v>6468</v>
      </c>
    </row>
    <row r="226" spans="1:15" hidden="1" x14ac:dyDescent="0.25">
      <c r="A226" s="108"/>
      <c r="B226" s="39">
        <v>215</v>
      </c>
      <c r="C226" s="162" t="s">
        <v>6470</v>
      </c>
      <c r="D226" s="162"/>
      <c r="E226" s="162"/>
      <c r="F226" s="162"/>
      <c r="G226" s="162"/>
      <c r="H226" s="162"/>
      <c r="I226" s="39" t="s">
        <v>6471</v>
      </c>
      <c r="J226" s="111">
        <v>19550000</v>
      </c>
      <c r="K226" s="112">
        <v>45775</v>
      </c>
      <c r="L226" s="39"/>
      <c r="M226" s="39">
        <v>3015601490</v>
      </c>
      <c r="N226" s="39" t="s">
        <v>6472</v>
      </c>
      <c r="O226" s="116"/>
    </row>
    <row r="227" spans="1:15" hidden="1" x14ac:dyDescent="0.25">
      <c r="A227" s="108"/>
      <c r="B227" s="39">
        <v>216</v>
      </c>
      <c r="C227" s="162" t="s">
        <v>6474</v>
      </c>
      <c r="D227" s="162"/>
      <c r="E227" s="162"/>
      <c r="F227" s="162"/>
      <c r="G227" s="162"/>
      <c r="H227" s="162"/>
      <c r="I227" s="39" t="s">
        <v>6485</v>
      </c>
      <c r="J227" s="111">
        <v>39540000</v>
      </c>
      <c r="K227" s="112">
        <v>45776</v>
      </c>
      <c r="L227" s="39"/>
      <c r="M227" s="39">
        <v>3105075856</v>
      </c>
      <c r="N227" s="39" t="s">
        <v>6475</v>
      </c>
      <c r="O227" s="116" t="s">
        <v>6476</v>
      </c>
    </row>
    <row r="228" spans="1:15" ht="15" hidden="1" customHeight="1" x14ac:dyDescent="0.25">
      <c r="A228" s="108"/>
      <c r="B228" s="39">
        <v>217</v>
      </c>
      <c r="C228" s="162" t="s">
        <v>6487</v>
      </c>
      <c r="D228" s="162"/>
      <c r="E228" s="162"/>
      <c r="F228" s="162"/>
      <c r="G228" s="162"/>
      <c r="H228" s="162"/>
      <c r="I228" s="39" t="s">
        <v>6479</v>
      </c>
      <c r="J228" s="111">
        <v>3760000</v>
      </c>
      <c r="K228" s="112">
        <v>45755</v>
      </c>
      <c r="L228" s="39"/>
      <c r="M228" s="39">
        <v>3013551452</v>
      </c>
      <c r="N228" s="39" t="s">
        <v>6477</v>
      </c>
      <c r="O228" s="116" t="s">
        <v>6478</v>
      </c>
    </row>
    <row r="229" spans="1:15" ht="15" hidden="1" customHeight="1" x14ac:dyDescent="0.25">
      <c r="A229" s="108"/>
      <c r="B229" s="39">
        <v>218</v>
      </c>
      <c r="C229" s="162" t="s">
        <v>4897</v>
      </c>
      <c r="D229" s="162"/>
      <c r="E229" s="162"/>
      <c r="F229" s="162"/>
      <c r="G229" s="162"/>
      <c r="H229" s="162"/>
      <c r="I229" s="39" t="s">
        <v>1875</v>
      </c>
      <c r="J229" s="111">
        <v>15950000</v>
      </c>
      <c r="K229" s="112">
        <v>45330</v>
      </c>
      <c r="L229" s="39"/>
      <c r="M229" s="39">
        <v>3113391008</v>
      </c>
      <c r="N229" s="39" t="s">
        <v>4896</v>
      </c>
      <c r="O229" s="116" t="s">
        <v>2561</v>
      </c>
    </row>
    <row r="230" spans="1:15" hidden="1" x14ac:dyDescent="0.25">
      <c r="A230" s="108"/>
      <c r="B230" s="39">
        <v>219</v>
      </c>
      <c r="C230" s="162" t="s">
        <v>6480</v>
      </c>
      <c r="D230" s="162"/>
      <c r="E230" s="162"/>
      <c r="F230" s="162"/>
      <c r="G230" s="162"/>
      <c r="H230" s="162"/>
      <c r="I230" s="39" t="s">
        <v>6386</v>
      </c>
      <c r="J230" s="111">
        <v>35950000</v>
      </c>
      <c r="K230" s="112">
        <v>45777</v>
      </c>
      <c r="L230" s="39"/>
      <c r="M230" s="39"/>
      <c r="N230" s="39" t="s">
        <v>6482</v>
      </c>
      <c r="O230" s="116" t="s">
        <v>6481</v>
      </c>
    </row>
    <row r="231" spans="1:15" hidden="1" x14ac:dyDescent="0.25">
      <c r="A231" s="108"/>
      <c r="B231" s="39">
        <v>220</v>
      </c>
      <c r="C231" s="162" t="s">
        <v>6483</v>
      </c>
      <c r="D231" s="162"/>
      <c r="E231" s="162"/>
      <c r="F231" s="162"/>
      <c r="G231" s="162"/>
      <c r="H231" s="162"/>
      <c r="I231" s="39" t="s">
        <v>3766</v>
      </c>
      <c r="J231" s="111">
        <v>32930000</v>
      </c>
      <c r="K231" s="112">
        <v>45749</v>
      </c>
      <c r="L231" s="39"/>
      <c r="M231" s="39">
        <v>3007549649</v>
      </c>
      <c r="N231" s="39" t="s">
        <v>3552</v>
      </c>
      <c r="O231" s="116" t="s">
        <v>3553</v>
      </c>
    </row>
    <row r="232" spans="1:15" hidden="1" x14ac:dyDescent="0.25">
      <c r="A232" s="108"/>
      <c r="B232" s="39">
        <v>221</v>
      </c>
      <c r="C232" s="162" t="s">
        <v>6486</v>
      </c>
      <c r="D232" s="162"/>
      <c r="E232" s="162"/>
      <c r="F232" s="162"/>
      <c r="G232" s="162"/>
      <c r="H232" s="162"/>
      <c r="I232" s="39" t="s">
        <v>1875</v>
      </c>
      <c r="J232" s="111">
        <v>20850000</v>
      </c>
      <c r="K232" s="112">
        <v>45777</v>
      </c>
      <c r="L232" s="39"/>
      <c r="M232" s="39">
        <v>3113391008</v>
      </c>
      <c r="N232" s="39" t="s">
        <v>372</v>
      </c>
      <c r="O232" s="116" t="s">
        <v>2561</v>
      </c>
    </row>
    <row r="233" spans="1:15" hidden="1" x14ac:dyDescent="0.25">
      <c r="A233" s="108"/>
      <c r="B233" s="39">
        <v>222</v>
      </c>
      <c r="C233" s="162" t="s">
        <v>2986</v>
      </c>
      <c r="D233" s="162"/>
      <c r="E233" s="162"/>
      <c r="F233" s="162"/>
      <c r="G233" s="162"/>
      <c r="H233" s="162"/>
      <c r="I233" s="39" t="s">
        <v>1875</v>
      </c>
      <c r="J233" s="111">
        <v>10950000</v>
      </c>
      <c r="K233" s="112">
        <v>45777</v>
      </c>
      <c r="L233" s="39"/>
      <c r="M233" s="39">
        <v>3113391008</v>
      </c>
      <c r="N233" s="39" t="s">
        <v>372</v>
      </c>
      <c r="O233" s="116" t="s">
        <v>2561</v>
      </c>
    </row>
    <row r="234" spans="1:15" hidden="1" x14ac:dyDescent="0.25">
      <c r="A234" s="108"/>
      <c r="B234" s="39">
        <v>223</v>
      </c>
      <c r="C234" s="162" t="s">
        <v>6484</v>
      </c>
      <c r="D234" s="162"/>
      <c r="E234" s="162"/>
      <c r="F234" s="162"/>
      <c r="G234" s="162"/>
      <c r="H234" s="162"/>
      <c r="I234" s="39" t="s">
        <v>6280</v>
      </c>
      <c r="J234" s="111">
        <v>58450000</v>
      </c>
      <c r="K234" s="112">
        <v>45752</v>
      </c>
      <c r="L234" s="39"/>
      <c r="M234" s="39" t="s">
        <v>1897</v>
      </c>
      <c r="N234" s="39" t="s">
        <v>2076</v>
      </c>
      <c r="O234" s="116" t="s">
        <v>1899</v>
      </c>
    </row>
    <row r="235" spans="1:15" hidden="1" x14ac:dyDescent="0.25">
      <c r="A235" s="108"/>
      <c r="B235" s="39">
        <v>224</v>
      </c>
      <c r="C235" s="162" t="s">
        <v>6488</v>
      </c>
      <c r="D235" s="162"/>
      <c r="E235" s="162"/>
      <c r="F235" s="162"/>
      <c r="G235" s="162"/>
      <c r="H235" s="162"/>
      <c r="I235" s="39" t="s">
        <v>6489</v>
      </c>
      <c r="J235" s="111">
        <v>15000</v>
      </c>
      <c r="K235" s="112">
        <v>45779</v>
      </c>
      <c r="L235" s="39"/>
      <c r="M235" s="32">
        <v>5977482657</v>
      </c>
      <c r="N235" s="103" t="s">
        <v>5671</v>
      </c>
      <c r="O235" s="116" t="s">
        <v>5673</v>
      </c>
    </row>
    <row r="236" spans="1:15" hidden="1" x14ac:dyDescent="0.25">
      <c r="A236" s="108"/>
      <c r="B236" s="39">
        <v>225</v>
      </c>
      <c r="C236" s="162" t="s">
        <v>6490</v>
      </c>
      <c r="D236" s="162"/>
      <c r="E236" s="162"/>
      <c r="F236" s="162"/>
      <c r="G236" s="162"/>
      <c r="H236" s="162"/>
      <c r="I236" s="39" t="s">
        <v>6069</v>
      </c>
      <c r="J236" s="111">
        <v>5750000</v>
      </c>
      <c r="K236" s="112">
        <v>45782</v>
      </c>
      <c r="L236" s="39"/>
      <c r="M236" s="39">
        <v>3155852559</v>
      </c>
      <c r="N236" s="39" t="s">
        <v>6491</v>
      </c>
      <c r="O236" s="38" t="s">
        <v>1611</v>
      </c>
    </row>
    <row r="237" spans="1:15" ht="15" hidden="1" customHeight="1" x14ac:dyDescent="0.25">
      <c r="A237" s="108"/>
      <c r="B237" s="39">
        <v>226</v>
      </c>
      <c r="C237" s="162" t="s">
        <v>6492</v>
      </c>
      <c r="D237" s="162"/>
      <c r="E237" s="162"/>
      <c r="F237" s="162"/>
      <c r="G237" s="162"/>
      <c r="H237" s="162"/>
      <c r="I237" s="39" t="s">
        <v>6494</v>
      </c>
      <c r="J237" s="111">
        <v>9920000</v>
      </c>
      <c r="K237" s="112">
        <v>45789</v>
      </c>
      <c r="L237" s="39"/>
      <c r="M237" s="39">
        <v>3145593468</v>
      </c>
      <c r="N237" s="39" t="s">
        <v>6495</v>
      </c>
      <c r="O237" s="38" t="s">
        <v>6493</v>
      </c>
    </row>
    <row r="238" spans="1:15" ht="15" hidden="1" customHeight="1" x14ac:dyDescent="0.25">
      <c r="A238" s="108"/>
      <c r="B238" s="39">
        <v>227</v>
      </c>
      <c r="C238" s="162" t="s">
        <v>6496</v>
      </c>
      <c r="D238" s="162"/>
      <c r="E238" s="162"/>
      <c r="F238" s="162"/>
      <c r="G238" s="162"/>
      <c r="H238" s="162"/>
      <c r="I238" s="39" t="s">
        <v>702</v>
      </c>
      <c r="J238" s="111">
        <v>3000000</v>
      </c>
      <c r="K238" s="112">
        <v>45785</v>
      </c>
      <c r="L238" s="39"/>
      <c r="M238" s="39">
        <v>3104165783</v>
      </c>
      <c r="N238" s="39" t="s">
        <v>4564</v>
      </c>
      <c r="O238" s="116" t="s">
        <v>4565</v>
      </c>
    </row>
    <row r="239" spans="1:15" hidden="1" x14ac:dyDescent="0.25">
      <c r="A239" s="108"/>
      <c r="B239" s="39">
        <v>228</v>
      </c>
      <c r="C239" s="162" t="s">
        <v>6497</v>
      </c>
      <c r="D239" s="162"/>
      <c r="E239" s="162"/>
      <c r="F239" s="162"/>
      <c r="G239" s="162"/>
      <c r="H239" s="162"/>
      <c r="I239" s="39" t="s">
        <v>6498</v>
      </c>
      <c r="J239" s="111">
        <v>5980000</v>
      </c>
      <c r="K239" s="112">
        <v>45785</v>
      </c>
      <c r="L239" s="39"/>
      <c r="M239" s="39">
        <v>3104429785</v>
      </c>
      <c r="N239" s="39" t="s">
        <v>6499</v>
      </c>
      <c r="O239" s="116"/>
    </row>
    <row r="240" spans="1:15" hidden="1" x14ac:dyDescent="0.25">
      <c r="A240" s="108"/>
      <c r="B240" s="39">
        <v>229</v>
      </c>
      <c r="C240" s="162" t="s">
        <v>6502</v>
      </c>
      <c r="D240" s="162"/>
      <c r="E240" s="162"/>
      <c r="F240" s="162"/>
      <c r="G240" s="162"/>
      <c r="H240" s="162"/>
      <c r="I240" s="39" t="s">
        <v>6503</v>
      </c>
      <c r="J240" s="111">
        <v>350000</v>
      </c>
      <c r="K240" s="112">
        <v>45783</v>
      </c>
      <c r="L240" s="39"/>
      <c r="M240" s="39">
        <v>3206720793</v>
      </c>
      <c r="N240" s="51" t="s">
        <v>2508</v>
      </c>
      <c r="O240" s="38" t="s">
        <v>2509</v>
      </c>
    </row>
    <row r="241" spans="1:15" hidden="1" x14ac:dyDescent="0.25">
      <c r="A241" s="108"/>
      <c r="B241" s="39">
        <v>230</v>
      </c>
      <c r="C241" s="162" t="s">
        <v>6504</v>
      </c>
      <c r="D241" s="162"/>
      <c r="E241" s="162"/>
      <c r="F241" s="162"/>
      <c r="G241" s="162"/>
      <c r="H241" s="162"/>
      <c r="I241" s="39" t="s">
        <v>702</v>
      </c>
      <c r="J241" s="111">
        <v>750000</v>
      </c>
      <c r="K241" s="112">
        <v>45785</v>
      </c>
      <c r="L241" s="39"/>
      <c r="M241" s="39">
        <v>3104165783</v>
      </c>
      <c r="N241" s="39" t="s">
        <v>4564</v>
      </c>
      <c r="O241" s="116" t="s">
        <v>4565</v>
      </c>
    </row>
    <row r="242" spans="1:15" hidden="1" x14ac:dyDescent="0.25">
      <c r="A242" s="108"/>
      <c r="B242" s="39">
        <v>231</v>
      </c>
      <c r="C242" s="162" t="s">
        <v>6505</v>
      </c>
      <c r="D242" s="162"/>
      <c r="E242" s="162"/>
      <c r="F242" s="162"/>
      <c r="G242" s="162"/>
      <c r="H242" s="162"/>
      <c r="I242" s="39" t="s">
        <v>4597</v>
      </c>
      <c r="J242" s="111">
        <v>3950000</v>
      </c>
      <c r="K242" s="112">
        <v>45785</v>
      </c>
      <c r="L242" s="39"/>
      <c r="M242" s="39" t="s">
        <v>5812</v>
      </c>
      <c r="N242" s="39" t="s">
        <v>4109</v>
      </c>
      <c r="O242" s="116" t="s">
        <v>5752</v>
      </c>
    </row>
    <row r="243" spans="1:15" hidden="1" x14ac:dyDescent="0.25">
      <c r="A243" s="108"/>
      <c r="B243" s="39">
        <v>232</v>
      </c>
      <c r="C243" s="162" t="s">
        <v>6506</v>
      </c>
      <c r="D243" s="162"/>
      <c r="E243" s="162"/>
      <c r="F243" s="162"/>
      <c r="G243" s="162"/>
      <c r="H243" s="162"/>
      <c r="I243" s="39" t="s">
        <v>4597</v>
      </c>
      <c r="J243" s="111">
        <v>16930000</v>
      </c>
      <c r="K243" s="112">
        <v>45785</v>
      </c>
      <c r="L243" s="39"/>
      <c r="M243" s="39">
        <v>3135401714</v>
      </c>
      <c r="N243" s="39" t="s">
        <v>4294</v>
      </c>
      <c r="O243" s="116" t="s">
        <v>1662</v>
      </c>
    </row>
    <row r="244" spans="1:15" hidden="1" x14ac:dyDescent="0.25">
      <c r="A244" s="108"/>
      <c r="B244" s="129">
        <v>233</v>
      </c>
      <c r="C244" s="290" t="s">
        <v>6587</v>
      </c>
      <c r="D244" s="290"/>
      <c r="E244" s="290"/>
      <c r="F244" s="290"/>
      <c r="G244" s="290"/>
      <c r="H244" s="290"/>
      <c r="I244" s="129"/>
      <c r="J244" s="130"/>
      <c r="K244" s="131"/>
      <c r="L244" s="129"/>
      <c r="M244" s="129"/>
      <c r="N244" s="129"/>
      <c r="O244" s="132"/>
    </row>
    <row r="245" spans="1:15" ht="15" hidden="1" customHeight="1" x14ac:dyDescent="0.25">
      <c r="A245" s="108"/>
      <c r="B245" s="39">
        <v>234</v>
      </c>
      <c r="C245" s="162" t="s">
        <v>6507</v>
      </c>
      <c r="D245" s="162"/>
      <c r="E245" s="162"/>
      <c r="F245" s="162"/>
      <c r="G245" s="162"/>
      <c r="H245" s="162"/>
      <c r="I245" s="39" t="s">
        <v>6508</v>
      </c>
      <c r="J245" s="111">
        <v>13250000</v>
      </c>
      <c r="K245" s="112">
        <v>45786</v>
      </c>
      <c r="L245" s="39"/>
      <c r="M245" s="39" t="s">
        <v>4459</v>
      </c>
      <c r="N245" s="39" t="s">
        <v>6510</v>
      </c>
      <c r="O245" s="116" t="s">
        <v>6509</v>
      </c>
    </row>
    <row r="246" spans="1:15" hidden="1" x14ac:dyDescent="0.25">
      <c r="A246" s="108"/>
      <c r="B246" s="39">
        <v>235</v>
      </c>
      <c r="C246" s="162" t="s">
        <v>6511</v>
      </c>
      <c r="D246" s="162"/>
      <c r="E246" s="162"/>
      <c r="F246" s="162"/>
      <c r="G246" s="162"/>
      <c r="H246" s="162"/>
      <c r="I246" s="39" t="s">
        <v>6512</v>
      </c>
      <c r="J246" s="111">
        <v>38830000</v>
      </c>
      <c r="K246" s="112">
        <v>45791</v>
      </c>
      <c r="L246" s="39"/>
      <c r="M246" s="39">
        <v>3174278745</v>
      </c>
      <c r="N246" s="39" t="s">
        <v>6513</v>
      </c>
      <c r="O246" s="116" t="s">
        <v>6514</v>
      </c>
    </row>
    <row r="247" spans="1:15" hidden="1" x14ac:dyDescent="0.25">
      <c r="A247" s="108"/>
      <c r="B247" s="39">
        <v>236</v>
      </c>
      <c r="C247" s="162" t="s">
        <v>6515</v>
      </c>
      <c r="D247" s="162"/>
      <c r="E247" s="162"/>
      <c r="F247" s="162"/>
      <c r="G247" s="162"/>
      <c r="H247" s="162"/>
      <c r="I247" s="39" t="s">
        <v>6413</v>
      </c>
      <c r="J247" s="111">
        <v>25000000</v>
      </c>
      <c r="K247" s="112">
        <v>45791</v>
      </c>
      <c r="L247" s="39"/>
      <c r="M247" s="39" t="s">
        <v>3864</v>
      </c>
      <c r="N247" s="39" t="s">
        <v>6516</v>
      </c>
      <c r="O247" s="116" t="s">
        <v>6517</v>
      </c>
    </row>
    <row r="248" spans="1:15" ht="15" hidden="1" customHeight="1" x14ac:dyDescent="0.25">
      <c r="A248" s="108"/>
      <c r="B248" s="39">
        <v>237</v>
      </c>
      <c r="C248" s="162" t="s">
        <v>6518</v>
      </c>
      <c r="D248" s="162"/>
      <c r="E248" s="162"/>
      <c r="F248" s="162"/>
      <c r="G248" s="162"/>
      <c r="H248" s="162"/>
      <c r="I248" s="39" t="s">
        <v>5189</v>
      </c>
      <c r="J248" s="111">
        <v>26350000</v>
      </c>
      <c r="K248" s="112">
        <v>45789</v>
      </c>
      <c r="L248" s="39"/>
      <c r="M248" s="39">
        <v>3105175495</v>
      </c>
      <c r="N248" s="39" t="s">
        <v>6519</v>
      </c>
      <c r="O248" s="116" t="s">
        <v>6520</v>
      </c>
    </row>
    <row r="249" spans="1:15" hidden="1" x14ac:dyDescent="0.25">
      <c r="A249" s="108"/>
      <c r="B249" s="39">
        <v>238</v>
      </c>
      <c r="C249" s="162" t="s">
        <v>6521</v>
      </c>
      <c r="D249" s="162"/>
      <c r="E249" s="162"/>
      <c r="F249" s="162"/>
      <c r="G249" s="162"/>
      <c r="H249" s="162"/>
      <c r="I249" s="39" t="s">
        <v>6522</v>
      </c>
      <c r="J249" s="111">
        <v>3700000</v>
      </c>
      <c r="K249" s="112">
        <v>45790</v>
      </c>
      <c r="L249" s="39"/>
      <c r="M249" s="39">
        <v>3228898376</v>
      </c>
      <c r="N249" s="39" t="s">
        <v>6523</v>
      </c>
      <c r="O249" s="116"/>
    </row>
    <row r="250" spans="1:15" hidden="1" x14ac:dyDescent="0.25">
      <c r="A250" s="108"/>
      <c r="B250" s="39">
        <v>239</v>
      </c>
      <c r="C250" s="162" t="s">
        <v>6524</v>
      </c>
      <c r="D250" s="162"/>
      <c r="E250" s="162"/>
      <c r="F250" s="162"/>
      <c r="G250" s="162"/>
      <c r="H250" s="162"/>
      <c r="I250" s="39" t="s">
        <v>6525</v>
      </c>
      <c r="J250" s="111">
        <v>29940000</v>
      </c>
      <c r="K250" s="112">
        <v>45791</v>
      </c>
      <c r="L250" s="39"/>
      <c r="M250" s="39">
        <v>3183832571</v>
      </c>
      <c r="N250" s="39" t="s">
        <v>6527</v>
      </c>
      <c r="O250" s="38" t="s">
        <v>6526</v>
      </c>
    </row>
    <row r="251" spans="1:15" hidden="1" x14ac:dyDescent="0.25">
      <c r="A251" s="108"/>
      <c r="B251" s="39">
        <v>240</v>
      </c>
      <c r="C251" s="162" t="s">
        <v>6528</v>
      </c>
      <c r="D251" s="162"/>
      <c r="E251" s="162"/>
      <c r="F251" s="162"/>
      <c r="G251" s="162"/>
      <c r="H251" s="162"/>
      <c r="I251" s="39" t="s">
        <v>4436</v>
      </c>
      <c r="J251" s="111">
        <v>29950000</v>
      </c>
      <c r="K251" s="112">
        <v>45791</v>
      </c>
      <c r="L251" s="39"/>
      <c r="M251" s="39">
        <v>3104570506</v>
      </c>
      <c r="N251" s="39" t="s">
        <v>6529</v>
      </c>
      <c r="O251" s="38" t="s">
        <v>6530</v>
      </c>
    </row>
    <row r="252" spans="1:15" hidden="1" x14ac:dyDescent="0.25">
      <c r="A252" s="108"/>
      <c r="B252" s="39">
        <v>241</v>
      </c>
      <c r="C252" s="162" t="s">
        <v>6531</v>
      </c>
      <c r="D252" s="162"/>
      <c r="E252" s="162"/>
      <c r="F252" s="162"/>
      <c r="G252" s="162"/>
      <c r="H252" s="162"/>
      <c r="I252" s="39" t="s">
        <v>1875</v>
      </c>
      <c r="J252" s="111">
        <v>1500000</v>
      </c>
      <c r="K252" s="112">
        <v>45791</v>
      </c>
      <c r="L252" s="39"/>
      <c r="M252" s="39">
        <v>3116460496</v>
      </c>
      <c r="N252" s="39" t="s">
        <v>5213</v>
      </c>
      <c r="O252" s="116" t="s">
        <v>1876</v>
      </c>
    </row>
    <row r="253" spans="1:15" hidden="1" x14ac:dyDescent="0.25">
      <c r="A253" s="108"/>
      <c r="B253" s="39">
        <v>242</v>
      </c>
      <c r="C253" s="162" t="s">
        <v>6532</v>
      </c>
      <c r="D253" s="162"/>
      <c r="E253" s="162"/>
      <c r="F253" s="162"/>
      <c r="G253" s="162"/>
      <c r="H253" s="162"/>
      <c r="I253" s="39" t="s">
        <v>6533</v>
      </c>
      <c r="J253" s="111">
        <v>2950000</v>
      </c>
      <c r="K253" s="112">
        <v>45793</v>
      </c>
      <c r="L253" s="39"/>
      <c r="M253" s="39">
        <v>3155721928</v>
      </c>
      <c r="N253" s="39" t="s">
        <v>6534</v>
      </c>
      <c r="O253" s="116"/>
    </row>
    <row r="254" spans="1:15" hidden="1" x14ac:dyDescent="0.25">
      <c r="A254" s="108"/>
      <c r="B254" s="39">
        <v>243</v>
      </c>
      <c r="C254" s="162" t="s">
        <v>6535</v>
      </c>
      <c r="D254" s="162"/>
      <c r="E254" s="162"/>
      <c r="F254" s="162"/>
      <c r="G254" s="162"/>
      <c r="H254" s="162"/>
      <c r="I254" s="39" t="s">
        <v>6537</v>
      </c>
      <c r="J254" s="111">
        <v>13950000</v>
      </c>
      <c r="K254" s="112">
        <v>45792</v>
      </c>
      <c r="L254" s="39"/>
      <c r="M254" s="39">
        <v>3157835484</v>
      </c>
      <c r="N254" s="39" t="s">
        <v>6536</v>
      </c>
      <c r="O254" s="116"/>
    </row>
    <row r="255" spans="1:15" hidden="1" x14ac:dyDescent="0.25">
      <c r="A255" s="108"/>
      <c r="B255" s="39">
        <v>244</v>
      </c>
      <c r="C255" s="162" t="s">
        <v>6538</v>
      </c>
      <c r="D255" s="162"/>
      <c r="E255" s="162"/>
      <c r="F255" s="162"/>
      <c r="G255" s="162"/>
      <c r="H255" s="162"/>
      <c r="I255" s="39" t="s">
        <v>4120</v>
      </c>
      <c r="J255" s="111">
        <v>13250000</v>
      </c>
      <c r="K255" s="112">
        <v>45793</v>
      </c>
      <c r="L255" s="39"/>
      <c r="M255" s="32" t="s">
        <v>4124</v>
      </c>
      <c r="N255" s="32" t="s">
        <v>4122</v>
      </c>
      <c r="O255" s="52" t="s">
        <v>4123</v>
      </c>
    </row>
    <row r="256" spans="1:15" hidden="1" x14ac:dyDescent="0.25">
      <c r="A256" s="108"/>
      <c r="B256" s="39">
        <v>245</v>
      </c>
      <c r="C256" s="162" t="s">
        <v>6539</v>
      </c>
      <c r="D256" s="162"/>
      <c r="E256" s="162"/>
      <c r="F256" s="162"/>
      <c r="G256" s="162"/>
      <c r="H256" s="162"/>
      <c r="I256" s="39" t="s">
        <v>2838</v>
      </c>
      <c r="J256" s="111">
        <v>29980000</v>
      </c>
      <c r="K256" s="112">
        <v>45800</v>
      </c>
      <c r="L256" s="39"/>
      <c r="M256" s="39">
        <v>3052501777</v>
      </c>
      <c r="N256" s="39" t="s">
        <v>6540</v>
      </c>
      <c r="O256" s="38" t="s">
        <v>5258</v>
      </c>
    </row>
    <row r="257" spans="1:16" hidden="1" x14ac:dyDescent="0.25">
      <c r="A257" s="108"/>
      <c r="B257" s="39">
        <v>246</v>
      </c>
      <c r="C257" s="162" t="s">
        <v>6541</v>
      </c>
      <c r="D257" s="162"/>
      <c r="E257" s="162"/>
      <c r="F257" s="162"/>
      <c r="G257" s="162"/>
      <c r="H257" s="162"/>
      <c r="I257" s="39" t="s">
        <v>5372</v>
      </c>
      <c r="J257" s="111">
        <v>11250000</v>
      </c>
      <c r="K257" s="112">
        <v>45797</v>
      </c>
      <c r="L257" s="39"/>
      <c r="M257" s="39">
        <v>3108227462</v>
      </c>
      <c r="N257" s="39" t="s">
        <v>1064</v>
      </c>
      <c r="O257" s="116" t="s">
        <v>2310</v>
      </c>
    </row>
    <row r="258" spans="1:16" hidden="1" x14ac:dyDescent="0.25">
      <c r="A258" s="108"/>
      <c r="B258" s="39">
        <v>247</v>
      </c>
      <c r="C258" s="162" t="s">
        <v>6542</v>
      </c>
      <c r="D258" s="162"/>
      <c r="E258" s="162"/>
      <c r="F258" s="162"/>
      <c r="G258" s="162"/>
      <c r="H258" s="162"/>
      <c r="I258" s="39" t="s">
        <v>2445</v>
      </c>
      <c r="J258" s="111">
        <v>39500000</v>
      </c>
      <c r="K258" s="112">
        <v>45797</v>
      </c>
      <c r="L258" s="39"/>
      <c r="M258" s="39"/>
      <c r="N258" s="39" t="s">
        <v>6543</v>
      </c>
      <c r="O258" s="116"/>
    </row>
    <row r="259" spans="1:16" hidden="1" x14ac:dyDescent="0.25">
      <c r="A259" s="108"/>
      <c r="B259" s="39">
        <v>248</v>
      </c>
      <c r="C259" s="162" t="s">
        <v>6544</v>
      </c>
      <c r="D259" s="162"/>
      <c r="E259" s="162"/>
      <c r="F259" s="162"/>
      <c r="G259" s="162"/>
      <c r="H259" s="162"/>
      <c r="I259" s="39" t="s">
        <v>6545</v>
      </c>
      <c r="J259" s="111" t="s">
        <v>150</v>
      </c>
      <c r="K259" s="112">
        <v>45797</v>
      </c>
      <c r="L259" s="39"/>
      <c r="M259" s="39"/>
      <c r="N259" s="39" t="s">
        <v>6546</v>
      </c>
      <c r="O259" s="116"/>
    </row>
    <row r="260" spans="1:16" hidden="1" x14ac:dyDescent="0.25">
      <c r="A260" s="108"/>
      <c r="B260" s="39">
        <v>249</v>
      </c>
      <c r="C260" s="162" t="s">
        <v>6547</v>
      </c>
      <c r="D260" s="162"/>
      <c r="E260" s="162"/>
      <c r="F260" s="162"/>
      <c r="G260" s="162"/>
      <c r="H260" s="162"/>
      <c r="I260" s="39" t="s">
        <v>6548</v>
      </c>
      <c r="J260" s="111">
        <v>5650000</v>
      </c>
      <c r="K260" s="112">
        <v>45798</v>
      </c>
      <c r="L260" s="39"/>
      <c r="M260" s="39">
        <v>3185743659</v>
      </c>
      <c r="N260" s="39" t="s">
        <v>6549</v>
      </c>
      <c r="O260" s="38" t="s">
        <v>6550</v>
      </c>
    </row>
    <row r="261" spans="1:16" hidden="1" x14ac:dyDescent="0.25">
      <c r="A261" s="108"/>
      <c r="B261" s="39">
        <v>250</v>
      </c>
      <c r="C261" s="162" t="s">
        <v>6551</v>
      </c>
      <c r="D261" s="162"/>
      <c r="E261" s="162"/>
      <c r="F261" s="162"/>
      <c r="G261" s="162"/>
      <c r="H261" s="162"/>
      <c r="I261" s="39" t="s">
        <v>702</v>
      </c>
      <c r="J261" s="111">
        <v>1600000</v>
      </c>
      <c r="K261" s="112">
        <v>45798</v>
      </c>
      <c r="L261" s="39"/>
      <c r="M261" s="39">
        <v>3104165783</v>
      </c>
      <c r="N261" s="39" t="s">
        <v>4564</v>
      </c>
      <c r="O261" s="116" t="s">
        <v>4565</v>
      </c>
    </row>
    <row r="262" spans="1:16" hidden="1" x14ac:dyDescent="0.25">
      <c r="A262" s="108"/>
      <c r="B262" s="39">
        <v>251</v>
      </c>
      <c r="C262" s="162" t="s">
        <v>6535</v>
      </c>
      <c r="D262" s="162"/>
      <c r="E262" s="162"/>
      <c r="F262" s="162"/>
      <c r="G262" s="162"/>
      <c r="H262" s="162"/>
      <c r="I262" s="39" t="s">
        <v>4939</v>
      </c>
      <c r="J262" s="111">
        <v>12555000</v>
      </c>
      <c r="K262" s="112">
        <v>45798</v>
      </c>
      <c r="L262" s="39"/>
      <c r="M262" s="39">
        <v>3206678830</v>
      </c>
      <c r="N262" s="39" t="s">
        <v>5927</v>
      </c>
      <c r="O262" s="116" t="s">
        <v>948</v>
      </c>
    </row>
    <row r="263" spans="1:16" hidden="1" x14ac:dyDescent="0.25">
      <c r="A263" s="108"/>
      <c r="B263" s="39">
        <v>252</v>
      </c>
      <c r="C263" s="162" t="s">
        <v>6552</v>
      </c>
      <c r="D263" s="162"/>
      <c r="E263" s="162"/>
      <c r="F263" s="162"/>
      <c r="G263" s="162"/>
      <c r="H263" s="162"/>
      <c r="I263" s="39" t="s">
        <v>4597</v>
      </c>
      <c r="J263" s="111" t="s">
        <v>150</v>
      </c>
      <c r="K263" s="112">
        <v>45798</v>
      </c>
      <c r="L263" s="39"/>
      <c r="M263" s="39">
        <v>3135401714</v>
      </c>
      <c r="N263" s="39" t="s">
        <v>4294</v>
      </c>
      <c r="O263" s="116" t="s">
        <v>1662</v>
      </c>
    </row>
    <row r="264" spans="1:16" hidden="1" x14ac:dyDescent="0.25">
      <c r="A264" s="108"/>
      <c r="B264" s="39">
        <v>253</v>
      </c>
      <c r="C264" s="162" t="s">
        <v>6553</v>
      </c>
      <c r="D264" s="162"/>
      <c r="E264" s="162"/>
      <c r="F264" s="162"/>
      <c r="G264" s="162"/>
      <c r="H264" s="162"/>
      <c r="I264" s="39" t="s">
        <v>3863</v>
      </c>
      <c r="J264" s="111">
        <v>72810000</v>
      </c>
      <c r="K264" s="112">
        <v>45799</v>
      </c>
      <c r="L264" s="39"/>
      <c r="M264" s="32" t="s">
        <v>3864</v>
      </c>
      <c r="N264" s="32" t="s">
        <v>3862</v>
      </c>
      <c r="O264" s="52" t="s">
        <v>3861</v>
      </c>
    </row>
    <row r="265" spans="1:16" ht="15" hidden="1" customHeight="1" x14ac:dyDescent="0.25">
      <c r="A265" s="108"/>
      <c r="B265" s="39">
        <v>254</v>
      </c>
      <c r="C265" s="162" t="s">
        <v>5047</v>
      </c>
      <c r="D265" s="162"/>
      <c r="E265" s="162"/>
      <c r="F265" s="162"/>
      <c r="G265" s="162"/>
      <c r="H265" s="162"/>
      <c r="I265" s="39" t="s">
        <v>1139</v>
      </c>
      <c r="J265" s="46">
        <v>1500000</v>
      </c>
      <c r="K265" s="112">
        <v>45799</v>
      </c>
      <c r="L265" s="2"/>
      <c r="M265" s="32">
        <v>3003404902</v>
      </c>
      <c r="N265" s="102" t="s">
        <v>2049</v>
      </c>
      <c r="O265" s="52" t="s">
        <v>5046</v>
      </c>
      <c r="P265" s="52"/>
    </row>
    <row r="266" spans="1:16" hidden="1" x14ac:dyDescent="0.25">
      <c r="A266" s="108"/>
      <c r="B266" s="39">
        <v>255</v>
      </c>
      <c r="C266" s="162" t="s">
        <v>6554</v>
      </c>
      <c r="D266" s="162"/>
      <c r="E266" s="162"/>
      <c r="F266" s="162"/>
      <c r="G266" s="162"/>
      <c r="H266" s="162"/>
      <c r="I266" s="39" t="s">
        <v>6555</v>
      </c>
      <c r="J266" s="111">
        <v>39350000</v>
      </c>
      <c r="K266" s="112">
        <v>45799</v>
      </c>
      <c r="L266" s="39"/>
      <c r="M266" s="39">
        <v>3013972964</v>
      </c>
      <c r="N266" s="39" t="s">
        <v>6557</v>
      </c>
      <c r="O266" s="38" t="s">
        <v>6556</v>
      </c>
    </row>
    <row r="267" spans="1:16" ht="15" hidden="1" customHeight="1" x14ac:dyDescent="0.25">
      <c r="A267" s="108"/>
      <c r="B267" s="39">
        <v>256</v>
      </c>
      <c r="C267" s="162" t="s">
        <v>6558</v>
      </c>
      <c r="D267" s="162"/>
      <c r="E267" s="162"/>
      <c r="F267" s="162"/>
      <c r="G267" s="162"/>
      <c r="H267" s="162"/>
      <c r="I267" s="39" t="s">
        <v>3871</v>
      </c>
      <c r="J267" s="111">
        <v>2950000</v>
      </c>
      <c r="K267" s="112">
        <v>45800</v>
      </c>
      <c r="L267" s="39"/>
      <c r="M267" s="39"/>
      <c r="N267" s="39" t="s">
        <v>6559</v>
      </c>
      <c r="O267" s="38" t="s">
        <v>6560</v>
      </c>
    </row>
    <row r="268" spans="1:16" hidden="1" x14ac:dyDescent="0.25">
      <c r="A268" s="108"/>
      <c r="B268" s="39">
        <v>257</v>
      </c>
      <c r="C268" s="162" t="s">
        <v>6561</v>
      </c>
      <c r="D268" s="162"/>
      <c r="E268" s="162"/>
      <c r="F268" s="162"/>
      <c r="G268" s="162"/>
      <c r="H268" s="162"/>
      <c r="I268" s="39" t="s">
        <v>6069</v>
      </c>
      <c r="J268" s="111">
        <v>1800000</v>
      </c>
      <c r="K268" s="112">
        <v>45803</v>
      </c>
      <c r="L268" s="39"/>
      <c r="M268" s="39"/>
      <c r="N268" s="39" t="s">
        <v>6562</v>
      </c>
      <c r="O268" s="38" t="s">
        <v>6563</v>
      </c>
    </row>
    <row r="269" spans="1:16" hidden="1" x14ac:dyDescent="0.25">
      <c r="A269" s="108"/>
      <c r="B269" s="39">
        <v>258</v>
      </c>
      <c r="C269" s="162" t="s">
        <v>6564</v>
      </c>
      <c r="D269" s="162"/>
      <c r="E269" s="162"/>
      <c r="F269" s="162"/>
      <c r="G269" s="162"/>
      <c r="H269" s="162"/>
      <c r="I269" s="39" t="s">
        <v>6565</v>
      </c>
      <c r="J269" s="111">
        <v>16300000</v>
      </c>
      <c r="K269" s="112">
        <v>45803</v>
      </c>
      <c r="L269" s="39"/>
      <c r="M269" s="39">
        <v>3213811009</v>
      </c>
      <c r="N269" s="39" t="s">
        <v>6566</v>
      </c>
      <c r="O269" s="116"/>
    </row>
    <row r="270" spans="1:16" hidden="1" x14ac:dyDescent="0.25">
      <c r="A270" s="108"/>
      <c r="B270" s="39">
        <v>259</v>
      </c>
      <c r="C270" s="162" t="s">
        <v>6573</v>
      </c>
      <c r="D270" s="162"/>
      <c r="E270" s="162"/>
      <c r="F270" s="162"/>
      <c r="G270" s="162"/>
      <c r="H270" s="162"/>
      <c r="I270" s="128" t="s">
        <v>1439</v>
      </c>
      <c r="J270" s="133">
        <v>14950000</v>
      </c>
      <c r="K270" s="112">
        <v>45803</v>
      </c>
      <c r="N270" s="128" t="s">
        <v>6572</v>
      </c>
    </row>
    <row r="271" spans="1:16" hidden="1" x14ac:dyDescent="0.25">
      <c r="A271" s="108"/>
      <c r="B271" s="39">
        <v>260</v>
      </c>
      <c r="C271" s="162" t="s">
        <v>6567</v>
      </c>
      <c r="D271" s="162"/>
      <c r="E271" s="162"/>
      <c r="F271" s="162"/>
      <c r="G271" s="162"/>
      <c r="H271" s="162"/>
      <c r="I271" s="39" t="s">
        <v>6568</v>
      </c>
      <c r="J271" s="111">
        <f>12540000+6270000</f>
        <v>18810000</v>
      </c>
      <c r="K271" s="112">
        <v>45803</v>
      </c>
      <c r="L271" s="39"/>
      <c r="M271" s="39" t="s">
        <v>6569</v>
      </c>
      <c r="N271" s="39" t="s">
        <v>6570</v>
      </c>
      <c r="O271" s="38" t="s">
        <v>6571</v>
      </c>
    </row>
    <row r="272" spans="1:16" hidden="1" x14ac:dyDescent="0.25">
      <c r="A272" s="108"/>
      <c r="B272" s="39">
        <v>261</v>
      </c>
      <c r="C272" s="162" t="s">
        <v>6574</v>
      </c>
      <c r="D272" s="162"/>
      <c r="E272" s="162"/>
      <c r="F272" s="162"/>
      <c r="G272" s="162"/>
      <c r="H272" s="162"/>
      <c r="I272" s="39" t="s">
        <v>702</v>
      </c>
      <c r="J272" s="111">
        <v>2250000</v>
      </c>
      <c r="K272" s="112">
        <v>45803</v>
      </c>
      <c r="L272" s="39"/>
      <c r="M272" s="39">
        <v>3104165783</v>
      </c>
      <c r="N272" s="39" t="s">
        <v>4564</v>
      </c>
      <c r="O272" s="116" t="s">
        <v>4565</v>
      </c>
    </row>
    <row r="273" spans="1:16" hidden="1" x14ac:dyDescent="0.25">
      <c r="A273" s="108"/>
      <c r="B273" s="39">
        <v>262</v>
      </c>
      <c r="C273" s="162" t="s">
        <v>6576</v>
      </c>
      <c r="D273" s="162"/>
      <c r="E273" s="162"/>
      <c r="F273" s="162"/>
      <c r="G273" s="162"/>
      <c r="H273" s="162"/>
      <c r="I273" s="39" t="s">
        <v>6575</v>
      </c>
      <c r="J273" s="111">
        <f>3781730/1.19</f>
        <v>3177924.3697478995</v>
      </c>
      <c r="K273" s="112">
        <v>45803</v>
      </c>
      <c r="L273" s="39"/>
      <c r="M273" s="39" t="s">
        <v>6578</v>
      </c>
      <c r="N273" s="39" t="s">
        <v>6577</v>
      </c>
      <c r="O273" s="38" t="s">
        <v>6579</v>
      </c>
    </row>
    <row r="274" spans="1:16" hidden="1" x14ac:dyDescent="0.25">
      <c r="A274" s="108"/>
      <c r="B274" s="39">
        <v>263</v>
      </c>
      <c r="C274" s="162" t="s">
        <v>6580</v>
      </c>
      <c r="D274" s="162"/>
      <c r="E274" s="162"/>
      <c r="F274" s="162"/>
      <c r="G274" s="162"/>
      <c r="H274" s="162"/>
      <c r="I274" s="39" t="s">
        <v>6413</v>
      </c>
      <c r="J274" s="111">
        <v>28980000</v>
      </c>
      <c r="K274" s="112">
        <v>45804</v>
      </c>
      <c r="L274" s="39"/>
      <c r="M274" s="39" t="s">
        <v>3864</v>
      </c>
      <c r="N274" s="39" t="s">
        <v>6516</v>
      </c>
      <c r="O274" s="116" t="s">
        <v>6517</v>
      </c>
    </row>
    <row r="275" spans="1:16" ht="15" hidden="1" customHeight="1" x14ac:dyDescent="0.25">
      <c r="A275" s="108"/>
      <c r="B275" s="39">
        <v>264</v>
      </c>
      <c r="C275" s="162" t="s">
        <v>6581</v>
      </c>
      <c r="D275" s="162"/>
      <c r="E275" s="162"/>
      <c r="F275" s="162"/>
      <c r="G275" s="162"/>
      <c r="H275" s="162"/>
      <c r="I275" s="39" t="s">
        <v>6131</v>
      </c>
      <c r="J275" s="111">
        <v>29630000</v>
      </c>
      <c r="K275" s="112">
        <v>45804</v>
      </c>
      <c r="L275" s="39"/>
      <c r="M275" s="39">
        <v>3225434521</v>
      </c>
      <c r="N275" s="39" t="s">
        <v>6582</v>
      </c>
      <c r="O275" s="38" t="s">
        <v>6583</v>
      </c>
    </row>
    <row r="276" spans="1:16" hidden="1" x14ac:dyDescent="0.25">
      <c r="A276" s="108"/>
      <c r="B276" s="39">
        <v>265</v>
      </c>
      <c r="C276" s="162" t="s">
        <v>6585</v>
      </c>
      <c r="D276" s="162"/>
      <c r="E276" s="162"/>
      <c r="F276" s="162"/>
      <c r="G276" s="162"/>
      <c r="H276" s="162"/>
      <c r="I276" s="39" t="s">
        <v>4597</v>
      </c>
      <c r="J276" s="111">
        <v>9410000</v>
      </c>
      <c r="K276" s="112">
        <v>45804</v>
      </c>
      <c r="L276" s="39"/>
      <c r="M276" s="39">
        <v>3008643382</v>
      </c>
      <c r="N276" s="39" t="s">
        <v>6584</v>
      </c>
      <c r="O276" s="38" t="s">
        <v>6586</v>
      </c>
    </row>
    <row r="277" spans="1:16" hidden="1" x14ac:dyDescent="0.25">
      <c r="A277" s="108"/>
      <c r="B277" s="39">
        <v>266</v>
      </c>
      <c r="C277" s="162" t="s">
        <v>6588</v>
      </c>
      <c r="D277" s="162"/>
      <c r="E277" s="162"/>
      <c r="F277" s="162"/>
      <c r="G277" s="162"/>
      <c r="H277" s="162"/>
      <c r="I277" s="39" t="s">
        <v>6589</v>
      </c>
      <c r="J277" s="111">
        <v>17560000</v>
      </c>
      <c r="K277" s="112">
        <v>45804</v>
      </c>
      <c r="L277" s="39"/>
      <c r="M277" s="39">
        <v>3163404731</v>
      </c>
      <c r="N277" s="39" t="s">
        <v>6590</v>
      </c>
      <c r="O277" s="116"/>
    </row>
    <row r="278" spans="1:16" hidden="1" x14ac:dyDescent="0.25">
      <c r="A278" s="108"/>
      <c r="B278" s="39">
        <v>267</v>
      </c>
      <c r="C278" s="162" t="s">
        <v>6591</v>
      </c>
      <c r="D278" s="162"/>
      <c r="E278" s="162"/>
      <c r="F278" s="162"/>
      <c r="G278" s="162"/>
      <c r="H278" s="162"/>
      <c r="I278" s="39" t="s">
        <v>6593</v>
      </c>
      <c r="J278" s="111">
        <v>6050000</v>
      </c>
      <c r="K278" s="112">
        <v>45804</v>
      </c>
      <c r="L278" s="39"/>
      <c r="M278" s="39" t="s">
        <v>6592</v>
      </c>
      <c r="N278" s="39" t="s">
        <v>6593</v>
      </c>
      <c r="O278" s="116"/>
    </row>
    <row r="279" spans="1:16" hidden="1" x14ac:dyDescent="0.25">
      <c r="A279" s="108"/>
      <c r="B279" s="39">
        <v>268</v>
      </c>
      <c r="C279" s="162" t="s">
        <v>6594</v>
      </c>
      <c r="D279" s="162"/>
      <c r="E279" s="162"/>
      <c r="F279" s="162"/>
      <c r="G279" s="162"/>
      <c r="H279" s="162"/>
      <c r="I279" s="39" t="s">
        <v>4939</v>
      </c>
      <c r="J279" s="111">
        <v>6250000</v>
      </c>
      <c r="K279" s="112">
        <v>45804</v>
      </c>
      <c r="L279" s="39"/>
      <c r="M279" s="39">
        <v>3014111727</v>
      </c>
      <c r="N279" s="39" t="s">
        <v>4270</v>
      </c>
      <c r="O279" s="116" t="s">
        <v>2235</v>
      </c>
    </row>
    <row r="280" spans="1:16" hidden="1" x14ac:dyDescent="0.25">
      <c r="A280" s="108"/>
      <c r="B280" s="39">
        <v>269</v>
      </c>
      <c r="C280" s="162" t="s">
        <v>6595</v>
      </c>
      <c r="D280" s="162"/>
      <c r="E280" s="162"/>
      <c r="F280" s="162"/>
      <c r="G280" s="162"/>
      <c r="H280" s="162"/>
      <c r="I280" s="39" t="s">
        <v>2445</v>
      </c>
      <c r="J280" s="111">
        <v>7550000</v>
      </c>
      <c r="K280" s="112">
        <v>45805</v>
      </c>
      <c r="L280" s="39"/>
      <c r="M280" s="39"/>
      <c r="N280" s="39" t="s">
        <v>6543</v>
      </c>
      <c r="O280" s="116"/>
    </row>
    <row r="281" spans="1:16" hidden="1" x14ac:dyDescent="0.25">
      <c r="A281" s="108"/>
      <c r="B281" s="39">
        <v>270</v>
      </c>
      <c r="C281" s="162" t="s">
        <v>6596</v>
      </c>
      <c r="D281" s="162"/>
      <c r="E281" s="162"/>
      <c r="F281" s="162"/>
      <c r="G281" s="162"/>
      <c r="H281" s="162"/>
      <c r="I281" s="39" t="s">
        <v>4597</v>
      </c>
      <c r="J281" s="111">
        <v>13800000</v>
      </c>
      <c r="K281" s="112">
        <v>45805</v>
      </c>
      <c r="L281" s="39"/>
      <c r="M281" s="39">
        <v>3014201614</v>
      </c>
      <c r="N281" s="39" t="s">
        <v>196</v>
      </c>
      <c r="O281" s="116" t="s">
        <v>6111</v>
      </c>
    </row>
    <row r="282" spans="1:16" hidden="1" x14ac:dyDescent="0.25">
      <c r="A282" s="108"/>
      <c r="B282" s="39">
        <v>271</v>
      </c>
      <c r="C282" s="162" t="s">
        <v>6598</v>
      </c>
      <c r="D282" s="162"/>
      <c r="E282" s="162"/>
      <c r="F282" s="162"/>
      <c r="G282" s="162"/>
      <c r="H282" s="162"/>
      <c r="I282" s="39" t="s">
        <v>6597</v>
      </c>
      <c r="J282" s="111">
        <v>55920000</v>
      </c>
      <c r="K282" s="112">
        <v>45806</v>
      </c>
      <c r="L282" s="39"/>
      <c r="M282" s="39">
        <v>3126536246</v>
      </c>
      <c r="N282" s="39" t="s">
        <v>3809</v>
      </c>
      <c r="O282" s="38" t="s">
        <v>3339</v>
      </c>
    </row>
    <row r="283" spans="1:16" hidden="1" x14ac:dyDescent="0.25">
      <c r="A283" s="108"/>
      <c r="B283" s="39">
        <v>272</v>
      </c>
      <c r="C283" s="162" t="s">
        <v>6599</v>
      </c>
      <c r="D283" s="162"/>
      <c r="E283" s="162"/>
      <c r="F283" s="162"/>
      <c r="G283" s="162"/>
      <c r="H283" s="162"/>
      <c r="I283" s="39" t="s">
        <v>5753</v>
      </c>
      <c r="J283" s="111"/>
      <c r="K283" s="112">
        <v>45806</v>
      </c>
      <c r="L283" s="39"/>
      <c r="M283" s="39" t="s">
        <v>6812</v>
      </c>
      <c r="N283" s="39" t="s">
        <v>6029</v>
      </c>
      <c r="O283" s="115"/>
      <c r="P283" t="s">
        <v>6600</v>
      </c>
    </row>
    <row r="284" spans="1:16" hidden="1" x14ac:dyDescent="0.25">
      <c r="A284" s="108"/>
      <c r="B284" s="39">
        <v>273</v>
      </c>
      <c r="C284" s="162" t="s">
        <v>6602</v>
      </c>
      <c r="D284" s="162"/>
      <c r="E284" s="162"/>
      <c r="F284" s="162"/>
      <c r="G284" s="162"/>
      <c r="H284" s="162"/>
      <c r="I284" s="39" t="s">
        <v>6461</v>
      </c>
      <c r="J284" s="111">
        <v>14950000</v>
      </c>
      <c r="K284" s="112">
        <v>45807</v>
      </c>
      <c r="L284" s="39"/>
      <c r="M284" s="39">
        <v>3143624300</v>
      </c>
      <c r="N284" s="39" t="s">
        <v>6601</v>
      </c>
      <c r="O284" s="38" t="s">
        <v>5293</v>
      </c>
    </row>
    <row r="285" spans="1:16" hidden="1" x14ac:dyDescent="0.25">
      <c r="A285" s="108"/>
      <c r="B285" s="39">
        <v>274</v>
      </c>
      <c r="C285" s="162" t="s">
        <v>6603</v>
      </c>
      <c r="D285" s="162"/>
      <c r="E285" s="162"/>
      <c r="F285" s="162"/>
      <c r="G285" s="162"/>
      <c r="H285" s="162"/>
      <c r="I285" s="39" t="s">
        <v>4597</v>
      </c>
      <c r="J285" s="111">
        <v>6270000</v>
      </c>
      <c r="K285" s="112">
        <v>45811</v>
      </c>
      <c r="L285" s="39"/>
      <c r="M285" s="39" t="s">
        <v>5812</v>
      </c>
      <c r="N285" s="39" t="s">
        <v>4109</v>
      </c>
      <c r="O285" s="116" t="s">
        <v>5752</v>
      </c>
    </row>
    <row r="286" spans="1:16" ht="15" hidden="1" customHeight="1" x14ac:dyDescent="0.25">
      <c r="A286" s="108"/>
      <c r="B286" s="39">
        <v>275</v>
      </c>
      <c r="C286" s="162" t="s">
        <v>6604</v>
      </c>
      <c r="D286" s="162"/>
      <c r="E286" s="162"/>
      <c r="F286" s="162"/>
      <c r="G286" s="162"/>
      <c r="H286" s="162"/>
      <c r="I286" s="39" t="s">
        <v>5137</v>
      </c>
      <c r="J286" s="111" t="s">
        <v>3448</v>
      </c>
      <c r="K286" s="112">
        <v>45811</v>
      </c>
      <c r="L286" s="39"/>
      <c r="M286" s="39">
        <v>3104139821</v>
      </c>
      <c r="N286" s="39" t="s">
        <v>6298</v>
      </c>
      <c r="O286" s="116" t="s">
        <v>1114</v>
      </c>
    </row>
    <row r="287" spans="1:16" ht="15" hidden="1" customHeight="1" x14ac:dyDescent="0.25">
      <c r="A287" s="108"/>
      <c r="B287" s="39">
        <v>276</v>
      </c>
      <c r="C287" s="162" t="s">
        <v>6605</v>
      </c>
      <c r="D287" s="162"/>
      <c r="E287" s="162"/>
      <c r="F287" s="162"/>
      <c r="G287" s="162"/>
      <c r="H287" s="162"/>
      <c r="I287" s="39" t="s">
        <v>4597</v>
      </c>
      <c r="J287" s="111">
        <v>8780000</v>
      </c>
      <c r="K287" s="112">
        <v>45811</v>
      </c>
      <c r="L287" s="39"/>
      <c r="M287" s="39">
        <v>3135401714</v>
      </c>
      <c r="N287" s="39" t="s">
        <v>4294</v>
      </c>
      <c r="O287" s="116" t="s">
        <v>1662</v>
      </c>
    </row>
    <row r="288" spans="1:16" ht="15" hidden="1" customHeight="1" x14ac:dyDescent="0.25">
      <c r="A288" s="108"/>
      <c r="B288" s="39">
        <v>277</v>
      </c>
      <c r="C288" s="162" t="s">
        <v>6606</v>
      </c>
      <c r="D288" s="162"/>
      <c r="E288" s="162"/>
      <c r="F288" s="162"/>
      <c r="G288" s="162"/>
      <c r="H288" s="162"/>
      <c r="I288" s="39" t="s">
        <v>6607</v>
      </c>
      <c r="J288" s="111" t="s">
        <v>150</v>
      </c>
      <c r="K288" s="112">
        <v>45811</v>
      </c>
      <c r="L288" s="39"/>
      <c r="M288" s="39" t="s">
        <v>6609</v>
      </c>
      <c r="N288" s="39" t="s">
        <v>6608</v>
      </c>
      <c r="O288" s="116" t="s">
        <v>5747</v>
      </c>
    </row>
    <row r="289" spans="1:15" ht="15" hidden="1" customHeight="1" x14ac:dyDescent="0.25">
      <c r="A289" s="108"/>
      <c r="B289" s="39">
        <v>278</v>
      </c>
      <c r="C289" s="162" t="s">
        <v>6610</v>
      </c>
      <c r="D289" s="162"/>
      <c r="E289" s="162"/>
      <c r="F289" s="162"/>
      <c r="G289" s="162"/>
      <c r="H289" s="162"/>
      <c r="I289" s="39" t="s">
        <v>6611</v>
      </c>
      <c r="J289" s="111">
        <v>17950000</v>
      </c>
      <c r="K289" s="112">
        <v>45811</v>
      </c>
      <c r="L289" s="39"/>
      <c r="M289" s="39">
        <v>3207709978</v>
      </c>
      <c r="N289" s="39" t="s">
        <v>4572</v>
      </c>
      <c r="O289" s="116" t="s">
        <v>4573</v>
      </c>
    </row>
    <row r="290" spans="1:15" ht="15" hidden="1" customHeight="1" x14ac:dyDescent="0.25">
      <c r="A290" s="108"/>
      <c r="B290" s="39">
        <v>279</v>
      </c>
      <c r="C290" s="162" t="s">
        <v>6614</v>
      </c>
      <c r="D290" s="162"/>
      <c r="E290" s="162"/>
      <c r="F290" s="162"/>
      <c r="G290" s="162"/>
      <c r="H290" s="162"/>
      <c r="I290" s="39" t="s">
        <v>6613</v>
      </c>
      <c r="J290" s="111">
        <v>2510000</v>
      </c>
      <c r="K290" s="112">
        <v>45811</v>
      </c>
      <c r="L290" s="39"/>
      <c r="M290" s="39"/>
      <c r="N290" s="39" t="s">
        <v>6612</v>
      </c>
      <c r="O290" s="116" t="s">
        <v>6615</v>
      </c>
    </row>
    <row r="291" spans="1:15" hidden="1" x14ac:dyDescent="0.25">
      <c r="A291" s="108"/>
      <c r="B291" s="39">
        <v>280</v>
      </c>
      <c r="C291" s="162" t="s">
        <v>6616</v>
      </c>
      <c r="D291" s="162"/>
      <c r="E291" s="162"/>
      <c r="F291" s="162"/>
      <c r="G291" s="162"/>
      <c r="H291" s="162"/>
      <c r="I291" s="39" t="s">
        <v>6617</v>
      </c>
      <c r="J291" s="111"/>
      <c r="K291" s="112">
        <v>45812</v>
      </c>
      <c r="L291" s="39"/>
      <c r="M291" s="39">
        <v>3160240315</v>
      </c>
      <c r="N291" s="39" t="s">
        <v>6618</v>
      </c>
      <c r="O291" s="116" t="s">
        <v>6619</v>
      </c>
    </row>
    <row r="292" spans="1:15" hidden="1" x14ac:dyDescent="0.25">
      <c r="A292" s="108"/>
      <c r="B292" s="39">
        <v>281</v>
      </c>
      <c r="C292" s="162" t="s">
        <v>6620</v>
      </c>
      <c r="D292" s="162"/>
      <c r="E292" s="162"/>
      <c r="F292" s="162"/>
      <c r="G292" s="162"/>
      <c r="H292" s="162"/>
      <c r="I292" s="39" t="s">
        <v>4597</v>
      </c>
      <c r="J292" s="111">
        <v>1950000</v>
      </c>
      <c r="K292" s="112">
        <v>45812</v>
      </c>
      <c r="L292" s="39"/>
      <c r="M292" s="39">
        <v>3014201614</v>
      </c>
      <c r="N292" s="39" t="s">
        <v>3019</v>
      </c>
      <c r="O292" s="116" t="s">
        <v>2771</v>
      </c>
    </row>
    <row r="293" spans="1:15" hidden="1" x14ac:dyDescent="0.25">
      <c r="A293" s="108"/>
      <c r="B293" s="39">
        <v>282</v>
      </c>
      <c r="C293" s="162" t="s">
        <v>6621</v>
      </c>
      <c r="D293" s="162"/>
      <c r="E293" s="162"/>
      <c r="F293" s="162"/>
      <c r="G293" s="162"/>
      <c r="H293" s="162"/>
      <c r="I293" s="39" t="s">
        <v>1875</v>
      </c>
      <c r="J293" s="111">
        <v>2000000</v>
      </c>
      <c r="K293" s="112">
        <v>45813</v>
      </c>
      <c r="L293" s="39"/>
      <c r="M293" s="39">
        <v>3113391008</v>
      </c>
      <c r="N293" s="39" t="s">
        <v>372</v>
      </c>
      <c r="O293" s="116" t="s">
        <v>2561</v>
      </c>
    </row>
    <row r="294" spans="1:15" hidden="1" x14ac:dyDescent="0.25">
      <c r="A294" s="108"/>
      <c r="B294" s="39">
        <v>283</v>
      </c>
      <c r="C294" s="162" t="s">
        <v>6622</v>
      </c>
      <c r="D294" s="162"/>
      <c r="E294" s="162"/>
      <c r="F294" s="162"/>
      <c r="G294" s="162"/>
      <c r="H294" s="162"/>
      <c r="I294" s="39" t="s">
        <v>5549</v>
      </c>
      <c r="J294" s="111">
        <v>2950000</v>
      </c>
      <c r="K294" s="112">
        <v>45813</v>
      </c>
      <c r="L294" s="39"/>
      <c r="M294" s="39">
        <v>3162963854</v>
      </c>
      <c r="N294" s="39" t="s">
        <v>5374</v>
      </c>
      <c r="O294" s="116" t="s">
        <v>5375</v>
      </c>
    </row>
    <row r="295" spans="1:15" hidden="1" x14ac:dyDescent="0.25">
      <c r="A295" s="108"/>
      <c r="B295" s="39">
        <v>284</v>
      </c>
      <c r="C295" s="162" t="s">
        <v>6623</v>
      </c>
      <c r="D295" s="162"/>
      <c r="E295" s="162"/>
      <c r="F295" s="162"/>
      <c r="G295" s="162"/>
      <c r="H295" s="162"/>
      <c r="I295" s="39" t="s">
        <v>2204</v>
      </c>
      <c r="J295" s="111" t="s">
        <v>3448</v>
      </c>
      <c r="K295" s="112">
        <v>45813</v>
      </c>
      <c r="L295" s="39"/>
      <c r="M295" s="39">
        <v>3117208541</v>
      </c>
      <c r="N295" s="39" t="s">
        <v>2240</v>
      </c>
      <c r="O295" s="116" t="s">
        <v>2241</v>
      </c>
    </row>
    <row r="296" spans="1:15" ht="15" hidden="1" customHeight="1" x14ac:dyDescent="0.25">
      <c r="A296" s="108"/>
      <c r="B296" s="39">
        <v>285</v>
      </c>
      <c r="C296" s="162" t="s">
        <v>6624</v>
      </c>
      <c r="D296" s="162"/>
      <c r="E296" s="162"/>
      <c r="F296" s="162"/>
      <c r="G296" s="162"/>
      <c r="H296" s="162"/>
      <c r="I296" s="39" t="s">
        <v>5174</v>
      </c>
      <c r="J296" s="111">
        <v>15950000</v>
      </c>
      <c r="K296" s="112">
        <v>45813</v>
      </c>
      <c r="L296" s="39"/>
      <c r="M296" s="39"/>
      <c r="N296" s="39"/>
      <c r="O296" s="116"/>
    </row>
    <row r="297" spans="1:15" hidden="1" x14ac:dyDescent="0.25">
      <c r="A297" s="108"/>
      <c r="B297" s="39">
        <v>286</v>
      </c>
      <c r="C297" s="162" t="s">
        <v>6625</v>
      </c>
      <c r="D297" s="162"/>
      <c r="E297" s="162"/>
      <c r="F297" s="162"/>
      <c r="G297" s="162"/>
      <c r="H297" s="162"/>
      <c r="I297" s="39" t="s">
        <v>4597</v>
      </c>
      <c r="J297" s="111">
        <v>18500000</v>
      </c>
      <c r="K297" s="112">
        <v>45817</v>
      </c>
      <c r="L297" s="39"/>
      <c r="M297" s="39">
        <v>3014201614</v>
      </c>
      <c r="N297" s="39" t="s">
        <v>3019</v>
      </c>
      <c r="O297" s="116" t="s">
        <v>2771</v>
      </c>
    </row>
    <row r="298" spans="1:15" hidden="1" x14ac:dyDescent="0.25">
      <c r="A298" s="108"/>
      <c r="B298" s="39">
        <v>287</v>
      </c>
      <c r="C298" s="162" t="s">
        <v>6626</v>
      </c>
      <c r="D298" s="162"/>
      <c r="E298" s="162"/>
      <c r="F298" s="162"/>
      <c r="G298" s="162"/>
      <c r="H298" s="162"/>
      <c r="I298" s="39" t="s">
        <v>6144</v>
      </c>
      <c r="J298" s="111">
        <v>8750000</v>
      </c>
      <c r="K298" s="112">
        <v>45814</v>
      </c>
      <c r="L298" s="39"/>
      <c r="M298" s="39">
        <v>3054231775</v>
      </c>
      <c r="N298" s="39" t="s">
        <v>6145</v>
      </c>
      <c r="O298" s="116" t="s">
        <v>6146</v>
      </c>
    </row>
    <row r="299" spans="1:15" hidden="1" x14ac:dyDescent="0.25">
      <c r="A299" s="108"/>
      <c r="B299" s="39">
        <v>288</v>
      </c>
      <c r="C299" s="162" t="s">
        <v>6627</v>
      </c>
      <c r="D299" s="162"/>
      <c r="E299" s="162"/>
      <c r="F299" s="162"/>
      <c r="G299" s="162"/>
      <c r="H299" s="162"/>
      <c r="I299" s="39" t="s">
        <v>6413</v>
      </c>
      <c r="J299" s="111">
        <v>19440000</v>
      </c>
      <c r="K299" s="112">
        <v>45818</v>
      </c>
      <c r="L299" s="39"/>
      <c r="M299" s="39">
        <v>3175180141</v>
      </c>
      <c r="N299" s="39" t="s">
        <v>6516</v>
      </c>
      <c r="O299" s="116" t="s">
        <v>6628</v>
      </c>
    </row>
    <row r="300" spans="1:15" hidden="1" x14ac:dyDescent="0.25">
      <c r="A300" s="108"/>
      <c r="B300" s="39">
        <v>289</v>
      </c>
      <c r="C300" s="162" t="s">
        <v>6629</v>
      </c>
      <c r="D300" s="162"/>
      <c r="E300" s="162"/>
      <c r="F300" s="162"/>
      <c r="G300" s="162"/>
      <c r="H300" s="162"/>
      <c r="I300" s="39" t="s">
        <v>4120</v>
      </c>
      <c r="J300" s="111">
        <v>5000000</v>
      </c>
      <c r="K300" s="112">
        <v>45818</v>
      </c>
      <c r="L300" s="39"/>
      <c r="M300" s="32" t="s">
        <v>4838</v>
      </c>
      <c r="N300" s="39" t="s">
        <v>4837</v>
      </c>
      <c r="O300" s="116" t="s">
        <v>2554</v>
      </c>
    </row>
    <row r="301" spans="1:15" hidden="1" x14ac:dyDescent="0.25">
      <c r="A301" s="108"/>
      <c r="B301" s="39">
        <v>290</v>
      </c>
      <c r="C301" s="162" t="s">
        <v>6630</v>
      </c>
      <c r="D301" s="162"/>
      <c r="E301" s="162"/>
      <c r="F301" s="162"/>
      <c r="G301" s="162"/>
      <c r="H301" s="162"/>
      <c r="I301" s="39" t="s">
        <v>6631</v>
      </c>
      <c r="J301" s="111">
        <v>14950000</v>
      </c>
      <c r="K301" s="112">
        <v>45818</v>
      </c>
      <c r="L301" s="39"/>
      <c r="M301" s="39"/>
      <c r="N301" s="39" t="s">
        <v>6632</v>
      </c>
      <c r="O301" s="116" t="s">
        <v>6633</v>
      </c>
    </row>
    <row r="302" spans="1:15" hidden="1" x14ac:dyDescent="0.25">
      <c r="A302" s="108"/>
      <c r="B302" s="39">
        <v>291</v>
      </c>
      <c r="C302" s="162" t="s">
        <v>6634</v>
      </c>
      <c r="D302" s="162"/>
      <c r="E302" s="162"/>
      <c r="F302" s="162"/>
      <c r="G302" s="162"/>
      <c r="H302" s="162"/>
      <c r="I302" s="39" t="s">
        <v>1139</v>
      </c>
      <c r="J302" s="111">
        <v>9500000</v>
      </c>
      <c r="K302" s="112">
        <v>45818</v>
      </c>
      <c r="L302" s="39"/>
      <c r="M302" s="39">
        <v>3007354643</v>
      </c>
      <c r="N302" s="39" t="s">
        <v>6635</v>
      </c>
      <c r="O302" s="116" t="s">
        <v>6637</v>
      </c>
    </row>
    <row r="303" spans="1:15" hidden="1" x14ac:dyDescent="0.25">
      <c r="A303" s="108"/>
      <c r="B303" s="39">
        <v>292</v>
      </c>
      <c r="C303" s="162" t="s">
        <v>6636</v>
      </c>
      <c r="D303" s="162"/>
      <c r="E303" s="162"/>
      <c r="F303" s="162"/>
      <c r="G303" s="162"/>
      <c r="H303" s="162"/>
      <c r="I303" s="39" t="s">
        <v>3863</v>
      </c>
      <c r="J303" s="111">
        <v>3900000</v>
      </c>
      <c r="K303" s="112">
        <v>45818</v>
      </c>
      <c r="L303" s="39"/>
      <c r="M303" s="39">
        <v>3175180141</v>
      </c>
      <c r="N303" s="39"/>
      <c r="O303" s="116" t="s">
        <v>6628</v>
      </c>
    </row>
    <row r="304" spans="1:15" hidden="1" x14ac:dyDescent="0.25">
      <c r="A304" s="108"/>
      <c r="B304" s="39">
        <v>293</v>
      </c>
      <c r="C304" s="162" t="s">
        <v>6638</v>
      </c>
      <c r="D304" s="162"/>
      <c r="E304" s="162"/>
      <c r="F304" s="162"/>
      <c r="G304" s="162"/>
      <c r="H304" s="162"/>
      <c r="I304" s="39" t="s">
        <v>702</v>
      </c>
      <c r="J304" s="111">
        <v>87800000</v>
      </c>
      <c r="K304" s="112">
        <v>45818</v>
      </c>
      <c r="L304" s="39"/>
      <c r="M304" s="39">
        <v>3104165783</v>
      </c>
      <c r="N304" s="39" t="s">
        <v>4564</v>
      </c>
      <c r="O304" s="116" t="s">
        <v>4565</v>
      </c>
    </row>
    <row r="305" spans="1:15" hidden="1" x14ac:dyDescent="0.25">
      <c r="A305" s="108"/>
      <c r="B305" s="39">
        <v>294</v>
      </c>
      <c r="C305" s="162" t="s">
        <v>6639</v>
      </c>
      <c r="D305" s="162"/>
      <c r="E305" s="162"/>
      <c r="F305" s="162"/>
      <c r="G305" s="162"/>
      <c r="H305" s="162"/>
      <c r="I305" s="39" t="s">
        <v>3002</v>
      </c>
      <c r="J305" s="111">
        <v>27950000</v>
      </c>
      <c r="K305" s="112">
        <v>45818</v>
      </c>
      <c r="L305" s="39"/>
      <c r="M305" s="39"/>
      <c r="N305" s="39" t="s">
        <v>2649</v>
      </c>
      <c r="O305" s="116" t="s">
        <v>2650</v>
      </c>
    </row>
    <row r="306" spans="1:15" hidden="1" x14ac:dyDescent="0.25">
      <c r="A306" s="108"/>
      <c r="B306" s="39">
        <v>295</v>
      </c>
      <c r="C306" s="162" t="s">
        <v>6640</v>
      </c>
      <c r="D306" s="162"/>
      <c r="E306" s="162"/>
      <c r="F306" s="162"/>
      <c r="G306" s="162"/>
      <c r="H306" s="162"/>
      <c r="I306" s="39" t="s">
        <v>6386</v>
      </c>
      <c r="J306" s="111">
        <v>29980000</v>
      </c>
      <c r="K306" s="112">
        <v>45819</v>
      </c>
      <c r="L306" s="39"/>
      <c r="M306" s="39">
        <v>3006563981</v>
      </c>
      <c r="N306" s="39" t="s">
        <v>5840</v>
      </c>
      <c r="O306" s="116" t="s">
        <v>5311</v>
      </c>
    </row>
    <row r="307" spans="1:15" hidden="1" x14ac:dyDescent="0.25">
      <c r="A307" s="108"/>
      <c r="B307" s="39">
        <v>296</v>
      </c>
      <c r="C307" s="162" t="s">
        <v>6641</v>
      </c>
      <c r="D307" s="162"/>
      <c r="E307" s="162"/>
      <c r="F307" s="162"/>
      <c r="G307" s="162"/>
      <c r="H307" s="162"/>
      <c r="I307" s="39" t="s">
        <v>6059</v>
      </c>
      <c r="J307" s="111">
        <v>5950000</v>
      </c>
      <c r="K307" s="112">
        <v>45819</v>
      </c>
      <c r="L307" s="39"/>
      <c r="M307" s="39"/>
      <c r="N307" s="39" t="s">
        <v>2254</v>
      </c>
      <c r="O307" s="116" t="s">
        <v>1075</v>
      </c>
    </row>
    <row r="308" spans="1:15" hidden="1" x14ac:dyDescent="0.25">
      <c r="A308" s="108"/>
      <c r="B308" s="39">
        <v>297</v>
      </c>
      <c r="C308" s="162" t="s">
        <v>6642</v>
      </c>
      <c r="D308" s="162"/>
      <c r="E308" s="162"/>
      <c r="F308" s="162"/>
      <c r="G308" s="162"/>
      <c r="H308" s="162"/>
      <c r="I308" s="39" t="s">
        <v>3371</v>
      </c>
      <c r="J308" s="111">
        <v>17950000</v>
      </c>
      <c r="K308" s="112">
        <v>45820</v>
      </c>
      <c r="L308" s="39"/>
      <c r="M308" s="39" t="s">
        <v>6644</v>
      </c>
      <c r="N308" s="39" t="s">
        <v>6645</v>
      </c>
      <c r="O308" s="116" t="s">
        <v>6643</v>
      </c>
    </row>
    <row r="309" spans="1:15" hidden="1" x14ac:dyDescent="0.25">
      <c r="A309" s="108"/>
      <c r="B309" s="39">
        <v>298</v>
      </c>
      <c r="C309" s="162" t="s">
        <v>6646</v>
      </c>
      <c r="D309" s="162"/>
      <c r="E309" s="162"/>
      <c r="F309" s="162"/>
      <c r="G309" s="162"/>
      <c r="H309" s="162"/>
      <c r="I309" s="39" t="s">
        <v>6525</v>
      </c>
      <c r="J309" s="111">
        <v>25000000</v>
      </c>
      <c r="K309" s="112">
        <v>45820</v>
      </c>
      <c r="L309" s="39"/>
      <c r="M309" s="39">
        <v>3183832571</v>
      </c>
      <c r="N309" s="39" t="s">
        <v>6527</v>
      </c>
      <c r="O309" s="38" t="s">
        <v>2713</v>
      </c>
    </row>
    <row r="310" spans="1:15" hidden="1" x14ac:dyDescent="0.25">
      <c r="A310" s="108"/>
      <c r="B310" s="39">
        <v>299</v>
      </c>
      <c r="C310" s="162" t="s">
        <v>6647</v>
      </c>
      <c r="D310" s="162"/>
      <c r="E310" s="162"/>
      <c r="F310" s="162"/>
      <c r="G310" s="162"/>
      <c r="H310" s="162"/>
      <c r="I310" s="39" t="s">
        <v>4597</v>
      </c>
      <c r="J310" s="111">
        <v>6250000</v>
      </c>
      <c r="K310" s="112">
        <v>45827</v>
      </c>
      <c r="L310" s="39"/>
      <c r="M310" s="39">
        <v>3135401714</v>
      </c>
      <c r="N310" s="39" t="s">
        <v>4294</v>
      </c>
      <c r="O310" s="116" t="s">
        <v>1662</v>
      </c>
    </row>
    <row r="311" spans="1:15" hidden="1" x14ac:dyDescent="0.25">
      <c r="A311" s="108"/>
      <c r="B311" s="39">
        <v>300</v>
      </c>
      <c r="C311" s="162" t="s">
        <v>6648</v>
      </c>
      <c r="D311" s="162"/>
      <c r="E311" s="162"/>
      <c r="F311" s="162"/>
      <c r="G311" s="162"/>
      <c r="H311" s="162"/>
      <c r="I311" s="39" t="s">
        <v>1439</v>
      </c>
      <c r="J311" s="111">
        <v>19950000</v>
      </c>
      <c r="K311" s="112">
        <v>45820</v>
      </c>
      <c r="L311" s="39"/>
      <c r="M311" s="39">
        <v>3183484307</v>
      </c>
      <c r="N311" s="39" t="s">
        <v>6649</v>
      </c>
      <c r="O311" s="38" t="s">
        <v>2117</v>
      </c>
    </row>
    <row r="312" spans="1:15" hidden="1" x14ac:dyDescent="0.25">
      <c r="A312" s="108"/>
      <c r="B312" s="39">
        <v>301</v>
      </c>
      <c r="C312" s="162" t="s">
        <v>6653</v>
      </c>
      <c r="D312" s="162"/>
      <c r="E312" s="162"/>
      <c r="F312" s="162"/>
      <c r="G312" s="162"/>
      <c r="H312" s="162"/>
      <c r="I312" s="39" t="s">
        <v>6650</v>
      </c>
      <c r="J312" s="111">
        <v>4950000</v>
      </c>
      <c r="K312" s="112">
        <v>45820</v>
      </c>
      <c r="L312" s="39"/>
      <c r="M312" s="39" t="s">
        <v>6652</v>
      </c>
      <c r="N312" s="39" t="s">
        <v>6651</v>
      </c>
      <c r="O312" s="116"/>
    </row>
    <row r="313" spans="1:15" ht="15" hidden="1" customHeight="1" x14ac:dyDescent="0.25">
      <c r="A313" s="108"/>
      <c r="B313" s="39">
        <v>302</v>
      </c>
      <c r="C313" s="162" t="s">
        <v>6654</v>
      </c>
      <c r="D313" s="162"/>
      <c r="E313" s="162"/>
      <c r="F313" s="162"/>
      <c r="G313" s="162"/>
      <c r="H313" s="162"/>
      <c r="I313" s="39" t="s">
        <v>3002</v>
      </c>
      <c r="J313" s="111">
        <v>37900000</v>
      </c>
      <c r="K313" s="112">
        <v>45827</v>
      </c>
      <c r="L313" s="39"/>
      <c r="M313" s="39">
        <v>3014317086</v>
      </c>
      <c r="N313" s="39" t="s">
        <v>4153</v>
      </c>
      <c r="O313" s="116" t="s">
        <v>4152</v>
      </c>
    </row>
    <row r="314" spans="1:15" hidden="1" x14ac:dyDescent="0.25">
      <c r="A314" s="108"/>
      <c r="B314" s="39">
        <v>303</v>
      </c>
      <c r="C314" s="162" t="s">
        <v>6655</v>
      </c>
      <c r="D314" s="162"/>
      <c r="E314" s="162"/>
      <c r="F314" s="162"/>
      <c r="G314" s="162"/>
      <c r="H314" s="162"/>
      <c r="I314" s="39" t="s">
        <v>3871</v>
      </c>
      <c r="J314" s="111">
        <v>14950000</v>
      </c>
      <c r="K314" s="112">
        <v>45824</v>
      </c>
      <c r="L314" s="39"/>
      <c r="M314" s="39"/>
      <c r="N314" s="39" t="s">
        <v>6559</v>
      </c>
      <c r="O314" s="38" t="s">
        <v>6560</v>
      </c>
    </row>
    <row r="315" spans="1:15" hidden="1" x14ac:dyDescent="0.25">
      <c r="A315" s="108"/>
      <c r="B315" s="39">
        <v>304</v>
      </c>
      <c r="C315" s="162" t="s">
        <v>6656</v>
      </c>
      <c r="D315" s="162"/>
      <c r="E315" s="162"/>
      <c r="F315" s="162"/>
      <c r="G315" s="162"/>
      <c r="H315" s="162"/>
      <c r="I315" s="39" t="s">
        <v>6657</v>
      </c>
      <c r="J315" s="111">
        <v>11950000</v>
      </c>
      <c r="K315" s="112">
        <v>45824</v>
      </c>
      <c r="L315" s="39"/>
      <c r="M315" s="39">
        <v>3022483962</v>
      </c>
      <c r="N315" s="39" t="s">
        <v>6662</v>
      </c>
      <c r="O315" s="38" t="s">
        <v>6663</v>
      </c>
    </row>
    <row r="316" spans="1:15" hidden="1" x14ac:dyDescent="0.25">
      <c r="A316" s="108"/>
      <c r="B316" s="39">
        <v>305</v>
      </c>
      <c r="C316" s="162" t="s">
        <v>6658</v>
      </c>
      <c r="D316" s="162"/>
      <c r="E316" s="162"/>
      <c r="F316" s="162"/>
      <c r="G316" s="162"/>
      <c r="H316" s="162"/>
      <c r="I316" s="39" t="s">
        <v>6659</v>
      </c>
      <c r="J316" s="111">
        <v>11950000</v>
      </c>
      <c r="K316" s="112">
        <v>45824</v>
      </c>
      <c r="L316" s="39"/>
      <c r="M316" s="39">
        <v>3104433467</v>
      </c>
      <c r="N316" s="39" t="s">
        <v>6660</v>
      </c>
      <c r="O316" s="38" t="s">
        <v>6661</v>
      </c>
    </row>
    <row r="317" spans="1:15" s="143" customFormat="1" hidden="1" x14ac:dyDescent="0.25">
      <c r="A317" s="138"/>
      <c r="B317" s="139">
        <v>306</v>
      </c>
      <c r="C317" s="291" t="s">
        <v>6823</v>
      </c>
      <c r="D317" s="291"/>
      <c r="E317" s="291"/>
      <c r="F317" s="291"/>
      <c r="G317" s="291"/>
      <c r="H317" s="291"/>
      <c r="I317" s="139" t="s">
        <v>6664</v>
      </c>
      <c r="J317" s="140"/>
      <c r="K317" s="141">
        <v>45824</v>
      </c>
      <c r="L317" s="139"/>
      <c r="M317" s="139">
        <v>3155902840</v>
      </c>
      <c r="N317" s="139" t="s">
        <v>5054</v>
      </c>
      <c r="O317" s="144" t="s">
        <v>6732</v>
      </c>
    </row>
    <row r="318" spans="1:15" ht="15" hidden="1" customHeight="1" x14ac:dyDescent="0.25">
      <c r="A318" s="108"/>
      <c r="B318" s="39">
        <v>307</v>
      </c>
      <c r="C318" s="162" t="s">
        <v>6647</v>
      </c>
      <c r="D318" s="162"/>
      <c r="E318" s="162"/>
      <c r="F318" s="162"/>
      <c r="G318" s="162"/>
      <c r="H318" s="162"/>
      <c r="I318" s="39" t="s">
        <v>5174</v>
      </c>
      <c r="J318" s="111">
        <v>6250000</v>
      </c>
      <c r="K318" s="112">
        <v>45824</v>
      </c>
      <c r="L318" s="39"/>
      <c r="M318" s="39"/>
      <c r="N318" s="39" t="s">
        <v>6669</v>
      </c>
      <c r="O318" s="38" t="s">
        <v>5717</v>
      </c>
    </row>
    <row r="319" spans="1:15" x14ac:dyDescent="0.25">
      <c r="A319" s="108"/>
      <c r="B319" s="39">
        <v>308</v>
      </c>
      <c r="C319" s="162" t="s">
        <v>6667</v>
      </c>
      <c r="D319" s="162"/>
      <c r="E319" s="162"/>
      <c r="F319" s="162"/>
      <c r="G319" s="162"/>
      <c r="H319" s="162"/>
      <c r="I319" s="39" t="s">
        <v>6668</v>
      </c>
      <c r="J319" s="111">
        <v>28950000</v>
      </c>
      <c r="K319" s="112">
        <v>45824</v>
      </c>
      <c r="L319" s="39"/>
      <c r="M319" s="39"/>
      <c r="N319" s="39" t="s">
        <v>6665</v>
      </c>
      <c r="O319" s="38" t="s">
        <v>6666</v>
      </c>
    </row>
    <row r="320" spans="1:15" hidden="1" x14ac:dyDescent="0.25">
      <c r="A320" s="108"/>
      <c r="B320" s="39">
        <v>309</v>
      </c>
      <c r="C320" s="162" t="s">
        <v>6670</v>
      </c>
      <c r="D320" s="162"/>
      <c r="E320" s="162"/>
      <c r="F320" s="162"/>
      <c r="G320" s="162"/>
      <c r="H320" s="162"/>
      <c r="I320" s="39" t="s">
        <v>6408</v>
      </c>
      <c r="J320" s="111">
        <v>28850000</v>
      </c>
      <c r="K320" s="112">
        <v>45827</v>
      </c>
      <c r="L320" s="39"/>
      <c r="M320" s="39">
        <v>3128070690</v>
      </c>
      <c r="N320" s="39" t="s">
        <v>4570</v>
      </c>
      <c r="O320" s="38" t="s">
        <v>4569</v>
      </c>
    </row>
    <row r="321" spans="1:15" hidden="1" x14ac:dyDescent="0.25">
      <c r="A321" s="108"/>
      <c r="B321" s="39">
        <v>310</v>
      </c>
      <c r="C321" s="162" t="s">
        <v>6671</v>
      </c>
      <c r="D321" s="162"/>
      <c r="E321" s="162"/>
      <c r="F321" s="162"/>
      <c r="G321" s="162"/>
      <c r="H321" s="162"/>
      <c r="I321" s="39" t="s">
        <v>6672</v>
      </c>
      <c r="J321" s="111">
        <v>17560000</v>
      </c>
      <c r="K321" s="112">
        <v>45825</v>
      </c>
      <c r="L321" s="39"/>
      <c r="M321" s="39">
        <v>3217758863</v>
      </c>
      <c r="N321" s="39" t="s">
        <v>6673</v>
      </c>
      <c r="O321" s="38" t="s">
        <v>6674</v>
      </c>
    </row>
    <row r="322" spans="1:15" hidden="1" x14ac:dyDescent="0.25">
      <c r="A322" s="108"/>
      <c r="B322" s="39">
        <v>311</v>
      </c>
      <c r="C322" s="162" t="s">
        <v>6675</v>
      </c>
      <c r="D322" s="162"/>
      <c r="E322" s="162"/>
      <c r="F322" s="162"/>
      <c r="G322" s="162"/>
      <c r="H322" s="162"/>
      <c r="I322" s="39" t="s">
        <v>5884</v>
      </c>
      <c r="J322" s="111">
        <v>5950000</v>
      </c>
      <c r="K322" s="112">
        <v>45825</v>
      </c>
      <c r="L322" s="39"/>
      <c r="M322" s="39">
        <v>3116456726</v>
      </c>
      <c r="N322" s="39" t="s">
        <v>6676</v>
      </c>
      <c r="O322" s="38" t="s">
        <v>5922</v>
      </c>
    </row>
    <row r="323" spans="1:15" hidden="1" x14ac:dyDescent="0.25">
      <c r="A323" s="108"/>
      <c r="B323" s="39">
        <v>312</v>
      </c>
      <c r="C323" s="162" t="s">
        <v>6677</v>
      </c>
      <c r="D323" s="162"/>
      <c r="E323" s="162"/>
      <c r="F323" s="162"/>
      <c r="G323" s="162"/>
      <c r="H323" s="162"/>
      <c r="I323" s="39" t="s">
        <v>5884</v>
      </c>
      <c r="J323" s="111">
        <v>34350000</v>
      </c>
      <c r="K323" s="112">
        <v>45825</v>
      </c>
      <c r="L323" s="39"/>
      <c r="M323" s="39">
        <v>3116456726</v>
      </c>
      <c r="N323" s="39" t="s">
        <v>6676</v>
      </c>
      <c r="O323" s="38" t="s">
        <v>5922</v>
      </c>
    </row>
    <row r="324" spans="1:15" hidden="1" x14ac:dyDescent="0.25">
      <c r="A324" s="108"/>
      <c r="B324" s="39">
        <v>313</v>
      </c>
      <c r="C324" s="162" t="s">
        <v>6602</v>
      </c>
      <c r="D324" s="162"/>
      <c r="E324" s="162"/>
      <c r="F324" s="162"/>
      <c r="G324" s="162"/>
      <c r="H324" s="162"/>
      <c r="I324" s="39" t="s">
        <v>5884</v>
      </c>
      <c r="J324" s="111"/>
      <c r="K324" s="112">
        <v>45825</v>
      </c>
      <c r="L324" s="39"/>
      <c r="M324" s="39">
        <v>3116456726</v>
      </c>
      <c r="N324" s="39" t="s">
        <v>6676</v>
      </c>
      <c r="O324" s="38" t="s">
        <v>5922</v>
      </c>
    </row>
    <row r="325" spans="1:15" hidden="1" x14ac:dyDescent="0.25">
      <c r="A325" s="108"/>
      <c r="B325" s="39">
        <v>314</v>
      </c>
      <c r="C325" s="162" t="s">
        <v>6678</v>
      </c>
      <c r="D325" s="162"/>
      <c r="E325" s="162"/>
      <c r="F325" s="162"/>
      <c r="G325" s="162"/>
      <c r="H325" s="162"/>
      <c r="I325" s="39" t="s">
        <v>5884</v>
      </c>
      <c r="J325" s="111">
        <v>14950000</v>
      </c>
      <c r="K325" s="112">
        <v>45825</v>
      </c>
      <c r="L325" s="39"/>
      <c r="M325" s="39">
        <v>3116456726</v>
      </c>
      <c r="N325" s="39" t="s">
        <v>6676</v>
      </c>
      <c r="O325" s="38" t="s">
        <v>5922</v>
      </c>
    </row>
    <row r="326" spans="1:15" hidden="1" x14ac:dyDescent="0.25">
      <c r="A326" s="108"/>
      <c r="B326" s="39">
        <v>315</v>
      </c>
      <c r="C326" s="162" t="s">
        <v>6679</v>
      </c>
      <c r="D326" s="162"/>
      <c r="E326" s="162"/>
      <c r="F326" s="162"/>
      <c r="G326" s="162"/>
      <c r="H326" s="162"/>
      <c r="I326" s="39" t="s">
        <v>4597</v>
      </c>
      <c r="J326" s="111">
        <v>19940000</v>
      </c>
      <c r="K326" s="112">
        <v>45827</v>
      </c>
      <c r="L326" s="39"/>
      <c r="M326" s="39">
        <v>3135401714</v>
      </c>
      <c r="N326" s="39" t="s">
        <v>4294</v>
      </c>
      <c r="O326" s="116" t="s">
        <v>1662</v>
      </c>
    </row>
    <row r="327" spans="1:15" hidden="1" x14ac:dyDescent="0.25">
      <c r="A327" s="108"/>
      <c r="B327" s="39">
        <v>316</v>
      </c>
      <c r="C327" s="162" t="s">
        <v>6680</v>
      </c>
      <c r="D327" s="162"/>
      <c r="E327" s="162"/>
      <c r="F327" s="162"/>
      <c r="G327" s="162"/>
      <c r="H327" s="162"/>
      <c r="I327" s="39" t="s">
        <v>6681</v>
      </c>
      <c r="J327" s="111">
        <v>7750000</v>
      </c>
      <c r="K327" s="112">
        <v>45826</v>
      </c>
      <c r="L327" s="39"/>
      <c r="M327" s="39">
        <v>3113399545</v>
      </c>
      <c r="N327" s="39" t="s">
        <v>6682</v>
      </c>
      <c r="O327" s="38" t="s">
        <v>6683</v>
      </c>
    </row>
    <row r="328" spans="1:15" hidden="1" x14ac:dyDescent="0.25">
      <c r="A328" s="108"/>
      <c r="B328" s="39">
        <v>317</v>
      </c>
      <c r="C328" s="162" t="s">
        <v>6684</v>
      </c>
      <c r="D328" s="162"/>
      <c r="E328" s="162"/>
      <c r="F328" s="162"/>
      <c r="G328" s="162"/>
      <c r="H328" s="162"/>
      <c r="I328" s="39" t="s">
        <v>4597</v>
      </c>
      <c r="J328" s="111">
        <v>9420000</v>
      </c>
      <c r="K328" s="112">
        <v>45826</v>
      </c>
      <c r="L328" s="39"/>
      <c r="M328" s="39">
        <v>3014201614</v>
      </c>
      <c r="N328" s="39" t="s">
        <v>3019</v>
      </c>
      <c r="O328" s="116" t="s">
        <v>2771</v>
      </c>
    </row>
    <row r="329" spans="1:15" hidden="1" x14ac:dyDescent="0.25">
      <c r="A329" s="108"/>
      <c r="B329" s="39">
        <v>318</v>
      </c>
      <c r="C329" s="162" t="s">
        <v>6685</v>
      </c>
      <c r="D329" s="162"/>
      <c r="E329" s="162"/>
      <c r="F329" s="162"/>
      <c r="G329" s="162"/>
      <c r="H329" s="162"/>
      <c r="I329" s="39" t="s">
        <v>702</v>
      </c>
      <c r="J329" s="111">
        <v>22900000</v>
      </c>
      <c r="K329" s="112">
        <v>45827</v>
      </c>
      <c r="L329" s="39"/>
      <c r="M329" s="39">
        <v>3006047984</v>
      </c>
      <c r="N329" s="39" t="s">
        <v>6377</v>
      </c>
      <c r="O329" s="116" t="s">
        <v>6379</v>
      </c>
    </row>
    <row r="330" spans="1:15" hidden="1" x14ac:dyDescent="0.25">
      <c r="A330" s="108"/>
      <c r="B330" s="39">
        <v>319</v>
      </c>
      <c r="C330" s="162" t="s">
        <v>6624</v>
      </c>
      <c r="D330" s="162"/>
      <c r="E330" s="162"/>
      <c r="F330" s="162"/>
      <c r="G330" s="162"/>
      <c r="H330" s="162"/>
      <c r="I330" s="39" t="s">
        <v>4597</v>
      </c>
      <c r="J330" s="111">
        <v>15950000</v>
      </c>
      <c r="K330" s="112">
        <v>45832</v>
      </c>
      <c r="L330" s="39"/>
      <c r="M330" s="39">
        <v>3135401714</v>
      </c>
      <c r="N330" s="39" t="s">
        <v>4294</v>
      </c>
      <c r="O330" s="116" t="s">
        <v>1662</v>
      </c>
    </row>
    <row r="331" spans="1:15" hidden="1" x14ac:dyDescent="0.25">
      <c r="A331" s="108"/>
      <c r="B331" s="39">
        <v>320</v>
      </c>
      <c r="C331" s="162" t="s">
        <v>6686</v>
      </c>
      <c r="D331" s="162"/>
      <c r="E331" s="162"/>
      <c r="F331" s="162"/>
      <c r="G331" s="162"/>
      <c r="H331" s="162"/>
      <c r="I331" s="39" t="s">
        <v>4597</v>
      </c>
      <c r="J331" s="111">
        <v>14920000</v>
      </c>
      <c r="K331" s="112">
        <v>45827</v>
      </c>
      <c r="L331" s="39"/>
      <c r="M331" s="39">
        <v>3135401714</v>
      </c>
      <c r="N331" s="39" t="s">
        <v>4294</v>
      </c>
      <c r="O331" s="116" t="s">
        <v>1662</v>
      </c>
    </row>
    <row r="332" spans="1:15" hidden="1" x14ac:dyDescent="0.25">
      <c r="A332" s="108"/>
      <c r="B332" s="39">
        <v>321</v>
      </c>
      <c r="C332" s="162" t="s">
        <v>6687</v>
      </c>
      <c r="D332" s="162"/>
      <c r="E332" s="162"/>
      <c r="F332" s="162"/>
      <c r="G332" s="162"/>
      <c r="H332" s="162"/>
      <c r="I332" s="39" t="s">
        <v>702</v>
      </c>
      <c r="J332" s="111">
        <v>9950000</v>
      </c>
      <c r="K332" s="112">
        <v>45827</v>
      </c>
      <c r="L332" s="39"/>
      <c r="M332" s="39">
        <v>3006047984</v>
      </c>
      <c r="N332" s="39" t="s">
        <v>6377</v>
      </c>
      <c r="O332" s="116" t="s">
        <v>6379</v>
      </c>
    </row>
    <row r="333" spans="1:15" hidden="1" x14ac:dyDescent="0.25">
      <c r="A333" s="108"/>
      <c r="B333" s="39">
        <v>322</v>
      </c>
      <c r="C333" s="162" t="s">
        <v>6688</v>
      </c>
      <c r="D333" s="162"/>
      <c r="E333" s="162"/>
      <c r="F333" s="162"/>
      <c r="G333" s="162"/>
      <c r="H333" s="162"/>
      <c r="I333" s="39" t="s">
        <v>3871</v>
      </c>
      <c r="J333" s="111">
        <v>5950000</v>
      </c>
      <c r="K333" s="112">
        <v>45827</v>
      </c>
      <c r="L333" s="39"/>
      <c r="M333" s="39">
        <v>3206655246</v>
      </c>
      <c r="N333" s="39" t="s">
        <v>6689</v>
      </c>
      <c r="O333" s="38" t="s">
        <v>6690</v>
      </c>
    </row>
    <row r="334" spans="1:15" hidden="1" x14ac:dyDescent="0.25">
      <c r="A334" s="108"/>
      <c r="B334" s="39">
        <v>323</v>
      </c>
      <c r="C334" s="162" t="s">
        <v>6691</v>
      </c>
      <c r="D334" s="162"/>
      <c r="E334" s="162"/>
      <c r="F334" s="162"/>
      <c r="G334" s="162"/>
      <c r="H334" s="162"/>
      <c r="I334" s="39" t="s">
        <v>6692</v>
      </c>
      <c r="J334" s="111">
        <v>24950000</v>
      </c>
      <c r="K334" s="112">
        <v>45827</v>
      </c>
      <c r="L334" s="39"/>
      <c r="M334" s="39">
        <v>3147639562</v>
      </c>
      <c r="N334" s="39" t="s">
        <v>6696</v>
      </c>
      <c r="O334" s="38" t="s">
        <v>6697</v>
      </c>
    </row>
    <row r="335" spans="1:15" hidden="1" x14ac:dyDescent="0.25">
      <c r="A335" s="108"/>
      <c r="B335" s="39">
        <v>324</v>
      </c>
      <c r="C335" s="162" t="s">
        <v>6667</v>
      </c>
      <c r="D335" s="162"/>
      <c r="E335" s="162"/>
      <c r="F335" s="162"/>
      <c r="G335" s="162"/>
      <c r="H335" s="162"/>
      <c r="I335" s="39" t="s">
        <v>4597</v>
      </c>
      <c r="J335" s="111">
        <v>28950000</v>
      </c>
      <c r="K335" s="112">
        <v>45828</v>
      </c>
      <c r="L335" s="39"/>
      <c r="M335" s="39">
        <v>3135401714</v>
      </c>
      <c r="N335" s="39" t="s">
        <v>4294</v>
      </c>
      <c r="O335" s="116" t="s">
        <v>1662</v>
      </c>
    </row>
    <row r="336" spans="1:15" hidden="1" x14ac:dyDescent="0.25">
      <c r="A336" s="108"/>
      <c r="B336" s="39">
        <v>325</v>
      </c>
      <c r="C336" s="162" t="s">
        <v>6693</v>
      </c>
      <c r="D336" s="162"/>
      <c r="E336" s="162"/>
      <c r="F336" s="162"/>
      <c r="G336" s="162"/>
      <c r="H336" s="162"/>
      <c r="I336" s="39" t="s">
        <v>5092</v>
      </c>
      <c r="J336" s="111">
        <v>29650000</v>
      </c>
      <c r="K336" s="112">
        <v>45828</v>
      </c>
      <c r="L336" s="39"/>
      <c r="M336" s="39"/>
      <c r="N336" s="39" t="s">
        <v>6694</v>
      </c>
      <c r="O336" s="38" t="s">
        <v>6695</v>
      </c>
    </row>
    <row r="337" spans="1:15" hidden="1" x14ac:dyDescent="0.25">
      <c r="A337" s="108"/>
      <c r="B337" s="39">
        <v>326</v>
      </c>
      <c r="C337" s="162" t="s">
        <v>6698</v>
      </c>
      <c r="D337" s="162"/>
      <c r="E337" s="162"/>
      <c r="F337" s="162"/>
      <c r="G337" s="162"/>
      <c r="H337" s="162"/>
      <c r="I337" s="39" t="s">
        <v>6059</v>
      </c>
      <c r="J337" s="111">
        <v>4950000</v>
      </c>
      <c r="K337" s="112">
        <v>45832</v>
      </c>
      <c r="L337" s="39"/>
      <c r="M337" s="39">
        <v>3103861763</v>
      </c>
      <c r="N337" s="39" t="s">
        <v>6309</v>
      </c>
      <c r="O337" s="116" t="s">
        <v>1075</v>
      </c>
    </row>
    <row r="338" spans="1:15" hidden="1" x14ac:dyDescent="0.25">
      <c r="A338" s="108"/>
      <c r="B338" s="39">
        <v>327</v>
      </c>
      <c r="C338" s="162" t="s">
        <v>6701</v>
      </c>
      <c r="D338" s="162"/>
      <c r="E338" s="162"/>
      <c r="F338" s="162"/>
      <c r="G338" s="162"/>
      <c r="H338" s="162"/>
      <c r="I338" s="39" t="s">
        <v>6699</v>
      </c>
      <c r="J338" s="111">
        <v>14950000</v>
      </c>
      <c r="K338" s="112">
        <v>45832</v>
      </c>
      <c r="L338" s="39"/>
      <c r="M338" s="39"/>
      <c r="N338" s="39"/>
      <c r="O338" s="116"/>
    </row>
    <row r="339" spans="1:15" hidden="1" x14ac:dyDescent="0.25">
      <c r="A339" s="108"/>
      <c r="B339" s="39">
        <v>328</v>
      </c>
      <c r="C339" s="162" t="s">
        <v>6700</v>
      </c>
      <c r="D339" s="162"/>
      <c r="E339" s="162"/>
      <c r="F339" s="162"/>
      <c r="G339" s="162"/>
      <c r="H339" s="162"/>
      <c r="I339" s="39" t="s">
        <v>702</v>
      </c>
      <c r="J339" s="111">
        <v>14950000</v>
      </c>
      <c r="K339" s="112">
        <v>45832</v>
      </c>
      <c r="L339" s="39"/>
      <c r="M339" s="39">
        <v>3104165783</v>
      </c>
      <c r="N339" s="39" t="s">
        <v>4564</v>
      </c>
      <c r="O339" s="116" t="s">
        <v>4565</v>
      </c>
    </row>
    <row r="340" spans="1:15" hidden="1" x14ac:dyDescent="0.25">
      <c r="A340" s="108"/>
      <c r="B340" s="39">
        <v>329</v>
      </c>
      <c r="C340" s="162" t="s">
        <v>6702</v>
      </c>
      <c r="D340" s="162"/>
      <c r="E340" s="162"/>
      <c r="F340" s="162"/>
      <c r="G340" s="162"/>
      <c r="H340" s="162"/>
      <c r="I340" s="39" t="s">
        <v>4939</v>
      </c>
      <c r="J340" s="111">
        <v>15650000</v>
      </c>
      <c r="K340" s="112">
        <v>45832</v>
      </c>
      <c r="L340" s="39"/>
      <c r="M340" s="39">
        <v>3008242202</v>
      </c>
      <c r="N340" s="39" t="s">
        <v>6703</v>
      </c>
      <c r="O340" s="38" t="s">
        <v>5719</v>
      </c>
    </row>
    <row r="341" spans="1:15" hidden="1" x14ac:dyDescent="0.25">
      <c r="A341" s="108"/>
      <c r="B341" s="39">
        <v>330</v>
      </c>
      <c r="C341" s="162" t="s">
        <v>6704</v>
      </c>
      <c r="D341" s="162"/>
      <c r="E341" s="162"/>
      <c r="F341" s="162"/>
      <c r="G341" s="162"/>
      <c r="H341" s="162"/>
      <c r="I341" s="39" t="s">
        <v>5582</v>
      </c>
      <c r="J341" s="111">
        <v>4950000</v>
      </c>
      <c r="K341" s="112">
        <v>45833</v>
      </c>
      <c r="L341" s="39"/>
      <c r="M341" s="39">
        <v>3014546806</v>
      </c>
      <c r="N341" s="39"/>
      <c r="O341" s="38" t="s">
        <v>6705</v>
      </c>
    </row>
    <row r="342" spans="1:15" hidden="1" x14ac:dyDescent="0.25">
      <c r="A342" s="108"/>
      <c r="B342" s="39">
        <v>331</v>
      </c>
      <c r="C342" s="162" t="s">
        <v>6708</v>
      </c>
      <c r="D342" s="162"/>
      <c r="E342" s="162"/>
      <c r="F342" s="162"/>
      <c r="G342" s="162"/>
      <c r="H342" s="162"/>
      <c r="I342" s="39" t="s">
        <v>6707</v>
      </c>
      <c r="J342" s="111">
        <v>10050000</v>
      </c>
      <c r="K342" s="112">
        <v>45834</v>
      </c>
      <c r="L342" s="39"/>
      <c r="M342" s="39"/>
      <c r="N342" s="39" t="s">
        <v>6710</v>
      </c>
      <c r="O342" s="38" t="s">
        <v>6711</v>
      </c>
    </row>
    <row r="343" spans="1:15" ht="15" hidden="1" customHeight="1" x14ac:dyDescent="0.25">
      <c r="A343" s="108"/>
      <c r="B343" s="39">
        <v>332</v>
      </c>
      <c r="C343" s="162" t="s">
        <v>6706</v>
      </c>
      <c r="D343" s="162"/>
      <c r="E343" s="162"/>
      <c r="F343" s="162"/>
      <c r="G343" s="162"/>
      <c r="H343" s="162"/>
      <c r="I343" s="39" t="s">
        <v>6714</v>
      </c>
      <c r="J343" s="111">
        <v>4450000</v>
      </c>
      <c r="K343" s="112">
        <v>45836</v>
      </c>
      <c r="L343" s="39"/>
      <c r="M343" s="39">
        <v>3006940601</v>
      </c>
      <c r="N343" s="39" t="s">
        <v>6715</v>
      </c>
      <c r="O343" s="116" t="s">
        <v>6709</v>
      </c>
    </row>
    <row r="344" spans="1:15" hidden="1" x14ac:dyDescent="0.25">
      <c r="A344" s="108"/>
      <c r="B344" s="39">
        <v>333</v>
      </c>
      <c r="C344" s="162" t="s">
        <v>6712</v>
      </c>
      <c r="D344" s="162"/>
      <c r="E344" s="162"/>
      <c r="F344" s="162"/>
      <c r="G344" s="162"/>
      <c r="H344" s="162"/>
      <c r="I344" s="39" t="s">
        <v>6008</v>
      </c>
      <c r="J344" s="111">
        <v>29950000</v>
      </c>
      <c r="K344" s="112">
        <v>45835</v>
      </c>
      <c r="L344" s="39"/>
      <c r="M344" s="39">
        <v>3136112279</v>
      </c>
      <c r="N344" s="39" t="s">
        <v>6713</v>
      </c>
      <c r="O344" s="38" t="s">
        <v>6007</v>
      </c>
    </row>
    <row r="345" spans="1:15" s="143" customFormat="1" hidden="1" x14ac:dyDescent="0.25">
      <c r="A345" s="138"/>
      <c r="B345" s="139">
        <v>334</v>
      </c>
      <c r="C345" s="291" t="s">
        <v>6716</v>
      </c>
      <c r="D345" s="291"/>
      <c r="E345" s="291"/>
      <c r="F345" s="291"/>
      <c r="G345" s="291"/>
      <c r="H345" s="291"/>
      <c r="I345" s="139" t="s">
        <v>702</v>
      </c>
      <c r="J345" s="140">
        <v>7950000</v>
      </c>
      <c r="K345" s="141">
        <v>45839</v>
      </c>
      <c r="L345" s="139"/>
      <c r="M345" s="139">
        <v>3006047984</v>
      </c>
      <c r="N345" s="139" t="s">
        <v>6377</v>
      </c>
      <c r="O345" s="142" t="s">
        <v>6379</v>
      </c>
    </row>
    <row r="346" spans="1:15" s="143" customFormat="1" hidden="1" x14ac:dyDescent="0.25">
      <c r="A346" s="138"/>
      <c r="B346" s="139">
        <v>335</v>
      </c>
      <c r="C346" s="291" t="s">
        <v>6717</v>
      </c>
      <c r="D346" s="291"/>
      <c r="E346" s="291"/>
      <c r="F346" s="291"/>
      <c r="G346" s="291"/>
      <c r="H346" s="291"/>
      <c r="I346" s="139" t="s">
        <v>2743</v>
      </c>
      <c r="J346" s="140">
        <v>3500000</v>
      </c>
      <c r="K346" s="141">
        <v>45839</v>
      </c>
      <c r="L346" s="139"/>
      <c r="M346" s="139">
        <v>3175594091</v>
      </c>
      <c r="N346" s="139" t="s">
        <v>2045</v>
      </c>
      <c r="O346" s="144" t="s">
        <v>748</v>
      </c>
    </row>
    <row r="347" spans="1:15" s="143" customFormat="1" hidden="1" x14ac:dyDescent="0.25">
      <c r="A347" s="138"/>
      <c r="B347" s="139">
        <v>336</v>
      </c>
      <c r="C347" s="291" t="s">
        <v>6718</v>
      </c>
      <c r="D347" s="291"/>
      <c r="E347" s="291"/>
      <c r="F347" s="291"/>
      <c r="G347" s="291"/>
      <c r="H347" s="291"/>
      <c r="I347" s="139" t="s">
        <v>3766</v>
      </c>
      <c r="J347" s="140">
        <v>26950000</v>
      </c>
      <c r="K347" s="141">
        <v>45839</v>
      </c>
      <c r="L347" s="139"/>
      <c r="M347" s="139">
        <v>3136824596</v>
      </c>
      <c r="N347" s="139" t="s">
        <v>6720</v>
      </c>
      <c r="O347" s="144" t="s">
        <v>6719</v>
      </c>
    </row>
    <row r="348" spans="1:15" s="143" customFormat="1" hidden="1" x14ac:dyDescent="0.25">
      <c r="A348" s="138"/>
      <c r="B348" s="139">
        <v>337</v>
      </c>
      <c r="C348" s="291" t="s">
        <v>6721</v>
      </c>
      <c r="D348" s="291"/>
      <c r="E348" s="291"/>
      <c r="F348" s="291"/>
      <c r="G348" s="291"/>
      <c r="H348" s="291"/>
      <c r="I348" s="139" t="s">
        <v>4120</v>
      </c>
      <c r="J348" s="140">
        <v>2000000</v>
      </c>
      <c r="K348" s="141">
        <v>45839</v>
      </c>
      <c r="L348" s="139"/>
      <c r="M348" s="145" t="s">
        <v>4124</v>
      </c>
      <c r="N348" s="145" t="s">
        <v>4122</v>
      </c>
      <c r="O348" s="144" t="s">
        <v>4123</v>
      </c>
    </row>
    <row r="349" spans="1:15" s="143" customFormat="1" hidden="1" x14ac:dyDescent="0.25">
      <c r="A349" s="138"/>
      <c r="B349" s="139">
        <v>338</v>
      </c>
      <c r="C349" s="291" t="s">
        <v>6722</v>
      </c>
      <c r="D349" s="291"/>
      <c r="E349" s="291"/>
      <c r="F349" s="291"/>
      <c r="G349" s="291"/>
      <c r="H349" s="291"/>
      <c r="I349" s="139" t="s">
        <v>6199</v>
      </c>
      <c r="J349" s="140">
        <v>29980000</v>
      </c>
      <c r="K349" s="141">
        <v>45839</v>
      </c>
      <c r="L349" s="139"/>
      <c r="M349" s="139">
        <v>4483960</v>
      </c>
      <c r="N349" s="139" t="s">
        <v>2353</v>
      </c>
      <c r="O349" s="144" t="s">
        <v>1806</v>
      </c>
    </row>
    <row r="350" spans="1:15" s="143" customFormat="1" ht="15" hidden="1" customHeight="1" x14ac:dyDescent="0.25">
      <c r="A350" s="138"/>
      <c r="B350" s="139">
        <v>339</v>
      </c>
      <c r="C350" s="291" t="s">
        <v>6723</v>
      </c>
      <c r="D350" s="291"/>
      <c r="E350" s="291"/>
      <c r="F350" s="291"/>
      <c r="G350" s="291"/>
      <c r="H350" s="291"/>
      <c r="I350" s="139" t="s">
        <v>6726</v>
      </c>
      <c r="J350" s="140">
        <v>3760000</v>
      </c>
      <c r="K350" s="141">
        <v>45841</v>
      </c>
      <c r="L350" s="139"/>
      <c r="M350" s="139" t="s">
        <v>3074</v>
      </c>
      <c r="N350" s="139" t="s">
        <v>6724</v>
      </c>
      <c r="O350" s="144" t="s">
        <v>6725</v>
      </c>
    </row>
    <row r="351" spans="1:15" s="143" customFormat="1" ht="15" hidden="1" customHeight="1" x14ac:dyDescent="0.25">
      <c r="A351" s="138"/>
      <c r="B351" s="139">
        <v>340</v>
      </c>
      <c r="C351" s="291" t="s">
        <v>6733</v>
      </c>
      <c r="D351" s="291"/>
      <c r="E351" s="291"/>
      <c r="F351" s="291"/>
      <c r="G351" s="291"/>
      <c r="H351" s="291"/>
      <c r="I351" s="139" t="s">
        <v>702</v>
      </c>
      <c r="J351" s="140">
        <v>12540000</v>
      </c>
      <c r="K351" s="141">
        <v>45841</v>
      </c>
      <c r="L351" s="139"/>
      <c r="M351" s="139">
        <v>3104165783</v>
      </c>
      <c r="N351" s="139" t="s">
        <v>4564</v>
      </c>
      <c r="O351" s="142" t="s">
        <v>4565</v>
      </c>
    </row>
    <row r="352" spans="1:15" s="143" customFormat="1" hidden="1" x14ac:dyDescent="0.25">
      <c r="A352" s="138"/>
      <c r="B352" s="139">
        <v>341</v>
      </c>
      <c r="C352" s="291" t="s">
        <v>6727</v>
      </c>
      <c r="D352" s="291"/>
      <c r="E352" s="291"/>
      <c r="F352" s="291"/>
      <c r="G352" s="291"/>
      <c r="H352" s="291"/>
      <c r="I352" s="139" t="s">
        <v>702</v>
      </c>
      <c r="J352" s="140">
        <v>6250000</v>
      </c>
      <c r="K352" s="141">
        <v>45841</v>
      </c>
      <c r="L352" s="139"/>
      <c r="M352" s="139">
        <v>3104203649</v>
      </c>
      <c r="N352" s="139" t="s">
        <v>6728</v>
      </c>
      <c r="O352" s="144" t="s">
        <v>2621</v>
      </c>
    </row>
    <row r="353" spans="1:15" s="143" customFormat="1" hidden="1" x14ac:dyDescent="0.25">
      <c r="A353" s="138"/>
      <c r="B353" s="139">
        <v>342</v>
      </c>
      <c r="C353" s="291" t="s">
        <v>6729</v>
      </c>
      <c r="D353" s="291"/>
      <c r="E353" s="291"/>
      <c r="F353" s="291"/>
      <c r="G353" s="291"/>
      <c r="H353" s="291"/>
      <c r="I353" s="139" t="s">
        <v>4216</v>
      </c>
      <c r="J353" s="140">
        <v>9950000</v>
      </c>
      <c r="K353" s="141">
        <v>45841</v>
      </c>
      <c r="L353" s="139"/>
      <c r="M353" s="139">
        <v>3127256120</v>
      </c>
      <c r="N353" s="139" t="s">
        <v>6731</v>
      </c>
      <c r="O353" s="144" t="s">
        <v>6730</v>
      </c>
    </row>
    <row r="354" spans="1:15" s="143" customFormat="1" hidden="1" x14ac:dyDescent="0.25">
      <c r="A354" s="138"/>
      <c r="B354" s="139">
        <v>343</v>
      </c>
      <c r="C354" s="291" t="s">
        <v>6734</v>
      </c>
      <c r="D354" s="291"/>
      <c r="E354" s="291"/>
      <c r="F354" s="291"/>
      <c r="G354" s="291"/>
      <c r="H354" s="291"/>
      <c r="I354" s="139" t="s">
        <v>6735</v>
      </c>
      <c r="J354" s="140">
        <v>6950000</v>
      </c>
      <c r="K354" s="141">
        <v>45841</v>
      </c>
      <c r="L354" s="139"/>
      <c r="M354" s="139"/>
      <c r="N354" s="139" t="s">
        <v>6736</v>
      </c>
      <c r="O354" s="144" t="s">
        <v>6737</v>
      </c>
    </row>
    <row r="355" spans="1:15" hidden="1" x14ac:dyDescent="0.25">
      <c r="A355" s="108"/>
      <c r="B355" s="39">
        <v>344</v>
      </c>
      <c r="C355" s="162" t="s">
        <v>6738</v>
      </c>
      <c r="D355" s="162"/>
      <c r="E355" s="162"/>
      <c r="F355" s="162"/>
      <c r="G355" s="162"/>
      <c r="H355" s="162"/>
      <c r="I355" s="39" t="s">
        <v>6739</v>
      </c>
      <c r="J355" s="111" t="s">
        <v>381</v>
      </c>
      <c r="K355" s="112">
        <v>45842</v>
      </c>
      <c r="L355" s="39"/>
      <c r="M355" s="39">
        <v>4488388</v>
      </c>
      <c r="N355" s="39" t="s">
        <v>725</v>
      </c>
      <c r="O355" s="52" t="s">
        <v>6740</v>
      </c>
    </row>
    <row r="356" spans="1:15" x14ac:dyDescent="0.25">
      <c r="A356" s="108"/>
      <c r="B356" s="39">
        <v>345</v>
      </c>
      <c r="C356" s="162" t="s">
        <v>6679</v>
      </c>
      <c r="D356" s="162"/>
      <c r="E356" s="162"/>
      <c r="F356" s="162"/>
      <c r="G356" s="162"/>
      <c r="H356" s="162"/>
      <c r="I356" s="39" t="s">
        <v>6668</v>
      </c>
      <c r="J356" s="111">
        <v>19950000</v>
      </c>
      <c r="K356" s="112">
        <v>45842</v>
      </c>
      <c r="L356" s="39"/>
      <c r="M356" s="39">
        <v>3053533308</v>
      </c>
      <c r="N356" s="39" t="s">
        <v>6665</v>
      </c>
      <c r="O356" s="52" t="s">
        <v>6666</v>
      </c>
    </row>
    <row r="357" spans="1:15" x14ac:dyDescent="0.25">
      <c r="A357" s="108"/>
      <c r="B357" s="39">
        <v>346</v>
      </c>
      <c r="C357" s="162" t="s">
        <v>6741</v>
      </c>
      <c r="D357" s="162"/>
      <c r="E357" s="162"/>
      <c r="F357" s="162"/>
      <c r="G357" s="162"/>
      <c r="H357" s="162"/>
      <c r="I357" s="39" t="s">
        <v>6668</v>
      </c>
      <c r="J357" s="111">
        <v>29950000</v>
      </c>
      <c r="K357" s="112">
        <v>45842</v>
      </c>
      <c r="L357" s="39"/>
      <c r="M357" s="39">
        <v>3053533308</v>
      </c>
      <c r="N357" s="39" t="s">
        <v>6665</v>
      </c>
      <c r="O357" s="52" t="s">
        <v>6666</v>
      </c>
    </row>
    <row r="358" spans="1:15" s="143" customFormat="1" ht="15" hidden="1" customHeight="1" x14ac:dyDescent="0.25">
      <c r="A358" s="138"/>
      <c r="B358" s="139">
        <v>347</v>
      </c>
      <c r="C358" s="291" t="s">
        <v>6742</v>
      </c>
      <c r="D358" s="291"/>
      <c r="E358" s="291"/>
      <c r="F358" s="291"/>
      <c r="G358" s="291"/>
      <c r="H358" s="291"/>
      <c r="I358" s="139" t="s">
        <v>4597</v>
      </c>
      <c r="J358" s="140">
        <v>19950000</v>
      </c>
      <c r="K358" s="141">
        <v>45842</v>
      </c>
      <c r="L358" s="139"/>
      <c r="M358" s="139">
        <v>3135401714</v>
      </c>
      <c r="N358" s="139" t="s">
        <v>4294</v>
      </c>
      <c r="O358" s="142" t="s">
        <v>1662</v>
      </c>
    </row>
    <row r="359" spans="1:15" s="143" customFormat="1" ht="15" hidden="1" customHeight="1" x14ac:dyDescent="0.25">
      <c r="A359" s="138"/>
      <c r="B359" s="139">
        <v>348</v>
      </c>
      <c r="C359" s="291" t="s">
        <v>6741</v>
      </c>
      <c r="D359" s="291"/>
      <c r="E359" s="291"/>
      <c r="F359" s="291"/>
      <c r="G359" s="291"/>
      <c r="H359" s="291"/>
      <c r="I359" s="139" t="s">
        <v>4597</v>
      </c>
      <c r="J359" s="140">
        <v>29950000</v>
      </c>
      <c r="K359" s="141">
        <v>45842</v>
      </c>
      <c r="L359" s="139"/>
      <c r="M359" s="139">
        <v>3135401714</v>
      </c>
      <c r="N359" s="139" t="s">
        <v>4294</v>
      </c>
      <c r="O359" s="142" t="s">
        <v>1662</v>
      </c>
    </row>
    <row r="360" spans="1:15" hidden="1" x14ac:dyDescent="0.25">
      <c r="A360" s="108"/>
      <c r="B360" s="39">
        <v>349</v>
      </c>
      <c r="C360" s="162" t="s">
        <v>6743</v>
      </c>
      <c r="D360" s="162"/>
      <c r="E360" s="162"/>
      <c r="F360" s="162"/>
      <c r="G360" s="162"/>
      <c r="H360" s="162"/>
      <c r="I360" s="39" t="s">
        <v>6745</v>
      </c>
      <c r="J360" s="111">
        <v>7500000</v>
      </c>
      <c r="K360" s="112">
        <v>45846</v>
      </c>
      <c r="L360" s="39"/>
      <c r="M360" s="39">
        <v>3116340949</v>
      </c>
      <c r="N360" s="39" t="s">
        <v>6745</v>
      </c>
      <c r="O360" s="115" t="s">
        <v>6744</v>
      </c>
    </row>
    <row r="361" spans="1:15" ht="15" hidden="1" customHeight="1" x14ac:dyDescent="0.25">
      <c r="A361" s="108"/>
      <c r="B361" s="39">
        <v>350</v>
      </c>
      <c r="C361" s="162" t="s">
        <v>6746</v>
      </c>
      <c r="D361" s="162"/>
      <c r="E361" s="162"/>
      <c r="F361" s="162"/>
      <c r="G361" s="162"/>
      <c r="H361" s="162"/>
      <c r="I361" s="39" t="s">
        <v>6747</v>
      </c>
      <c r="J361" s="111">
        <v>18550000</v>
      </c>
      <c r="K361" s="112">
        <v>45848</v>
      </c>
      <c r="L361" s="39"/>
      <c r="M361" s="39">
        <v>3175052845</v>
      </c>
      <c r="N361" s="39" t="s">
        <v>6748</v>
      </c>
      <c r="O361" s="52" t="s">
        <v>6749</v>
      </c>
    </row>
    <row r="362" spans="1:15" s="143" customFormat="1" hidden="1" x14ac:dyDescent="0.25">
      <c r="A362" s="138"/>
      <c r="B362" s="139">
        <v>351</v>
      </c>
      <c r="C362" s="291" t="s">
        <v>6750</v>
      </c>
      <c r="D362" s="291"/>
      <c r="E362" s="291"/>
      <c r="F362" s="291"/>
      <c r="G362" s="291"/>
      <c r="H362" s="291"/>
      <c r="I362" s="139" t="s">
        <v>6751</v>
      </c>
      <c r="J362" s="140">
        <v>7550000</v>
      </c>
      <c r="K362" s="141">
        <v>45848</v>
      </c>
      <c r="L362" s="139"/>
      <c r="M362" s="139" t="s">
        <v>6752</v>
      </c>
      <c r="N362" s="139" t="s">
        <v>3801</v>
      </c>
      <c r="O362" s="144" t="s">
        <v>1854</v>
      </c>
    </row>
    <row r="363" spans="1:15" s="143" customFormat="1" hidden="1" x14ac:dyDescent="0.25">
      <c r="A363" s="138"/>
      <c r="B363" s="139">
        <v>352</v>
      </c>
      <c r="C363" s="291" t="s">
        <v>6753</v>
      </c>
      <c r="D363" s="291"/>
      <c r="E363" s="291"/>
      <c r="F363" s="291"/>
      <c r="G363" s="291"/>
      <c r="H363" s="291"/>
      <c r="I363" s="139" t="s">
        <v>3202</v>
      </c>
      <c r="J363" s="140">
        <v>37650000</v>
      </c>
      <c r="K363" s="141">
        <v>45848</v>
      </c>
      <c r="L363" s="139"/>
      <c r="M363" s="139">
        <v>3137851941</v>
      </c>
      <c r="N363" s="139" t="s">
        <v>192</v>
      </c>
      <c r="O363" s="142" t="s">
        <v>713</v>
      </c>
    </row>
    <row r="364" spans="1:15" hidden="1" x14ac:dyDescent="0.25">
      <c r="A364" s="108"/>
      <c r="B364" s="39">
        <v>353</v>
      </c>
      <c r="C364" s="162" t="s">
        <v>6754</v>
      </c>
      <c r="D364" s="162"/>
      <c r="E364" s="162"/>
      <c r="F364" s="162"/>
      <c r="G364" s="162"/>
      <c r="H364" s="162"/>
      <c r="I364" s="39" t="s">
        <v>6755</v>
      </c>
      <c r="J364" s="111">
        <v>28850000</v>
      </c>
      <c r="K364" s="112">
        <v>45848</v>
      </c>
      <c r="L364" s="39"/>
      <c r="M364" s="39"/>
      <c r="N364" s="39" t="s">
        <v>6755</v>
      </c>
      <c r="O364" s="116"/>
    </row>
    <row r="365" spans="1:15" hidden="1" x14ac:dyDescent="0.25">
      <c r="A365" s="108"/>
      <c r="B365" s="39">
        <v>354</v>
      </c>
      <c r="C365" s="162" t="s">
        <v>6756</v>
      </c>
      <c r="D365" s="162"/>
      <c r="E365" s="162"/>
      <c r="F365" s="162"/>
      <c r="G365" s="162"/>
      <c r="H365" s="162"/>
      <c r="I365" s="39" t="s">
        <v>6757</v>
      </c>
      <c r="J365" s="111">
        <v>5950000</v>
      </c>
      <c r="K365" s="112">
        <v>45848</v>
      </c>
      <c r="L365" s="39"/>
      <c r="M365" s="39"/>
      <c r="N365" s="39" t="s">
        <v>6792</v>
      </c>
      <c r="O365" s="116"/>
    </row>
    <row r="366" spans="1:15" hidden="1" x14ac:dyDescent="0.25">
      <c r="A366" s="108"/>
      <c r="B366" s="39">
        <v>355</v>
      </c>
      <c r="C366" s="162" t="s">
        <v>6758</v>
      </c>
      <c r="D366" s="162"/>
      <c r="E366" s="162"/>
      <c r="F366" s="162"/>
      <c r="G366" s="162"/>
      <c r="H366" s="162"/>
      <c r="I366" s="39" t="s">
        <v>6757</v>
      </c>
      <c r="J366" s="111">
        <v>22610000</v>
      </c>
      <c r="K366" s="112">
        <v>45848</v>
      </c>
      <c r="L366" s="39"/>
      <c r="M366" s="39"/>
      <c r="N366" s="39" t="s">
        <v>6792</v>
      </c>
      <c r="O366" s="116"/>
    </row>
    <row r="367" spans="1:15" hidden="1" x14ac:dyDescent="0.25">
      <c r="A367" s="108"/>
      <c r="B367" s="39">
        <v>356</v>
      </c>
      <c r="C367" s="162" t="s">
        <v>6759</v>
      </c>
      <c r="D367" s="162"/>
      <c r="E367" s="162"/>
      <c r="F367" s="162"/>
      <c r="G367" s="162"/>
      <c r="H367" s="162"/>
      <c r="I367" s="39" t="s">
        <v>702</v>
      </c>
      <c r="J367" s="111">
        <v>25950000</v>
      </c>
      <c r="K367" s="112">
        <v>45849</v>
      </c>
      <c r="L367" s="39"/>
      <c r="M367" s="39">
        <v>3006047984</v>
      </c>
      <c r="N367" s="39" t="s">
        <v>6377</v>
      </c>
      <c r="O367" s="116" t="s">
        <v>6379</v>
      </c>
    </row>
    <row r="368" spans="1:15" s="143" customFormat="1" hidden="1" x14ac:dyDescent="0.25">
      <c r="A368" s="138"/>
      <c r="B368" s="139">
        <v>357</v>
      </c>
      <c r="C368" s="291" t="s">
        <v>6793</v>
      </c>
      <c r="D368" s="291"/>
      <c r="E368" s="291"/>
      <c r="F368" s="291"/>
      <c r="G368" s="291"/>
      <c r="H368" s="291"/>
      <c r="I368" s="139" t="s">
        <v>6760</v>
      </c>
      <c r="J368" s="140">
        <v>69440220</v>
      </c>
      <c r="K368" s="141">
        <v>45849</v>
      </c>
      <c r="L368" s="139"/>
      <c r="M368" s="139"/>
      <c r="N368" s="139"/>
      <c r="O368" s="142"/>
    </row>
    <row r="369" spans="1:15" hidden="1" x14ac:dyDescent="0.25">
      <c r="A369" s="108"/>
      <c r="B369" s="39">
        <v>358</v>
      </c>
      <c r="C369" s="162" t="s">
        <v>6799</v>
      </c>
      <c r="D369" s="162"/>
      <c r="E369" s="162"/>
      <c r="F369" s="162"/>
      <c r="G369" s="162"/>
      <c r="H369" s="162"/>
      <c r="I369" s="39" t="s">
        <v>6280</v>
      </c>
      <c r="J369" s="111">
        <v>1500000</v>
      </c>
      <c r="K369" s="112">
        <v>45849</v>
      </c>
      <c r="L369" s="39"/>
      <c r="M369" s="39" t="s">
        <v>1897</v>
      </c>
      <c r="N369" s="39" t="s">
        <v>2076</v>
      </c>
      <c r="O369" s="116" t="s">
        <v>1899</v>
      </c>
    </row>
    <row r="370" spans="1:15" hidden="1" x14ac:dyDescent="0.25">
      <c r="A370" s="108"/>
      <c r="B370" s="39">
        <v>359</v>
      </c>
      <c r="C370" s="162" t="s">
        <v>6761</v>
      </c>
      <c r="D370" s="162"/>
      <c r="E370" s="162"/>
      <c r="F370" s="162"/>
      <c r="G370" s="162"/>
      <c r="H370" s="162"/>
      <c r="I370" s="39" t="s">
        <v>1177</v>
      </c>
      <c r="J370" s="111">
        <v>11950000</v>
      </c>
      <c r="K370" s="112">
        <v>45853</v>
      </c>
      <c r="L370" s="39"/>
      <c r="M370" s="39" t="s">
        <v>6908</v>
      </c>
      <c r="N370" s="39" t="s">
        <v>6762</v>
      </c>
      <c r="O370" s="116" t="s">
        <v>6763</v>
      </c>
    </row>
    <row r="371" spans="1:15" hidden="1" x14ac:dyDescent="0.25">
      <c r="A371" s="108"/>
      <c r="B371" s="39">
        <v>360</v>
      </c>
      <c r="C371" s="162" t="s">
        <v>6768</v>
      </c>
      <c r="D371" s="162"/>
      <c r="E371" s="162"/>
      <c r="F371" s="162"/>
      <c r="G371" s="162"/>
      <c r="H371" s="162"/>
      <c r="I371" s="39" t="s">
        <v>6765</v>
      </c>
      <c r="J371" s="111">
        <v>4950000</v>
      </c>
      <c r="K371" s="112">
        <v>45853</v>
      </c>
      <c r="L371" s="39"/>
      <c r="M371" s="39"/>
      <c r="N371" s="39" t="s">
        <v>6766</v>
      </c>
      <c r="O371" s="116" t="s">
        <v>6767</v>
      </c>
    </row>
    <row r="372" spans="1:15" hidden="1" x14ac:dyDescent="0.25">
      <c r="A372" s="108"/>
      <c r="B372" s="39">
        <v>361</v>
      </c>
      <c r="C372" s="162" t="s">
        <v>6764</v>
      </c>
      <c r="D372" s="162"/>
      <c r="E372" s="162"/>
      <c r="F372" s="162"/>
      <c r="G372" s="162"/>
      <c r="H372" s="162"/>
      <c r="I372" s="39" t="s">
        <v>2838</v>
      </c>
      <c r="J372" s="111">
        <v>6900000</v>
      </c>
      <c r="K372" s="112">
        <v>45855</v>
      </c>
      <c r="L372" s="39"/>
      <c r="M372" s="39">
        <v>3052501777</v>
      </c>
      <c r="N372" s="39" t="s">
        <v>6540</v>
      </c>
      <c r="O372" s="116" t="s">
        <v>5258</v>
      </c>
    </row>
    <row r="373" spans="1:15" hidden="1" x14ac:dyDescent="0.25">
      <c r="A373" s="108"/>
      <c r="B373" s="39">
        <v>362</v>
      </c>
      <c r="C373" s="162" t="s">
        <v>6772</v>
      </c>
      <c r="D373" s="162"/>
      <c r="E373" s="162"/>
      <c r="F373" s="162"/>
      <c r="G373" s="162"/>
      <c r="H373" s="162"/>
      <c r="I373" s="39" t="s">
        <v>6769</v>
      </c>
      <c r="J373" s="111" t="s">
        <v>150</v>
      </c>
      <c r="K373" s="112">
        <v>45856</v>
      </c>
      <c r="L373" s="39"/>
      <c r="M373" s="39">
        <v>3117642945</v>
      </c>
      <c r="N373" s="39" t="s">
        <v>6770</v>
      </c>
      <c r="O373" s="116" t="s">
        <v>6771</v>
      </c>
    </row>
    <row r="374" spans="1:15" hidden="1" x14ac:dyDescent="0.25">
      <c r="A374" s="108"/>
      <c r="B374" s="39">
        <v>363</v>
      </c>
      <c r="C374" s="162" t="s">
        <v>6773</v>
      </c>
      <c r="D374" s="162"/>
      <c r="E374" s="162"/>
      <c r="F374" s="162"/>
      <c r="G374" s="162"/>
      <c r="H374" s="162"/>
      <c r="I374" s="39" t="s">
        <v>2445</v>
      </c>
      <c r="J374" s="111">
        <v>32920000</v>
      </c>
      <c r="K374" s="112">
        <v>45856</v>
      </c>
      <c r="L374" s="39"/>
      <c r="M374" s="39">
        <v>3106005558</v>
      </c>
      <c r="N374" s="39" t="s">
        <v>6428</v>
      </c>
      <c r="O374" s="116" t="s">
        <v>6774</v>
      </c>
    </row>
    <row r="375" spans="1:15" hidden="1" x14ac:dyDescent="0.25">
      <c r="A375" s="108"/>
      <c r="B375" s="39">
        <v>364</v>
      </c>
      <c r="C375" s="162" t="s">
        <v>6775</v>
      </c>
      <c r="D375" s="162"/>
      <c r="E375" s="162"/>
      <c r="F375" s="162"/>
      <c r="G375" s="162"/>
      <c r="H375" s="162"/>
      <c r="I375" s="39" t="s">
        <v>3766</v>
      </c>
      <c r="J375" s="111">
        <v>49930000</v>
      </c>
      <c r="K375" s="112">
        <v>45856</v>
      </c>
      <c r="L375" s="39"/>
      <c r="M375" s="39">
        <v>3007549649</v>
      </c>
      <c r="N375" s="39" t="s">
        <v>3552</v>
      </c>
      <c r="O375" s="116" t="s">
        <v>3553</v>
      </c>
    </row>
    <row r="376" spans="1:15" hidden="1" x14ac:dyDescent="0.25">
      <c r="A376" s="108"/>
      <c r="B376" s="39">
        <v>365</v>
      </c>
      <c r="C376" s="162" t="s">
        <v>6777</v>
      </c>
      <c r="D376" s="162"/>
      <c r="E376" s="162"/>
      <c r="F376" s="162"/>
      <c r="G376" s="162"/>
      <c r="H376" s="162"/>
      <c r="I376" s="39" t="s">
        <v>6776</v>
      </c>
      <c r="J376" s="111">
        <v>39950000</v>
      </c>
      <c r="K376" s="112">
        <v>45866</v>
      </c>
      <c r="L376" s="39"/>
      <c r="M376" s="39">
        <v>3203016600</v>
      </c>
      <c r="N376" s="39" t="s">
        <v>6778</v>
      </c>
      <c r="O376" s="116" t="s">
        <v>6779</v>
      </c>
    </row>
    <row r="377" spans="1:15" hidden="1" x14ac:dyDescent="0.25">
      <c r="A377" s="108"/>
      <c r="B377" s="39">
        <v>366</v>
      </c>
      <c r="C377" s="162" t="s">
        <v>6780</v>
      </c>
      <c r="D377" s="162"/>
      <c r="E377" s="162"/>
      <c r="F377" s="162"/>
      <c r="G377" s="162"/>
      <c r="H377" s="162"/>
      <c r="I377" s="39" t="s">
        <v>702</v>
      </c>
      <c r="J377" s="111" t="s">
        <v>150</v>
      </c>
      <c r="K377" s="112">
        <v>45856</v>
      </c>
      <c r="L377" s="39"/>
      <c r="M377" s="39">
        <v>3006047984</v>
      </c>
      <c r="N377" s="39" t="s">
        <v>6377</v>
      </c>
      <c r="O377" s="116" t="s">
        <v>6379</v>
      </c>
    </row>
    <row r="378" spans="1:15" hidden="1" x14ac:dyDescent="0.25">
      <c r="A378" s="108"/>
      <c r="B378" s="39">
        <v>367</v>
      </c>
      <c r="C378" s="162" t="s">
        <v>6781</v>
      </c>
      <c r="D378" s="162"/>
      <c r="E378" s="162"/>
      <c r="F378" s="162"/>
      <c r="G378" s="162"/>
      <c r="H378" s="162"/>
      <c r="I378" s="39" t="s">
        <v>6782</v>
      </c>
      <c r="J378" s="111">
        <v>21900000</v>
      </c>
      <c r="K378" s="112">
        <v>45856</v>
      </c>
      <c r="L378" s="39"/>
      <c r="M378" s="39">
        <v>3207273996</v>
      </c>
      <c r="N378" s="39" t="s">
        <v>6783</v>
      </c>
      <c r="O378" s="116" t="s">
        <v>6784</v>
      </c>
    </row>
    <row r="379" spans="1:15" hidden="1" x14ac:dyDescent="0.25">
      <c r="A379" s="108"/>
      <c r="B379" s="39">
        <v>368</v>
      </c>
      <c r="C379" s="162" t="s">
        <v>6785</v>
      </c>
      <c r="D379" s="162"/>
      <c r="E379" s="162"/>
      <c r="F379" s="162"/>
      <c r="G379" s="162"/>
      <c r="H379" s="162"/>
      <c r="I379" s="39" t="s">
        <v>6786</v>
      </c>
      <c r="J379" s="111">
        <v>99750000</v>
      </c>
      <c r="K379" s="112">
        <v>45859</v>
      </c>
      <c r="L379" s="39"/>
      <c r="M379" s="39">
        <v>3106358712</v>
      </c>
      <c r="N379" s="39" t="s">
        <v>6788</v>
      </c>
      <c r="O379" s="116" t="s">
        <v>6787</v>
      </c>
    </row>
    <row r="380" spans="1:15" hidden="1" x14ac:dyDescent="0.25">
      <c r="A380" s="108"/>
      <c r="B380" s="39">
        <v>369</v>
      </c>
      <c r="C380" s="162" t="s">
        <v>6789</v>
      </c>
      <c r="D380" s="162"/>
      <c r="E380" s="162"/>
      <c r="F380" s="162"/>
      <c r="G380" s="162"/>
      <c r="H380" s="162"/>
      <c r="I380" s="39" t="s">
        <v>3128</v>
      </c>
      <c r="J380" s="111">
        <v>35950000</v>
      </c>
      <c r="K380" s="112">
        <v>45859</v>
      </c>
      <c r="L380" s="39"/>
      <c r="M380" s="39">
        <v>3192564149</v>
      </c>
      <c r="N380" s="39" t="s">
        <v>6791</v>
      </c>
      <c r="O380" s="116" t="s">
        <v>6790</v>
      </c>
    </row>
    <row r="381" spans="1:15" hidden="1" x14ac:dyDescent="0.25">
      <c r="A381" s="108"/>
      <c r="B381" s="39">
        <v>370</v>
      </c>
      <c r="C381" s="162" t="s">
        <v>6794</v>
      </c>
      <c r="D381" s="162"/>
      <c r="E381" s="162"/>
      <c r="F381" s="162"/>
      <c r="G381" s="162"/>
      <c r="H381" s="162"/>
      <c r="I381" s="39" t="s">
        <v>3202</v>
      </c>
      <c r="J381" s="111">
        <v>14930000</v>
      </c>
      <c r="K381" s="112">
        <v>45860</v>
      </c>
      <c r="L381" s="39"/>
      <c r="M381" s="39">
        <v>3233748748</v>
      </c>
      <c r="N381" s="39" t="s">
        <v>6797</v>
      </c>
      <c r="O381" s="116" t="s">
        <v>6798</v>
      </c>
    </row>
    <row r="382" spans="1:15" hidden="1" x14ac:dyDescent="0.25">
      <c r="A382" s="108"/>
      <c r="B382" s="39">
        <v>371</v>
      </c>
      <c r="C382" s="162" t="s">
        <v>6795</v>
      </c>
      <c r="D382" s="162"/>
      <c r="E382" s="162"/>
      <c r="F382" s="162"/>
      <c r="G382" s="162"/>
      <c r="H382" s="162"/>
      <c r="I382" s="39" t="s">
        <v>870</v>
      </c>
      <c r="J382" s="111">
        <v>8780000</v>
      </c>
      <c r="K382" s="112">
        <v>45860</v>
      </c>
      <c r="L382" s="39"/>
      <c r="M382" s="39" t="s">
        <v>2876</v>
      </c>
      <c r="N382" s="39" t="s">
        <v>887</v>
      </c>
      <c r="O382" s="116" t="s">
        <v>2877</v>
      </c>
    </row>
    <row r="383" spans="1:15" hidden="1" x14ac:dyDescent="0.25">
      <c r="A383" s="108"/>
      <c r="B383" s="39">
        <v>372</v>
      </c>
      <c r="C383" s="162" t="s">
        <v>6796</v>
      </c>
      <c r="D383" s="162"/>
      <c r="E383" s="162"/>
      <c r="F383" s="162"/>
      <c r="G383" s="162"/>
      <c r="H383" s="162"/>
      <c r="I383" s="39" t="s">
        <v>870</v>
      </c>
      <c r="J383" s="111">
        <v>6900000</v>
      </c>
      <c r="K383" s="112">
        <v>45860</v>
      </c>
      <c r="L383" s="39"/>
      <c r="M383" s="39" t="s">
        <v>2876</v>
      </c>
      <c r="N383" s="39" t="s">
        <v>887</v>
      </c>
      <c r="O383" s="116" t="s">
        <v>2877</v>
      </c>
    </row>
    <row r="384" spans="1:15" hidden="1" x14ac:dyDescent="0.25">
      <c r="A384" s="108"/>
      <c r="B384" s="39">
        <v>373</v>
      </c>
      <c r="C384" s="162" t="s">
        <v>6800</v>
      </c>
      <c r="D384" s="162"/>
      <c r="E384" s="162"/>
      <c r="F384" s="162"/>
      <c r="G384" s="162"/>
      <c r="H384" s="162"/>
      <c r="I384" s="39" t="s">
        <v>6801</v>
      </c>
      <c r="J384" s="111">
        <v>48920000</v>
      </c>
      <c r="K384" s="112">
        <v>45861</v>
      </c>
      <c r="L384" s="39"/>
      <c r="M384" s="39">
        <v>3116053291</v>
      </c>
      <c r="N384" s="39" t="s">
        <v>6802</v>
      </c>
      <c r="O384" s="116" t="s">
        <v>6803</v>
      </c>
    </row>
    <row r="385" spans="1:15" hidden="1" x14ac:dyDescent="0.25">
      <c r="A385" s="108"/>
      <c r="B385" s="39">
        <v>374</v>
      </c>
      <c r="C385" s="162" t="s">
        <v>6804</v>
      </c>
      <c r="D385" s="162"/>
      <c r="E385" s="162"/>
      <c r="F385" s="162"/>
      <c r="G385" s="162"/>
      <c r="H385" s="162"/>
      <c r="I385" s="39" t="s">
        <v>6805</v>
      </c>
      <c r="J385" s="111">
        <v>8750000</v>
      </c>
      <c r="K385" s="112">
        <v>45861</v>
      </c>
      <c r="L385" s="39"/>
      <c r="M385" s="39">
        <v>3215827844</v>
      </c>
      <c r="N385" s="39" t="s">
        <v>6806</v>
      </c>
      <c r="O385" s="116" t="s">
        <v>6807</v>
      </c>
    </row>
    <row r="386" spans="1:15" hidden="1" x14ac:dyDescent="0.25">
      <c r="A386" s="108"/>
      <c r="B386" s="39">
        <v>375</v>
      </c>
      <c r="C386" s="162" t="s">
        <v>6809</v>
      </c>
      <c r="D386" s="162"/>
      <c r="E386" s="162"/>
      <c r="F386" s="162"/>
      <c r="G386" s="162"/>
      <c r="H386" s="162"/>
      <c r="I386" s="39" t="s">
        <v>6808</v>
      </c>
      <c r="J386" s="111">
        <v>12540000</v>
      </c>
      <c r="K386" s="112">
        <v>45866</v>
      </c>
      <c r="L386" s="39"/>
      <c r="M386" s="39">
        <v>3192916803</v>
      </c>
      <c r="N386" s="39" t="s">
        <v>6811</v>
      </c>
      <c r="O386" s="116" t="s">
        <v>6810</v>
      </c>
    </row>
    <row r="387" spans="1:15" hidden="1" x14ac:dyDescent="0.25">
      <c r="A387" s="108"/>
      <c r="B387" s="39">
        <v>376</v>
      </c>
      <c r="C387" s="162" t="s">
        <v>6818</v>
      </c>
      <c r="D387" s="162"/>
      <c r="E387" s="162"/>
      <c r="F387" s="162"/>
      <c r="G387" s="162"/>
      <c r="H387" s="162"/>
      <c r="I387" s="39" t="s">
        <v>5753</v>
      </c>
      <c r="J387" s="111">
        <f>2330610/1.19</f>
        <v>1958495.7983193279</v>
      </c>
      <c r="K387" s="112">
        <v>45863</v>
      </c>
      <c r="L387" s="39"/>
      <c r="M387" s="39" t="s">
        <v>6812</v>
      </c>
      <c r="N387" s="39" t="s">
        <v>6029</v>
      </c>
      <c r="O387" s="38" t="s">
        <v>6813</v>
      </c>
    </row>
    <row r="388" spans="1:15" hidden="1" x14ac:dyDescent="0.25">
      <c r="A388" s="108"/>
      <c r="B388" s="39">
        <v>377</v>
      </c>
      <c r="C388" s="162" t="s">
        <v>6814</v>
      </c>
      <c r="D388" s="162"/>
      <c r="E388" s="162"/>
      <c r="F388" s="162"/>
      <c r="G388" s="162"/>
      <c r="H388" s="162"/>
      <c r="I388" s="39" t="s">
        <v>2779</v>
      </c>
      <c r="J388" s="111">
        <v>31840000</v>
      </c>
      <c r="K388" s="112">
        <v>45863</v>
      </c>
      <c r="L388" s="39"/>
      <c r="M388" s="39">
        <v>3128365928</v>
      </c>
      <c r="N388" s="39" t="s">
        <v>6815</v>
      </c>
      <c r="O388" s="38" t="s">
        <v>6816</v>
      </c>
    </row>
    <row r="389" spans="1:15" hidden="1" x14ac:dyDescent="0.25">
      <c r="A389" s="108"/>
      <c r="B389" s="39">
        <v>378</v>
      </c>
      <c r="C389" s="162" t="s">
        <v>6817</v>
      </c>
      <c r="D389" s="162"/>
      <c r="E389" s="162"/>
      <c r="F389" s="162"/>
      <c r="G389" s="162"/>
      <c r="H389" s="162"/>
      <c r="I389" s="39" t="s">
        <v>3002</v>
      </c>
      <c r="J389" s="111">
        <v>29980000</v>
      </c>
      <c r="K389" s="112">
        <v>45863</v>
      </c>
      <c r="L389" s="39"/>
      <c r="M389" s="39" t="s">
        <v>5232</v>
      </c>
      <c r="N389" s="39" t="s">
        <v>5199</v>
      </c>
      <c r="O389" s="38" t="s">
        <v>5200</v>
      </c>
    </row>
    <row r="390" spans="1:15" hidden="1" x14ac:dyDescent="0.25">
      <c r="A390" s="108"/>
      <c r="B390" s="39">
        <v>379</v>
      </c>
      <c r="C390" s="162" t="s">
        <v>6819</v>
      </c>
      <c r="D390" s="162"/>
      <c r="E390" s="162"/>
      <c r="F390" s="162"/>
      <c r="G390" s="162"/>
      <c r="H390" s="162"/>
      <c r="I390" s="39" t="s">
        <v>6801</v>
      </c>
      <c r="J390" s="111">
        <v>12540000</v>
      </c>
      <c r="K390" s="112">
        <v>45866</v>
      </c>
      <c r="L390" s="39"/>
      <c r="M390" s="39">
        <v>3116053291</v>
      </c>
      <c r="N390" s="39" t="s">
        <v>6802</v>
      </c>
      <c r="O390" s="116" t="s">
        <v>6803</v>
      </c>
    </row>
    <row r="391" spans="1:15" hidden="1" x14ac:dyDescent="0.25">
      <c r="A391" s="108"/>
      <c r="B391" s="39">
        <v>380</v>
      </c>
      <c r="C391" s="162" t="s">
        <v>6820</v>
      </c>
      <c r="D391" s="162"/>
      <c r="E391" s="162"/>
      <c r="F391" s="162"/>
      <c r="G391" s="162"/>
      <c r="H391" s="162"/>
      <c r="I391" s="39" t="s">
        <v>4939</v>
      </c>
      <c r="J391" s="111">
        <v>3750000</v>
      </c>
      <c r="K391" s="112">
        <v>45866</v>
      </c>
      <c r="L391" s="39"/>
      <c r="M391" s="39">
        <v>3206678830</v>
      </c>
      <c r="N391" s="39" t="s">
        <v>5109</v>
      </c>
      <c r="O391" s="38" t="s">
        <v>948</v>
      </c>
    </row>
    <row r="392" spans="1:15" hidden="1" x14ac:dyDescent="0.25">
      <c r="A392" s="108"/>
      <c r="B392" s="39">
        <v>381</v>
      </c>
      <c r="C392" s="162" t="s">
        <v>6821</v>
      </c>
      <c r="D392" s="162"/>
      <c r="E392" s="162"/>
      <c r="F392" s="162"/>
      <c r="G392" s="162"/>
      <c r="H392" s="162"/>
      <c r="I392" s="39" t="s">
        <v>3766</v>
      </c>
      <c r="J392" s="111">
        <v>59380000</v>
      </c>
      <c r="K392" s="112">
        <v>45869</v>
      </c>
      <c r="L392" s="39"/>
      <c r="M392" s="39">
        <v>3155264386</v>
      </c>
      <c r="N392" s="39" t="s">
        <v>6301</v>
      </c>
      <c r="O392" s="38" t="s">
        <v>5234</v>
      </c>
    </row>
    <row r="393" spans="1:15" hidden="1" x14ac:dyDescent="0.25">
      <c r="A393" s="108"/>
      <c r="B393" s="39">
        <v>382</v>
      </c>
      <c r="C393" s="162" t="s">
        <v>6822</v>
      </c>
      <c r="D393" s="162"/>
      <c r="E393" s="162"/>
      <c r="F393" s="162"/>
      <c r="G393" s="162"/>
      <c r="H393" s="162"/>
      <c r="I393" s="39" t="s">
        <v>3766</v>
      </c>
      <c r="J393" s="111">
        <v>59380000</v>
      </c>
      <c r="K393" s="112">
        <v>45869</v>
      </c>
      <c r="L393" s="39"/>
      <c r="M393" s="39">
        <v>3155264386</v>
      </c>
      <c r="N393" s="39" t="s">
        <v>6301</v>
      </c>
      <c r="O393" s="38" t="s">
        <v>5234</v>
      </c>
    </row>
    <row r="394" spans="1:15" s="143" customFormat="1" hidden="1" x14ac:dyDescent="0.25">
      <c r="A394" s="138"/>
      <c r="B394" s="139">
        <v>383</v>
      </c>
      <c r="C394" s="291" t="s">
        <v>6824</v>
      </c>
      <c r="D394" s="291"/>
      <c r="E394" s="291"/>
      <c r="F394" s="291"/>
      <c r="G394" s="291"/>
      <c r="H394" s="291"/>
      <c r="I394" s="139" t="s">
        <v>6825</v>
      </c>
      <c r="J394" s="140">
        <v>4101739.5</v>
      </c>
      <c r="K394" s="141">
        <v>45866</v>
      </c>
      <c r="L394" s="139"/>
      <c r="M394" s="139">
        <v>3125447366</v>
      </c>
      <c r="N394" s="139" t="s">
        <v>6113</v>
      </c>
      <c r="O394" s="144" t="s">
        <v>6859</v>
      </c>
    </row>
    <row r="395" spans="1:15" s="143" customFormat="1" hidden="1" x14ac:dyDescent="0.25">
      <c r="A395" s="138"/>
      <c r="B395" s="139">
        <v>384</v>
      </c>
      <c r="C395" s="291" t="s">
        <v>6858</v>
      </c>
      <c r="D395" s="291"/>
      <c r="E395" s="291"/>
      <c r="F395" s="291"/>
      <c r="G395" s="291"/>
      <c r="H395" s="291"/>
      <c r="I395" s="146" t="s">
        <v>6782</v>
      </c>
      <c r="J395" s="147" t="s">
        <v>6862</v>
      </c>
      <c r="K395" s="141">
        <v>45867</v>
      </c>
      <c r="L395" s="148"/>
      <c r="M395" s="139">
        <v>3207273996</v>
      </c>
      <c r="N395" s="139" t="s">
        <v>6783</v>
      </c>
      <c r="O395" s="142" t="s">
        <v>6784</v>
      </c>
    </row>
    <row r="396" spans="1:15" hidden="1" x14ac:dyDescent="0.25">
      <c r="A396" s="108"/>
      <c r="B396" s="39">
        <v>385</v>
      </c>
      <c r="C396" s="162" t="s">
        <v>6826</v>
      </c>
      <c r="D396" s="162"/>
      <c r="E396" s="162"/>
      <c r="F396" s="162"/>
      <c r="G396" s="162"/>
      <c r="H396" s="162"/>
      <c r="I396" s="39" t="s">
        <v>3766</v>
      </c>
      <c r="J396" s="111">
        <v>13800000</v>
      </c>
      <c r="K396" s="112">
        <v>45867</v>
      </c>
      <c r="L396" s="39"/>
      <c r="M396" s="39" t="s">
        <v>6861</v>
      </c>
      <c r="N396" s="39" t="s">
        <v>6720</v>
      </c>
      <c r="O396" s="116" t="s">
        <v>6719</v>
      </c>
    </row>
    <row r="397" spans="1:15" ht="15" hidden="1" customHeight="1" x14ac:dyDescent="0.25">
      <c r="A397" s="108"/>
      <c r="B397" s="39">
        <v>386</v>
      </c>
      <c r="C397" s="162" t="s">
        <v>6842</v>
      </c>
      <c r="D397" s="162"/>
      <c r="E397" s="162"/>
      <c r="F397" s="162"/>
      <c r="G397" s="162"/>
      <c r="H397" s="162"/>
      <c r="I397" s="39" t="s">
        <v>3766</v>
      </c>
      <c r="J397" s="111">
        <v>46500000</v>
      </c>
      <c r="K397" s="112">
        <v>45869</v>
      </c>
      <c r="L397" s="39"/>
      <c r="M397" s="39" t="s">
        <v>6860</v>
      </c>
      <c r="N397" s="39" t="s">
        <v>3552</v>
      </c>
      <c r="O397" s="116" t="s">
        <v>3553</v>
      </c>
    </row>
    <row r="398" spans="1:15" hidden="1" x14ac:dyDescent="0.25">
      <c r="A398" s="108"/>
      <c r="B398" s="39">
        <v>387</v>
      </c>
      <c r="C398" s="162" t="s">
        <v>6843</v>
      </c>
      <c r="D398" s="162"/>
      <c r="E398" s="162"/>
      <c r="F398" s="162"/>
      <c r="G398" s="162"/>
      <c r="H398" s="162"/>
      <c r="I398" s="39" t="s">
        <v>6844</v>
      </c>
      <c r="J398" s="111">
        <v>6000000</v>
      </c>
      <c r="K398" s="112">
        <v>45868</v>
      </c>
      <c r="L398" s="39"/>
      <c r="M398" s="39" t="s">
        <v>5603</v>
      </c>
      <c r="N398" s="112" t="s">
        <v>6844</v>
      </c>
      <c r="O398" s="116"/>
    </row>
    <row r="399" spans="1:15" hidden="1" x14ac:dyDescent="0.25">
      <c r="A399" s="108"/>
      <c r="B399" s="39">
        <v>388</v>
      </c>
      <c r="C399" s="162" t="s">
        <v>6845</v>
      </c>
      <c r="D399" s="162"/>
      <c r="E399" s="162"/>
      <c r="F399" s="162"/>
      <c r="G399" s="162"/>
      <c r="H399" s="162"/>
      <c r="I399" s="39" t="s">
        <v>6280</v>
      </c>
      <c r="J399" s="111">
        <v>10910000</v>
      </c>
      <c r="K399" s="112">
        <v>45870</v>
      </c>
      <c r="L399" s="39"/>
      <c r="M399" s="39" t="s">
        <v>1897</v>
      </c>
      <c r="N399" s="39" t="s">
        <v>2076</v>
      </c>
      <c r="O399" s="116" t="s">
        <v>1899</v>
      </c>
    </row>
    <row r="400" spans="1:15" hidden="1" x14ac:dyDescent="0.25">
      <c r="A400" s="108"/>
      <c r="B400" s="39">
        <v>389</v>
      </c>
      <c r="C400" s="162" t="s">
        <v>6846</v>
      </c>
      <c r="D400" s="162"/>
      <c r="E400" s="162"/>
      <c r="F400" s="162"/>
      <c r="G400" s="162"/>
      <c r="H400" s="162"/>
      <c r="I400" s="39" t="s">
        <v>3202</v>
      </c>
      <c r="J400" s="111">
        <v>11290000</v>
      </c>
      <c r="K400" s="112">
        <v>45870</v>
      </c>
      <c r="L400" s="39"/>
      <c r="M400" s="39">
        <v>3233748748</v>
      </c>
      <c r="N400" s="39" t="s">
        <v>6847</v>
      </c>
      <c r="O400" s="116" t="s">
        <v>6798</v>
      </c>
    </row>
    <row r="401" spans="1:15" hidden="1" x14ac:dyDescent="0.25">
      <c r="A401" s="108"/>
      <c r="B401" s="39">
        <v>390</v>
      </c>
      <c r="C401" s="162" t="s">
        <v>6848</v>
      </c>
      <c r="D401" s="162"/>
      <c r="E401" s="162"/>
      <c r="F401" s="162"/>
      <c r="G401" s="162"/>
      <c r="H401" s="162"/>
      <c r="I401" s="39" t="s">
        <v>5637</v>
      </c>
      <c r="J401" s="111">
        <v>39770000</v>
      </c>
      <c r="K401" s="112">
        <v>45870</v>
      </c>
      <c r="L401" s="39"/>
      <c r="M401" s="39">
        <v>3122310202</v>
      </c>
      <c r="N401" s="39" t="s">
        <v>6266</v>
      </c>
      <c r="O401" s="116" t="s">
        <v>6267</v>
      </c>
    </row>
    <row r="402" spans="1:15" hidden="1" x14ac:dyDescent="0.25">
      <c r="A402" s="108"/>
      <c r="B402" s="39">
        <v>391</v>
      </c>
      <c r="C402" s="162" t="s">
        <v>6849</v>
      </c>
      <c r="D402" s="162"/>
      <c r="E402" s="162"/>
      <c r="F402" s="162"/>
      <c r="G402" s="162"/>
      <c r="H402" s="162"/>
      <c r="I402" s="39" t="s">
        <v>6850</v>
      </c>
      <c r="J402" s="111">
        <v>20750000</v>
      </c>
      <c r="K402" s="112">
        <v>45868</v>
      </c>
      <c r="L402" s="39"/>
      <c r="M402" s="39">
        <v>3126205506</v>
      </c>
      <c r="N402" s="39" t="s">
        <v>6851</v>
      </c>
      <c r="O402" s="116" t="s">
        <v>6852</v>
      </c>
    </row>
    <row r="403" spans="1:15" hidden="1" x14ac:dyDescent="0.25">
      <c r="A403" s="108"/>
      <c r="B403" s="39">
        <v>392</v>
      </c>
      <c r="C403" s="162" t="s">
        <v>6853</v>
      </c>
      <c r="D403" s="162"/>
      <c r="E403" s="162"/>
      <c r="F403" s="162"/>
      <c r="G403" s="162"/>
      <c r="H403" s="162"/>
      <c r="I403" s="39" t="s">
        <v>3002</v>
      </c>
      <c r="J403" s="111">
        <v>19450000</v>
      </c>
      <c r="K403" s="112">
        <v>45868</v>
      </c>
      <c r="L403" s="39"/>
      <c r="M403" s="39" t="s">
        <v>6905</v>
      </c>
      <c r="N403" s="39" t="s">
        <v>6854</v>
      </c>
      <c r="O403" s="116" t="s">
        <v>4724</v>
      </c>
    </row>
    <row r="404" spans="1:15" hidden="1" x14ac:dyDescent="0.25">
      <c r="A404" s="108"/>
      <c r="B404" s="39">
        <v>393</v>
      </c>
      <c r="C404" s="162" t="s">
        <v>6855</v>
      </c>
      <c r="D404" s="162"/>
      <c r="E404" s="162"/>
      <c r="F404" s="162"/>
      <c r="G404" s="162"/>
      <c r="H404" s="162"/>
      <c r="I404" s="39" t="s">
        <v>1139</v>
      </c>
      <c r="J404" s="111">
        <v>12550000</v>
      </c>
      <c r="K404" s="112">
        <v>45869</v>
      </c>
      <c r="L404" s="39"/>
      <c r="M404" s="39">
        <v>3003404902</v>
      </c>
      <c r="N404" s="39" t="s">
        <v>2049</v>
      </c>
      <c r="O404" s="116" t="s">
        <v>2881</v>
      </c>
    </row>
    <row r="405" spans="1:15" hidden="1" x14ac:dyDescent="0.25">
      <c r="A405" s="108"/>
      <c r="B405" s="39">
        <v>394</v>
      </c>
      <c r="C405" s="162" t="s">
        <v>6856</v>
      </c>
      <c r="D405" s="162"/>
      <c r="E405" s="162"/>
      <c r="F405" s="162"/>
      <c r="G405" s="162"/>
      <c r="H405" s="162"/>
      <c r="I405" s="39" t="s">
        <v>6857</v>
      </c>
      <c r="J405" s="111">
        <v>19850000</v>
      </c>
      <c r="K405" s="112">
        <v>45869</v>
      </c>
      <c r="L405" s="39"/>
      <c r="M405" s="39" t="s">
        <v>1055</v>
      </c>
      <c r="N405" s="39" t="s">
        <v>824</v>
      </c>
      <c r="O405" s="116" t="s">
        <v>1193</v>
      </c>
    </row>
    <row r="406" spans="1:15" ht="15" hidden="1" customHeight="1" x14ac:dyDescent="0.25">
      <c r="A406" s="108"/>
      <c r="B406" s="39">
        <v>395</v>
      </c>
      <c r="C406" s="162" t="s">
        <v>6863</v>
      </c>
      <c r="D406" s="162"/>
      <c r="E406" s="162"/>
      <c r="F406" s="162"/>
      <c r="G406" s="162"/>
      <c r="H406" s="162"/>
      <c r="I406" s="39" t="s">
        <v>6545</v>
      </c>
      <c r="J406" s="111">
        <v>11950000</v>
      </c>
      <c r="K406" s="112">
        <v>45870</v>
      </c>
      <c r="L406" s="39"/>
      <c r="M406" s="39">
        <v>3134451063</v>
      </c>
      <c r="N406" s="39" t="s">
        <v>6906</v>
      </c>
      <c r="O406" s="38" t="s">
        <v>6907</v>
      </c>
    </row>
    <row r="407" spans="1:15" hidden="1" x14ac:dyDescent="0.25">
      <c r="A407" s="108"/>
      <c r="B407" s="39">
        <v>396</v>
      </c>
      <c r="C407" s="162" t="s">
        <v>6877</v>
      </c>
      <c r="D407" s="162"/>
      <c r="E407" s="162"/>
      <c r="F407" s="162"/>
      <c r="G407" s="162"/>
      <c r="H407" s="162"/>
      <c r="I407" s="39" t="s">
        <v>6864</v>
      </c>
      <c r="J407" s="111">
        <v>2440000</v>
      </c>
      <c r="K407" s="112">
        <v>45870</v>
      </c>
      <c r="L407" s="39"/>
      <c r="M407" s="39" t="s">
        <v>2469</v>
      </c>
      <c r="N407" s="39" t="s">
        <v>6865</v>
      </c>
      <c r="O407" s="116"/>
    </row>
    <row r="408" spans="1:15" ht="15" hidden="1" customHeight="1" x14ac:dyDescent="0.25">
      <c r="A408" s="108"/>
      <c r="B408" s="39">
        <v>397</v>
      </c>
      <c r="C408" s="162" t="s">
        <v>6866</v>
      </c>
      <c r="D408" s="162"/>
      <c r="E408" s="162"/>
      <c r="F408" s="162"/>
      <c r="G408" s="162"/>
      <c r="H408" s="162"/>
      <c r="I408" s="39" t="s">
        <v>1139</v>
      </c>
      <c r="J408" s="111">
        <v>4550000</v>
      </c>
      <c r="K408" s="112">
        <v>45874</v>
      </c>
      <c r="L408" s="39"/>
      <c r="M408" s="39">
        <v>3148721400</v>
      </c>
      <c r="N408" s="39" t="s">
        <v>4575</v>
      </c>
      <c r="O408" s="38" t="s">
        <v>4576</v>
      </c>
    </row>
    <row r="409" spans="1:15" hidden="1" x14ac:dyDescent="0.25">
      <c r="A409" s="108"/>
      <c r="B409" s="39">
        <v>398</v>
      </c>
      <c r="C409" s="162" t="s">
        <v>6867</v>
      </c>
      <c r="D409" s="162"/>
      <c r="E409" s="162"/>
      <c r="F409" s="162"/>
      <c r="G409" s="162"/>
      <c r="H409" s="162"/>
      <c r="I409" s="39" t="s">
        <v>6868</v>
      </c>
      <c r="J409" s="111">
        <v>11850000</v>
      </c>
      <c r="K409" s="112">
        <v>45873</v>
      </c>
      <c r="L409" s="39"/>
      <c r="M409" s="39">
        <v>3117477239</v>
      </c>
      <c r="N409" s="39" t="s">
        <v>4493</v>
      </c>
      <c r="O409" s="38" t="s">
        <v>4494</v>
      </c>
    </row>
    <row r="410" spans="1:15" hidden="1" x14ac:dyDescent="0.25">
      <c r="A410" s="108"/>
      <c r="B410" s="39">
        <v>399</v>
      </c>
      <c r="C410" s="162" t="s">
        <v>6869</v>
      </c>
      <c r="D410" s="162"/>
      <c r="E410" s="162"/>
      <c r="F410" s="162"/>
      <c r="G410" s="162"/>
      <c r="H410" s="162"/>
      <c r="I410" s="39" t="s">
        <v>1875</v>
      </c>
      <c r="J410" s="111">
        <v>24950000</v>
      </c>
      <c r="K410" s="112">
        <v>45874</v>
      </c>
      <c r="L410" s="39"/>
      <c r="M410" s="39">
        <v>3113391008</v>
      </c>
      <c r="N410" s="39" t="s">
        <v>372</v>
      </c>
      <c r="O410" s="38" t="s">
        <v>2561</v>
      </c>
    </row>
    <row r="411" spans="1:15" hidden="1" x14ac:dyDescent="0.25">
      <c r="A411" s="108"/>
      <c r="B411" s="39">
        <v>400</v>
      </c>
      <c r="C411" s="162" t="s">
        <v>6753</v>
      </c>
      <c r="D411" s="162"/>
      <c r="E411" s="162"/>
      <c r="F411" s="162"/>
      <c r="G411" s="162"/>
      <c r="H411" s="162"/>
      <c r="I411" s="39" t="s">
        <v>702</v>
      </c>
      <c r="J411" s="111">
        <v>37650000</v>
      </c>
      <c r="K411" s="112">
        <v>45873</v>
      </c>
      <c r="L411" s="39"/>
      <c r="M411" s="39" t="s">
        <v>6902</v>
      </c>
      <c r="N411" s="39" t="s">
        <v>6377</v>
      </c>
      <c r="O411" s="38" t="s">
        <v>6379</v>
      </c>
    </row>
    <row r="412" spans="1:15" ht="15" hidden="1" customHeight="1" x14ac:dyDescent="0.25">
      <c r="A412" s="108"/>
      <c r="B412" s="39">
        <v>401</v>
      </c>
      <c r="C412" s="162" t="s">
        <v>6870</v>
      </c>
      <c r="D412" s="162"/>
      <c r="E412" s="162"/>
      <c r="F412" s="162"/>
      <c r="G412" s="162"/>
      <c r="H412" s="162"/>
      <c r="I412" s="39" t="s">
        <v>6871</v>
      </c>
      <c r="J412" s="111">
        <v>49950000</v>
      </c>
      <c r="K412" s="112">
        <v>45873</v>
      </c>
      <c r="L412" s="39"/>
      <c r="M412" s="39" t="s">
        <v>6901</v>
      </c>
      <c r="N412" s="39" t="s">
        <v>6872</v>
      </c>
      <c r="O412" s="38" t="s">
        <v>6873</v>
      </c>
    </row>
    <row r="413" spans="1:15" hidden="1" x14ac:dyDescent="0.25">
      <c r="A413" s="108"/>
      <c r="B413" s="39">
        <v>402</v>
      </c>
      <c r="C413" s="162" t="s">
        <v>6874</v>
      </c>
      <c r="D413" s="162"/>
      <c r="E413" s="162"/>
      <c r="F413" s="162"/>
      <c r="G413" s="162"/>
      <c r="H413" s="162"/>
      <c r="I413" s="39" t="s">
        <v>2445</v>
      </c>
      <c r="J413" s="111">
        <v>30950000</v>
      </c>
      <c r="K413" s="112">
        <v>45873</v>
      </c>
      <c r="L413" s="39"/>
      <c r="M413" s="39" t="s">
        <v>6904</v>
      </c>
      <c r="N413" s="39" t="s">
        <v>5366</v>
      </c>
      <c r="O413" s="38" t="s">
        <v>6903</v>
      </c>
    </row>
    <row r="414" spans="1:15" hidden="1" x14ac:dyDescent="0.25">
      <c r="A414" s="108"/>
      <c r="B414" s="39">
        <v>403</v>
      </c>
      <c r="C414" s="162" t="s">
        <v>6875</v>
      </c>
      <c r="D414" s="162"/>
      <c r="E414" s="162"/>
      <c r="F414" s="162"/>
      <c r="G414" s="162"/>
      <c r="H414" s="162"/>
      <c r="I414" s="39" t="s">
        <v>3871</v>
      </c>
      <c r="J414" s="111">
        <v>4500000</v>
      </c>
      <c r="K414" s="112">
        <v>45873</v>
      </c>
      <c r="L414" s="39"/>
      <c r="M414" s="39">
        <v>3008643710</v>
      </c>
      <c r="N414" s="39" t="s">
        <v>6251</v>
      </c>
      <c r="O414" s="116" t="s">
        <v>1326</v>
      </c>
    </row>
    <row r="415" spans="1:15" hidden="1" x14ac:dyDescent="0.25">
      <c r="A415" s="108"/>
      <c r="B415" s="39">
        <v>404</v>
      </c>
      <c r="C415" s="162" t="s">
        <v>6876</v>
      </c>
      <c r="D415" s="162"/>
      <c r="E415" s="162"/>
      <c r="F415" s="162"/>
      <c r="G415" s="162"/>
      <c r="H415" s="162"/>
      <c r="I415" s="39" t="s">
        <v>6548</v>
      </c>
      <c r="J415" s="111">
        <v>1700000</v>
      </c>
      <c r="K415" s="112">
        <v>45874</v>
      </c>
      <c r="L415" s="39"/>
      <c r="M415" s="39">
        <v>3185743659</v>
      </c>
      <c r="N415" s="39" t="s">
        <v>6900</v>
      </c>
      <c r="O415" s="38" t="s">
        <v>6550</v>
      </c>
    </row>
    <row r="416" spans="1:15" hidden="1" x14ac:dyDescent="0.25">
      <c r="A416" s="108"/>
      <c r="B416" s="39">
        <v>405</v>
      </c>
      <c r="C416" s="162" t="s">
        <v>6878</v>
      </c>
      <c r="D416" s="162"/>
      <c r="E416" s="162"/>
      <c r="F416" s="162"/>
      <c r="G416" s="162"/>
      <c r="H416" s="162"/>
      <c r="I416" s="39" t="s">
        <v>6408</v>
      </c>
      <c r="J416" s="111">
        <v>19950000</v>
      </c>
      <c r="K416" s="112">
        <v>45877</v>
      </c>
      <c r="L416" s="39"/>
      <c r="M416" s="39" t="s">
        <v>6880</v>
      </c>
      <c r="N416" s="39" t="s">
        <v>6881</v>
      </c>
      <c r="O416" s="38" t="s">
        <v>6879</v>
      </c>
    </row>
    <row r="417" spans="1:15" hidden="1" x14ac:dyDescent="0.25">
      <c r="A417" s="108"/>
      <c r="B417" s="39">
        <v>406</v>
      </c>
      <c r="C417" s="162" t="s">
        <v>6882</v>
      </c>
      <c r="D417" s="162"/>
      <c r="E417" s="162"/>
      <c r="F417" s="162"/>
      <c r="G417" s="162"/>
      <c r="H417" s="162"/>
      <c r="I417" s="39" t="s">
        <v>1139</v>
      </c>
      <c r="J417" s="111">
        <v>35950000</v>
      </c>
      <c r="K417" s="112">
        <v>45874</v>
      </c>
      <c r="L417" s="39"/>
      <c r="M417" s="39">
        <v>3054681214</v>
      </c>
      <c r="N417" s="39" t="s">
        <v>6890</v>
      </c>
      <c r="O417" s="116" t="s">
        <v>1140</v>
      </c>
    </row>
    <row r="418" spans="1:15" hidden="1" x14ac:dyDescent="0.25">
      <c r="A418" s="108"/>
      <c r="B418" s="39">
        <v>407</v>
      </c>
      <c r="C418" s="162" t="s">
        <v>6883</v>
      </c>
      <c r="D418" s="162"/>
      <c r="E418" s="162"/>
      <c r="F418" s="162"/>
      <c r="G418" s="162"/>
      <c r="H418" s="162"/>
      <c r="I418" s="39" t="s">
        <v>6228</v>
      </c>
      <c r="J418" s="111">
        <v>5750000</v>
      </c>
      <c r="K418" s="112">
        <v>45875</v>
      </c>
      <c r="L418" s="39"/>
      <c r="M418" s="39">
        <v>3002041724</v>
      </c>
      <c r="N418" s="39" t="s">
        <v>6884</v>
      </c>
      <c r="O418" s="116"/>
    </row>
    <row r="419" spans="1:15" hidden="1" x14ac:dyDescent="0.25">
      <c r="A419" s="108"/>
      <c r="B419" s="39">
        <v>408</v>
      </c>
      <c r="C419" s="162" t="s">
        <v>6885</v>
      </c>
      <c r="D419" s="162"/>
      <c r="E419" s="162"/>
      <c r="F419" s="162"/>
      <c r="G419" s="162"/>
      <c r="H419" s="162"/>
      <c r="I419" s="39" t="s">
        <v>6714</v>
      </c>
      <c r="J419" s="111">
        <v>7520000</v>
      </c>
      <c r="K419" s="112">
        <v>45877</v>
      </c>
      <c r="L419" s="39"/>
      <c r="M419" s="39">
        <v>3006940601</v>
      </c>
      <c r="N419" s="39" t="s">
        <v>5889</v>
      </c>
      <c r="O419" s="38" t="s">
        <v>5890</v>
      </c>
    </row>
    <row r="420" spans="1:15" hidden="1" x14ac:dyDescent="0.25">
      <c r="A420" s="108"/>
      <c r="B420" s="39">
        <v>409</v>
      </c>
      <c r="C420" s="162" t="s">
        <v>6886</v>
      </c>
      <c r="D420" s="162"/>
      <c r="E420" s="162"/>
      <c r="F420" s="162"/>
      <c r="G420" s="162"/>
      <c r="H420" s="162"/>
      <c r="I420" s="39" t="s">
        <v>6887</v>
      </c>
      <c r="J420" s="111">
        <v>4350000</v>
      </c>
      <c r="K420" s="112">
        <v>45875</v>
      </c>
      <c r="L420" s="39"/>
      <c r="M420" s="39">
        <v>3102706742</v>
      </c>
      <c r="N420" s="39" t="s">
        <v>6888</v>
      </c>
      <c r="O420" s="38" t="s">
        <v>6889</v>
      </c>
    </row>
    <row r="421" spans="1:15" hidden="1" x14ac:dyDescent="0.25">
      <c r="A421" s="108"/>
      <c r="B421" s="39">
        <v>410</v>
      </c>
      <c r="C421" s="162" t="s">
        <v>6891</v>
      </c>
      <c r="D421" s="162"/>
      <c r="E421" s="162"/>
      <c r="F421" s="162"/>
      <c r="G421" s="162"/>
      <c r="H421" s="162"/>
      <c r="I421" s="39" t="s">
        <v>6892</v>
      </c>
      <c r="J421" s="111">
        <v>19450000</v>
      </c>
      <c r="K421" s="112">
        <v>45875</v>
      </c>
      <c r="L421" s="39"/>
      <c r="M421" s="39">
        <v>3138201796</v>
      </c>
      <c r="N421" s="39" t="s">
        <v>6898</v>
      </c>
      <c r="O421" s="38" t="s">
        <v>6899</v>
      </c>
    </row>
    <row r="422" spans="1:15" hidden="1" x14ac:dyDescent="0.25">
      <c r="A422" s="108"/>
      <c r="B422" s="39">
        <v>411</v>
      </c>
      <c r="C422" s="162" t="s">
        <v>6893</v>
      </c>
      <c r="D422" s="162"/>
      <c r="E422" s="162"/>
      <c r="F422" s="162"/>
      <c r="G422" s="162"/>
      <c r="H422" s="162"/>
      <c r="I422" s="39" t="s">
        <v>3013</v>
      </c>
      <c r="J422" s="111">
        <v>1650000</v>
      </c>
      <c r="K422" s="112">
        <v>45877</v>
      </c>
      <c r="L422" s="39"/>
      <c r="M422" s="39">
        <v>3008473325</v>
      </c>
      <c r="N422" s="39" t="s">
        <v>3013</v>
      </c>
      <c r="O422" s="116"/>
    </row>
    <row r="423" spans="1:15" hidden="1" x14ac:dyDescent="0.25">
      <c r="A423" s="108"/>
      <c r="B423" s="39">
        <v>412</v>
      </c>
      <c r="C423" s="162" t="s">
        <v>6894</v>
      </c>
      <c r="D423" s="162"/>
      <c r="E423" s="162"/>
      <c r="F423" s="162"/>
      <c r="G423" s="162"/>
      <c r="H423" s="162"/>
      <c r="I423" s="39" t="s">
        <v>6739</v>
      </c>
      <c r="J423" s="111">
        <v>18820000</v>
      </c>
      <c r="K423" s="112">
        <v>45881</v>
      </c>
      <c r="L423" s="39"/>
      <c r="M423" s="39">
        <v>4488388</v>
      </c>
      <c r="N423" s="39" t="s">
        <v>725</v>
      </c>
      <c r="O423" s="38" t="s">
        <v>6740</v>
      </c>
    </row>
    <row r="424" spans="1:15" hidden="1" x14ac:dyDescent="0.25">
      <c r="A424" s="108"/>
      <c r="B424" s="39">
        <v>413</v>
      </c>
      <c r="C424" s="162" t="s">
        <v>6895</v>
      </c>
      <c r="D424" s="162"/>
      <c r="E424" s="162"/>
      <c r="F424" s="162"/>
      <c r="G424" s="162"/>
      <c r="H424" s="162"/>
      <c r="I424" s="39" t="s">
        <v>6739</v>
      </c>
      <c r="J424" s="111">
        <v>18820000</v>
      </c>
      <c r="K424" s="112">
        <v>45881</v>
      </c>
      <c r="L424" s="39"/>
      <c r="M424" s="39">
        <v>4488388</v>
      </c>
      <c r="N424" s="39" t="s">
        <v>725</v>
      </c>
      <c r="O424" s="38" t="s">
        <v>6740</v>
      </c>
    </row>
    <row r="425" spans="1:15" hidden="1" x14ac:dyDescent="0.25">
      <c r="A425" s="108"/>
      <c r="B425" s="39">
        <v>414</v>
      </c>
      <c r="C425" s="162" t="s">
        <v>6896</v>
      </c>
      <c r="D425" s="162"/>
      <c r="E425" s="162"/>
      <c r="F425" s="162"/>
      <c r="G425" s="162"/>
      <c r="H425" s="162"/>
      <c r="I425" s="39" t="s">
        <v>6739</v>
      </c>
      <c r="J425" s="111">
        <v>18820000</v>
      </c>
      <c r="K425" s="112">
        <v>45881</v>
      </c>
      <c r="L425" s="39"/>
      <c r="M425" s="39">
        <v>4488388</v>
      </c>
      <c r="N425" s="39" t="s">
        <v>725</v>
      </c>
      <c r="O425" s="38" t="s">
        <v>6740</v>
      </c>
    </row>
    <row r="426" spans="1:15" hidden="1" x14ac:dyDescent="0.25">
      <c r="A426" s="108"/>
      <c r="B426" s="39">
        <v>415</v>
      </c>
      <c r="C426" s="162" t="s">
        <v>6897</v>
      </c>
      <c r="D426" s="162"/>
      <c r="E426" s="162"/>
      <c r="F426" s="162"/>
      <c r="G426" s="162"/>
      <c r="H426" s="162"/>
      <c r="I426" s="39" t="s">
        <v>6739</v>
      </c>
      <c r="J426" s="111">
        <v>18820000</v>
      </c>
      <c r="K426" s="112">
        <v>45881</v>
      </c>
      <c r="L426" s="39"/>
      <c r="M426" s="39">
        <v>4488388</v>
      </c>
      <c r="N426" s="39" t="s">
        <v>725</v>
      </c>
      <c r="O426" s="38" t="s">
        <v>6740</v>
      </c>
    </row>
    <row r="427" spans="1:15" hidden="1" x14ac:dyDescent="0.25">
      <c r="A427" s="108"/>
      <c r="B427" s="39">
        <v>416</v>
      </c>
      <c r="C427" s="162" t="s">
        <v>6909</v>
      </c>
      <c r="D427" s="162"/>
      <c r="E427" s="162"/>
      <c r="F427" s="162"/>
      <c r="G427" s="162"/>
      <c r="H427" s="162"/>
      <c r="I427" s="39" t="s">
        <v>6739</v>
      </c>
      <c r="J427" s="111">
        <v>18820000</v>
      </c>
      <c r="K427" s="112">
        <v>45881</v>
      </c>
      <c r="L427" s="39"/>
      <c r="M427" s="39">
        <v>4488388</v>
      </c>
      <c r="N427" s="39" t="s">
        <v>725</v>
      </c>
      <c r="O427" s="38" t="s">
        <v>6740</v>
      </c>
    </row>
    <row r="428" spans="1:15" hidden="1" x14ac:dyDescent="0.25">
      <c r="A428" s="108"/>
      <c r="B428" s="39">
        <v>417</v>
      </c>
      <c r="C428" s="162" t="s">
        <v>6910</v>
      </c>
      <c r="D428" s="162"/>
      <c r="E428" s="162"/>
      <c r="F428" s="162"/>
      <c r="G428" s="162"/>
      <c r="H428" s="162"/>
      <c r="I428" s="39" t="s">
        <v>6911</v>
      </c>
      <c r="J428" s="111">
        <v>8950000</v>
      </c>
      <c r="K428" s="112">
        <v>45880</v>
      </c>
      <c r="L428" s="39"/>
      <c r="M428" s="39">
        <v>3127736419</v>
      </c>
      <c r="N428" s="39" t="s">
        <v>6911</v>
      </c>
      <c r="O428" s="116"/>
    </row>
    <row r="429" spans="1:15" hidden="1" x14ac:dyDescent="0.25">
      <c r="A429" s="108"/>
      <c r="B429" s="39">
        <v>418</v>
      </c>
      <c r="C429" s="162" t="s">
        <v>6912</v>
      </c>
      <c r="D429" s="162"/>
      <c r="E429" s="162"/>
      <c r="F429" s="162"/>
      <c r="G429" s="162"/>
      <c r="H429" s="162"/>
      <c r="I429" s="39" t="s">
        <v>6913</v>
      </c>
      <c r="J429" s="111"/>
      <c r="K429" s="112">
        <v>45880</v>
      </c>
      <c r="L429" s="39"/>
      <c r="M429" s="39">
        <v>3104513967</v>
      </c>
      <c r="N429" s="39" t="s">
        <v>5710</v>
      </c>
      <c r="O429" s="116" t="s">
        <v>5709</v>
      </c>
    </row>
    <row r="430" spans="1:15" hidden="1" x14ac:dyDescent="0.25">
      <c r="A430" s="108"/>
      <c r="B430" s="39">
        <v>419</v>
      </c>
      <c r="C430" s="162" t="s">
        <v>6914</v>
      </c>
      <c r="D430" s="162"/>
      <c r="E430" s="162"/>
      <c r="F430" s="162"/>
      <c r="G430" s="162"/>
      <c r="H430" s="162"/>
      <c r="I430" s="39" t="s">
        <v>6913</v>
      </c>
      <c r="J430" s="111"/>
      <c r="K430" s="112">
        <v>45880</v>
      </c>
      <c r="L430" s="39"/>
      <c r="M430" s="39">
        <v>3104513967</v>
      </c>
      <c r="N430" s="39" t="s">
        <v>5710</v>
      </c>
      <c r="O430" s="116" t="s">
        <v>5709</v>
      </c>
    </row>
    <row r="431" spans="1:15" hidden="1" x14ac:dyDescent="0.25">
      <c r="A431" s="108"/>
      <c r="B431" s="39">
        <v>420</v>
      </c>
      <c r="C431" s="162" t="s">
        <v>6915</v>
      </c>
      <c r="D431" s="162"/>
      <c r="E431" s="162"/>
      <c r="F431" s="162"/>
      <c r="G431" s="162"/>
      <c r="H431" s="162"/>
      <c r="I431" s="39" t="s">
        <v>3002</v>
      </c>
      <c r="J431" s="111" t="s">
        <v>150</v>
      </c>
      <c r="K431" s="112">
        <v>45881</v>
      </c>
      <c r="L431" s="39"/>
      <c r="M431" s="39" t="s">
        <v>6219</v>
      </c>
      <c r="N431" s="39" t="s">
        <v>6217</v>
      </c>
      <c r="O431" s="116" t="s">
        <v>2658</v>
      </c>
    </row>
    <row r="432" spans="1:15" hidden="1" x14ac:dyDescent="0.25">
      <c r="A432" s="108"/>
      <c r="B432" s="39">
        <v>421</v>
      </c>
      <c r="C432" s="162" t="s">
        <v>6918</v>
      </c>
      <c r="D432" s="162"/>
      <c r="E432" s="162"/>
      <c r="F432" s="162"/>
      <c r="G432" s="162"/>
      <c r="H432" s="162"/>
      <c r="I432" s="39" t="s">
        <v>6751</v>
      </c>
      <c r="J432" s="111">
        <v>6950000</v>
      </c>
      <c r="K432" s="112">
        <v>45882</v>
      </c>
      <c r="L432" s="39"/>
      <c r="M432" s="39" t="s">
        <v>6916</v>
      </c>
      <c r="N432" s="39" t="s">
        <v>881</v>
      </c>
      <c r="O432" s="38" t="s">
        <v>6917</v>
      </c>
    </row>
    <row r="433" spans="1:15" ht="15" hidden="1" customHeight="1" x14ac:dyDescent="0.25">
      <c r="A433" s="108"/>
      <c r="B433" s="39">
        <v>422</v>
      </c>
      <c r="C433" s="162" t="s">
        <v>6919</v>
      </c>
      <c r="D433" s="162"/>
      <c r="E433" s="162"/>
      <c r="F433" s="162"/>
      <c r="G433" s="162"/>
      <c r="H433" s="162"/>
      <c r="I433" s="39" t="s">
        <v>2445</v>
      </c>
      <c r="J433" s="111">
        <v>2950000</v>
      </c>
      <c r="K433" s="112">
        <v>45882</v>
      </c>
      <c r="L433" s="39"/>
      <c r="M433" s="39">
        <v>3204342511</v>
      </c>
      <c r="N433" s="39" t="s">
        <v>6921</v>
      </c>
      <c r="O433" s="38" t="s">
        <v>6922</v>
      </c>
    </row>
    <row r="434" spans="1:15" ht="15" hidden="1" customHeight="1" x14ac:dyDescent="0.25">
      <c r="A434" s="108"/>
      <c r="B434" s="39">
        <v>423</v>
      </c>
      <c r="C434" s="162" t="s">
        <v>6920</v>
      </c>
      <c r="D434" s="162"/>
      <c r="E434" s="162"/>
      <c r="F434" s="162"/>
      <c r="G434" s="162"/>
      <c r="H434" s="162"/>
      <c r="I434" s="39" t="s">
        <v>1875</v>
      </c>
      <c r="J434" s="111">
        <v>2200000</v>
      </c>
      <c r="K434" s="112">
        <v>45903</v>
      </c>
      <c r="L434" s="39"/>
      <c r="M434" s="39">
        <v>3116460496</v>
      </c>
      <c r="N434" s="39" t="s">
        <v>5213</v>
      </c>
      <c r="O434" s="116" t="s">
        <v>1876</v>
      </c>
    </row>
    <row r="435" spans="1:15" hidden="1" x14ac:dyDescent="0.25">
      <c r="A435" s="108"/>
      <c r="B435" s="39">
        <v>424</v>
      </c>
      <c r="C435" s="162" t="s">
        <v>6926</v>
      </c>
      <c r="D435" s="162"/>
      <c r="E435" s="162"/>
      <c r="F435" s="162"/>
      <c r="G435" s="162"/>
      <c r="H435" s="162"/>
      <c r="I435" s="39" t="s">
        <v>6925</v>
      </c>
      <c r="J435" s="111">
        <v>4000000</v>
      </c>
      <c r="K435" s="112">
        <v>45883</v>
      </c>
      <c r="L435" s="39"/>
      <c r="M435" s="39" t="s">
        <v>6924</v>
      </c>
      <c r="N435" s="39" t="s">
        <v>6927</v>
      </c>
      <c r="O435" s="38" t="s">
        <v>6923</v>
      </c>
    </row>
    <row r="436" spans="1:15" hidden="1" x14ac:dyDescent="0.25">
      <c r="A436" s="108"/>
      <c r="B436" s="39">
        <v>425</v>
      </c>
      <c r="C436" s="162" t="s">
        <v>6928</v>
      </c>
      <c r="D436" s="162"/>
      <c r="E436" s="162"/>
      <c r="F436" s="162"/>
      <c r="G436" s="162"/>
      <c r="H436" s="162"/>
      <c r="I436" s="39" t="s">
        <v>6930</v>
      </c>
      <c r="J436" s="111">
        <v>3590000</v>
      </c>
      <c r="K436" s="112">
        <v>45883</v>
      </c>
      <c r="L436" s="39"/>
      <c r="M436" s="39">
        <v>3215673220</v>
      </c>
      <c r="N436" s="39" t="s">
        <v>6929</v>
      </c>
      <c r="O436" s="38" t="s">
        <v>6934</v>
      </c>
    </row>
    <row r="437" spans="1:15" hidden="1" x14ac:dyDescent="0.25">
      <c r="A437" s="108"/>
      <c r="B437" s="39">
        <v>426</v>
      </c>
      <c r="C437" s="162" t="s">
        <v>6936</v>
      </c>
      <c r="D437" s="162"/>
      <c r="E437" s="162"/>
      <c r="F437" s="162"/>
      <c r="G437" s="162"/>
      <c r="H437" s="162"/>
      <c r="I437" s="39" t="s">
        <v>6933</v>
      </c>
      <c r="J437" s="111">
        <v>16940000</v>
      </c>
      <c r="K437" s="112">
        <v>45883</v>
      </c>
      <c r="L437" s="39"/>
      <c r="M437" s="39">
        <v>3016851068</v>
      </c>
      <c r="N437" s="39" t="s">
        <v>6932</v>
      </c>
      <c r="O437" s="38" t="s">
        <v>6931</v>
      </c>
    </row>
    <row r="438" spans="1:15" hidden="1" x14ac:dyDescent="0.25">
      <c r="A438" s="108"/>
      <c r="B438" s="39">
        <v>427</v>
      </c>
      <c r="C438" s="162" t="s">
        <v>6935</v>
      </c>
      <c r="D438" s="162"/>
      <c r="E438" s="162"/>
      <c r="F438" s="162"/>
      <c r="G438" s="162"/>
      <c r="H438" s="162"/>
      <c r="I438" s="39" t="s">
        <v>702</v>
      </c>
      <c r="J438" s="111">
        <v>3950000</v>
      </c>
      <c r="K438" s="112">
        <v>45883</v>
      </c>
      <c r="L438" s="39"/>
      <c r="M438" s="39">
        <v>3104165783</v>
      </c>
      <c r="N438" s="39" t="s">
        <v>4564</v>
      </c>
      <c r="O438" s="116" t="s">
        <v>4565</v>
      </c>
    </row>
    <row r="439" spans="1:15" hidden="1" x14ac:dyDescent="0.25">
      <c r="A439" s="108"/>
      <c r="B439" s="39">
        <v>428</v>
      </c>
      <c r="C439" s="162" t="s">
        <v>6937</v>
      </c>
      <c r="D439" s="162"/>
      <c r="E439" s="162"/>
      <c r="F439" s="162"/>
      <c r="G439" s="162"/>
      <c r="H439" s="162"/>
      <c r="I439" s="39" t="s">
        <v>6940</v>
      </c>
      <c r="J439" s="111">
        <v>2500000</v>
      </c>
      <c r="K439" s="112">
        <v>45883</v>
      </c>
      <c r="L439" s="39"/>
      <c r="M439" s="39">
        <v>3003524058</v>
      </c>
      <c r="N439" s="39" t="s">
        <v>6938</v>
      </c>
      <c r="O439" s="38" t="s">
        <v>6939</v>
      </c>
    </row>
    <row r="440" spans="1:15" hidden="1" x14ac:dyDescent="0.25">
      <c r="A440" s="108"/>
      <c r="B440" s="39">
        <v>429</v>
      </c>
      <c r="C440" s="162" t="s">
        <v>6941</v>
      </c>
      <c r="D440" s="162"/>
      <c r="E440" s="162"/>
      <c r="F440" s="162"/>
      <c r="G440" s="162"/>
      <c r="H440" s="162"/>
      <c r="I440" s="39" t="s">
        <v>5189</v>
      </c>
      <c r="J440" s="111">
        <v>16650000</v>
      </c>
      <c r="K440" s="112">
        <v>45883</v>
      </c>
      <c r="L440" s="39"/>
      <c r="M440" s="39">
        <v>3105175495</v>
      </c>
      <c r="N440" s="39" t="s">
        <v>6519</v>
      </c>
      <c r="O440" s="38" t="s">
        <v>6520</v>
      </c>
    </row>
    <row r="441" spans="1:15" hidden="1" x14ac:dyDescent="0.25">
      <c r="A441" s="108"/>
      <c r="B441" s="39">
        <v>430</v>
      </c>
      <c r="C441" s="162" t="s">
        <v>6942</v>
      </c>
      <c r="D441" s="162"/>
      <c r="E441" s="162"/>
      <c r="F441" s="162"/>
      <c r="G441" s="162"/>
      <c r="H441" s="162"/>
      <c r="I441" s="39" t="s">
        <v>6943</v>
      </c>
      <c r="J441" s="111">
        <v>16310000</v>
      </c>
      <c r="K441" s="112">
        <v>45883</v>
      </c>
      <c r="L441" s="39"/>
      <c r="M441" s="39">
        <v>3108239275</v>
      </c>
      <c r="N441" s="39" t="s">
        <v>6944</v>
      </c>
      <c r="O441" s="116"/>
    </row>
    <row r="442" spans="1:15" hidden="1" x14ac:dyDescent="0.25">
      <c r="A442" s="108"/>
      <c r="B442" s="39">
        <v>431</v>
      </c>
      <c r="C442" s="162" t="s">
        <v>6945</v>
      </c>
      <c r="D442" s="162"/>
      <c r="E442" s="162"/>
      <c r="F442" s="162"/>
      <c r="G442" s="162"/>
      <c r="H442" s="162"/>
      <c r="I442" s="39" t="s">
        <v>953</v>
      </c>
      <c r="J442" s="111">
        <v>2380000</v>
      </c>
      <c r="K442" s="112">
        <v>45884</v>
      </c>
      <c r="L442" s="39"/>
      <c r="M442" s="39">
        <v>3113403275</v>
      </c>
      <c r="N442" s="39" t="s">
        <v>6946</v>
      </c>
      <c r="O442" s="38" t="s">
        <v>6947</v>
      </c>
    </row>
    <row r="443" spans="1:15" hidden="1" x14ac:dyDescent="0.25">
      <c r="A443" s="108"/>
      <c r="B443" s="39">
        <v>432</v>
      </c>
      <c r="C443" s="162" t="s">
        <v>6948</v>
      </c>
      <c r="D443" s="162"/>
      <c r="E443" s="162"/>
      <c r="F443" s="162"/>
      <c r="G443" s="162"/>
      <c r="H443" s="162"/>
      <c r="I443" s="39" t="s">
        <v>6949</v>
      </c>
      <c r="J443" s="111">
        <v>9950000</v>
      </c>
      <c r="K443" s="112">
        <v>45888</v>
      </c>
      <c r="L443" s="39"/>
      <c r="M443" s="39">
        <v>3148332071</v>
      </c>
      <c r="N443" s="39" t="s">
        <v>6950</v>
      </c>
      <c r="O443" s="116"/>
    </row>
    <row r="444" spans="1:15" hidden="1" x14ac:dyDescent="0.25">
      <c r="A444" s="108"/>
      <c r="B444" s="39">
        <v>433</v>
      </c>
      <c r="C444" s="162" t="s">
        <v>6951</v>
      </c>
      <c r="D444" s="162"/>
      <c r="E444" s="162"/>
      <c r="F444" s="162"/>
      <c r="G444" s="162"/>
      <c r="H444" s="162"/>
      <c r="I444" s="39" t="s">
        <v>4597</v>
      </c>
      <c r="J444" s="111">
        <v>6900000</v>
      </c>
      <c r="K444" s="112">
        <v>45888</v>
      </c>
      <c r="L444" s="39"/>
      <c r="M444" s="39" t="s">
        <v>5812</v>
      </c>
      <c r="N444" s="39" t="s">
        <v>4109</v>
      </c>
      <c r="O444" s="116" t="s">
        <v>5752</v>
      </c>
    </row>
    <row r="445" spans="1:15" hidden="1" x14ac:dyDescent="0.25">
      <c r="A445" s="108"/>
      <c r="B445" s="39">
        <v>434</v>
      </c>
      <c r="C445" s="162" t="s">
        <v>6953</v>
      </c>
      <c r="D445" s="162"/>
      <c r="E445" s="162"/>
      <c r="F445" s="162"/>
      <c r="G445" s="162"/>
      <c r="H445" s="162"/>
      <c r="I445" s="39" t="s">
        <v>6952</v>
      </c>
      <c r="J445" s="111">
        <v>29650000</v>
      </c>
      <c r="K445" s="112">
        <v>45888</v>
      </c>
      <c r="L445" s="39"/>
      <c r="M445" s="39" t="s">
        <v>6955</v>
      </c>
      <c r="N445" s="39" t="s">
        <v>6954</v>
      </c>
      <c r="O445" s="38" t="s">
        <v>6956</v>
      </c>
    </row>
    <row r="446" spans="1:15" hidden="1" x14ac:dyDescent="0.25">
      <c r="A446" s="108"/>
      <c r="B446" s="39">
        <v>435</v>
      </c>
      <c r="C446" s="162" t="s">
        <v>6960</v>
      </c>
      <c r="D446" s="162"/>
      <c r="E446" s="162"/>
      <c r="F446" s="162"/>
      <c r="G446" s="162"/>
      <c r="H446" s="162"/>
      <c r="I446" s="39" t="s">
        <v>6959</v>
      </c>
      <c r="J446" s="111">
        <v>2500000</v>
      </c>
      <c r="K446" s="112">
        <v>45888</v>
      </c>
      <c r="L446" s="39"/>
      <c r="M446" s="39">
        <v>3103521725</v>
      </c>
      <c r="N446" s="39" t="s">
        <v>6957</v>
      </c>
      <c r="O446" s="38" t="s">
        <v>6958</v>
      </c>
    </row>
    <row r="447" spans="1:15" hidden="1" x14ac:dyDescent="0.25">
      <c r="A447" s="108"/>
      <c r="B447" s="39">
        <v>436</v>
      </c>
      <c r="C447" s="162" t="s">
        <v>6961</v>
      </c>
      <c r="D447" s="162"/>
      <c r="E447" s="162"/>
      <c r="F447" s="162"/>
      <c r="G447" s="162"/>
      <c r="H447" s="162"/>
      <c r="I447" s="39" t="s">
        <v>6408</v>
      </c>
      <c r="J447" s="111">
        <v>3950000</v>
      </c>
      <c r="K447" s="112">
        <v>45888</v>
      </c>
      <c r="L447" s="39"/>
      <c r="M447" s="39" t="s">
        <v>6880</v>
      </c>
      <c r="N447" s="39" t="s">
        <v>6881</v>
      </c>
      <c r="O447" s="38" t="s">
        <v>6879</v>
      </c>
    </row>
    <row r="448" spans="1:15" hidden="1" x14ac:dyDescent="0.25">
      <c r="A448" s="108"/>
      <c r="B448" s="39">
        <v>437</v>
      </c>
      <c r="C448" s="162" t="s">
        <v>6962</v>
      </c>
      <c r="D448" s="162"/>
      <c r="E448" s="162"/>
      <c r="F448" s="162"/>
      <c r="G448" s="162"/>
      <c r="H448" s="162"/>
      <c r="I448" s="39" t="s">
        <v>6965</v>
      </c>
      <c r="J448" s="111">
        <v>9950000</v>
      </c>
      <c r="K448" s="112">
        <v>45890</v>
      </c>
      <c r="L448" s="39"/>
      <c r="M448" s="39" t="s">
        <v>6966</v>
      </c>
      <c r="N448" s="39" t="s">
        <v>6967</v>
      </c>
      <c r="O448" s="38" t="s">
        <v>6968</v>
      </c>
    </row>
    <row r="449" spans="1:15" hidden="1" x14ac:dyDescent="0.25">
      <c r="A449" s="108"/>
      <c r="B449" s="39">
        <v>438</v>
      </c>
      <c r="C449" s="162" t="s">
        <v>6963</v>
      </c>
      <c r="D449" s="162"/>
      <c r="E449" s="162"/>
      <c r="F449" s="162"/>
      <c r="G449" s="162"/>
      <c r="H449" s="162"/>
      <c r="I449" s="39" t="s">
        <v>6055</v>
      </c>
      <c r="J449" s="111">
        <v>1500000</v>
      </c>
      <c r="K449" s="112">
        <v>45891</v>
      </c>
      <c r="L449" s="39"/>
      <c r="M449" s="39">
        <v>3044003430</v>
      </c>
      <c r="N449" s="39" t="s">
        <v>6057</v>
      </c>
      <c r="O449" s="38" t="s">
        <v>990</v>
      </c>
    </row>
    <row r="450" spans="1:15" hidden="1" x14ac:dyDescent="0.25">
      <c r="A450" s="108"/>
      <c r="B450" s="39">
        <v>439</v>
      </c>
      <c r="C450" s="162" t="s">
        <v>6964</v>
      </c>
      <c r="D450" s="162"/>
      <c r="E450" s="162"/>
      <c r="F450" s="162"/>
      <c r="G450" s="162"/>
      <c r="H450" s="162"/>
      <c r="I450" s="39" t="s">
        <v>6055</v>
      </c>
      <c r="J450" s="111">
        <v>21950000</v>
      </c>
      <c r="K450" s="112">
        <v>45891</v>
      </c>
      <c r="L450" s="39"/>
      <c r="M450" s="39">
        <v>3044003430</v>
      </c>
      <c r="N450" s="39" t="s">
        <v>6057</v>
      </c>
      <c r="O450" s="38" t="s">
        <v>990</v>
      </c>
    </row>
    <row r="451" spans="1:15" hidden="1" x14ac:dyDescent="0.25">
      <c r="A451" s="108"/>
      <c r="B451" s="39">
        <v>440</v>
      </c>
      <c r="C451" s="162" t="s">
        <v>6969</v>
      </c>
      <c r="D451" s="162"/>
      <c r="E451" s="162"/>
      <c r="F451" s="162"/>
      <c r="G451" s="162"/>
      <c r="H451" s="162"/>
      <c r="I451" s="39" t="s">
        <v>6970</v>
      </c>
      <c r="J451" s="111">
        <v>14950000</v>
      </c>
      <c r="K451" s="112">
        <v>45890</v>
      </c>
      <c r="L451" s="39"/>
      <c r="M451" s="39">
        <v>3215718594</v>
      </c>
      <c r="N451" s="39" t="s">
        <v>6971</v>
      </c>
      <c r="O451" s="116"/>
    </row>
    <row r="452" spans="1:15" hidden="1" x14ac:dyDescent="0.25">
      <c r="A452" s="108"/>
      <c r="B452" s="39">
        <v>441</v>
      </c>
      <c r="C452" s="162" t="s">
        <v>6972</v>
      </c>
      <c r="D452" s="162"/>
      <c r="E452" s="162"/>
      <c r="F452" s="162"/>
      <c r="G452" s="162"/>
      <c r="H452" s="162"/>
      <c r="I452" s="39" t="s">
        <v>5352</v>
      </c>
      <c r="J452" s="111" t="s">
        <v>150</v>
      </c>
      <c r="K452" s="112">
        <v>45894</v>
      </c>
      <c r="L452" s="39"/>
      <c r="M452" s="39"/>
      <c r="N452" s="39" t="s">
        <v>6973</v>
      </c>
      <c r="O452" s="38" t="s">
        <v>6187</v>
      </c>
    </row>
    <row r="453" spans="1:15" hidden="1" x14ac:dyDescent="0.25">
      <c r="A453" s="108"/>
      <c r="B453" s="39">
        <v>442</v>
      </c>
      <c r="C453" s="162" t="s">
        <v>6974</v>
      </c>
      <c r="D453" s="162"/>
      <c r="E453" s="162"/>
      <c r="F453" s="162"/>
      <c r="G453" s="162"/>
      <c r="H453" s="162"/>
      <c r="I453" s="39" t="s">
        <v>6930</v>
      </c>
      <c r="J453" s="111">
        <v>9450000</v>
      </c>
      <c r="K453" s="112">
        <v>45894</v>
      </c>
      <c r="L453" s="39"/>
      <c r="M453" s="39">
        <v>3215596687</v>
      </c>
      <c r="N453" s="39" t="s">
        <v>6976</v>
      </c>
      <c r="O453" s="38" t="s">
        <v>6975</v>
      </c>
    </row>
    <row r="454" spans="1:15" hidden="1" x14ac:dyDescent="0.25">
      <c r="A454" s="108"/>
      <c r="B454" s="39">
        <v>443</v>
      </c>
      <c r="C454" s="162" t="s">
        <v>6977</v>
      </c>
      <c r="D454" s="162"/>
      <c r="E454" s="162"/>
      <c r="F454" s="162"/>
      <c r="G454" s="162"/>
      <c r="H454" s="162"/>
      <c r="I454" s="39" t="s">
        <v>3002</v>
      </c>
      <c r="J454" s="111">
        <v>19950000</v>
      </c>
      <c r="K454" s="112">
        <v>45894</v>
      </c>
      <c r="L454" s="39"/>
      <c r="M454" s="39">
        <v>3014317086</v>
      </c>
      <c r="N454" s="39" t="s">
        <v>4153</v>
      </c>
      <c r="O454" s="116" t="s">
        <v>4152</v>
      </c>
    </row>
    <row r="455" spans="1:15" hidden="1" x14ac:dyDescent="0.25">
      <c r="A455" s="108"/>
      <c r="B455" s="39">
        <v>444</v>
      </c>
      <c r="C455" s="162" t="s">
        <v>6978</v>
      </c>
      <c r="D455" s="162"/>
      <c r="E455" s="162"/>
      <c r="F455" s="162"/>
      <c r="G455" s="162"/>
      <c r="H455" s="162"/>
      <c r="I455" s="39" t="s">
        <v>3002</v>
      </c>
      <c r="J455" s="111">
        <v>14300000</v>
      </c>
      <c r="K455" s="112">
        <v>45894</v>
      </c>
      <c r="L455" s="39"/>
      <c r="M455" s="39" t="s">
        <v>5232</v>
      </c>
      <c r="N455" s="39" t="s">
        <v>5199</v>
      </c>
      <c r="O455" s="38" t="s">
        <v>5200</v>
      </c>
    </row>
    <row r="456" spans="1:15" hidden="1" x14ac:dyDescent="0.25">
      <c r="A456" s="108"/>
      <c r="B456" s="39">
        <v>445</v>
      </c>
      <c r="C456" s="162" t="s">
        <v>6979</v>
      </c>
      <c r="D456" s="162"/>
      <c r="E456" s="162"/>
      <c r="F456" s="162"/>
      <c r="G456" s="162"/>
      <c r="H456" s="162"/>
      <c r="I456" s="39" t="s">
        <v>6980</v>
      </c>
      <c r="J456" s="111">
        <v>3950000</v>
      </c>
      <c r="K456" s="112">
        <v>45894</v>
      </c>
      <c r="L456" s="39"/>
      <c r="M456" s="39">
        <v>3219360156</v>
      </c>
      <c r="N456" s="39" t="s">
        <v>6980</v>
      </c>
      <c r="O456" s="38" t="s">
        <v>6981</v>
      </c>
    </row>
    <row r="457" spans="1:15" hidden="1" x14ac:dyDescent="0.25">
      <c r="A457" s="108"/>
      <c r="B457" s="39">
        <v>446</v>
      </c>
      <c r="C457" s="162" t="s">
        <v>6982</v>
      </c>
      <c r="D457" s="162"/>
      <c r="E457" s="162"/>
      <c r="F457" s="162"/>
      <c r="G457" s="162"/>
      <c r="H457" s="162"/>
      <c r="I457" s="39" t="s">
        <v>3766</v>
      </c>
      <c r="J457" s="111">
        <v>71620000</v>
      </c>
      <c r="K457" s="112">
        <v>45898</v>
      </c>
      <c r="L457" s="39"/>
      <c r="M457" s="39">
        <v>3007549649</v>
      </c>
      <c r="N457" s="39" t="s">
        <v>3552</v>
      </c>
      <c r="O457" s="38" t="s">
        <v>3553</v>
      </c>
    </row>
    <row r="458" spans="1:15" hidden="1" x14ac:dyDescent="0.25">
      <c r="A458" s="108"/>
      <c r="B458" s="39">
        <v>447</v>
      </c>
      <c r="C458" s="162" t="s">
        <v>6983</v>
      </c>
      <c r="D458" s="162"/>
      <c r="E458" s="162"/>
      <c r="F458" s="162"/>
      <c r="G458" s="162"/>
      <c r="H458" s="162"/>
      <c r="I458" s="39" t="s">
        <v>702</v>
      </c>
      <c r="J458" s="111">
        <v>29980000</v>
      </c>
      <c r="K458" s="112">
        <v>45898</v>
      </c>
      <c r="L458" s="39"/>
      <c r="M458" s="39">
        <v>3104165783</v>
      </c>
      <c r="N458" s="39" t="s">
        <v>4564</v>
      </c>
      <c r="O458" s="116" t="s">
        <v>4565</v>
      </c>
    </row>
    <row r="459" spans="1:15" hidden="1" x14ac:dyDescent="0.25">
      <c r="A459" s="108"/>
      <c r="B459" s="39">
        <v>448</v>
      </c>
      <c r="C459" s="162" t="s">
        <v>6984</v>
      </c>
      <c r="D459" s="162"/>
      <c r="E459" s="162"/>
      <c r="F459" s="162"/>
      <c r="G459" s="162"/>
      <c r="H459" s="162"/>
      <c r="I459" s="39" t="s">
        <v>702</v>
      </c>
      <c r="J459" s="111">
        <v>7530000</v>
      </c>
      <c r="K459" s="112">
        <v>45898</v>
      </c>
      <c r="L459" s="39"/>
      <c r="M459" s="39">
        <v>3104165783</v>
      </c>
      <c r="N459" s="39" t="s">
        <v>4564</v>
      </c>
      <c r="O459" s="116" t="s">
        <v>4565</v>
      </c>
    </row>
    <row r="460" spans="1:15" hidden="1" x14ac:dyDescent="0.25">
      <c r="A460" s="108"/>
      <c r="B460" s="39">
        <v>449</v>
      </c>
      <c r="C460" s="162" t="s">
        <v>6985</v>
      </c>
      <c r="D460" s="162"/>
      <c r="E460" s="162"/>
      <c r="F460" s="162"/>
      <c r="G460" s="162"/>
      <c r="H460" s="162"/>
      <c r="I460" s="39" t="s">
        <v>702</v>
      </c>
      <c r="J460" s="111">
        <v>3950000</v>
      </c>
      <c r="K460" s="112">
        <v>45898</v>
      </c>
      <c r="L460" s="39"/>
      <c r="M460" s="39">
        <v>3104165783</v>
      </c>
      <c r="N460" s="39" t="s">
        <v>4564</v>
      </c>
      <c r="O460" s="116" t="s">
        <v>4565</v>
      </c>
    </row>
    <row r="461" spans="1:15" hidden="1" x14ac:dyDescent="0.25">
      <c r="A461" s="108"/>
      <c r="B461" s="39">
        <v>450</v>
      </c>
      <c r="C461" s="162" t="s">
        <v>6986</v>
      </c>
      <c r="D461" s="162"/>
      <c r="E461" s="162"/>
      <c r="F461" s="162"/>
      <c r="G461" s="162"/>
      <c r="H461" s="162"/>
      <c r="I461" s="39" t="s">
        <v>3766</v>
      </c>
      <c r="J461" s="111">
        <v>69880000</v>
      </c>
      <c r="K461" s="112">
        <v>45898</v>
      </c>
      <c r="L461" s="39"/>
      <c r="M461" s="39">
        <v>3007549649</v>
      </c>
      <c r="N461" s="39" t="s">
        <v>3552</v>
      </c>
      <c r="O461" s="38" t="s">
        <v>3553</v>
      </c>
    </row>
    <row r="462" spans="1:15" hidden="1" x14ac:dyDescent="0.25">
      <c r="A462" s="108"/>
      <c r="B462" s="39">
        <v>451</v>
      </c>
      <c r="C462" s="162" t="s">
        <v>6987</v>
      </c>
      <c r="D462" s="162"/>
      <c r="E462" s="162"/>
      <c r="F462" s="162"/>
      <c r="G462" s="162"/>
      <c r="H462" s="162"/>
      <c r="I462" s="39" t="s">
        <v>6739</v>
      </c>
      <c r="J462" s="111">
        <f>10820000*5</f>
        <v>54100000</v>
      </c>
      <c r="K462" s="112">
        <v>45896</v>
      </c>
      <c r="L462" s="39"/>
      <c r="M462" s="39">
        <v>4488388</v>
      </c>
      <c r="N462" s="39" t="s">
        <v>725</v>
      </c>
      <c r="O462" s="38" t="s">
        <v>6740</v>
      </c>
    </row>
    <row r="463" spans="1:15" hidden="1" x14ac:dyDescent="0.25">
      <c r="A463" s="108"/>
      <c r="B463" s="39">
        <v>452</v>
      </c>
      <c r="C463" s="162" t="s">
        <v>6988</v>
      </c>
      <c r="D463" s="162"/>
      <c r="E463" s="162"/>
      <c r="F463" s="162"/>
      <c r="G463" s="162"/>
      <c r="H463" s="162"/>
      <c r="I463" s="39" t="s">
        <v>5884</v>
      </c>
      <c r="J463" s="111">
        <v>2950000</v>
      </c>
      <c r="K463" s="112">
        <v>45897</v>
      </c>
      <c r="L463" s="39"/>
      <c r="M463" s="39">
        <v>3116456726</v>
      </c>
      <c r="N463" s="39" t="s">
        <v>6676</v>
      </c>
      <c r="O463" s="38" t="s">
        <v>5922</v>
      </c>
    </row>
    <row r="464" spans="1:15" hidden="1" x14ac:dyDescent="0.25">
      <c r="A464" s="108"/>
      <c r="B464" s="39">
        <v>453</v>
      </c>
      <c r="C464" s="162" t="s">
        <v>6989</v>
      </c>
      <c r="D464" s="162"/>
      <c r="E464" s="162"/>
      <c r="F464" s="162"/>
      <c r="G464" s="162"/>
      <c r="H464" s="162"/>
      <c r="I464" s="39" t="s">
        <v>6990</v>
      </c>
      <c r="J464" s="111">
        <v>33300000</v>
      </c>
      <c r="K464" s="112">
        <v>45897</v>
      </c>
      <c r="L464" s="39"/>
      <c r="M464" s="39" t="s">
        <v>6992</v>
      </c>
      <c r="N464" s="39" t="s">
        <v>6991</v>
      </c>
      <c r="O464" s="38" t="s">
        <v>6993</v>
      </c>
    </row>
    <row r="465" spans="1:15" hidden="1" x14ac:dyDescent="0.25">
      <c r="A465" s="108"/>
      <c r="B465" s="39">
        <v>454</v>
      </c>
      <c r="C465" s="162" t="s">
        <v>6995</v>
      </c>
      <c r="D465" s="162"/>
      <c r="E465" s="162"/>
      <c r="F465" s="162"/>
      <c r="G465" s="162"/>
      <c r="H465" s="162"/>
      <c r="I465" s="39" t="s">
        <v>1875</v>
      </c>
      <c r="J465" s="111" t="s">
        <v>3448</v>
      </c>
      <c r="K465" s="112">
        <v>45897</v>
      </c>
      <c r="L465" s="39"/>
      <c r="M465" s="39">
        <v>3113391008</v>
      </c>
      <c r="N465" s="39" t="s">
        <v>372</v>
      </c>
      <c r="O465" s="38" t="s">
        <v>2561</v>
      </c>
    </row>
    <row r="466" spans="1:15" hidden="1" x14ac:dyDescent="0.25">
      <c r="A466" s="108"/>
      <c r="B466" s="39">
        <v>455</v>
      </c>
      <c r="C466" s="162" t="s">
        <v>6994</v>
      </c>
      <c r="D466" s="162"/>
      <c r="E466" s="162"/>
      <c r="F466" s="162"/>
      <c r="G466" s="162"/>
      <c r="H466" s="162"/>
      <c r="I466" s="39" t="s">
        <v>1875</v>
      </c>
      <c r="J466" s="111">
        <v>47450000</v>
      </c>
      <c r="K466" s="112">
        <v>45897</v>
      </c>
      <c r="L466" s="39"/>
      <c r="M466" s="39">
        <v>3113391008</v>
      </c>
      <c r="N466" s="39" t="s">
        <v>372</v>
      </c>
      <c r="O466" s="38" t="s">
        <v>2561</v>
      </c>
    </row>
    <row r="467" spans="1:15" hidden="1" x14ac:dyDescent="0.25">
      <c r="A467" s="108"/>
      <c r="B467" s="39">
        <v>456</v>
      </c>
      <c r="C467" s="162" t="s">
        <v>6996</v>
      </c>
      <c r="D467" s="162"/>
      <c r="E467" s="162"/>
      <c r="F467" s="162"/>
      <c r="G467" s="162"/>
      <c r="H467" s="162"/>
      <c r="I467" s="39" t="s">
        <v>1875</v>
      </c>
      <c r="J467" s="111">
        <v>129200000</v>
      </c>
      <c r="K467" s="112">
        <v>45897</v>
      </c>
      <c r="L467" s="39"/>
      <c r="M467" s="39">
        <v>3113391008</v>
      </c>
      <c r="N467" s="39" t="s">
        <v>372</v>
      </c>
      <c r="O467" s="38" t="s">
        <v>2561</v>
      </c>
    </row>
    <row r="468" spans="1:15" hidden="1" x14ac:dyDescent="0.25">
      <c r="A468" s="108"/>
      <c r="B468" s="39">
        <v>457</v>
      </c>
      <c r="C468" s="162" t="s">
        <v>6997</v>
      </c>
      <c r="D468" s="162"/>
      <c r="E468" s="162"/>
      <c r="F468" s="162"/>
      <c r="G468" s="162"/>
      <c r="H468" s="162"/>
      <c r="I468" s="39" t="s">
        <v>6998</v>
      </c>
      <c r="J468" s="111">
        <v>10950000</v>
      </c>
      <c r="K468" s="112">
        <v>45897</v>
      </c>
      <c r="L468" s="39"/>
      <c r="M468" s="39">
        <v>3104567316</v>
      </c>
      <c r="N468" s="39" t="s">
        <v>6999</v>
      </c>
      <c r="O468" s="38" t="s">
        <v>7000</v>
      </c>
    </row>
    <row r="469" spans="1:15" hidden="1" x14ac:dyDescent="0.25">
      <c r="A469" s="108"/>
      <c r="B469" s="39">
        <v>458</v>
      </c>
      <c r="C469" s="162" t="s">
        <v>7001</v>
      </c>
      <c r="D469" s="162"/>
      <c r="E469" s="162"/>
      <c r="F469" s="162"/>
      <c r="G469" s="162"/>
      <c r="H469" s="162"/>
      <c r="I469" s="39" t="s">
        <v>2672</v>
      </c>
      <c r="J469" s="111" t="s">
        <v>263</v>
      </c>
      <c r="K469" s="112">
        <v>45897</v>
      </c>
      <c r="L469" s="39"/>
      <c r="M469" s="39">
        <v>3008594811</v>
      </c>
      <c r="N469" s="39" t="s">
        <v>4402</v>
      </c>
      <c r="O469" s="38" t="s">
        <v>3780</v>
      </c>
    </row>
    <row r="470" spans="1:15" hidden="1" x14ac:dyDescent="0.25">
      <c r="A470" s="108"/>
      <c r="B470" s="39">
        <v>459</v>
      </c>
      <c r="C470" s="162" t="s">
        <v>7002</v>
      </c>
      <c r="D470" s="162"/>
      <c r="E470" s="162"/>
      <c r="F470" s="162"/>
      <c r="G470" s="162"/>
      <c r="H470" s="162"/>
      <c r="I470" s="39" t="s">
        <v>1129</v>
      </c>
      <c r="J470" s="111">
        <v>8900000</v>
      </c>
      <c r="K470" s="112">
        <v>45901</v>
      </c>
      <c r="L470" s="39"/>
      <c r="M470" s="39">
        <v>3147537411</v>
      </c>
      <c r="N470" s="39" t="s">
        <v>5253</v>
      </c>
      <c r="O470" s="116" t="s">
        <v>1131</v>
      </c>
    </row>
    <row r="471" spans="1:15" hidden="1" x14ac:dyDescent="0.25">
      <c r="A471" s="108"/>
      <c r="B471" s="39">
        <v>460</v>
      </c>
      <c r="C471" s="162" t="s">
        <v>7003</v>
      </c>
      <c r="D471" s="162"/>
      <c r="E471" s="162"/>
      <c r="F471" s="162"/>
      <c r="G471" s="162"/>
      <c r="H471" s="162"/>
      <c r="I471" s="39" t="s">
        <v>6276</v>
      </c>
      <c r="J471" s="111">
        <v>22950000</v>
      </c>
      <c r="K471" s="112">
        <v>45901</v>
      </c>
      <c r="L471" s="39"/>
      <c r="M471" s="39">
        <v>3165767257</v>
      </c>
      <c r="N471" s="39" t="s">
        <v>6277</v>
      </c>
      <c r="O471" s="116" t="s">
        <v>6278</v>
      </c>
    </row>
    <row r="472" spans="1:15" hidden="1" x14ac:dyDescent="0.25">
      <c r="A472" s="108"/>
      <c r="B472" s="39">
        <v>461</v>
      </c>
      <c r="C472" s="162" t="s">
        <v>7004</v>
      </c>
      <c r="D472" s="162"/>
      <c r="E472" s="162"/>
      <c r="F472" s="162"/>
      <c r="G472" s="162"/>
      <c r="H472" s="162"/>
      <c r="I472" s="39" t="s">
        <v>3766</v>
      </c>
      <c r="J472" s="111">
        <v>29970000</v>
      </c>
      <c r="K472" s="112">
        <v>45902</v>
      </c>
      <c r="L472" s="39"/>
      <c r="M472" s="39">
        <v>3007549649</v>
      </c>
      <c r="N472" s="39" t="s">
        <v>3552</v>
      </c>
      <c r="O472" s="38" t="s">
        <v>3553</v>
      </c>
    </row>
    <row r="473" spans="1:15" hidden="1" x14ac:dyDescent="0.25">
      <c r="A473" s="108"/>
      <c r="B473" s="39">
        <v>462</v>
      </c>
      <c r="C473" s="162" t="s">
        <v>7005</v>
      </c>
      <c r="D473" s="162"/>
      <c r="E473" s="162"/>
      <c r="F473" s="162"/>
      <c r="G473" s="162"/>
      <c r="H473" s="162"/>
      <c r="I473" s="39" t="s">
        <v>7006</v>
      </c>
      <c r="J473" s="111">
        <v>9950000</v>
      </c>
      <c r="K473" s="112">
        <v>45901</v>
      </c>
      <c r="L473" s="39"/>
      <c r="M473" s="39">
        <v>3015373184</v>
      </c>
      <c r="N473" s="39" t="s">
        <v>7009</v>
      </c>
      <c r="O473" s="38" t="s">
        <v>7010</v>
      </c>
    </row>
    <row r="474" spans="1:15" hidden="1" x14ac:dyDescent="0.25">
      <c r="A474" s="108"/>
      <c r="B474" s="39">
        <v>463</v>
      </c>
      <c r="C474" s="162" t="s">
        <v>7008</v>
      </c>
      <c r="D474" s="162"/>
      <c r="E474" s="162"/>
      <c r="F474" s="162"/>
      <c r="G474" s="162"/>
      <c r="H474" s="162"/>
      <c r="I474" s="39" t="s">
        <v>3128</v>
      </c>
      <c r="J474" s="111">
        <v>15950000</v>
      </c>
      <c r="K474" s="112">
        <v>45901</v>
      </c>
      <c r="L474" s="39"/>
      <c r="M474" s="39" t="s">
        <v>7007</v>
      </c>
      <c r="N474" s="39" t="s">
        <v>6791</v>
      </c>
      <c r="O474" s="38" t="s">
        <v>6790</v>
      </c>
    </row>
    <row r="475" spans="1:15" hidden="1" x14ac:dyDescent="0.25">
      <c r="A475" s="108"/>
      <c r="B475" s="39">
        <v>464</v>
      </c>
      <c r="C475" s="162" t="s">
        <v>7011</v>
      </c>
      <c r="D475" s="162"/>
      <c r="E475" s="162"/>
      <c r="F475" s="162"/>
      <c r="G475" s="162"/>
      <c r="H475" s="162"/>
      <c r="I475" s="39" t="s">
        <v>1875</v>
      </c>
      <c r="J475" s="111">
        <v>86670000</v>
      </c>
      <c r="K475" s="112">
        <v>45903</v>
      </c>
      <c r="L475" s="39"/>
      <c r="M475" s="39">
        <v>3113391008</v>
      </c>
      <c r="N475" s="39" t="s">
        <v>372</v>
      </c>
      <c r="O475" s="38" t="s">
        <v>2561</v>
      </c>
    </row>
    <row r="476" spans="1:15" hidden="1" x14ac:dyDescent="0.25">
      <c r="A476" s="108"/>
      <c r="B476" s="39">
        <v>465</v>
      </c>
      <c r="C476" s="162" t="s">
        <v>7012</v>
      </c>
      <c r="D476" s="162"/>
      <c r="E476" s="162"/>
      <c r="F476" s="162"/>
      <c r="G476" s="162"/>
      <c r="H476" s="162"/>
      <c r="I476" s="39" t="s">
        <v>6489</v>
      </c>
      <c r="J476" s="111">
        <v>11000</v>
      </c>
      <c r="K476" s="112">
        <v>45901</v>
      </c>
      <c r="L476" s="39"/>
      <c r="M476" s="32">
        <v>5977482657</v>
      </c>
      <c r="N476" s="103" t="s">
        <v>5671</v>
      </c>
      <c r="O476" s="116" t="s">
        <v>5673</v>
      </c>
    </row>
    <row r="477" spans="1:15" hidden="1" x14ac:dyDescent="0.25">
      <c r="A477" s="108"/>
      <c r="B477" s="39">
        <v>466</v>
      </c>
      <c r="C477" s="162" t="s">
        <v>7013</v>
      </c>
      <c r="D477" s="162"/>
      <c r="E477" s="162"/>
      <c r="F477" s="162"/>
      <c r="G477" s="162"/>
      <c r="H477" s="162"/>
      <c r="I477" s="39" t="s">
        <v>1875</v>
      </c>
      <c r="J477" s="111">
        <v>75260000</v>
      </c>
      <c r="K477" s="112">
        <v>45903</v>
      </c>
      <c r="L477" s="39"/>
      <c r="M477" s="39">
        <v>3113391008</v>
      </c>
      <c r="N477" s="39" t="s">
        <v>372</v>
      </c>
      <c r="O477" s="38" t="s">
        <v>2561</v>
      </c>
    </row>
    <row r="478" spans="1:15" hidden="1" x14ac:dyDescent="0.25">
      <c r="A478" s="108"/>
      <c r="B478" s="39">
        <v>467</v>
      </c>
      <c r="C478" s="162" t="s">
        <v>7014</v>
      </c>
      <c r="D478" s="162"/>
      <c r="E478" s="162"/>
      <c r="F478" s="162"/>
      <c r="G478" s="162"/>
      <c r="H478" s="162"/>
      <c r="I478" s="39" t="s">
        <v>3766</v>
      </c>
      <c r="J478" s="111">
        <v>28850000</v>
      </c>
      <c r="K478" s="112">
        <v>45903</v>
      </c>
      <c r="L478" s="39"/>
      <c r="M478" s="39">
        <v>3155264386</v>
      </c>
      <c r="N478" s="39" t="s">
        <v>6301</v>
      </c>
      <c r="O478" s="38" t="s">
        <v>5234</v>
      </c>
    </row>
    <row r="479" spans="1:15" hidden="1" x14ac:dyDescent="0.25">
      <c r="A479" s="108"/>
      <c r="B479" s="39">
        <v>468</v>
      </c>
      <c r="C479" s="162" t="s">
        <v>7015</v>
      </c>
      <c r="D479" s="162"/>
      <c r="E479" s="162"/>
      <c r="F479" s="162"/>
      <c r="G479" s="162"/>
      <c r="H479" s="162"/>
      <c r="I479" s="39" t="s">
        <v>7016</v>
      </c>
      <c r="J479" s="111">
        <v>26900000</v>
      </c>
      <c r="K479" s="112">
        <v>45903</v>
      </c>
      <c r="L479" s="39"/>
      <c r="M479" s="39"/>
      <c r="N479" s="39" t="s">
        <v>7017</v>
      </c>
      <c r="O479" s="38" t="s">
        <v>7018</v>
      </c>
    </row>
    <row r="480" spans="1:15" hidden="1" x14ac:dyDescent="0.25">
      <c r="A480" s="108"/>
      <c r="B480" s="39">
        <v>469</v>
      </c>
      <c r="C480" s="162" t="s">
        <v>7019</v>
      </c>
      <c r="D480" s="162"/>
      <c r="E480" s="162"/>
      <c r="F480" s="162"/>
      <c r="G480" s="162"/>
      <c r="H480" s="162"/>
      <c r="I480" s="39" t="s">
        <v>6386</v>
      </c>
      <c r="J480" s="111">
        <v>12540000</v>
      </c>
      <c r="K480" s="112">
        <v>45903</v>
      </c>
      <c r="L480" s="39"/>
      <c r="M480" s="39">
        <v>3108312159</v>
      </c>
      <c r="N480" s="39" t="s">
        <v>7020</v>
      </c>
      <c r="O480" s="38" t="s">
        <v>7021</v>
      </c>
    </row>
    <row r="481" spans="1:15" hidden="1" x14ac:dyDescent="0.25">
      <c r="A481" s="108"/>
      <c r="B481" s="39">
        <v>470</v>
      </c>
      <c r="C481" s="162" t="s">
        <v>7022</v>
      </c>
      <c r="D481" s="162"/>
      <c r="E481" s="162"/>
      <c r="F481" s="162"/>
      <c r="G481" s="162"/>
      <c r="H481" s="162"/>
      <c r="I481" s="39" t="s">
        <v>3002</v>
      </c>
      <c r="J481" s="111">
        <v>3760000</v>
      </c>
      <c r="K481" s="112">
        <v>45903</v>
      </c>
      <c r="L481" s="39"/>
      <c r="M481" s="39" t="s">
        <v>5232</v>
      </c>
      <c r="N481" s="39" t="s">
        <v>5199</v>
      </c>
      <c r="O481" s="38" t="s">
        <v>5200</v>
      </c>
    </row>
    <row r="482" spans="1:15" hidden="1" x14ac:dyDescent="0.25">
      <c r="A482" s="108"/>
      <c r="B482" s="39">
        <v>471</v>
      </c>
      <c r="C482" s="162" t="s">
        <v>7023</v>
      </c>
      <c r="D482" s="162"/>
      <c r="E482" s="162"/>
      <c r="F482" s="162"/>
      <c r="G482" s="162"/>
      <c r="H482" s="162"/>
      <c r="I482" s="39" t="s">
        <v>6008</v>
      </c>
      <c r="J482" s="111">
        <v>19980000</v>
      </c>
      <c r="K482" s="112">
        <v>45903</v>
      </c>
      <c r="L482" s="39"/>
      <c r="M482" s="39">
        <v>3136112279</v>
      </c>
      <c r="N482" s="39" t="s">
        <v>6713</v>
      </c>
      <c r="O482" s="38" t="s">
        <v>6007</v>
      </c>
    </row>
    <row r="483" spans="1:15" hidden="1" x14ac:dyDescent="0.25">
      <c r="A483" s="108"/>
      <c r="B483" s="39">
        <v>472</v>
      </c>
      <c r="C483" s="162" t="s">
        <v>7024</v>
      </c>
      <c r="D483" s="162"/>
      <c r="E483" s="162"/>
      <c r="F483" s="162"/>
      <c r="G483" s="162"/>
      <c r="H483" s="162"/>
      <c r="I483" s="39" t="s">
        <v>5137</v>
      </c>
      <c r="J483" s="111">
        <v>11950000</v>
      </c>
      <c r="K483" s="112">
        <v>45903</v>
      </c>
      <c r="L483" s="39"/>
      <c r="M483" s="39">
        <v>3104139821</v>
      </c>
      <c r="N483" s="39" t="s">
        <v>6298</v>
      </c>
      <c r="O483" s="116" t="s">
        <v>1114</v>
      </c>
    </row>
    <row r="484" spans="1:15" hidden="1" x14ac:dyDescent="0.25">
      <c r="A484" s="108"/>
      <c r="B484" s="39">
        <v>473</v>
      </c>
      <c r="C484" s="162" t="s">
        <v>7025</v>
      </c>
      <c r="D484" s="162"/>
      <c r="E484" s="162"/>
      <c r="F484" s="162"/>
      <c r="G484" s="162"/>
      <c r="H484" s="162"/>
      <c r="I484" s="39" t="s">
        <v>702</v>
      </c>
      <c r="J484" s="111">
        <v>2950000</v>
      </c>
      <c r="K484" s="112">
        <v>45903</v>
      </c>
      <c r="L484" s="39"/>
      <c r="M484" s="39" t="s">
        <v>6902</v>
      </c>
      <c r="N484" s="39" t="s">
        <v>6377</v>
      </c>
      <c r="O484" s="38" t="s">
        <v>6379</v>
      </c>
    </row>
    <row r="485" spans="1:15" hidden="1" x14ac:dyDescent="0.25">
      <c r="A485" s="108"/>
      <c r="B485" s="39">
        <v>474</v>
      </c>
      <c r="C485" s="162" t="s">
        <v>7026</v>
      </c>
      <c r="D485" s="162"/>
      <c r="E485" s="162"/>
      <c r="F485" s="162"/>
      <c r="G485" s="162"/>
      <c r="H485" s="162"/>
      <c r="I485" s="39" t="s">
        <v>1139</v>
      </c>
      <c r="J485" s="111">
        <v>3760000</v>
      </c>
      <c r="K485" s="112">
        <v>45903</v>
      </c>
      <c r="L485" s="39"/>
      <c r="M485" s="39">
        <v>3107618645</v>
      </c>
      <c r="N485" s="39" t="s">
        <v>7027</v>
      </c>
      <c r="O485" s="38" t="s">
        <v>7028</v>
      </c>
    </row>
    <row r="486" spans="1:15" hidden="1" x14ac:dyDescent="0.25">
      <c r="A486" s="108"/>
      <c r="B486" s="39">
        <v>475</v>
      </c>
      <c r="C486" s="162" t="s">
        <v>7029</v>
      </c>
      <c r="D486" s="162"/>
      <c r="E486" s="162"/>
      <c r="F486" s="162"/>
      <c r="G486" s="162"/>
      <c r="H486" s="162"/>
      <c r="I486" s="39" t="s">
        <v>1875</v>
      </c>
      <c r="J486" s="111" t="s">
        <v>7037</v>
      </c>
      <c r="K486" s="112">
        <v>45903</v>
      </c>
      <c r="L486" s="39"/>
      <c r="M486" s="39">
        <v>3052837624</v>
      </c>
      <c r="N486" s="39" t="s">
        <v>7030</v>
      </c>
      <c r="O486" s="38" t="s">
        <v>7031</v>
      </c>
    </row>
    <row r="487" spans="1:15" hidden="1" x14ac:dyDescent="0.25">
      <c r="A487" s="108"/>
      <c r="B487" s="39">
        <v>476</v>
      </c>
      <c r="C487" s="162" t="s">
        <v>7032</v>
      </c>
      <c r="D487" s="162"/>
      <c r="E487" s="162"/>
      <c r="F487" s="162"/>
      <c r="G487" s="162"/>
      <c r="H487" s="162"/>
      <c r="I487" s="39" t="s">
        <v>4216</v>
      </c>
      <c r="J487" s="111">
        <v>21840000</v>
      </c>
      <c r="K487" s="112">
        <v>45904</v>
      </c>
      <c r="L487" s="39"/>
      <c r="M487" s="39" t="s">
        <v>7033</v>
      </c>
      <c r="N487" s="39" t="s">
        <v>7034</v>
      </c>
      <c r="O487" s="38" t="s">
        <v>7035</v>
      </c>
    </row>
    <row r="488" spans="1:15" hidden="1" x14ac:dyDescent="0.25">
      <c r="A488" s="108"/>
      <c r="B488" s="39">
        <v>477</v>
      </c>
      <c r="C488" s="162" t="s">
        <v>7036</v>
      </c>
      <c r="D488" s="162"/>
      <c r="E488" s="162"/>
      <c r="F488" s="162"/>
      <c r="G488" s="162"/>
      <c r="H488" s="162"/>
      <c r="I488" s="39" t="s">
        <v>1875</v>
      </c>
      <c r="J488" s="111">
        <v>19950000</v>
      </c>
      <c r="K488" s="112">
        <v>45904</v>
      </c>
      <c r="L488" s="39"/>
      <c r="M488" s="39">
        <v>3116460496</v>
      </c>
      <c r="N488" s="39" t="s">
        <v>5213</v>
      </c>
      <c r="O488" s="116" t="s">
        <v>1876</v>
      </c>
    </row>
    <row r="489" spans="1:15" hidden="1" x14ac:dyDescent="0.25">
      <c r="A489" s="108"/>
      <c r="B489" s="39">
        <v>478</v>
      </c>
      <c r="C489" s="162" t="s">
        <v>7038</v>
      </c>
      <c r="D489" s="162"/>
      <c r="E489" s="162"/>
      <c r="F489" s="162"/>
      <c r="G489" s="162"/>
      <c r="H489" s="162"/>
      <c r="I489" s="39" t="s">
        <v>3301</v>
      </c>
      <c r="J489" s="111">
        <v>5500000</v>
      </c>
      <c r="K489" s="112">
        <v>45904</v>
      </c>
      <c r="L489" s="39"/>
      <c r="M489" s="39">
        <v>3017202332</v>
      </c>
      <c r="N489" s="39" t="s">
        <v>7039</v>
      </c>
      <c r="O489" s="38" t="s">
        <v>2435</v>
      </c>
    </row>
    <row r="490" spans="1:15" hidden="1" x14ac:dyDescent="0.25">
      <c r="A490" s="108"/>
      <c r="B490" s="39">
        <v>479</v>
      </c>
      <c r="C490" s="162" t="s">
        <v>7040</v>
      </c>
      <c r="D490" s="162"/>
      <c r="E490" s="162"/>
      <c r="F490" s="162"/>
      <c r="G490" s="162"/>
      <c r="H490" s="162"/>
      <c r="I490" s="39" t="s">
        <v>7041</v>
      </c>
      <c r="J490" s="111"/>
      <c r="K490" s="112">
        <v>45905</v>
      </c>
      <c r="L490" s="39"/>
      <c r="M490" s="39" t="s">
        <v>7043</v>
      </c>
      <c r="N490" s="39" t="s">
        <v>7042</v>
      </c>
      <c r="O490" s="38" t="s">
        <v>7044</v>
      </c>
    </row>
    <row r="491" spans="1:15" hidden="1" x14ac:dyDescent="0.25">
      <c r="A491" s="108"/>
      <c r="B491" s="39">
        <v>480</v>
      </c>
      <c r="C491" s="162" t="s">
        <v>4603</v>
      </c>
      <c r="D491" s="162"/>
      <c r="E491" s="162"/>
      <c r="F491" s="162"/>
      <c r="G491" s="162"/>
      <c r="H491" s="162"/>
      <c r="I491" s="39" t="s">
        <v>774</v>
      </c>
      <c r="J491" s="111">
        <v>21950000</v>
      </c>
      <c r="K491" s="112">
        <v>45905</v>
      </c>
      <c r="L491" s="39"/>
      <c r="M491" s="39" t="s">
        <v>7046</v>
      </c>
      <c r="N491" s="39" t="s">
        <v>7045</v>
      </c>
      <c r="O491" s="38" t="s">
        <v>7047</v>
      </c>
    </row>
    <row r="492" spans="1:15" hidden="1" x14ac:dyDescent="0.25">
      <c r="A492" s="108"/>
      <c r="B492" s="39">
        <v>481</v>
      </c>
      <c r="C492" s="162" t="s">
        <v>7048</v>
      </c>
      <c r="D492" s="162"/>
      <c r="E492" s="162"/>
      <c r="F492" s="162"/>
      <c r="G492" s="162"/>
      <c r="H492" s="162"/>
      <c r="I492" s="39" t="s">
        <v>6545</v>
      </c>
      <c r="J492" s="111">
        <v>4950000</v>
      </c>
      <c r="K492" s="112">
        <v>45909</v>
      </c>
      <c r="L492" s="39"/>
      <c r="M492" s="39">
        <v>3134451063</v>
      </c>
      <c r="N492" s="39" t="s">
        <v>6906</v>
      </c>
      <c r="O492" s="38" t="s">
        <v>6907</v>
      </c>
    </row>
    <row r="493" spans="1:15" hidden="1" x14ac:dyDescent="0.25">
      <c r="A493" s="108"/>
      <c r="B493" s="39">
        <v>482</v>
      </c>
      <c r="C493" s="162" t="s">
        <v>7049</v>
      </c>
      <c r="D493" s="162"/>
      <c r="E493" s="162"/>
      <c r="F493" s="162"/>
      <c r="G493" s="162"/>
      <c r="H493" s="162"/>
      <c r="I493" s="39" t="s">
        <v>4939</v>
      </c>
      <c r="J493" s="111">
        <v>950000</v>
      </c>
      <c r="K493" s="112">
        <v>45911</v>
      </c>
      <c r="L493" s="39"/>
      <c r="M493" s="39">
        <v>3206678830</v>
      </c>
      <c r="N493" s="39" t="s">
        <v>5109</v>
      </c>
      <c r="O493" s="38" t="s">
        <v>948</v>
      </c>
    </row>
    <row r="494" spans="1:15" hidden="1" x14ac:dyDescent="0.25">
      <c r="A494" s="108"/>
      <c r="B494" s="39">
        <v>483</v>
      </c>
      <c r="C494" s="162" t="s">
        <v>7050</v>
      </c>
      <c r="D494" s="162"/>
      <c r="E494" s="162"/>
      <c r="F494" s="162"/>
      <c r="G494" s="162"/>
      <c r="H494" s="162"/>
      <c r="I494" s="39" t="s">
        <v>4939</v>
      </c>
      <c r="J494" s="111">
        <v>14950000</v>
      </c>
      <c r="K494" s="112">
        <v>45911</v>
      </c>
      <c r="L494" s="39"/>
      <c r="M494" s="39">
        <v>3014111727</v>
      </c>
      <c r="N494" s="39" t="s">
        <v>3402</v>
      </c>
      <c r="O494" s="38" t="s">
        <v>2235</v>
      </c>
    </row>
    <row r="495" spans="1:15" hidden="1" x14ac:dyDescent="0.25">
      <c r="A495" s="108"/>
      <c r="B495" s="39">
        <v>484</v>
      </c>
      <c r="C495" s="162" t="s">
        <v>7051</v>
      </c>
      <c r="D495" s="162"/>
      <c r="E495" s="162"/>
      <c r="F495" s="162"/>
      <c r="G495" s="162"/>
      <c r="H495" s="162"/>
      <c r="I495" s="39" t="s">
        <v>476</v>
      </c>
      <c r="J495" s="111">
        <v>26350000</v>
      </c>
      <c r="K495" s="112">
        <v>45911</v>
      </c>
      <c r="L495" s="39"/>
      <c r="M495" s="39">
        <v>3663276</v>
      </c>
      <c r="N495" s="39" t="s">
        <v>476</v>
      </c>
      <c r="O495" s="38" t="s">
        <v>7052</v>
      </c>
    </row>
    <row r="496" spans="1:15" hidden="1" x14ac:dyDescent="0.25">
      <c r="A496" s="108"/>
      <c r="B496" s="39">
        <v>485</v>
      </c>
      <c r="C496" s="162" t="s">
        <v>7053</v>
      </c>
      <c r="D496" s="162"/>
      <c r="E496" s="162"/>
      <c r="F496" s="162"/>
      <c r="G496" s="162"/>
      <c r="H496" s="162"/>
      <c r="I496" s="39" t="s">
        <v>702</v>
      </c>
      <c r="J496" s="111">
        <v>6250000</v>
      </c>
      <c r="K496" s="112">
        <v>45911</v>
      </c>
      <c r="L496" s="39"/>
      <c r="M496" s="39">
        <v>3006047984</v>
      </c>
      <c r="N496" s="39" t="s">
        <v>7054</v>
      </c>
      <c r="O496" s="38" t="s">
        <v>6379</v>
      </c>
    </row>
    <row r="497" spans="1:15" hidden="1" x14ac:dyDescent="0.25">
      <c r="A497" s="108"/>
      <c r="B497" s="39">
        <v>486</v>
      </c>
      <c r="C497" s="162" t="s">
        <v>7055</v>
      </c>
      <c r="D497" s="162"/>
      <c r="E497" s="162"/>
      <c r="F497" s="162"/>
      <c r="G497" s="162"/>
      <c r="H497" s="162"/>
      <c r="I497" s="39" t="s">
        <v>702</v>
      </c>
      <c r="J497" s="111">
        <v>6250000</v>
      </c>
      <c r="K497" s="112">
        <v>45911</v>
      </c>
      <c r="L497" s="39"/>
      <c r="M497" s="39">
        <v>3006047984</v>
      </c>
      <c r="N497" s="39" t="s">
        <v>7054</v>
      </c>
      <c r="O497" s="38" t="s">
        <v>6379</v>
      </c>
    </row>
    <row r="498" spans="1:15" hidden="1" x14ac:dyDescent="0.25">
      <c r="A498" s="108"/>
      <c r="B498" s="39">
        <v>487</v>
      </c>
      <c r="C498" s="162" t="s">
        <v>7056</v>
      </c>
      <c r="D498" s="162"/>
      <c r="E498" s="162"/>
      <c r="F498" s="162"/>
      <c r="G498" s="162"/>
      <c r="H498" s="162"/>
      <c r="I498" s="39" t="s">
        <v>6069</v>
      </c>
      <c r="J498" s="111">
        <v>950000</v>
      </c>
      <c r="K498" s="112">
        <v>45917</v>
      </c>
      <c r="L498" s="39"/>
      <c r="M498" s="39">
        <v>3157127077</v>
      </c>
      <c r="N498" s="39" t="s">
        <v>7057</v>
      </c>
      <c r="O498" s="38" t="s">
        <v>6563</v>
      </c>
    </row>
    <row r="499" spans="1:15" hidden="1" x14ac:dyDescent="0.25">
      <c r="A499" s="108"/>
      <c r="B499" s="39">
        <v>488</v>
      </c>
      <c r="C499" s="162" t="s">
        <v>7058</v>
      </c>
      <c r="D499" s="162"/>
      <c r="E499" s="162"/>
      <c r="F499" s="162"/>
      <c r="G499" s="162"/>
      <c r="H499" s="162"/>
      <c r="I499" s="39" t="s">
        <v>2204</v>
      </c>
      <c r="J499" s="111">
        <v>1950000</v>
      </c>
      <c r="K499" s="112">
        <v>45911</v>
      </c>
      <c r="L499" s="39"/>
      <c r="M499" s="39">
        <v>3117208541</v>
      </c>
      <c r="N499" s="39" t="s">
        <v>2240</v>
      </c>
      <c r="O499" s="38" t="s">
        <v>2241</v>
      </c>
    </row>
    <row r="500" spans="1:15" hidden="1" x14ac:dyDescent="0.25">
      <c r="A500" s="108"/>
      <c r="B500" s="39">
        <v>489</v>
      </c>
      <c r="C500" s="162" t="s">
        <v>7059</v>
      </c>
      <c r="D500" s="162"/>
      <c r="E500" s="162"/>
      <c r="F500" s="162"/>
      <c r="G500" s="162"/>
      <c r="H500" s="162"/>
      <c r="I500" s="39" t="s">
        <v>4216</v>
      </c>
      <c r="J500" s="111" t="s">
        <v>150</v>
      </c>
      <c r="K500" s="112">
        <v>45917</v>
      </c>
      <c r="L500" s="39"/>
      <c r="M500" s="39"/>
      <c r="N500" s="39" t="s">
        <v>7060</v>
      </c>
      <c r="O500" s="38" t="s">
        <v>7061</v>
      </c>
    </row>
    <row r="501" spans="1:15" hidden="1" x14ac:dyDescent="0.25">
      <c r="A501" s="108"/>
      <c r="B501" s="39">
        <v>490</v>
      </c>
      <c r="C501" s="162" t="s">
        <v>7064</v>
      </c>
      <c r="D501" s="162"/>
      <c r="E501" s="162"/>
      <c r="F501" s="162"/>
      <c r="G501" s="162"/>
      <c r="H501" s="162"/>
      <c r="I501" s="39" t="s">
        <v>6164</v>
      </c>
      <c r="J501" s="111">
        <v>6250000</v>
      </c>
      <c r="K501" s="112">
        <v>45916</v>
      </c>
      <c r="L501" s="39"/>
      <c r="M501" s="39">
        <v>3013030142</v>
      </c>
      <c r="N501" s="39" t="s">
        <v>7062</v>
      </c>
      <c r="O501" s="38" t="s">
        <v>7063</v>
      </c>
    </row>
    <row r="502" spans="1:15" hidden="1" x14ac:dyDescent="0.25">
      <c r="A502" s="108"/>
      <c r="B502" s="39">
        <v>491</v>
      </c>
      <c r="C502" s="162" t="s">
        <v>7065</v>
      </c>
      <c r="D502" s="162"/>
      <c r="E502" s="162"/>
      <c r="F502" s="162"/>
      <c r="G502" s="162"/>
      <c r="H502" s="162"/>
      <c r="I502" s="39" t="s">
        <v>7067</v>
      </c>
      <c r="J502" s="111" t="s">
        <v>2492</v>
      </c>
      <c r="K502" s="112">
        <v>45918</v>
      </c>
      <c r="L502" s="39"/>
      <c r="M502" s="39">
        <v>3104680508</v>
      </c>
      <c r="N502" s="39" t="s">
        <v>212</v>
      </c>
      <c r="O502" s="38" t="s">
        <v>7066</v>
      </c>
    </row>
    <row r="503" spans="1:15" hidden="1" x14ac:dyDescent="0.25">
      <c r="A503" s="108"/>
      <c r="B503" s="39">
        <v>492</v>
      </c>
      <c r="C503" s="162" t="s">
        <v>7068</v>
      </c>
      <c r="D503" s="162"/>
      <c r="E503" s="162"/>
      <c r="F503" s="162"/>
      <c r="G503" s="162"/>
      <c r="H503" s="162"/>
      <c r="I503" s="39" t="s">
        <v>6545</v>
      </c>
      <c r="J503" s="111">
        <v>2500000</v>
      </c>
      <c r="K503" s="112">
        <v>45916</v>
      </c>
      <c r="L503" s="39"/>
      <c r="M503" s="39">
        <v>3134451063</v>
      </c>
      <c r="N503" s="39" t="s">
        <v>6906</v>
      </c>
      <c r="O503" s="116" t="s">
        <v>6907</v>
      </c>
    </row>
    <row r="504" spans="1:15" hidden="1" x14ac:dyDescent="0.25">
      <c r="A504" s="108"/>
      <c r="B504" s="39">
        <v>493</v>
      </c>
      <c r="C504" s="162" t="s">
        <v>7069</v>
      </c>
      <c r="D504" s="162"/>
      <c r="E504" s="162"/>
      <c r="F504" s="162"/>
      <c r="G504" s="162"/>
      <c r="H504" s="162"/>
      <c r="I504" s="39" t="s">
        <v>4059</v>
      </c>
      <c r="J504" s="111">
        <v>23200000</v>
      </c>
      <c r="K504" s="112">
        <v>45917</v>
      </c>
      <c r="L504" s="39"/>
      <c r="M504" s="39" t="s">
        <v>5410</v>
      </c>
      <c r="N504" s="39" t="s">
        <v>4059</v>
      </c>
      <c r="O504" s="116"/>
    </row>
    <row r="505" spans="1:15" hidden="1" x14ac:dyDescent="0.25">
      <c r="A505" s="108"/>
      <c r="B505" s="39">
        <v>494</v>
      </c>
      <c r="C505" s="162" t="s">
        <v>7070</v>
      </c>
      <c r="D505" s="162"/>
      <c r="E505" s="162"/>
      <c r="F505" s="162"/>
      <c r="G505" s="162"/>
      <c r="H505" s="162"/>
      <c r="I505" s="39" t="s">
        <v>1343</v>
      </c>
      <c r="J505" s="111">
        <v>10750000</v>
      </c>
      <c r="K505" s="112">
        <v>45917</v>
      </c>
      <c r="L505" s="39"/>
      <c r="M505" s="39"/>
      <c r="N505" s="39"/>
      <c r="O505" s="116"/>
    </row>
    <row r="506" spans="1:15" ht="15" hidden="1" customHeight="1" x14ac:dyDescent="0.25">
      <c r="A506" s="108"/>
      <c r="B506" s="39">
        <v>495</v>
      </c>
      <c r="C506" s="162" t="s">
        <v>7073</v>
      </c>
      <c r="D506" s="162"/>
      <c r="E506" s="162"/>
      <c r="F506" s="162"/>
      <c r="G506" s="162"/>
      <c r="H506" s="162"/>
      <c r="I506" s="39" t="s">
        <v>7074</v>
      </c>
      <c r="J506" s="111">
        <v>3500000</v>
      </c>
      <c r="K506" s="112">
        <v>45917</v>
      </c>
      <c r="L506" s="39"/>
      <c r="M506" s="39"/>
      <c r="N506" s="39"/>
      <c r="O506" s="116"/>
    </row>
    <row r="507" spans="1:15" ht="15" hidden="1" customHeight="1" x14ac:dyDescent="0.25">
      <c r="A507" s="108"/>
      <c r="B507" s="39">
        <v>496</v>
      </c>
      <c r="C507" s="162" t="s">
        <v>7072</v>
      </c>
      <c r="D507" s="162"/>
      <c r="E507" s="162"/>
      <c r="F507" s="162"/>
      <c r="G507" s="162"/>
      <c r="H507" s="162"/>
      <c r="I507" s="39" t="s">
        <v>6545</v>
      </c>
      <c r="J507" s="111">
        <v>3250000</v>
      </c>
      <c r="K507" s="112">
        <v>45917</v>
      </c>
      <c r="L507" s="39"/>
      <c r="M507" s="39">
        <v>3134451063</v>
      </c>
      <c r="N507" s="39" t="s">
        <v>6906</v>
      </c>
      <c r="O507" s="116" t="s">
        <v>6907</v>
      </c>
    </row>
    <row r="508" spans="1:15" hidden="1" x14ac:dyDescent="0.25">
      <c r="A508" s="108"/>
      <c r="B508" s="39">
        <v>497</v>
      </c>
      <c r="C508" s="162" t="s">
        <v>7071</v>
      </c>
      <c r="D508" s="162"/>
      <c r="E508" s="162"/>
      <c r="F508" s="162"/>
      <c r="G508" s="162"/>
      <c r="H508" s="162"/>
      <c r="I508" s="39" t="s">
        <v>702</v>
      </c>
      <c r="J508" s="111">
        <v>4950000</v>
      </c>
      <c r="K508" s="112">
        <v>45918</v>
      </c>
      <c r="L508" s="39"/>
      <c r="M508" s="39">
        <v>3104165783</v>
      </c>
      <c r="N508" s="39" t="s">
        <v>4564</v>
      </c>
      <c r="O508" s="38" t="s">
        <v>4565</v>
      </c>
    </row>
    <row r="509" spans="1:15" ht="15" hidden="1" customHeight="1" x14ac:dyDescent="0.25">
      <c r="A509" s="108"/>
      <c r="B509" s="39">
        <v>498</v>
      </c>
      <c r="C509" s="162" t="s">
        <v>7075</v>
      </c>
      <c r="D509" s="162"/>
      <c r="E509" s="162"/>
      <c r="F509" s="162"/>
      <c r="G509" s="162"/>
      <c r="H509" s="162"/>
      <c r="I509" s="39" t="s">
        <v>4216</v>
      </c>
      <c r="J509" s="111" t="s">
        <v>381</v>
      </c>
      <c r="K509" s="112">
        <v>45919</v>
      </c>
      <c r="L509" s="39"/>
      <c r="M509" s="39">
        <v>3007549649</v>
      </c>
      <c r="N509" s="39" t="s">
        <v>3552</v>
      </c>
      <c r="O509" s="38" t="s">
        <v>3553</v>
      </c>
    </row>
    <row r="510" spans="1:15" hidden="1" x14ac:dyDescent="0.25">
      <c r="A510" s="108"/>
      <c r="B510" s="39">
        <v>499</v>
      </c>
      <c r="C510" s="162" t="s">
        <v>7076</v>
      </c>
      <c r="D510" s="162"/>
      <c r="E510" s="162"/>
      <c r="F510" s="162"/>
      <c r="G510" s="162"/>
      <c r="H510" s="162"/>
      <c r="I510" s="39" t="s">
        <v>7077</v>
      </c>
      <c r="J510" s="111">
        <v>2440000</v>
      </c>
      <c r="K510" s="112">
        <v>45919</v>
      </c>
      <c r="L510" s="39"/>
      <c r="M510" s="39" t="s">
        <v>7080</v>
      </c>
      <c r="N510" s="39" t="s">
        <v>7078</v>
      </c>
      <c r="O510" s="38" t="s">
        <v>7079</v>
      </c>
    </row>
    <row r="511" spans="1:15" ht="15" hidden="1" customHeight="1" x14ac:dyDescent="0.25">
      <c r="A511" s="108"/>
      <c r="B511" s="39">
        <v>500</v>
      </c>
      <c r="C511" s="162" t="s">
        <v>7081</v>
      </c>
      <c r="D511" s="162"/>
      <c r="E511" s="162"/>
      <c r="F511" s="162"/>
      <c r="G511" s="162"/>
      <c r="H511" s="162"/>
      <c r="I511" s="39" t="s">
        <v>1139</v>
      </c>
      <c r="J511" s="111">
        <v>29950000</v>
      </c>
      <c r="K511" s="112">
        <v>45923</v>
      </c>
      <c r="L511" s="39"/>
      <c r="M511" s="39">
        <v>3206194853</v>
      </c>
      <c r="N511" s="39" t="s">
        <v>7082</v>
      </c>
      <c r="O511" s="38" t="s">
        <v>7083</v>
      </c>
    </row>
    <row r="512" spans="1:15" hidden="1" x14ac:dyDescent="0.25">
      <c r="A512" s="108"/>
      <c r="B512" s="39">
        <v>501</v>
      </c>
      <c r="C512" s="162" t="s">
        <v>7084</v>
      </c>
      <c r="D512" s="162"/>
      <c r="E512" s="162"/>
      <c r="F512" s="162"/>
      <c r="G512" s="162"/>
      <c r="H512" s="162"/>
      <c r="I512" s="39" t="s">
        <v>5137</v>
      </c>
      <c r="J512" s="111">
        <v>12450000</v>
      </c>
      <c r="K512" s="112">
        <v>45923</v>
      </c>
      <c r="L512" s="39"/>
      <c r="M512" s="39">
        <v>3104139821</v>
      </c>
      <c r="N512" s="39" t="s">
        <v>6298</v>
      </c>
      <c r="O512" s="116" t="s">
        <v>1114</v>
      </c>
    </row>
    <row r="513" spans="1:15" hidden="1" x14ac:dyDescent="0.25">
      <c r="A513" s="108"/>
      <c r="B513" s="39">
        <v>502</v>
      </c>
      <c r="C513" s="162" t="s">
        <v>7085</v>
      </c>
      <c r="D513" s="162"/>
      <c r="E513" s="162"/>
      <c r="F513" s="162"/>
      <c r="G513" s="162"/>
      <c r="H513" s="162"/>
      <c r="I513" s="39" t="s">
        <v>6335</v>
      </c>
      <c r="J513" s="111">
        <v>150000</v>
      </c>
      <c r="K513" s="112">
        <v>45923</v>
      </c>
      <c r="L513" s="39"/>
      <c r="M513" s="39"/>
      <c r="N513" s="39" t="s">
        <v>6336</v>
      </c>
      <c r="O513" s="38" t="s">
        <v>6337</v>
      </c>
    </row>
    <row r="514" spans="1:15" hidden="1" x14ac:dyDescent="0.25">
      <c r="A514" s="108"/>
      <c r="B514" s="39">
        <v>503</v>
      </c>
      <c r="C514" s="162" t="s">
        <v>7086</v>
      </c>
      <c r="D514" s="162"/>
      <c r="E514" s="162"/>
      <c r="F514" s="162"/>
      <c r="G514" s="162"/>
      <c r="H514" s="162"/>
      <c r="I514" s="39" t="s">
        <v>4597</v>
      </c>
      <c r="J514" s="111">
        <v>24950000</v>
      </c>
      <c r="K514" s="112">
        <v>45923</v>
      </c>
      <c r="L514" s="39"/>
      <c r="M514" s="39" t="s">
        <v>5812</v>
      </c>
      <c r="N514" s="39" t="s">
        <v>4109</v>
      </c>
      <c r="O514" s="52" t="s">
        <v>5752</v>
      </c>
    </row>
    <row r="515" spans="1:15" hidden="1" x14ac:dyDescent="0.25">
      <c r="A515" s="108"/>
      <c r="B515" s="39">
        <v>504</v>
      </c>
      <c r="C515" s="162" t="s">
        <v>7087</v>
      </c>
      <c r="D515" s="162"/>
      <c r="E515" s="162"/>
      <c r="F515" s="162"/>
      <c r="G515" s="162"/>
      <c r="H515" s="162"/>
      <c r="I515" s="39" t="s">
        <v>6008</v>
      </c>
      <c r="J515" s="111">
        <v>9750000</v>
      </c>
      <c r="K515" s="112">
        <v>45923</v>
      </c>
      <c r="L515" s="39"/>
      <c r="M515" s="39">
        <v>3136112279</v>
      </c>
      <c r="N515" s="39" t="s">
        <v>6713</v>
      </c>
      <c r="O515" s="38" t="s">
        <v>6007</v>
      </c>
    </row>
    <row r="516" spans="1:15" hidden="1" x14ac:dyDescent="0.25">
      <c r="A516" s="108"/>
      <c r="B516" s="39">
        <v>505</v>
      </c>
      <c r="C516" s="162" t="s">
        <v>7088</v>
      </c>
      <c r="D516" s="162"/>
      <c r="E516" s="162"/>
      <c r="F516" s="162"/>
      <c r="G516" s="162"/>
      <c r="H516" s="162"/>
      <c r="I516" s="39" t="s">
        <v>702</v>
      </c>
      <c r="J516" s="111">
        <v>12540000</v>
      </c>
      <c r="K516" s="112">
        <v>45926</v>
      </c>
      <c r="L516" s="39"/>
      <c r="M516" s="39">
        <v>3104165783</v>
      </c>
      <c r="N516" s="39" t="s">
        <v>4564</v>
      </c>
      <c r="O516" s="38" t="s">
        <v>4565</v>
      </c>
    </row>
    <row r="517" spans="1:15" hidden="1" x14ac:dyDescent="0.25">
      <c r="A517" s="108"/>
      <c r="B517" s="39">
        <v>506</v>
      </c>
      <c r="C517" s="162" t="s">
        <v>7089</v>
      </c>
      <c r="D517" s="162"/>
      <c r="E517" s="162"/>
      <c r="F517" s="162"/>
      <c r="G517" s="162"/>
      <c r="H517" s="162"/>
      <c r="I517" s="39" t="s">
        <v>7090</v>
      </c>
      <c r="J517" s="111" t="s">
        <v>150</v>
      </c>
      <c r="K517" s="112">
        <v>45929</v>
      </c>
      <c r="L517" s="39"/>
      <c r="M517" s="39" t="s">
        <v>7231</v>
      </c>
      <c r="N517" s="39" t="s">
        <v>7091</v>
      </c>
      <c r="O517" s="38" t="s">
        <v>7092</v>
      </c>
    </row>
    <row r="518" spans="1:15" hidden="1" x14ac:dyDescent="0.25">
      <c r="A518" s="108"/>
      <c r="B518" s="39">
        <v>507</v>
      </c>
      <c r="C518" s="162" t="s">
        <v>7096</v>
      </c>
      <c r="D518" s="162"/>
      <c r="E518" s="162"/>
      <c r="F518" s="162"/>
      <c r="G518" s="162"/>
      <c r="H518" s="162"/>
      <c r="I518" s="39" t="s">
        <v>7093</v>
      </c>
      <c r="J518" s="111">
        <v>6270000</v>
      </c>
      <c r="K518" s="112">
        <v>45932</v>
      </c>
      <c r="L518" s="39"/>
      <c r="M518" s="39">
        <v>3057048084</v>
      </c>
      <c r="N518" s="39" t="s">
        <v>7094</v>
      </c>
      <c r="O518" s="38" t="s">
        <v>7095</v>
      </c>
    </row>
    <row r="519" spans="1:15" hidden="1" x14ac:dyDescent="0.25">
      <c r="A519" s="108"/>
      <c r="B519" s="39">
        <v>508</v>
      </c>
      <c r="C519" s="162" t="s">
        <v>7097</v>
      </c>
      <c r="D519" s="162"/>
      <c r="E519" s="162"/>
      <c r="F519" s="162"/>
      <c r="G519" s="162"/>
      <c r="H519" s="162"/>
      <c r="I519" s="39" t="s">
        <v>3766</v>
      </c>
      <c r="J519" s="111">
        <v>49950000</v>
      </c>
      <c r="K519" s="112">
        <v>45926</v>
      </c>
      <c r="L519" s="39"/>
      <c r="M519" s="39">
        <v>3005934637</v>
      </c>
      <c r="N519" s="39" t="s">
        <v>7034</v>
      </c>
      <c r="O519" s="38" t="s">
        <v>7035</v>
      </c>
    </row>
    <row r="520" spans="1:15" s="153" customFormat="1" ht="15" hidden="1" customHeight="1" x14ac:dyDescent="0.25">
      <c r="A520" s="149"/>
      <c r="B520" s="150">
        <v>509</v>
      </c>
      <c r="C520" s="292" t="s">
        <v>7098</v>
      </c>
      <c r="D520" s="292"/>
      <c r="E520" s="292"/>
      <c r="F520" s="292"/>
      <c r="G520" s="292"/>
      <c r="H520" s="292"/>
      <c r="I520" s="150" t="s">
        <v>7121</v>
      </c>
      <c r="J520" s="151">
        <v>32985000</v>
      </c>
      <c r="K520" s="112">
        <v>45926</v>
      </c>
      <c r="L520" s="150"/>
      <c r="M520" s="150">
        <v>3007007418</v>
      </c>
      <c r="N520" s="150" t="s">
        <v>7122</v>
      </c>
      <c r="O520" s="38" t="s">
        <v>7123</v>
      </c>
    </row>
    <row r="521" spans="1:15" s="153" customFormat="1" hidden="1" x14ac:dyDescent="0.25">
      <c r="A521" s="149"/>
      <c r="B521" s="150">
        <v>510</v>
      </c>
      <c r="C521" s="293" t="s">
        <v>7124</v>
      </c>
      <c r="D521" s="292"/>
      <c r="E521" s="292"/>
      <c r="F521" s="292"/>
      <c r="G521" s="292"/>
      <c r="H521" s="292"/>
      <c r="I521" s="150" t="s">
        <v>3128</v>
      </c>
      <c r="J521" s="151">
        <v>1150000</v>
      </c>
      <c r="K521" s="152">
        <v>45926</v>
      </c>
      <c r="L521" s="150"/>
      <c r="M521" s="39">
        <v>3183484307</v>
      </c>
      <c r="N521" s="39" t="s">
        <v>6649</v>
      </c>
      <c r="O521" s="38" t="s">
        <v>2117</v>
      </c>
    </row>
    <row r="522" spans="1:15" ht="15" hidden="1" customHeight="1" x14ac:dyDescent="0.25">
      <c r="A522" s="108"/>
      <c r="B522" s="39">
        <v>511</v>
      </c>
      <c r="C522" s="162" t="s">
        <v>7100</v>
      </c>
      <c r="D522" s="162"/>
      <c r="E522" s="162"/>
      <c r="F522" s="162"/>
      <c r="G522" s="162"/>
      <c r="H522" s="162"/>
      <c r="I522" s="39" t="s">
        <v>1139</v>
      </c>
      <c r="J522" s="111">
        <v>11850000</v>
      </c>
      <c r="K522" s="112">
        <v>45929</v>
      </c>
      <c r="L522" s="39"/>
      <c r="M522" s="39">
        <v>3006563981</v>
      </c>
      <c r="N522" s="39" t="s">
        <v>7099</v>
      </c>
      <c r="O522" s="38" t="s">
        <v>5311</v>
      </c>
    </row>
    <row r="523" spans="1:15" hidden="1" x14ac:dyDescent="0.25">
      <c r="A523" s="108"/>
      <c r="B523" s="39">
        <v>512</v>
      </c>
      <c r="C523" s="162" t="s">
        <v>7101</v>
      </c>
      <c r="D523" s="162"/>
      <c r="E523" s="162"/>
      <c r="F523" s="162"/>
      <c r="G523" s="162"/>
      <c r="H523" s="162"/>
      <c r="I523" s="39" t="s">
        <v>7102</v>
      </c>
      <c r="J523" s="111">
        <v>14950000</v>
      </c>
      <c r="K523" s="112">
        <v>45926</v>
      </c>
      <c r="L523" s="39"/>
      <c r="M523" s="39">
        <v>3194807733</v>
      </c>
      <c r="N523" s="39" t="s">
        <v>3545</v>
      </c>
      <c r="O523" s="116"/>
    </row>
    <row r="524" spans="1:15" hidden="1" x14ac:dyDescent="0.25">
      <c r="A524" s="108"/>
      <c r="B524" s="39">
        <v>513</v>
      </c>
      <c r="C524" s="162" t="s">
        <v>7103</v>
      </c>
      <c r="D524" s="162"/>
      <c r="E524" s="162"/>
      <c r="F524" s="162"/>
      <c r="G524" s="162"/>
      <c r="H524" s="162"/>
      <c r="I524" s="39" t="s">
        <v>6055</v>
      </c>
      <c r="J524" s="111">
        <v>21950000</v>
      </c>
      <c r="K524" s="112">
        <v>45929</v>
      </c>
      <c r="L524" s="39"/>
      <c r="M524" s="39">
        <v>3044003430</v>
      </c>
      <c r="N524" s="39" t="s">
        <v>6057</v>
      </c>
      <c r="O524" s="38" t="s">
        <v>990</v>
      </c>
    </row>
    <row r="525" spans="1:15" ht="15" hidden="1" customHeight="1" x14ac:dyDescent="0.25">
      <c r="A525" s="108"/>
      <c r="B525" s="39">
        <v>514</v>
      </c>
      <c r="C525" s="162" t="s">
        <v>7104</v>
      </c>
      <c r="D525" s="162"/>
      <c r="E525" s="162"/>
      <c r="F525" s="162"/>
      <c r="G525" s="162"/>
      <c r="H525" s="162"/>
      <c r="I525" s="39" t="s">
        <v>702</v>
      </c>
      <c r="J525" s="111">
        <v>24950000</v>
      </c>
      <c r="K525" s="112">
        <v>45929</v>
      </c>
      <c r="L525" s="39"/>
      <c r="M525" s="39">
        <v>3104165783</v>
      </c>
      <c r="N525" s="39" t="s">
        <v>4564</v>
      </c>
      <c r="O525" s="38" t="s">
        <v>4565</v>
      </c>
    </row>
    <row r="526" spans="1:15" hidden="1" x14ac:dyDescent="0.25">
      <c r="A526" s="108"/>
      <c r="B526" s="39">
        <v>515</v>
      </c>
      <c r="C526" s="162" t="s">
        <v>7105</v>
      </c>
      <c r="D526" s="162"/>
      <c r="E526" s="162"/>
      <c r="F526" s="162"/>
      <c r="G526" s="162"/>
      <c r="H526" s="162"/>
      <c r="I526" s="39" t="s">
        <v>1139</v>
      </c>
      <c r="J526" s="111" t="s">
        <v>150</v>
      </c>
      <c r="K526" s="112">
        <v>45931</v>
      </c>
      <c r="L526" s="39"/>
      <c r="M526" s="39">
        <v>3006563981</v>
      </c>
      <c r="N526" s="39" t="s">
        <v>7099</v>
      </c>
      <c r="O526" s="38" t="s">
        <v>5311</v>
      </c>
    </row>
    <row r="527" spans="1:15" hidden="1" x14ac:dyDescent="0.25">
      <c r="A527" s="108"/>
      <c r="B527" s="39">
        <v>516</v>
      </c>
      <c r="C527" s="162" t="s">
        <v>7106</v>
      </c>
      <c r="D527" s="162"/>
      <c r="E527" s="162"/>
      <c r="F527" s="162"/>
      <c r="G527" s="162"/>
      <c r="H527" s="162"/>
      <c r="I527" s="39" t="s">
        <v>476</v>
      </c>
      <c r="J527" s="111"/>
      <c r="K527" s="112">
        <v>45929</v>
      </c>
      <c r="L527" s="39"/>
      <c r="M527" s="39">
        <v>3663276</v>
      </c>
      <c r="N527" s="39" t="s">
        <v>476</v>
      </c>
      <c r="O527" s="38" t="s">
        <v>7052</v>
      </c>
    </row>
    <row r="528" spans="1:15" hidden="1" x14ac:dyDescent="0.25">
      <c r="A528" s="108"/>
      <c r="B528" s="39">
        <v>517</v>
      </c>
      <c r="C528" s="162" t="s">
        <v>7107</v>
      </c>
      <c r="D528" s="162"/>
      <c r="E528" s="162"/>
      <c r="F528" s="162"/>
      <c r="G528" s="162"/>
      <c r="H528" s="162"/>
      <c r="I528" s="39" t="s">
        <v>7108</v>
      </c>
      <c r="J528" s="111">
        <v>29970000</v>
      </c>
      <c r="K528" s="112">
        <v>45929</v>
      </c>
      <c r="L528" s="39"/>
      <c r="M528" s="39">
        <v>3117628323</v>
      </c>
      <c r="N528" s="39" t="s">
        <v>7109</v>
      </c>
      <c r="O528" s="38" t="s">
        <v>7110</v>
      </c>
    </row>
    <row r="529" spans="1:15" hidden="1" x14ac:dyDescent="0.25">
      <c r="A529" s="108"/>
      <c r="B529" s="39">
        <v>518</v>
      </c>
      <c r="C529" s="162" t="s">
        <v>7111</v>
      </c>
      <c r="D529" s="162"/>
      <c r="E529" s="162"/>
      <c r="F529" s="162"/>
      <c r="G529" s="162"/>
      <c r="H529" s="162"/>
      <c r="I529" s="39" t="s">
        <v>6093</v>
      </c>
      <c r="J529" s="111">
        <v>19950000</v>
      </c>
      <c r="K529" s="112">
        <v>45929</v>
      </c>
      <c r="L529" s="39"/>
      <c r="M529" s="39">
        <v>3173756774</v>
      </c>
      <c r="N529" s="39" t="s">
        <v>7112</v>
      </c>
      <c r="O529" s="38" t="s">
        <v>7113</v>
      </c>
    </row>
    <row r="530" spans="1:15" hidden="1" x14ac:dyDescent="0.25">
      <c r="A530" s="108"/>
      <c r="B530" s="39">
        <v>519</v>
      </c>
      <c r="C530" s="162" t="s">
        <v>7114</v>
      </c>
      <c r="D530" s="162"/>
      <c r="E530" s="162"/>
      <c r="F530" s="162"/>
      <c r="G530" s="162"/>
      <c r="H530" s="162"/>
      <c r="I530" s="39" t="s">
        <v>1139</v>
      </c>
      <c r="J530" s="111">
        <v>10950000</v>
      </c>
      <c r="K530" s="112">
        <v>45931</v>
      </c>
      <c r="L530" s="39"/>
      <c r="M530" s="39">
        <v>3006563981</v>
      </c>
      <c r="N530" s="39" t="s">
        <v>7099</v>
      </c>
      <c r="O530" s="38" t="s">
        <v>5311</v>
      </c>
    </row>
    <row r="531" spans="1:15" hidden="1" x14ac:dyDescent="0.25">
      <c r="A531" s="108"/>
      <c r="B531" s="39">
        <v>520</v>
      </c>
      <c r="C531" s="162" t="s">
        <v>7119</v>
      </c>
      <c r="D531" s="162"/>
      <c r="E531" s="162"/>
      <c r="F531" s="162"/>
      <c r="G531" s="162"/>
      <c r="H531" s="162"/>
      <c r="I531" s="39" t="s">
        <v>1139</v>
      </c>
      <c r="J531" s="111">
        <v>8800000</v>
      </c>
      <c r="K531" s="112">
        <v>45931</v>
      </c>
      <c r="L531" s="39"/>
      <c r="M531" s="39">
        <v>3006563981</v>
      </c>
      <c r="N531" s="39" t="s">
        <v>7099</v>
      </c>
      <c r="O531" s="38" t="s">
        <v>5311</v>
      </c>
    </row>
    <row r="532" spans="1:15" hidden="1" x14ac:dyDescent="0.25">
      <c r="A532" s="108"/>
      <c r="B532" s="39">
        <v>521</v>
      </c>
      <c r="C532" s="162" t="s">
        <v>7115</v>
      </c>
      <c r="D532" s="162"/>
      <c r="E532" s="162"/>
      <c r="F532" s="162"/>
      <c r="G532" s="162"/>
      <c r="H532" s="162"/>
      <c r="I532" s="39" t="s">
        <v>6172</v>
      </c>
      <c r="J532" s="111">
        <v>15900000</v>
      </c>
      <c r="K532" s="112">
        <v>45931</v>
      </c>
      <c r="L532" s="39"/>
      <c r="M532" s="39"/>
      <c r="N532" s="39" t="s">
        <v>7116</v>
      </c>
      <c r="O532" s="116"/>
    </row>
    <row r="533" spans="1:15" hidden="1" x14ac:dyDescent="0.25">
      <c r="A533" s="108"/>
      <c r="B533" s="39">
        <v>522</v>
      </c>
      <c r="C533" s="162" t="s">
        <v>7117</v>
      </c>
      <c r="D533" s="162"/>
      <c r="E533" s="162"/>
      <c r="F533" s="162"/>
      <c r="G533" s="162"/>
      <c r="H533" s="162"/>
      <c r="I533" s="39" t="s">
        <v>6172</v>
      </c>
      <c r="J533" s="111">
        <v>15900000</v>
      </c>
      <c r="K533" s="112">
        <v>45931</v>
      </c>
      <c r="L533" s="39"/>
      <c r="M533" s="39"/>
      <c r="N533" s="39" t="s">
        <v>7116</v>
      </c>
      <c r="O533" s="116"/>
    </row>
    <row r="534" spans="1:15" hidden="1" x14ac:dyDescent="0.25">
      <c r="A534" s="108"/>
      <c r="B534" s="39">
        <v>523</v>
      </c>
      <c r="C534" s="162" t="s">
        <v>7118</v>
      </c>
      <c r="D534" s="162"/>
      <c r="E534" s="162"/>
      <c r="F534" s="162"/>
      <c r="G534" s="162"/>
      <c r="H534" s="162"/>
      <c r="I534" s="39" t="s">
        <v>3871</v>
      </c>
      <c r="J534" s="111">
        <v>25550000</v>
      </c>
      <c r="K534" s="112">
        <v>45929</v>
      </c>
      <c r="L534" s="39"/>
      <c r="M534" s="39">
        <v>3017284784</v>
      </c>
      <c r="N534" s="39" t="s">
        <v>7120</v>
      </c>
      <c r="O534" s="38" t="s">
        <v>6332</v>
      </c>
    </row>
    <row r="535" spans="1:15" hidden="1" x14ac:dyDescent="0.25">
      <c r="A535" s="108"/>
      <c r="B535" s="39">
        <v>524</v>
      </c>
      <c r="C535" s="162" t="s">
        <v>7125</v>
      </c>
      <c r="D535" s="162"/>
      <c r="E535" s="162"/>
      <c r="F535" s="162"/>
      <c r="G535" s="162"/>
      <c r="H535" s="162"/>
      <c r="I535" s="39" t="s">
        <v>702</v>
      </c>
      <c r="J535" s="111">
        <v>29950000</v>
      </c>
      <c r="K535" s="112">
        <v>45931</v>
      </c>
      <c r="L535" s="39"/>
      <c r="M535" s="39">
        <v>3104165783</v>
      </c>
      <c r="N535" s="39" t="s">
        <v>4564</v>
      </c>
      <c r="O535" s="38" t="s">
        <v>4565</v>
      </c>
    </row>
    <row r="536" spans="1:15" hidden="1" x14ac:dyDescent="0.25">
      <c r="A536" s="108"/>
      <c r="B536" s="39">
        <v>525</v>
      </c>
      <c r="C536" s="162" t="s">
        <v>7126</v>
      </c>
      <c r="D536" s="162"/>
      <c r="E536" s="162"/>
      <c r="F536" s="162"/>
      <c r="G536" s="162"/>
      <c r="H536" s="162"/>
      <c r="I536" s="39" t="s">
        <v>5582</v>
      </c>
      <c r="J536" s="111">
        <v>19950000</v>
      </c>
      <c r="K536" s="112">
        <v>45932</v>
      </c>
      <c r="L536" s="39"/>
      <c r="M536" s="39">
        <v>3014546806</v>
      </c>
      <c r="N536" s="39"/>
      <c r="O536" s="38" t="s">
        <v>6705</v>
      </c>
    </row>
    <row r="537" spans="1:15" hidden="1" x14ac:dyDescent="0.25">
      <c r="A537" s="108"/>
      <c r="B537" s="39">
        <v>526</v>
      </c>
      <c r="C537" s="162" t="s">
        <v>7127</v>
      </c>
      <c r="D537" s="162"/>
      <c r="E537" s="162"/>
      <c r="F537" s="162"/>
      <c r="G537" s="162"/>
      <c r="H537" s="162"/>
      <c r="I537" s="39" t="s">
        <v>7128</v>
      </c>
      <c r="J537" s="111">
        <v>21950000</v>
      </c>
      <c r="K537" s="112">
        <v>45932</v>
      </c>
      <c r="L537" s="39"/>
      <c r="M537" s="39" t="s">
        <v>7130</v>
      </c>
      <c r="N537" s="39" t="s">
        <v>7128</v>
      </c>
      <c r="O537" s="38" t="s">
        <v>7129</v>
      </c>
    </row>
    <row r="538" spans="1:15" hidden="1" x14ac:dyDescent="0.25">
      <c r="A538" s="108"/>
      <c r="B538" s="39">
        <v>527</v>
      </c>
      <c r="C538" s="162" t="s">
        <v>7131</v>
      </c>
      <c r="D538" s="162"/>
      <c r="E538" s="162"/>
      <c r="F538" s="162"/>
      <c r="G538" s="162"/>
      <c r="H538" s="162"/>
      <c r="I538" s="39" t="s">
        <v>5174</v>
      </c>
      <c r="J538" s="111">
        <v>11950000</v>
      </c>
      <c r="K538" s="112">
        <v>45933</v>
      </c>
      <c r="L538" s="39"/>
      <c r="M538" s="39" t="s">
        <v>7133</v>
      </c>
      <c r="N538" s="39" t="s">
        <v>7132</v>
      </c>
      <c r="O538" s="38" t="s">
        <v>5717</v>
      </c>
    </row>
    <row r="539" spans="1:15" hidden="1" x14ac:dyDescent="0.25">
      <c r="A539" s="108"/>
      <c r="B539" s="39">
        <v>528</v>
      </c>
      <c r="C539" s="162" t="s">
        <v>7134</v>
      </c>
      <c r="D539" s="162"/>
      <c r="E539" s="162"/>
      <c r="F539" s="162"/>
      <c r="G539" s="162"/>
      <c r="H539" s="162"/>
      <c r="I539" s="39" t="s">
        <v>6231</v>
      </c>
      <c r="J539" s="111">
        <v>7600000</v>
      </c>
      <c r="K539" s="112">
        <v>45936</v>
      </c>
      <c r="L539" s="39"/>
      <c r="M539" s="39">
        <v>3006680526</v>
      </c>
      <c r="N539" s="39" t="s">
        <v>5462</v>
      </c>
      <c r="O539" s="38" t="s">
        <v>5456</v>
      </c>
    </row>
    <row r="540" spans="1:15" ht="15" hidden="1" customHeight="1" x14ac:dyDescent="0.25">
      <c r="A540" s="108"/>
      <c r="B540" s="39">
        <v>529</v>
      </c>
      <c r="C540" s="162" t="s">
        <v>7135</v>
      </c>
      <c r="D540" s="162"/>
      <c r="E540" s="162"/>
      <c r="F540" s="162"/>
      <c r="G540" s="162"/>
      <c r="H540" s="162"/>
      <c r="I540" s="39" t="s">
        <v>702</v>
      </c>
      <c r="J540" s="111">
        <v>4950000</v>
      </c>
      <c r="K540" s="112">
        <v>45936</v>
      </c>
      <c r="L540" s="39"/>
      <c r="M540" s="39">
        <v>3006047984</v>
      </c>
      <c r="N540" s="39" t="s">
        <v>7054</v>
      </c>
      <c r="O540" s="38" t="s">
        <v>6379</v>
      </c>
    </row>
    <row r="541" spans="1:15" hidden="1" x14ac:dyDescent="0.25">
      <c r="A541" s="108"/>
      <c r="B541" s="39">
        <v>530</v>
      </c>
      <c r="C541" s="162" t="s">
        <v>7139</v>
      </c>
      <c r="D541" s="162"/>
      <c r="E541" s="162"/>
      <c r="F541" s="162"/>
      <c r="G541" s="162"/>
      <c r="H541" s="162"/>
      <c r="I541" s="39" t="s">
        <v>7136</v>
      </c>
      <c r="J541" s="111">
        <v>8750000</v>
      </c>
      <c r="K541" s="112">
        <v>45936</v>
      </c>
      <c r="L541" s="39"/>
      <c r="M541" s="39">
        <v>3162724231</v>
      </c>
      <c r="N541" s="39" t="s">
        <v>7138</v>
      </c>
      <c r="O541" s="38" t="s">
        <v>7137</v>
      </c>
    </row>
    <row r="542" spans="1:15" hidden="1" x14ac:dyDescent="0.25">
      <c r="A542" s="108"/>
      <c r="B542" s="39">
        <v>531</v>
      </c>
      <c r="C542" s="162" t="s">
        <v>7141</v>
      </c>
      <c r="D542" s="162"/>
      <c r="E542" s="162"/>
      <c r="F542" s="162"/>
      <c r="G542" s="162"/>
      <c r="H542" s="162"/>
      <c r="I542" s="39" t="s">
        <v>7016</v>
      </c>
      <c r="J542" s="111">
        <v>19950000</v>
      </c>
      <c r="K542" s="112">
        <v>45936</v>
      </c>
      <c r="L542" s="39"/>
      <c r="M542" s="39"/>
      <c r="N542" s="39" t="s">
        <v>1626</v>
      </c>
      <c r="O542" s="116" t="s">
        <v>7140</v>
      </c>
    </row>
    <row r="543" spans="1:15" hidden="1" x14ac:dyDescent="0.25">
      <c r="A543" s="108"/>
      <c r="B543" s="39">
        <v>532</v>
      </c>
      <c r="C543" s="162" t="s">
        <v>7147</v>
      </c>
      <c r="D543" s="162"/>
      <c r="E543" s="162"/>
      <c r="F543" s="162"/>
      <c r="G543" s="162"/>
      <c r="H543" s="162"/>
      <c r="I543" s="39" t="s">
        <v>7148</v>
      </c>
      <c r="J543" s="111">
        <v>3500000</v>
      </c>
      <c r="K543" s="112">
        <v>45936</v>
      </c>
      <c r="L543" s="39"/>
      <c r="M543" s="39">
        <v>4798165</v>
      </c>
      <c r="N543" s="39" t="s">
        <v>7149</v>
      </c>
      <c r="O543" s="38" t="s">
        <v>7142</v>
      </c>
    </row>
    <row r="544" spans="1:15" hidden="1" x14ac:dyDescent="0.25">
      <c r="A544" s="108"/>
      <c r="B544" s="39">
        <v>533</v>
      </c>
      <c r="C544" s="162" t="s">
        <v>7143</v>
      </c>
      <c r="D544" s="162"/>
      <c r="E544" s="162"/>
      <c r="F544" s="162"/>
      <c r="G544" s="162"/>
      <c r="H544" s="162"/>
      <c r="I544" s="39" t="s">
        <v>7144</v>
      </c>
      <c r="J544" s="111">
        <v>37450</v>
      </c>
      <c r="K544" s="112">
        <v>45936</v>
      </c>
      <c r="L544" s="39"/>
      <c r="M544" s="39"/>
      <c r="N544" s="39" t="s">
        <v>7145</v>
      </c>
      <c r="O544" s="116"/>
    </row>
    <row r="545" spans="1:15" hidden="1" x14ac:dyDescent="0.25">
      <c r="A545" s="108"/>
      <c r="B545" s="39">
        <v>534</v>
      </c>
      <c r="C545" s="162" t="s">
        <v>7146</v>
      </c>
      <c r="D545" s="162"/>
      <c r="E545" s="162"/>
      <c r="F545" s="162"/>
      <c r="G545" s="162"/>
      <c r="H545" s="162"/>
      <c r="I545" s="39" t="s">
        <v>5549</v>
      </c>
      <c r="J545" s="111">
        <v>9050000</v>
      </c>
      <c r="K545" s="112">
        <v>45936</v>
      </c>
      <c r="L545" s="39"/>
      <c r="M545" s="39">
        <v>3162963854</v>
      </c>
      <c r="N545" s="39" t="s">
        <v>5374</v>
      </c>
      <c r="O545" s="116" t="s">
        <v>5375</v>
      </c>
    </row>
    <row r="546" spans="1:15" hidden="1" x14ac:dyDescent="0.25">
      <c r="A546" s="108"/>
      <c r="B546" s="39">
        <v>535</v>
      </c>
      <c r="C546" s="162" t="s">
        <v>7150</v>
      </c>
      <c r="D546" s="162"/>
      <c r="E546" s="162"/>
      <c r="F546" s="162"/>
      <c r="G546" s="162"/>
      <c r="H546" s="162"/>
      <c r="I546" s="39" t="s">
        <v>1875</v>
      </c>
      <c r="J546" s="111">
        <v>16950000</v>
      </c>
      <c r="K546" s="112">
        <v>45936</v>
      </c>
      <c r="L546" s="39"/>
      <c r="M546" s="39">
        <v>3113391008</v>
      </c>
      <c r="N546" s="39" t="s">
        <v>372</v>
      </c>
      <c r="O546" s="118" t="s">
        <v>2561</v>
      </c>
    </row>
    <row r="547" spans="1:15" hidden="1" x14ac:dyDescent="0.25">
      <c r="A547" s="108"/>
      <c r="B547" s="39">
        <v>536</v>
      </c>
      <c r="C547" s="162" t="s">
        <v>7151</v>
      </c>
      <c r="D547" s="162"/>
      <c r="E547" s="162"/>
      <c r="F547" s="162"/>
      <c r="G547" s="162"/>
      <c r="H547" s="162"/>
      <c r="I547" s="39" t="s">
        <v>702</v>
      </c>
      <c r="J547" s="111">
        <v>48800000</v>
      </c>
      <c r="K547" s="112">
        <v>45937</v>
      </c>
      <c r="L547" s="39"/>
      <c r="M547" s="39">
        <v>3006047984</v>
      </c>
      <c r="N547" s="39" t="s">
        <v>7054</v>
      </c>
      <c r="O547" s="38" t="s">
        <v>6379</v>
      </c>
    </row>
    <row r="548" spans="1:15" hidden="1" x14ac:dyDescent="0.25">
      <c r="A548" s="108"/>
      <c r="B548" s="39">
        <v>537</v>
      </c>
      <c r="C548" s="162" t="s">
        <v>7153</v>
      </c>
      <c r="D548" s="162"/>
      <c r="E548" s="162"/>
      <c r="F548" s="162"/>
      <c r="G548" s="162"/>
      <c r="H548" s="162"/>
      <c r="I548" s="39" t="s">
        <v>5637</v>
      </c>
      <c r="J548" s="111">
        <v>15920000</v>
      </c>
      <c r="K548" s="112">
        <v>45938</v>
      </c>
      <c r="L548" s="39"/>
      <c r="M548" s="39">
        <v>3122310202</v>
      </c>
      <c r="N548" s="39" t="s">
        <v>6266</v>
      </c>
      <c r="O548" s="116" t="s">
        <v>6267</v>
      </c>
    </row>
    <row r="549" spans="1:15" ht="15" hidden="1" customHeight="1" x14ac:dyDescent="0.25">
      <c r="A549" s="108"/>
      <c r="B549" s="39">
        <v>538</v>
      </c>
      <c r="C549" s="162" t="s">
        <v>7154</v>
      </c>
      <c r="D549" s="162"/>
      <c r="E549" s="162"/>
      <c r="F549" s="162"/>
      <c r="G549" s="162"/>
      <c r="H549" s="162"/>
      <c r="I549" s="39" t="s">
        <v>5637</v>
      </c>
      <c r="J549" s="111">
        <v>36410000</v>
      </c>
      <c r="K549" s="112">
        <v>45938</v>
      </c>
      <c r="L549" s="39"/>
      <c r="M549" s="39">
        <v>3122310202</v>
      </c>
      <c r="N549" s="39" t="s">
        <v>6266</v>
      </c>
      <c r="O549" s="116" t="s">
        <v>6267</v>
      </c>
    </row>
    <row r="550" spans="1:15" hidden="1" x14ac:dyDescent="0.25">
      <c r="A550" s="108"/>
      <c r="B550" s="39">
        <v>539</v>
      </c>
      <c r="C550" s="162" t="s">
        <v>7152</v>
      </c>
      <c r="D550" s="162"/>
      <c r="E550" s="162"/>
      <c r="F550" s="162"/>
      <c r="G550" s="162"/>
      <c r="H550" s="162"/>
      <c r="I550" s="39" t="s">
        <v>5637</v>
      </c>
      <c r="J550" s="111">
        <v>36410001</v>
      </c>
      <c r="K550" s="112">
        <v>45938</v>
      </c>
      <c r="L550" s="39"/>
      <c r="M550" s="39">
        <v>3122310202</v>
      </c>
      <c r="N550" s="39" t="s">
        <v>6266</v>
      </c>
      <c r="O550" s="116" t="s">
        <v>6267</v>
      </c>
    </row>
    <row r="551" spans="1:15" hidden="1" x14ac:dyDescent="0.25">
      <c r="A551" s="108"/>
      <c r="B551" s="39">
        <v>540</v>
      </c>
      <c r="C551" s="162" t="s">
        <v>7155</v>
      </c>
      <c r="D551" s="162"/>
      <c r="E551" s="162"/>
      <c r="F551" s="162"/>
      <c r="G551" s="162"/>
      <c r="H551" s="162"/>
      <c r="I551" s="39" t="s">
        <v>4390</v>
      </c>
      <c r="J551" s="111">
        <v>1800000</v>
      </c>
      <c r="K551" s="112">
        <v>45937</v>
      </c>
      <c r="L551" s="39"/>
      <c r="M551" s="39">
        <v>3116460496</v>
      </c>
      <c r="N551" s="39" t="s">
        <v>5213</v>
      </c>
      <c r="O551" s="116" t="s">
        <v>1876</v>
      </c>
    </row>
    <row r="552" spans="1:15" hidden="1" x14ac:dyDescent="0.25">
      <c r="A552" s="108"/>
      <c r="B552" s="39">
        <v>541</v>
      </c>
      <c r="C552" s="162" t="s">
        <v>7159</v>
      </c>
      <c r="D552" s="162"/>
      <c r="E552" s="162"/>
      <c r="F552" s="162"/>
      <c r="G552" s="162"/>
      <c r="H552" s="162"/>
      <c r="I552" s="39" t="s">
        <v>702</v>
      </c>
      <c r="J552" s="111">
        <v>6950000</v>
      </c>
      <c r="K552" s="112">
        <v>45939</v>
      </c>
      <c r="L552" s="39"/>
      <c r="M552" s="39">
        <v>3006047984</v>
      </c>
      <c r="N552" s="39" t="s">
        <v>7054</v>
      </c>
      <c r="O552" s="38" t="s">
        <v>6379</v>
      </c>
    </row>
    <row r="553" spans="1:15" hidden="1" x14ac:dyDescent="0.25">
      <c r="A553" s="108"/>
      <c r="B553" s="39">
        <v>542</v>
      </c>
      <c r="C553" s="162" t="s">
        <v>6849</v>
      </c>
      <c r="D553" s="162"/>
      <c r="E553" s="162"/>
      <c r="F553" s="162"/>
      <c r="G553" s="162"/>
      <c r="H553" s="162"/>
      <c r="I553" s="39" t="s">
        <v>7156</v>
      </c>
      <c r="J553" s="111">
        <v>28850000</v>
      </c>
      <c r="K553" s="112">
        <v>45939</v>
      </c>
      <c r="L553" s="39"/>
      <c r="M553" s="39">
        <v>3014794689</v>
      </c>
      <c r="N553" s="39" t="s">
        <v>7157</v>
      </c>
      <c r="O553" s="38" t="s">
        <v>7158</v>
      </c>
    </row>
    <row r="554" spans="1:15" hidden="1" x14ac:dyDescent="0.25">
      <c r="A554" s="108"/>
      <c r="B554" s="39">
        <v>543</v>
      </c>
      <c r="C554" s="162" t="s">
        <v>7160</v>
      </c>
      <c r="D554" s="162"/>
      <c r="E554" s="162"/>
      <c r="F554" s="162"/>
      <c r="G554" s="162"/>
      <c r="H554" s="162"/>
      <c r="I554" s="39" t="s">
        <v>2743</v>
      </c>
      <c r="J554" s="111">
        <v>26970000</v>
      </c>
      <c r="K554" s="112">
        <v>45939</v>
      </c>
      <c r="L554" s="39"/>
      <c r="M554" s="39">
        <v>3175594091</v>
      </c>
      <c r="N554" s="39" t="s">
        <v>2045</v>
      </c>
      <c r="O554" s="116" t="s">
        <v>748</v>
      </c>
    </row>
    <row r="555" spans="1:15" hidden="1" x14ac:dyDescent="0.25">
      <c r="A555" s="108"/>
      <c r="B555" s="39">
        <v>544</v>
      </c>
      <c r="C555" s="162" t="s">
        <v>7162</v>
      </c>
      <c r="D555" s="162"/>
      <c r="E555" s="162"/>
      <c r="F555" s="162"/>
      <c r="G555" s="162"/>
      <c r="H555" s="162"/>
      <c r="I555" s="39" t="s">
        <v>2838</v>
      </c>
      <c r="J555" s="111">
        <v>49950000</v>
      </c>
      <c r="K555" s="112">
        <v>45940</v>
      </c>
      <c r="L555" s="39"/>
      <c r="M555" s="39">
        <v>3052501777</v>
      </c>
      <c r="N555" s="39" t="s">
        <v>6540</v>
      </c>
      <c r="O555" s="116" t="s">
        <v>5258</v>
      </c>
    </row>
    <row r="556" spans="1:15" hidden="1" x14ac:dyDescent="0.25">
      <c r="A556" s="108"/>
      <c r="B556" s="39">
        <v>545</v>
      </c>
      <c r="C556" s="162" t="s">
        <v>7161</v>
      </c>
      <c r="D556" s="162"/>
      <c r="E556" s="162"/>
      <c r="F556" s="162"/>
      <c r="G556" s="162"/>
      <c r="H556" s="162"/>
      <c r="I556" s="39" t="s">
        <v>1875</v>
      </c>
      <c r="J556" s="111">
        <v>8950000</v>
      </c>
      <c r="K556" s="112">
        <v>45939</v>
      </c>
      <c r="L556" s="39"/>
      <c r="M556" s="39">
        <v>3113391008</v>
      </c>
      <c r="N556" s="39" t="s">
        <v>372</v>
      </c>
      <c r="O556" s="118" t="s">
        <v>2561</v>
      </c>
    </row>
    <row r="557" spans="1:15" hidden="1" x14ac:dyDescent="0.25">
      <c r="A557" s="108"/>
      <c r="B557" s="39">
        <v>546</v>
      </c>
      <c r="C557" s="162" t="s">
        <v>7163</v>
      </c>
      <c r="D557" s="162"/>
      <c r="E557" s="162"/>
      <c r="F557" s="162"/>
      <c r="G557" s="162"/>
      <c r="H557" s="162"/>
      <c r="I557" s="39" t="s">
        <v>2838</v>
      </c>
      <c r="J557" s="111">
        <v>6780000</v>
      </c>
      <c r="K557" s="112">
        <v>45939</v>
      </c>
      <c r="L557" s="39"/>
      <c r="M557" s="39">
        <v>3052501777</v>
      </c>
      <c r="N557" s="39" t="s">
        <v>6540</v>
      </c>
      <c r="O557" s="116" t="s">
        <v>5258</v>
      </c>
    </row>
    <row r="558" spans="1:15" hidden="1" x14ac:dyDescent="0.25">
      <c r="A558" s="108"/>
      <c r="B558" s="39">
        <v>547</v>
      </c>
      <c r="C558" s="162" t="s">
        <v>7164</v>
      </c>
      <c r="D558" s="162"/>
      <c r="E558" s="162"/>
      <c r="F558" s="162"/>
      <c r="G558" s="162"/>
      <c r="H558" s="162"/>
      <c r="I558" s="39" t="s">
        <v>7067</v>
      </c>
      <c r="J558" s="111">
        <v>9750</v>
      </c>
      <c r="K558" s="112">
        <v>45939</v>
      </c>
      <c r="L558" s="39"/>
      <c r="M558" s="39">
        <v>3103860407</v>
      </c>
      <c r="N558" s="39" t="s">
        <v>3460</v>
      </c>
      <c r="O558" s="38" t="s">
        <v>7165</v>
      </c>
    </row>
    <row r="559" spans="1:15" hidden="1" x14ac:dyDescent="0.25">
      <c r="A559" s="108"/>
      <c r="B559" s="39">
        <v>548</v>
      </c>
      <c r="C559" s="162" t="s">
        <v>7166</v>
      </c>
      <c r="D559" s="162"/>
      <c r="E559" s="162"/>
      <c r="F559" s="162"/>
      <c r="G559" s="162"/>
      <c r="H559" s="162"/>
      <c r="I559" s="39" t="s">
        <v>6735</v>
      </c>
      <c r="J559" s="111">
        <v>10650000</v>
      </c>
      <c r="K559" s="112">
        <v>45940</v>
      </c>
      <c r="L559" s="39"/>
      <c r="M559" s="39"/>
      <c r="N559" s="39" t="s">
        <v>6736</v>
      </c>
      <c r="O559" s="52" t="s">
        <v>6737</v>
      </c>
    </row>
    <row r="560" spans="1:15" hidden="1" x14ac:dyDescent="0.25">
      <c r="A560" s="108"/>
      <c r="B560" s="39">
        <v>549</v>
      </c>
      <c r="C560" s="162" t="s">
        <v>7167</v>
      </c>
      <c r="D560" s="162"/>
      <c r="E560" s="162"/>
      <c r="F560" s="162"/>
      <c r="G560" s="162"/>
      <c r="H560" s="162"/>
      <c r="I560" s="39" t="s">
        <v>3871</v>
      </c>
      <c r="J560" s="111">
        <v>29950000</v>
      </c>
      <c r="K560" s="112">
        <v>45940</v>
      </c>
      <c r="L560" s="39"/>
      <c r="M560" s="39">
        <v>3023977559</v>
      </c>
      <c r="N560" s="39" t="s">
        <v>7168</v>
      </c>
      <c r="O560" s="38" t="s">
        <v>7169</v>
      </c>
    </row>
    <row r="561" spans="1:15" hidden="1" x14ac:dyDescent="0.25">
      <c r="A561" s="108"/>
      <c r="B561" s="39">
        <v>550</v>
      </c>
      <c r="C561" s="162" t="s">
        <v>7170</v>
      </c>
      <c r="D561" s="162"/>
      <c r="E561" s="162"/>
      <c r="F561" s="162"/>
      <c r="G561" s="162"/>
      <c r="H561" s="162"/>
      <c r="I561" s="39" t="s">
        <v>702</v>
      </c>
      <c r="J561" s="111">
        <v>1000000</v>
      </c>
      <c r="K561" s="112">
        <v>45945</v>
      </c>
      <c r="L561" s="39"/>
      <c r="M561" s="39">
        <v>3104165783</v>
      </c>
      <c r="N561" s="39" t="s">
        <v>4564</v>
      </c>
      <c r="O561" s="38" t="s">
        <v>4565</v>
      </c>
    </row>
    <row r="562" spans="1:15" hidden="1" x14ac:dyDescent="0.25">
      <c r="A562" s="108"/>
      <c r="B562" s="39">
        <v>551</v>
      </c>
      <c r="C562" s="162" t="s">
        <v>7171</v>
      </c>
      <c r="D562" s="162"/>
      <c r="E562" s="162"/>
      <c r="F562" s="162"/>
      <c r="G562" s="162"/>
      <c r="H562" s="162"/>
      <c r="I562" s="39" t="s">
        <v>1875</v>
      </c>
      <c r="J562" s="111">
        <v>3000000</v>
      </c>
      <c r="K562" s="112">
        <v>45945</v>
      </c>
      <c r="L562" s="39"/>
      <c r="M562" s="39">
        <v>3116460496</v>
      </c>
      <c r="N562" s="39" t="s">
        <v>5213</v>
      </c>
      <c r="O562" s="116" t="s">
        <v>1876</v>
      </c>
    </row>
    <row r="563" spans="1:15" hidden="1" x14ac:dyDescent="0.25">
      <c r="A563" s="108"/>
      <c r="B563" s="39">
        <v>552</v>
      </c>
      <c r="C563" s="162" t="s">
        <v>7172</v>
      </c>
      <c r="D563" s="162"/>
      <c r="E563" s="162"/>
      <c r="F563" s="162"/>
      <c r="G563" s="162"/>
      <c r="H563" s="162"/>
      <c r="I563" s="39" t="s">
        <v>7016</v>
      </c>
      <c r="J563" s="111">
        <v>29950000</v>
      </c>
      <c r="K563" s="112">
        <v>45945</v>
      </c>
      <c r="L563" s="39"/>
      <c r="M563" s="39"/>
      <c r="N563" s="39" t="s">
        <v>7017</v>
      </c>
      <c r="O563" s="38" t="s">
        <v>7018</v>
      </c>
    </row>
    <row r="564" spans="1:15" hidden="1" x14ac:dyDescent="0.25">
      <c r="A564" s="108"/>
      <c r="B564" s="39">
        <v>553</v>
      </c>
      <c r="C564" s="162" t="s">
        <v>7173</v>
      </c>
      <c r="D564" s="162"/>
      <c r="E564" s="162"/>
      <c r="F564" s="162"/>
      <c r="G564" s="162"/>
      <c r="H564" s="162"/>
      <c r="I564" s="39" t="s">
        <v>702</v>
      </c>
      <c r="J564" s="111">
        <v>15950000</v>
      </c>
      <c r="K564" s="112">
        <v>45945</v>
      </c>
      <c r="L564" s="39"/>
      <c r="M564" s="39">
        <v>3006047984</v>
      </c>
      <c r="N564" s="39" t="s">
        <v>7054</v>
      </c>
      <c r="O564" s="38" t="s">
        <v>6379</v>
      </c>
    </row>
    <row r="565" spans="1:15" hidden="1" x14ac:dyDescent="0.25">
      <c r="A565" s="108"/>
      <c r="B565" s="39">
        <v>554</v>
      </c>
      <c r="C565" s="162" t="s">
        <v>7174</v>
      </c>
      <c r="D565" s="162"/>
      <c r="E565" s="162"/>
      <c r="F565" s="162"/>
      <c r="G565" s="162"/>
      <c r="H565" s="162"/>
      <c r="I565" s="39" t="s">
        <v>2204</v>
      </c>
      <c r="J565" s="111" t="s">
        <v>7200</v>
      </c>
      <c r="K565" s="112">
        <v>45945</v>
      </c>
      <c r="L565" s="39"/>
      <c r="M565" s="39">
        <v>3117208541</v>
      </c>
      <c r="N565" s="39" t="s">
        <v>2240</v>
      </c>
      <c r="O565" s="38" t="s">
        <v>2241</v>
      </c>
    </row>
    <row r="566" spans="1:15" hidden="1" x14ac:dyDescent="0.25">
      <c r="A566" s="108"/>
      <c r="B566" s="39">
        <v>555</v>
      </c>
      <c r="C566" s="162" t="s">
        <v>7175</v>
      </c>
      <c r="D566" s="162"/>
      <c r="E566" s="162"/>
      <c r="F566" s="162"/>
      <c r="G566" s="162"/>
      <c r="H566" s="162"/>
      <c r="I566" s="39" t="s">
        <v>7202</v>
      </c>
      <c r="J566" s="111" t="s">
        <v>7201</v>
      </c>
      <c r="K566" s="112">
        <v>45945</v>
      </c>
      <c r="L566" s="39"/>
      <c r="M566" s="39">
        <v>3008594811</v>
      </c>
      <c r="N566" s="39" t="s">
        <v>4402</v>
      </c>
      <c r="O566" s="38" t="s">
        <v>3780</v>
      </c>
    </row>
    <row r="567" spans="1:15" hidden="1" x14ac:dyDescent="0.25">
      <c r="A567" s="108"/>
      <c r="B567" s="39">
        <v>556</v>
      </c>
      <c r="C567" s="162" t="s">
        <v>7176</v>
      </c>
      <c r="D567" s="162"/>
      <c r="E567" s="162"/>
      <c r="F567" s="162"/>
      <c r="G567" s="162"/>
      <c r="H567" s="162"/>
      <c r="I567" s="39" t="s">
        <v>2969</v>
      </c>
      <c r="J567" s="111">
        <v>15250000</v>
      </c>
      <c r="K567" s="112">
        <v>45945</v>
      </c>
      <c r="L567" s="39"/>
      <c r="M567" s="39">
        <v>3127218621</v>
      </c>
      <c r="N567" s="39" t="s">
        <v>6091</v>
      </c>
      <c r="O567" s="116" t="s">
        <v>3668</v>
      </c>
    </row>
    <row r="568" spans="1:15" hidden="1" x14ac:dyDescent="0.25">
      <c r="A568" s="108"/>
      <c r="B568" s="39">
        <v>557</v>
      </c>
      <c r="C568" s="162" t="s">
        <v>7177</v>
      </c>
      <c r="D568" s="162"/>
      <c r="E568" s="162"/>
      <c r="F568" s="162"/>
      <c r="G568" s="162"/>
      <c r="H568" s="162"/>
      <c r="I568" s="39" t="s">
        <v>7179</v>
      </c>
      <c r="J568" s="111">
        <v>2950000</v>
      </c>
      <c r="K568" s="112">
        <v>45946</v>
      </c>
      <c r="L568" s="39"/>
      <c r="M568" s="39"/>
      <c r="N568" s="39" t="s">
        <v>7178</v>
      </c>
      <c r="O568" s="38" t="s">
        <v>6203</v>
      </c>
    </row>
    <row r="569" spans="1:15" hidden="1" x14ac:dyDescent="0.25">
      <c r="A569" s="108"/>
      <c r="B569" s="39">
        <v>558</v>
      </c>
      <c r="C569" s="162" t="s">
        <v>7180</v>
      </c>
      <c r="D569" s="162"/>
      <c r="E569" s="162"/>
      <c r="F569" s="162"/>
      <c r="G569" s="162"/>
      <c r="H569" s="162"/>
      <c r="I569" s="39" t="s">
        <v>1875</v>
      </c>
      <c r="J569" s="111">
        <v>3000000</v>
      </c>
      <c r="K569" s="112">
        <v>45952</v>
      </c>
      <c r="L569" s="39"/>
      <c r="M569" s="39">
        <v>3116460496</v>
      </c>
      <c r="N569" s="39" t="s">
        <v>5213</v>
      </c>
      <c r="O569" s="116" t="s">
        <v>1876</v>
      </c>
    </row>
    <row r="570" spans="1:15" hidden="1" x14ac:dyDescent="0.25">
      <c r="A570" s="108"/>
      <c r="B570" s="39">
        <v>559</v>
      </c>
      <c r="C570" s="162" t="s">
        <v>7181</v>
      </c>
      <c r="D570" s="162"/>
      <c r="E570" s="162"/>
      <c r="F570" s="162"/>
      <c r="G570" s="162"/>
      <c r="H570" s="162"/>
      <c r="I570" s="39" t="s">
        <v>3202</v>
      </c>
      <c r="J570" s="111">
        <v>14930000</v>
      </c>
      <c r="K570" s="112">
        <v>45952</v>
      </c>
      <c r="L570" s="39"/>
      <c r="M570" s="39">
        <v>3233748748</v>
      </c>
      <c r="N570" s="39" t="s">
        <v>6847</v>
      </c>
      <c r="O570" s="116" t="s">
        <v>6798</v>
      </c>
    </row>
    <row r="571" spans="1:15" hidden="1" x14ac:dyDescent="0.25">
      <c r="A571" s="108"/>
      <c r="B571" s="39">
        <v>560</v>
      </c>
      <c r="C571" s="162" t="s">
        <v>7182</v>
      </c>
      <c r="D571" s="162"/>
      <c r="E571" s="162"/>
      <c r="F571" s="162"/>
      <c r="G571" s="162"/>
      <c r="H571" s="162"/>
      <c r="I571" s="39" t="s">
        <v>6386</v>
      </c>
      <c r="J571" s="111">
        <v>11850000</v>
      </c>
      <c r="K571" s="112">
        <v>45951</v>
      </c>
      <c r="L571" s="39"/>
      <c r="M571" s="39">
        <v>3006563981</v>
      </c>
      <c r="N571" s="39" t="s">
        <v>5840</v>
      </c>
      <c r="O571" s="116" t="s">
        <v>5311</v>
      </c>
    </row>
    <row r="572" spans="1:15" hidden="1" x14ac:dyDescent="0.25">
      <c r="A572" s="108"/>
      <c r="B572" s="39">
        <v>561</v>
      </c>
      <c r="C572" s="162" t="s">
        <v>7183</v>
      </c>
      <c r="D572" s="162"/>
      <c r="E572" s="162"/>
      <c r="F572" s="162"/>
      <c r="G572" s="162"/>
      <c r="H572" s="162"/>
      <c r="I572" s="39" t="s">
        <v>7184</v>
      </c>
      <c r="J572" s="111">
        <v>11900000</v>
      </c>
      <c r="K572" s="112">
        <v>45955</v>
      </c>
      <c r="L572" s="39"/>
      <c r="M572" s="39">
        <v>3154683320</v>
      </c>
      <c r="N572" s="39" t="s">
        <v>7185</v>
      </c>
      <c r="O572" s="38" t="s">
        <v>7186</v>
      </c>
    </row>
    <row r="573" spans="1:15" hidden="1" x14ac:dyDescent="0.25">
      <c r="A573" s="108"/>
      <c r="B573" s="39">
        <v>562</v>
      </c>
      <c r="C573" s="162" t="s">
        <v>7187</v>
      </c>
      <c r="D573" s="162"/>
      <c r="E573" s="162"/>
      <c r="F573" s="162"/>
      <c r="G573" s="162"/>
      <c r="H573" s="162"/>
      <c r="I573" s="39" t="s">
        <v>7188</v>
      </c>
      <c r="J573" s="111">
        <v>11000000</v>
      </c>
      <c r="K573" s="112">
        <v>45947</v>
      </c>
      <c r="L573" s="39"/>
      <c r="M573" s="39" t="s">
        <v>7189</v>
      </c>
      <c r="N573" s="39" t="s">
        <v>7188</v>
      </c>
      <c r="O573" s="38" t="s">
        <v>7190</v>
      </c>
    </row>
    <row r="574" spans="1:15" hidden="1" x14ac:dyDescent="0.25">
      <c r="A574" s="108"/>
      <c r="B574" s="39">
        <v>563</v>
      </c>
      <c r="C574" s="162" t="s">
        <v>7191</v>
      </c>
      <c r="D574" s="162"/>
      <c r="E574" s="162"/>
      <c r="F574" s="162"/>
      <c r="G574" s="162"/>
      <c r="H574" s="162"/>
      <c r="I574" s="39" t="s">
        <v>2743</v>
      </c>
      <c r="J574" s="111">
        <v>17930000</v>
      </c>
      <c r="K574" s="112">
        <v>45951</v>
      </c>
      <c r="L574" s="39"/>
      <c r="M574" s="39">
        <v>3175594091</v>
      </c>
      <c r="N574" s="39" t="s">
        <v>2045</v>
      </c>
      <c r="O574" s="116" t="s">
        <v>748</v>
      </c>
    </row>
    <row r="575" spans="1:15" hidden="1" x14ac:dyDescent="0.25">
      <c r="A575" s="108"/>
      <c r="B575" s="39">
        <v>564</v>
      </c>
      <c r="C575" s="162" t="s">
        <v>7192</v>
      </c>
      <c r="D575" s="162"/>
      <c r="E575" s="162"/>
      <c r="F575" s="162"/>
      <c r="G575" s="162"/>
      <c r="H575" s="162"/>
      <c r="I575" s="39" t="s">
        <v>702</v>
      </c>
      <c r="J575" s="111">
        <v>6950000</v>
      </c>
      <c r="K575" s="112">
        <v>45951</v>
      </c>
      <c r="L575" s="39"/>
      <c r="M575" s="39">
        <v>3006047984</v>
      </c>
      <c r="N575" s="39" t="s">
        <v>7054</v>
      </c>
      <c r="O575" s="38" t="s">
        <v>6379</v>
      </c>
    </row>
    <row r="576" spans="1:15" hidden="1" x14ac:dyDescent="0.25">
      <c r="A576" s="108"/>
      <c r="B576" s="39">
        <v>565</v>
      </c>
      <c r="C576" s="162" t="s">
        <v>7193</v>
      </c>
      <c r="D576" s="162"/>
      <c r="E576" s="162"/>
      <c r="F576" s="162"/>
      <c r="G576" s="162"/>
      <c r="H576" s="162"/>
      <c r="I576" s="39" t="s">
        <v>1139</v>
      </c>
      <c r="J576" s="111">
        <v>5990000</v>
      </c>
      <c r="K576" s="112">
        <v>45952</v>
      </c>
      <c r="L576" s="39"/>
      <c r="M576" s="39">
        <v>3148721400</v>
      </c>
      <c r="N576" s="39" t="s">
        <v>7194</v>
      </c>
      <c r="O576" s="38" t="s">
        <v>4576</v>
      </c>
    </row>
    <row r="577" spans="1:15" hidden="1" x14ac:dyDescent="0.25">
      <c r="A577" s="108"/>
      <c r="B577" s="39">
        <v>566</v>
      </c>
      <c r="C577" s="162" t="s">
        <v>7195</v>
      </c>
      <c r="D577" s="162"/>
      <c r="E577" s="162"/>
      <c r="F577" s="162"/>
      <c r="G577" s="162"/>
      <c r="H577" s="162"/>
      <c r="I577" s="39" t="s">
        <v>702</v>
      </c>
      <c r="J577" s="111">
        <v>3950000</v>
      </c>
      <c r="K577" s="112">
        <v>45952</v>
      </c>
      <c r="L577" s="39"/>
      <c r="M577" s="39">
        <v>3137546144</v>
      </c>
      <c r="N577" s="39" t="s">
        <v>229</v>
      </c>
      <c r="O577" s="38" t="s">
        <v>2504</v>
      </c>
    </row>
    <row r="578" spans="1:15" hidden="1" x14ac:dyDescent="0.25">
      <c r="A578" s="108"/>
      <c r="B578" s="39">
        <v>567</v>
      </c>
      <c r="C578" s="162" t="s">
        <v>7196</v>
      </c>
      <c r="D578" s="162"/>
      <c r="E578" s="162"/>
      <c r="F578" s="162"/>
      <c r="G578" s="162"/>
      <c r="H578" s="162"/>
      <c r="I578" s="39" t="s">
        <v>1875</v>
      </c>
      <c r="J578" s="111">
        <v>12540000</v>
      </c>
      <c r="K578" s="112">
        <v>45955</v>
      </c>
      <c r="L578" s="39"/>
      <c r="M578" s="39">
        <v>3006560510</v>
      </c>
      <c r="N578" s="39" t="s">
        <v>7197</v>
      </c>
      <c r="O578" s="38" t="s">
        <v>5264</v>
      </c>
    </row>
    <row r="579" spans="1:15" hidden="1" x14ac:dyDescent="0.25">
      <c r="A579" s="108"/>
      <c r="B579" s="39">
        <v>568</v>
      </c>
      <c r="C579" s="162" t="s">
        <v>7198</v>
      </c>
      <c r="D579" s="162"/>
      <c r="E579" s="162"/>
      <c r="F579" s="162"/>
      <c r="G579" s="162"/>
      <c r="H579" s="162"/>
      <c r="I579" s="39" t="s">
        <v>7199</v>
      </c>
      <c r="J579" s="111">
        <v>33850000</v>
      </c>
      <c r="K579" s="112">
        <v>45951</v>
      </c>
      <c r="L579" s="39"/>
      <c r="M579" s="39">
        <v>3218511403</v>
      </c>
      <c r="N579" s="39" t="s">
        <v>7199</v>
      </c>
      <c r="O579" s="116"/>
    </row>
    <row r="580" spans="1:15" ht="15" hidden="1" customHeight="1" x14ac:dyDescent="0.25">
      <c r="A580" s="108"/>
      <c r="B580" s="39">
        <v>569</v>
      </c>
      <c r="C580" s="162" t="s">
        <v>7203</v>
      </c>
      <c r="D580" s="162"/>
      <c r="E580" s="162"/>
      <c r="F580" s="162"/>
      <c r="G580" s="162"/>
      <c r="H580" s="162"/>
      <c r="I580" s="39" t="s">
        <v>774</v>
      </c>
      <c r="J580" s="111">
        <v>8780000</v>
      </c>
      <c r="K580" s="112">
        <v>45955</v>
      </c>
      <c r="L580" s="39"/>
      <c r="M580" s="39">
        <v>6042446600</v>
      </c>
      <c r="N580" s="154" t="s">
        <v>7204</v>
      </c>
      <c r="O580" s="38" t="s">
        <v>4906</v>
      </c>
    </row>
    <row r="581" spans="1:15" ht="15" hidden="1" customHeight="1" x14ac:dyDescent="0.25">
      <c r="A581" s="108"/>
      <c r="B581" s="39">
        <v>570</v>
      </c>
      <c r="C581" s="162" t="s">
        <v>7206</v>
      </c>
      <c r="D581" s="162"/>
      <c r="E581" s="162"/>
      <c r="F581" s="162"/>
      <c r="G581" s="162"/>
      <c r="H581" s="162"/>
      <c r="I581" s="39" t="s">
        <v>6545</v>
      </c>
      <c r="J581" s="111">
        <v>11950000</v>
      </c>
      <c r="K581" s="112">
        <v>45953</v>
      </c>
      <c r="L581" s="39"/>
      <c r="M581" s="39" t="s">
        <v>7229</v>
      </c>
      <c r="N581" s="39" t="s">
        <v>7207</v>
      </c>
      <c r="O581" s="38" t="s">
        <v>7230</v>
      </c>
    </row>
    <row r="582" spans="1:15" hidden="1" x14ac:dyDescent="0.25">
      <c r="A582" s="108"/>
      <c r="B582" s="39">
        <v>571</v>
      </c>
      <c r="C582" s="162" t="s">
        <v>7205</v>
      </c>
      <c r="D582" s="162"/>
      <c r="E582" s="162"/>
      <c r="F582" s="162"/>
      <c r="G582" s="162"/>
      <c r="H582" s="162"/>
      <c r="I582" s="39" t="s">
        <v>6545</v>
      </c>
      <c r="J582" s="111">
        <v>4950000</v>
      </c>
      <c r="K582" s="112">
        <v>45953</v>
      </c>
      <c r="L582" s="39"/>
      <c r="M582" s="39" t="s">
        <v>7229</v>
      </c>
      <c r="N582" s="39" t="s">
        <v>7207</v>
      </c>
      <c r="O582" s="38" t="s">
        <v>7230</v>
      </c>
    </row>
    <row r="583" spans="1:15" hidden="1" x14ac:dyDescent="0.25">
      <c r="A583" s="108"/>
      <c r="B583" s="39">
        <v>572</v>
      </c>
      <c r="C583" s="162" t="s">
        <v>7208</v>
      </c>
      <c r="D583" s="162"/>
      <c r="E583" s="162"/>
      <c r="F583" s="162"/>
      <c r="G583" s="162"/>
      <c r="H583" s="162"/>
      <c r="I583" s="39" t="s">
        <v>1129</v>
      </c>
      <c r="J583" s="111">
        <v>10000000</v>
      </c>
      <c r="K583" s="112">
        <v>45955</v>
      </c>
      <c r="L583" s="39"/>
      <c r="M583" s="39">
        <v>3147537411</v>
      </c>
      <c r="N583" s="39" t="s">
        <v>5253</v>
      </c>
      <c r="O583" s="116" t="s">
        <v>1131</v>
      </c>
    </row>
    <row r="584" spans="1:15" hidden="1" x14ac:dyDescent="0.25">
      <c r="A584" s="108"/>
      <c r="B584" s="39">
        <v>573</v>
      </c>
      <c r="C584" s="162" t="s">
        <v>7209</v>
      </c>
      <c r="D584" s="162"/>
      <c r="E584" s="162"/>
      <c r="F584" s="162"/>
      <c r="G584" s="162"/>
      <c r="H584" s="162"/>
      <c r="I584" s="39" t="s">
        <v>6611</v>
      </c>
      <c r="J584" s="111">
        <v>36410000</v>
      </c>
      <c r="K584" s="112">
        <v>45954</v>
      </c>
      <c r="L584" s="39"/>
      <c r="M584" s="39">
        <v>3147788200</v>
      </c>
      <c r="N584" s="39" t="s">
        <v>7211</v>
      </c>
      <c r="O584" s="38" t="s">
        <v>7210</v>
      </c>
    </row>
    <row r="585" spans="1:15" hidden="1" x14ac:dyDescent="0.25">
      <c r="A585" s="108"/>
      <c r="B585" s="39">
        <v>574</v>
      </c>
      <c r="C585" s="162" t="s">
        <v>7212</v>
      </c>
      <c r="D585" s="162"/>
      <c r="E585" s="162"/>
      <c r="F585" s="162"/>
      <c r="G585" s="162"/>
      <c r="H585" s="162"/>
      <c r="I585" s="39" t="s">
        <v>5884</v>
      </c>
      <c r="J585" s="111">
        <v>26200000</v>
      </c>
      <c r="K585" s="112">
        <v>45957</v>
      </c>
      <c r="L585" s="39"/>
      <c r="M585" s="113">
        <v>3116456726</v>
      </c>
      <c r="N585" s="39" t="s">
        <v>5920</v>
      </c>
      <c r="O585" s="116" t="s">
        <v>5922</v>
      </c>
    </row>
    <row r="586" spans="1:15" hidden="1" x14ac:dyDescent="0.25">
      <c r="A586" s="108"/>
      <c r="B586" s="39">
        <v>575</v>
      </c>
      <c r="C586" s="162" t="s">
        <v>7213</v>
      </c>
      <c r="D586" s="162"/>
      <c r="E586" s="162"/>
      <c r="F586" s="162"/>
      <c r="G586" s="162"/>
      <c r="H586" s="162"/>
      <c r="I586" s="39" t="s">
        <v>7216</v>
      </c>
      <c r="J586" s="111">
        <v>11260000</v>
      </c>
      <c r="K586" s="112">
        <v>45958</v>
      </c>
      <c r="L586" s="39"/>
      <c r="M586" s="39">
        <v>3105377343</v>
      </c>
      <c r="N586" s="39" t="s">
        <v>7214</v>
      </c>
      <c r="O586" s="38" t="s">
        <v>7215</v>
      </c>
    </row>
    <row r="587" spans="1:15" hidden="1" x14ac:dyDescent="0.25">
      <c r="A587" s="108"/>
      <c r="B587" s="39">
        <v>576</v>
      </c>
      <c r="C587" s="162" t="s">
        <v>7217</v>
      </c>
      <c r="D587" s="162"/>
      <c r="E587" s="162"/>
      <c r="F587" s="162"/>
      <c r="G587" s="162"/>
      <c r="H587" s="162"/>
      <c r="I587" s="39" t="s">
        <v>7218</v>
      </c>
      <c r="J587" s="111">
        <v>75850000</v>
      </c>
      <c r="K587" s="112">
        <v>45961</v>
      </c>
      <c r="L587" s="39"/>
      <c r="M587" s="39">
        <v>3142094203</v>
      </c>
      <c r="N587" s="39" t="s">
        <v>7219</v>
      </c>
      <c r="O587" s="38" t="s">
        <v>7220</v>
      </c>
    </row>
    <row r="588" spans="1:15" hidden="1" x14ac:dyDescent="0.25">
      <c r="A588" s="108"/>
      <c r="B588" s="39">
        <v>577</v>
      </c>
      <c r="C588" s="162" t="s">
        <v>7221</v>
      </c>
      <c r="D588" s="162"/>
      <c r="E588" s="162"/>
      <c r="F588" s="162"/>
      <c r="G588" s="162"/>
      <c r="H588" s="162"/>
      <c r="I588" s="39" t="s">
        <v>7218</v>
      </c>
      <c r="J588" s="111">
        <v>124950000</v>
      </c>
      <c r="K588" s="112">
        <v>45961</v>
      </c>
      <c r="L588" s="39"/>
      <c r="M588" s="39">
        <v>3142094203</v>
      </c>
      <c r="N588" s="39" t="s">
        <v>7219</v>
      </c>
      <c r="O588" s="38" t="s">
        <v>7220</v>
      </c>
    </row>
    <row r="589" spans="1:15" hidden="1" x14ac:dyDescent="0.25">
      <c r="A589" s="108"/>
      <c r="B589" s="39">
        <v>578</v>
      </c>
      <c r="C589" s="162" t="s">
        <v>7224</v>
      </c>
      <c r="D589" s="162"/>
      <c r="E589" s="162"/>
      <c r="F589" s="162"/>
      <c r="G589" s="162"/>
      <c r="H589" s="162"/>
      <c r="I589" s="39" t="s">
        <v>7222</v>
      </c>
      <c r="J589" s="111">
        <v>7530000</v>
      </c>
      <c r="K589" s="112">
        <v>45961</v>
      </c>
      <c r="L589" s="39"/>
      <c r="M589" s="39" t="s">
        <v>7223</v>
      </c>
      <c r="N589" s="39"/>
      <c r="O589" s="116"/>
    </row>
    <row r="590" spans="1:15" hidden="1" x14ac:dyDescent="0.25">
      <c r="A590" s="108"/>
      <c r="B590" s="39">
        <v>579</v>
      </c>
      <c r="C590" s="162" t="s">
        <v>7226</v>
      </c>
      <c r="D590" s="162"/>
      <c r="E590" s="162"/>
      <c r="F590" s="162"/>
      <c r="G590" s="162"/>
      <c r="H590" s="162"/>
      <c r="I590" s="39" t="s">
        <v>7225</v>
      </c>
      <c r="J590" s="111">
        <v>11290000</v>
      </c>
      <c r="K590" s="112">
        <v>45961</v>
      </c>
      <c r="L590" s="39"/>
      <c r="M590" s="39" t="s">
        <v>7223</v>
      </c>
      <c r="N590" s="39"/>
      <c r="O590" s="116"/>
    </row>
    <row r="591" spans="1:15" hidden="1" x14ac:dyDescent="0.25">
      <c r="A591" s="108"/>
      <c r="B591" s="39">
        <v>580</v>
      </c>
      <c r="C591" s="162" t="s">
        <v>7227</v>
      </c>
      <c r="D591" s="162"/>
      <c r="E591" s="162"/>
      <c r="F591" s="162"/>
      <c r="G591" s="162"/>
      <c r="H591" s="162"/>
      <c r="I591" s="39" t="s">
        <v>5174</v>
      </c>
      <c r="J591" s="111">
        <v>18850000</v>
      </c>
      <c r="K591" s="112">
        <v>45958</v>
      </c>
      <c r="L591" s="39"/>
      <c r="M591" s="39" t="s">
        <v>7133</v>
      </c>
      <c r="N591" s="39" t="s">
        <v>6669</v>
      </c>
      <c r="O591" s="38" t="s">
        <v>5717</v>
      </c>
    </row>
    <row r="592" spans="1:15" hidden="1" x14ac:dyDescent="0.25">
      <c r="A592" s="108"/>
      <c r="B592" s="39">
        <v>581</v>
      </c>
      <c r="C592" s="162" t="s">
        <v>7125</v>
      </c>
      <c r="D592" s="162"/>
      <c r="E592" s="162"/>
      <c r="F592" s="162"/>
      <c r="G592" s="162"/>
      <c r="H592" s="162"/>
      <c r="I592" s="39" t="s">
        <v>3871</v>
      </c>
      <c r="J592" s="111">
        <v>29950000</v>
      </c>
      <c r="K592" s="112">
        <v>45959</v>
      </c>
      <c r="L592" s="39"/>
      <c r="M592" s="39" t="s">
        <v>7228</v>
      </c>
      <c r="N592" s="39" t="s">
        <v>2637</v>
      </c>
      <c r="O592" s="38" t="s">
        <v>2638</v>
      </c>
    </row>
    <row r="593" spans="1:15" hidden="1" x14ac:dyDescent="0.25">
      <c r="A593" s="108"/>
      <c r="B593" s="39">
        <v>582</v>
      </c>
      <c r="C593" s="162" t="s">
        <v>7232</v>
      </c>
      <c r="D593" s="162"/>
      <c r="E593" s="162"/>
      <c r="F593" s="162"/>
      <c r="G593" s="162"/>
      <c r="H593" s="162"/>
      <c r="I593" s="39" t="s">
        <v>6280</v>
      </c>
      <c r="J593" s="111">
        <v>1450000</v>
      </c>
      <c r="K593" s="112">
        <v>45961</v>
      </c>
      <c r="L593" s="39"/>
      <c r="M593" s="39" t="s">
        <v>1897</v>
      </c>
      <c r="N593" s="39" t="s">
        <v>2076</v>
      </c>
      <c r="O593" s="38" t="s">
        <v>1899</v>
      </c>
    </row>
    <row r="594" spans="1:15" hidden="1" x14ac:dyDescent="0.25">
      <c r="A594" s="108"/>
      <c r="B594" s="39">
        <v>583</v>
      </c>
      <c r="C594" s="159" t="s">
        <v>7233</v>
      </c>
      <c r="D594" s="160"/>
      <c r="E594" s="160"/>
      <c r="F594" s="160"/>
      <c r="G594" s="160"/>
      <c r="H594" s="161"/>
      <c r="I594" s="39" t="s">
        <v>851</v>
      </c>
      <c r="J594" s="111">
        <v>7550000</v>
      </c>
      <c r="K594" s="112">
        <v>45966</v>
      </c>
      <c r="L594" s="39"/>
      <c r="M594" s="39">
        <v>3206678830</v>
      </c>
      <c r="N594" s="39" t="s">
        <v>5109</v>
      </c>
      <c r="O594" s="38" t="s">
        <v>948</v>
      </c>
    </row>
    <row r="595" spans="1:15" hidden="1" x14ac:dyDescent="0.25">
      <c r="A595" s="108"/>
      <c r="B595" s="39">
        <v>584</v>
      </c>
      <c r="C595" s="162" t="s">
        <v>7234</v>
      </c>
      <c r="D595" s="162"/>
      <c r="E595" s="162"/>
      <c r="F595" s="162"/>
      <c r="G595" s="162"/>
      <c r="H595" s="162"/>
      <c r="I595" s="39" t="s">
        <v>7067</v>
      </c>
      <c r="J595" s="111">
        <v>8000</v>
      </c>
      <c r="K595" s="112">
        <v>45967</v>
      </c>
      <c r="L595" s="39"/>
      <c r="M595" s="39">
        <v>3108227462</v>
      </c>
      <c r="N595" s="39" t="s">
        <v>751</v>
      </c>
      <c r="O595" s="38" t="s">
        <v>7235</v>
      </c>
    </row>
    <row r="596" spans="1:15" hidden="1" x14ac:dyDescent="0.25">
      <c r="A596" s="108"/>
      <c r="B596" s="39">
        <v>585</v>
      </c>
      <c r="C596" s="162" t="s">
        <v>6132</v>
      </c>
      <c r="D596" s="162"/>
      <c r="E596" s="162"/>
      <c r="F596" s="162"/>
      <c r="G596" s="162"/>
      <c r="H596" s="162"/>
      <c r="I596" s="39" t="s">
        <v>7236</v>
      </c>
      <c r="J596" s="111" t="s">
        <v>150</v>
      </c>
      <c r="K596" s="112">
        <v>45968</v>
      </c>
      <c r="L596" s="39"/>
      <c r="M596" s="39">
        <v>3147637674</v>
      </c>
      <c r="N596" s="39" t="s">
        <v>7243</v>
      </c>
      <c r="O596" s="38" t="s">
        <v>7244</v>
      </c>
    </row>
    <row r="597" spans="1:15" hidden="1" x14ac:dyDescent="0.25">
      <c r="A597" s="108"/>
      <c r="B597" s="39">
        <v>586</v>
      </c>
      <c r="C597" s="162" t="s">
        <v>7237</v>
      </c>
      <c r="D597" s="162"/>
      <c r="E597" s="162"/>
      <c r="F597" s="162"/>
      <c r="G597" s="162"/>
      <c r="H597" s="162"/>
      <c r="I597" s="39" t="s">
        <v>5189</v>
      </c>
      <c r="J597" s="111">
        <v>19950000</v>
      </c>
      <c r="K597" s="112">
        <v>45967</v>
      </c>
      <c r="L597" s="39"/>
      <c r="M597" s="39">
        <v>3137337587</v>
      </c>
      <c r="N597" s="39" t="s">
        <v>4544</v>
      </c>
      <c r="O597" s="38" t="s">
        <v>4545</v>
      </c>
    </row>
    <row r="598" spans="1:15" hidden="1" x14ac:dyDescent="0.25">
      <c r="A598" s="108"/>
      <c r="B598" s="39">
        <v>587</v>
      </c>
      <c r="C598" s="162" t="s">
        <v>7238</v>
      </c>
      <c r="D598" s="162"/>
      <c r="E598" s="162"/>
      <c r="F598" s="162"/>
      <c r="G598" s="162"/>
      <c r="H598" s="162"/>
      <c r="I598" s="39" t="s">
        <v>702</v>
      </c>
      <c r="J598" s="133">
        <v>9550000</v>
      </c>
      <c r="K598" s="112">
        <v>45967</v>
      </c>
      <c r="L598" s="39"/>
      <c r="M598" s="39">
        <v>3006047984</v>
      </c>
      <c r="N598" s="39" t="s">
        <v>7054</v>
      </c>
      <c r="O598" s="38" t="s">
        <v>6379</v>
      </c>
    </row>
    <row r="599" spans="1:15" hidden="1" x14ac:dyDescent="0.25">
      <c r="A599" s="108"/>
      <c r="B599" s="39">
        <v>588</v>
      </c>
      <c r="C599" s="162" t="s">
        <v>7239</v>
      </c>
      <c r="D599" s="162"/>
      <c r="E599" s="162"/>
      <c r="F599" s="162"/>
      <c r="G599" s="162"/>
      <c r="H599" s="162"/>
      <c r="I599" s="39" t="s">
        <v>702</v>
      </c>
      <c r="J599" s="111">
        <v>7500000</v>
      </c>
      <c r="K599" s="112">
        <v>45967</v>
      </c>
      <c r="L599" s="39"/>
      <c r="M599" s="39">
        <v>3006047984</v>
      </c>
      <c r="N599" s="39" t="s">
        <v>7054</v>
      </c>
      <c r="O599" s="38" t="s">
        <v>6379</v>
      </c>
    </row>
    <row r="600" spans="1:15" hidden="1" x14ac:dyDescent="0.25">
      <c r="A600" s="108"/>
      <c r="B600" s="39">
        <v>589</v>
      </c>
      <c r="C600" s="162" t="s">
        <v>7240</v>
      </c>
      <c r="D600" s="162"/>
      <c r="E600" s="162"/>
      <c r="F600" s="162"/>
      <c r="G600" s="162"/>
      <c r="H600" s="162"/>
      <c r="I600" s="39" t="s">
        <v>6413</v>
      </c>
      <c r="J600" s="111">
        <v>27110000</v>
      </c>
      <c r="K600" s="112">
        <v>45968</v>
      </c>
      <c r="L600" s="39"/>
      <c r="M600" s="39">
        <v>3175180141</v>
      </c>
      <c r="N600" s="39" t="s">
        <v>6516</v>
      </c>
      <c r="O600" s="116" t="s">
        <v>6628</v>
      </c>
    </row>
    <row r="601" spans="1:15" hidden="1" x14ac:dyDescent="0.25">
      <c r="A601" s="108"/>
      <c r="B601" s="39">
        <v>590</v>
      </c>
      <c r="C601" s="162" t="s">
        <v>7241</v>
      </c>
      <c r="D601" s="162"/>
      <c r="E601" s="162"/>
      <c r="F601" s="162"/>
      <c r="G601" s="162"/>
      <c r="H601" s="162"/>
      <c r="I601" s="39" t="s">
        <v>7242</v>
      </c>
      <c r="J601" s="111">
        <v>1500000</v>
      </c>
      <c r="K601" s="112">
        <v>45969</v>
      </c>
      <c r="L601" s="39"/>
      <c r="M601" s="39"/>
      <c r="N601" s="39" t="s">
        <v>7242</v>
      </c>
      <c r="O601" s="116"/>
    </row>
    <row r="602" spans="1:15" hidden="1" x14ac:dyDescent="0.25">
      <c r="A602" s="108"/>
      <c r="B602" s="39">
        <v>591</v>
      </c>
      <c r="C602" s="162" t="s">
        <v>7227</v>
      </c>
      <c r="D602" s="162"/>
      <c r="E602" s="162"/>
      <c r="F602" s="162"/>
      <c r="G602" s="162"/>
      <c r="H602" s="162"/>
      <c r="I602" s="39" t="s">
        <v>4597</v>
      </c>
      <c r="J602" s="111">
        <v>18850000</v>
      </c>
      <c r="K602" s="112">
        <v>45968</v>
      </c>
      <c r="L602" s="39"/>
      <c r="M602" s="39">
        <v>3135401714</v>
      </c>
      <c r="N602" s="39" t="s">
        <v>4294</v>
      </c>
      <c r="O602" s="116" t="s">
        <v>1662</v>
      </c>
    </row>
    <row r="603" spans="1:15" hidden="1" x14ac:dyDescent="0.25">
      <c r="A603" s="108"/>
      <c r="B603" s="39">
        <v>592</v>
      </c>
      <c r="C603" s="162" t="s">
        <v>7245</v>
      </c>
      <c r="D603" s="162"/>
      <c r="E603" s="162"/>
      <c r="F603" s="162"/>
      <c r="G603" s="162"/>
      <c r="H603" s="162"/>
      <c r="I603" s="39" t="s">
        <v>5740</v>
      </c>
      <c r="J603" s="111">
        <v>6950000</v>
      </c>
      <c r="K603" s="112">
        <v>45968</v>
      </c>
      <c r="L603" s="39"/>
      <c r="M603" s="39">
        <v>3005944476</v>
      </c>
      <c r="N603" s="39" t="s">
        <v>7246</v>
      </c>
      <c r="O603" s="38" t="s">
        <v>7247</v>
      </c>
    </row>
    <row r="604" spans="1:15" ht="14.25" hidden="1" customHeight="1" x14ac:dyDescent="0.25">
      <c r="A604" s="108"/>
      <c r="B604" s="39">
        <v>593</v>
      </c>
      <c r="C604" s="162" t="s">
        <v>7248</v>
      </c>
      <c r="D604" s="162"/>
      <c r="E604" s="162"/>
      <c r="F604" s="162"/>
      <c r="G604" s="162"/>
      <c r="H604" s="162"/>
      <c r="I604" s="39" t="s">
        <v>7249</v>
      </c>
      <c r="J604" s="111">
        <v>9950000</v>
      </c>
      <c r="K604" s="112">
        <v>45971</v>
      </c>
      <c r="L604" s="39"/>
      <c r="M604" s="39">
        <v>3108312159</v>
      </c>
      <c r="N604" s="39" t="s">
        <v>7250</v>
      </c>
      <c r="O604" s="38" t="s">
        <v>7021</v>
      </c>
    </row>
    <row r="605" spans="1:15" ht="14.25" hidden="1" customHeight="1" x14ac:dyDescent="0.25">
      <c r="A605" s="108"/>
      <c r="B605" s="39">
        <v>594</v>
      </c>
      <c r="C605" s="162" t="s">
        <v>7251</v>
      </c>
      <c r="D605" s="162"/>
      <c r="E605" s="162"/>
      <c r="F605" s="162"/>
      <c r="G605" s="162"/>
      <c r="H605" s="162"/>
      <c r="I605" s="39" t="s">
        <v>7252</v>
      </c>
      <c r="J605" s="111">
        <v>62710</v>
      </c>
      <c r="K605" s="112">
        <v>45971</v>
      </c>
      <c r="L605" s="39"/>
      <c r="M605" s="39" t="s">
        <v>7255</v>
      </c>
      <c r="N605" s="39" t="s">
        <v>7253</v>
      </c>
      <c r="O605" s="38" t="s">
        <v>7254</v>
      </c>
    </row>
    <row r="606" spans="1:15" ht="14.25" hidden="1" customHeight="1" x14ac:dyDescent="0.25">
      <c r="A606" s="108"/>
      <c r="B606" s="39">
        <v>595</v>
      </c>
      <c r="C606" s="162" t="s">
        <v>7256</v>
      </c>
      <c r="D606" s="162"/>
      <c r="E606" s="162"/>
      <c r="F606" s="162"/>
      <c r="G606" s="162"/>
      <c r="H606" s="162"/>
      <c r="I606" s="39" t="s">
        <v>6545</v>
      </c>
      <c r="J606" s="111">
        <v>2440000</v>
      </c>
      <c r="K606" s="112">
        <v>45969</v>
      </c>
      <c r="L606" s="39"/>
      <c r="M606" s="39" t="s">
        <v>7229</v>
      </c>
      <c r="N606" s="39" t="s">
        <v>7207</v>
      </c>
      <c r="O606" s="38" t="s">
        <v>7230</v>
      </c>
    </row>
    <row r="607" spans="1:15" ht="14.25" hidden="1" customHeight="1" x14ac:dyDescent="0.25">
      <c r="A607" s="108"/>
      <c r="B607" s="39">
        <v>596</v>
      </c>
      <c r="C607" s="162" t="s">
        <v>7257</v>
      </c>
      <c r="D607" s="162"/>
      <c r="E607" s="162"/>
      <c r="F607" s="162"/>
      <c r="G607" s="162"/>
      <c r="H607" s="162"/>
      <c r="I607" s="39" t="s">
        <v>7258</v>
      </c>
      <c r="J607" s="111">
        <v>5000000</v>
      </c>
      <c r="K607" s="112">
        <v>45969</v>
      </c>
      <c r="L607" s="39"/>
      <c r="M607" s="39">
        <v>3124286991</v>
      </c>
      <c r="N607" s="39" t="s">
        <v>7259</v>
      </c>
      <c r="O607" s="116"/>
    </row>
    <row r="608" spans="1:15" ht="14.25" customHeight="1" x14ac:dyDescent="0.25">
      <c r="A608" s="108"/>
      <c r="B608" s="39">
        <v>597</v>
      </c>
      <c r="C608" s="162" t="s">
        <v>7260</v>
      </c>
      <c r="D608" s="162"/>
      <c r="E608" s="162"/>
      <c r="F608" s="162"/>
      <c r="G608" s="162"/>
      <c r="H608" s="162"/>
      <c r="I608" s="39" t="s">
        <v>6668</v>
      </c>
      <c r="J608" s="111">
        <v>26950000</v>
      </c>
      <c r="K608" s="112">
        <v>45972</v>
      </c>
      <c r="L608" s="39"/>
      <c r="M608" s="39">
        <v>3053533308</v>
      </c>
      <c r="N608" s="39" t="s">
        <v>6665</v>
      </c>
      <c r="O608" s="52" t="s">
        <v>6666</v>
      </c>
    </row>
    <row r="609" spans="1:15" ht="14.25" hidden="1" customHeight="1" x14ac:dyDescent="0.25">
      <c r="A609" s="108"/>
      <c r="B609" s="39">
        <v>598</v>
      </c>
      <c r="C609" s="162" t="s">
        <v>7261</v>
      </c>
      <c r="D609" s="162"/>
      <c r="E609" s="162"/>
      <c r="F609" s="162"/>
      <c r="G609" s="162"/>
      <c r="H609" s="162"/>
      <c r="I609" s="39" t="s">
        <v>6714</v>
      </c>
      <c r="J609" s="111">
        <v>1500000</v>
      </c>
      <c r="K609" s="112">
        <v>45972</v>
      </c>
      <c r="L609" s="39"/>
      <c r="M609" s="39">
        <v>3182887016</v>
      </c>
      <c r="N609" s="39" t="s">
        <v>7262</v>
      </c>
      <c r="O609" s="38" t="s">
        <v>7263</v>
      </c>
    </row>
    <row r="610" spans="1:15" ht="14.25" hidden="1" customHeight="1" x14ac:dyDescent="0.25">
      <c r="A610" s="108"/>
      <c r="B610" s="39">
        <v>599</v>
      </c>
      <c r="C610" s="162" t="s">
        <v>7264</v>
      </c>
      <c r="D610" s="162"/>
      <c r="E610" s="162"/>
      <c r="F610" s="162"/>
      <c r="G610" s="162"/>
      <c r="H610" s="162"/>
      <c r="I610" s="39" t="s">
        <v>5356</v>
      </c>
      <c r="J610" s="111">
        <v>15000000</v>
      </c>
      <c r="K610" s="112">
        <v>45972</v>
      </c>
      <c r="L610" s="39"/>
      <c r="M610" s="39"/>
      <c r="N610" s="39" t="s">
        <v>7265</v>
      </c>
      <c r="O610" s="38" t="s">
        <v>7266</v>
      </c>
    </row>
    <row r="611" spans="1:15" ht="14.25" hidden="1" customHeight="1" x14ac:dyDescent="0.25">
      <c r="A611" s="108"/>
      <c r="B611" s="39">
        <v>600</v>
      </c>
      <c r="C611" s="162" t="s">
        <v>7267</v>
      </c>
      <c r="D611" s="162"/>
      <c r="E611" s="162"/>
      <c r="F611" s="162"/>
      <c r="G611" s="162"/>
      <c r="H611" s="162"/>
      <c r="I611" s="39" t="s">
        <v>4436</v>
      </c>
      <c r="J611" s="111">
        <v>11950000</v>
      </c>
      <c r="K611" s="112">
        <v>45975</v>
      </c>
      <c r="L611" s="39"/>
      <c r="M611" s="39">
        <v>3003404902</v>
      </c>
      <c r="N611" s="39" t="s">
        <v>2049</v>
      </c>
      <c r="O611" s="116" t="s">
        <v>2881</v>
      </c>
    </row>
    <row r="612" spans="1:15" ht="14.25" hidden="1" customHeight="1" x14ac:dyDescent="0.25">
      <c r="A612" s="108"/>
      <c r="B612" s="39">
        <v>601</v>
      </c>
      <c r="C612" s="162" t="s">
        <v>7268</v>
      </c>
      <c r="D612" s="162"/>
      <c r="E612" s="162"/>
      <c r="F612" s="162"/>
      <c r="G612" s="162"/>
      <c r="H612" s="162"/>
      <c r="I612" s="39" t="s">
        <v>5637</v>
      </c>
      <c r="J612" s="111" t="s">
        <v>150</v>
      </c>
      <c r="K612" s="112">
        <v>45975</v>
      </c>
      <c r="L612" s="39"/>
      <c r="M612" s="39">
        <v>3124690731</v>
      </c>
      <c r="N612" s="39" t="s">
        <v>7269</v>
      </c>
      <c r="O612" s="38" t="s">
        <v>7270</v>
      </c>
    </row>
    <row r="613" spans="1:15" ht="14.25" hidden="1" customHeight="1" x14ac:dyDescent="0.25">
      <c r="A613" s="108"/>
      <c r="B613" s="39">
        <v>602</v>
      </c>
      <c r="C613" s="162" t="s">
        <v>7271</v>
      </c>
      <c r="D613" s="162"/>
      <c r="E613" s="162"/>
      <c r="F613" s="162"/>
      <c r="G613" s="162"/>
      <c r="H613" s="162"/>
      <c r="I613" s="39" t="s">
        <v>1875</v>
      </c>
      <c r="J613" s="111">
        <v>13950000</v>
      </c>
      <c r="K613" s="112">
        <v>45975</v>
      </c>
      <c r="L613" s="39"/>
      <c r="M613" s="39">
        <v>3116460496</v>
      </c>
      <c r="N613" s="39" t="s">
        <v>5213</v>
      </c>
      <c r="O613" s="116" t="s">
        <v>1876</v>
      </c>
    </row>
    <row r="614" spans="1:15" ht="14.25" hidden="1" customHeight="1" x14ac:dyDescent="0.25">
      <c r="A614" s="108"/>
      <c r="B614" s="39">
        <v>603</v>
      </c>
      <c r="C614" s="162" t="s">
        <v>7272</v>
      </c>
      <c r="D614" s="162"/>
      <c r="E614" s="162"/>
      <c r="F614" s="162"/>
      <c r="G614" s="162"/>
      <c r="H614" s="162"/>
      <c r="I614" s="39" t="s">
        <v>5549</v>
      </c>
      <c r="J614" s="111">
        <v>2950000</v>
      </c>
      <c r="K614" s="112">
        <v>45979</v>
      </c>
      <c r="L614" s="39"/>
      <c r="M614" s="39" t="s">
        <v>7275</v>
      </c>
      <c r="N614" s="39" t="s">
        <v>7274</v>
      </c>
      <c r="O614" s="38" t="s">
        <v>7273</v>
      </c>
    </row>
    <row r="615" spans="1:15" ht="14.25" hidden="1" customHeight="1" x14ac:dyDescent="0.25">
      <c r="A615" s="108"/>
      <c r="B615" s="39">
        <v>604</v>
      </c>
      <c r="C615" s="162" t="s">
        <v>7276</v>
      </c>
      <c r="D615" s="162"/>
      <c r="E615" s="162"/>
      <c r="F615" s="162"/>
      <c r="G615" s="162"/>
      <c r="H615" s="162"/>
      <c r="I615" s="39" t="s">
        <v>5884</v>
      </c>
      <c r="J615" s="111">
        <v>2440000</v>
      </c>
      <c r="K615" s="112">
        <v>45980</v>
      </c>
      <c r="L615" s="39"/>
      <c r="M615" s="39">
        <v>3116456726</v>
      </c>
      <c r="N615" s="39" t="s">
        <v>6676</v>
      </c>
      <c r="O615" s="38" t="s">
        <v>7277</v>
      </c>
    </row>
    <row r="616" spans="1:15" ht="14.25" hidden="1" customHeight="1" x14ac:dyDescent="0.25">
      <c r="A616" s="108"/>
      <c r="B616" s="39">
        <v>605</v>
      </c>
      <c r="C616" s="162" t="s">
        <v>7278</v>
      </c>
      <c r="D616" s="162"/>
      <c r="E616" s="162"/>
      <c r="F616" s="162"/>
      <c r="G616" s="162"/>
      <c r="H616" s="162"/>
      <c r="I616" s="39" t="s">
        <v>7279</v>
      </c>
      <c r="J616" s="111">
        <v>24950000</v>
      </c>
      <c r="K616" s="112">
        <v>45980</v>
      </c>
      <c r="L616" s="39"/>
      <c r="M616" s="39">
        <v>3126536246</v>
      </c>
      <c r="N616" s="39" t="s">
        <v>7280</v>
      </c>
      <c r="O616" s="38" t="s">
        <v>7281</v>
      </c>
    </row>
    <row r="617" spans="1:15" ht="14.25" hidden="1" customHeight="1" x14ac:dyDescent="0.25">
      <c r="A617" s="108"/>
      <c r="B617" s="39">
        <v>606</v>
      </c>
      <c r="C617" s="162" t="s">
        <v>7282</v>
      </c>
      <c r="D617" s="162"/>
      <c r="E617" s="162"/>
      <c r="F617" s="162"/>
      <c r="G617" s="162"/>
      <c r="H617" s="162"/>
      <c r="I617" s="39" t="s">
        <v>702</v>
      </c>
      <c r="J617" s="111">
        <v>1100000</v>
      </c>
      <c r="K617" s="112">
        <v>45982</v>
      </c>
      <c r="L617" s="39"/>
      <c r="M617" s="39">
        <v>3104165783</v>
      </c>
      <c r="N617" s="39" t="s">
        <v>4564</v>
      </c>
      <c r="O617" s="38" t="s">
        <v>4565</v>
      </c>
    </row>
    <row r="618" spans="1:15" hidden="1" x14ac:dyDescent="0.25">
      <c r="A618" s="108"/>
      <c r="B618" s="39">
        <v>607</v>
      </c>
      <c r="C618" s="162" t="s">
        <v>7283</v>
      </c>
      <c r="D618" s="162"/>
      <c r="E618" s="162"/>
      <c r="F618" s="162"/>
      <c r="G618" s="162"/>
      <c r="H618" s="162"/>
      <c r="I618" s="39" t="s">
        <v>702</v>
      </c>
      <c r="J618" s="111">
        <v>27560000</v>
      </c>
      <c r="K618" s="112">
        <v>45982</v>
      </c>
      <c r="L618" s="39"/>
      <c r="M618" s="39">
        <v>3104165783</v>
      </c>
      <c r="N618" s="39" t="s">
        <v>4564</v>
      </c>
      <c r="O618" s="38" t="s">
        <v>4565</v>
      </c>
    </row>
    <row r="619" spans="1:15" hidden="1" x14ac:dyDescent="0.25">
      <c r="A619" s="108"/>
      <c r="B619" s="39">
        <v>608</v>
      </c>
      <c r="C619" s="162" t="s">
        <v>7284</v>
      </c>
      <c r="D619" s="162"/>
      <c r="E619" s="162"/>
      <c r="F619" s="162"/>
      <c r="G619" s="162"/>
      <c r="H619" s="162"/>
      <c r="I619" s="39" t="s">
        <v>6751</v>
      </c>
      <c r="J619" s="111">
        <v>6900</v>
      </c>
      <c r="K619" s="112">
        <v>45980</v>
      </c>
      <c r="L619" s="39"/>
      <c r="M619" s="39">
        <v>5712357612</v>
      </c>
      <c r="N619" s="39" t="s">
        <v>3801</v>
      </c>
      <c r="O619" s="38" t="s">
        <v>1854</v>
      </c>
    </row>
    <row r="620" spans="1:15" hidden="1" x14ac:dyDescent="0.25">
      <c r="A620" s="108"/>
      <c r="B620" s="39">
        <v>609</v>
      </c>
      <c r="C620" s="162" t="s">
        <v>7285</v>
      </c>
      <c r="D620" s="162"/>
      <c r="E620" s="162"/>
      <c r="F620" s="162"/>
      <c r="G620" s="162"/>
      <c r="H620" s="162"/>
      <c r="I620" s="39" t="s">
        <v>702</v>
      </c>
      <c r="J620" s="111">
        <v>4950000</v>
      </c>
      <c r="K620" s="112">
        <v>45980</v>
      </c>
      <c r="L620" s="39"/>
      <c r="M620" s="39">
        <v>3104165783</v>
      </c>
      <c r="N620" s="39" t="s">
        <v>4564</v>
      </c>
      <c r="O620" s="38" t="s">
        <v>4565</v>
      </c>
    </row>
    <row r="621" spans="1:15" hidden="1" x14ac:dyDescent="0.25">
      <c r="A621" s="108"/>
      <c r="B621" s="39">
        <v>610</v>
      </c>
      <c r="C621" s="162" t="s">
        <v>7286</v>
      </c>
      <c r="D621" s="162"/>
      <c r="E621" s="162"/>
      <c r="F621" s="162"/>
      <c r="G621" s="162"/>
      <c r="H621" s="162"/>
      <c r="I621" s="39" t="s">
        <v>6231</v>
      </c>
      <c r="J621" s="111">
        <v>4350000</v>
      </c>
      <c r="K621" s="112">
        <v>45980</v>
      </c>
      <c r="L621" s="39"/>
      <c r="M621" s="39">
        <v>3006680526</v>
      </c>
      <c r="N621" s="39" t="s">
        <v>5462</v>
      </c>
      <c r="O621" s="38" t="s">
        <v>5456</v>
      </c>
    </row>
    <row r="622" spans="1:15" hidden="1" x14ac:dyDescent="0.25">
      <c r="A622" s="108"/>
      <c r="B622" s="39">
        <v>611</v>
      </c>
      <c r="C622" s="162" t="s">
        <v>7287</v>
      </c>
      <c r="D622" s="162"/>
      <c r="E622" s="162"/>
      <c r="F622" s="162"/>
      <c r="G622" s="162"/>
      <c r="H622" s="162"/>
      <c r="I622" s="39" t="s">
        <v>6280</v>
      </c>
      <c r="J622" s="111">
        <v>9410000</v>
      </c>
      <c r="K622" s="112">
        <v>45982</v>
      </c>
      <c r="L622" s="39"/>
      <c r="M622" s="39" t="s">
        <v>1897</v>
      </c>
      <c r="N622" s="39" t="s">
        <v>2076</v>
      </c>
      <c r="O622" s="38" t="s">
        <v>1899</v>
      </c>
    </row>
    <row r="623" spans="1:15" hidden="1" x14ac:dyDescent="0.25">
      <c r="A623" s="108"/>
      <c r="B623" s="39">
        <v>612</v>
      </c>
      <c r="C623" s="162" t="s">
        <v>7288</v>
      </c>
      <c r="D623" s="162"/>
      <c r="E623" s="162"/>
      <c r="F623" s="162"/>
      <c r="G623" s="162"/>
      <c r="H623" s="162"/>
      <c r="I623" s="39" t="s">
        <v>3002</v>
      </c>
      <c r="J623" s="111">
        <v>25630000</v>
      </c>
      <c r="K623" s="112">
        <v>45981</v>
      </c>
      <c r="L623" s="39"/>
      <c r="M623" s="39">
        <v>3122570758</v>
      </c>
      <c r="N623" s="39" t="s">
        <v>7289</v>
      </c>
      <c r="O623" s="38" t="s">
        <v>3590</v>
      </c>
    </row>
    <row r="624" spans="1:15" hidden="1" x14ac:dyDescent="0.25">
      <c r="A624" s="108"/>
      <c r="B624" s="39">
        <v>613</v>
      </c>
      <c r="C624" s="162" t="s">
        <v>7290</v>
      </c>
      <c r="D624" s="162"/>
      <c r="E624" s="162"/>
      <c r="F624" s="162"/>
      <c r="G624" s="162"/>
      <c r="H624" s="162"/>
      <c r="I624" s="39" t="s">
        <v>6714</v>
      </c>
      <c r="J624" s="111">
        <v>3500000</v>
      </c>
      <c r="K624" s="112">
        <v>45983</v>
      </c>
      <c r="L624" s="39"/>
      <c r="M624" s="39">
        <v>3006940601</v>
      </c>
      <c r="N624" s="39" t="s">
        <v>5889</v>
      </c>
      <c r="O624" s="116" t="s">
        <v>5890</v>
      </c>
    </row>
    <row r="625" spans="1:15" hidden="1" x14ac:dyDescent="0.25">
      <c r="A625" s="108"/>
      <c r="B625" s="39">
        <v>614</v>
      </c>
      <c r="C625" s="162" t="s">
        <v>7290</v>
      </c>
      <c r="D625" s="162"/>
      <c r="E625" s="162"/>
      <c r="F625" s="162"/>
      <c r="G625" s="162"/>
      <c r="H625" s="162"/>
      <c r="I625" s="39" t="s">
        <v>6289</v>
      </c>
      <c r="J625" s="111">
        <v>3500000</v>
      </c>
      <c r="K625" s="112">
        <v>45982</v>
      </c>
      <c r="L625" s="39"/>
      <c r="M625" s="39"/>
      <c r="N625" s="39" t="s">
        <v>7291</v>
      </c>
      <c r="O625" s="116"/>
    </row>
    <row r="626" spans="1:15" hidden="1" x14ac:dyDescent="0.25">
      <c r="A626" s="108"/>
      <c r="B626" s="39">
        <v>615</v>
      </c>
      <c r="C626" s="162" t="s">
        <v>7292</v>
      </c>
      <c r="D626" s="162"/>
      <c r="E626" s="162"/>
      <c r="F626" s="162"/>
      <c r="G626" s="162"/>
      <c r="H626" s="162"/>
      <c r="I626" s="39" t="s">
        <v>4059</v>
      </c>
      <c r="J626" s="111">
        <v>33880000</v>
      </c>
      <c r="K626" s="112">
        <v>45983</v>
      </c>
      <c r="L626" s="32"/>
      <c r="M626" s="39" t="s">
        <v>5410</v>
      </c>
      <c r="N626" s="39" t="s">
        <v>4059</v>
      </c>
      <c r="O626" s="116"/>
    </row>
    <row r="627" spans="1:15" hidden="1" x14ac:dyDescent="0.25">
      <c r="A627" s="108"/>
      <c r="B627" s="39">
        <v>616</v>
      </c>
      <c r="C627" s="162" t="s">
        <v>7293</v>
      </c>
      <c r="D627" s="162"/>
      <c r="E627" s="162"/>
      <c r="F627" s="162"/>
      <c r="G627" s="162"/>
      <c r="H627" s="162"/>
      <c r="I627" s="39" t="s">
        <v>7249</v>
      </c>
      <c r="J627" s="111">
        <v>19950000</v>
      </c>
      <c r="K627" s="112">
        <v>45986</v>
      </c>
      <c r="L627" s="39"/>
      <c r="M627" s="39">
        <v>3108312159</v>
      </c>
      <c r="N627" s="39" t="s">
        <v>7250</v>
      </c>
      <c r="O627" s="38" t="s">
        <v>7021</v>
      </c>
    </row>
    <row r="628" spans="1:15" hidden="1" x14ac:dyDescent="0.25">
      <c r="A628" s="108"/>
      <c r="B628" s="39">
        <v>617</v>
      </c>
      <c r="C628" s="162" t="s">
        <v>7294</v>
      </c>
      <c r="D628" s="162"/>
      <c r="E628" s="162"/>
      <c r="F628" s="162"/>
      <c r="G628" s="162"/>
      <c r="H628" s="162"/>
      <c r="I628" s="39" t="s">
        <v>1343</v>
      </c>
      <c r="J628" s="111">
        <v>9950000</v>
      </c>
      <c r="K628" s="112">
        <v>45986</v>
      </c>
      <c r="L628" s="39"/>
      <c r="M628" s="39">
        <v>3004659012</v>
      </c>
      <c r="N628" s="39" t="s">
        <v>6139</v>
      </c>
      <c r="O628" s="52" t="s">
        <v>1748</v>
      </c>
    </row>
    <row r="629" spans="1:15" hidden="1" x14ac:dyDescent="0.25">
      <c r="A629" s="108"/>
      <c r="B629" s="39">
        <v>618</v>
      </c>
      <c r="C629" s="162" t="s">
        <v>7295</v>
      </c>
      <c r="D629" s="162"/>
      <c r="E629" s="162"/>
      <c r="F629" s="162"/>
      <c r="G629" s="162"/>
      <c r="H629" s="162"/>
      <c r="I629" s="39" t="s">
        <v>3871</v>
      </c>
      <c r="J629" s="111"/>
      <c r="K629" s="112">
        <v>45986</v>
      </c>
      <c r="L629" s="39"/>
      <c r="M629" s="39"/>
      <c r="N629" s="39" t="s">
        <v>6559</v>
      </c>
      <c r="O629" s="38"/>
    </row>
    <row r="630" spans="1:15" hidden="1" x14ac:dyDescent="0.25">
      <c r="A630" s="108"/>
      <c r="B630" s="39">
        <v>619</v>
      </c>
      <c r="C630" s="162" t="s">
        <v>7298</v>
      </c>
      <c r="D630" s="162"/>
      <c r="E630" s="162"/>
      <c r="F630" s="162"/>
      <c r="G630" s="162"/>
      <c r="H630" s="162"/>
      <c r="I630" s="39" t="s">
        <v>7299</v>
      </c>
      <c r="J630" s="111">
        <v>5000000</v>
      </c>
      <c r="K630" s="112">
        <v>45988</v>
      </c>
      <c r="L630" s="39"/>
      <c r="M630" s="39">
        <v>3222785489</v>
      </c>
      <c r="N630" s="39" t="s">
        <v>7296</v>
      </c>
      <c r="O630" s="38" t="s">
        <v>7297</v>
      </c>
    </row>
    <row r="631" spans="1:15" x14ac:dyDescent="0.25">
      <c r="A631" s="108"/>
      <c r="B631" s="39">
        <v>620</v>
      </c>
      <c r="C631" s="162" t="s">
        <v>7300</v>
      </c>
      <c r="D631" s="162"/>
      <c r="E631" s="162"/>
      <c r="F631" s="162"/>
      <c r="G631" s="162"/>
      <c r="H631" s="162"/>
      <c r="I631" s="39" t="s">
        <v>6668</v>
      </c>
      <c r="J631" s="111">
        <v>26950000</v>
      </c>
      <c r="K631" s="112">
        <v>45988</v>
      </c>
      <c r="L631" s="39"/>
      <c r="M631" s="39">
        <v>3053533308</v>
      </c>
      <c r="N631" s="39" t="s">
        <v>6665</v>
      </c>
      <c r="O631" s="52" t="s">
        <v>6666</v>
      </c>
    </row>
    <row r="632" spans="1:15" hidden="1" x14ac:dyDescent="0.25">
      <c r="A632" s="108"/>
      <c r="B632" s="39">
        <v>621</v>
      </c>
      <c r="C632" s="162" t="s">
        <v>7301</v>
      </c>
      <c r="D632" s="162"/>
      <c r="E632" s="162"/>
      <c r="F632" s="162"/>
      <c r="G632" s="162"/>
      <c r="H632" s="162"/>
      <c r="I632" s="39" t="s">
        <v>1875</v>
      </c>
      <c r="J632" s="111">
        <v>3150000</v>
      </c>
      <c r="K632" s="112">
        <v>45988</v>
      </c>
      <c r="L632" s="39"/>
      <c r="M632" s="39">
        <v>3052837617</v>
      </c>
      <c r="N632" s="39" t="s">
        <v>7302</v>
      </c>
      <c r="O632" s="38" t="s">
        <v>3199</v>
      </c>
    </row>
    <row r="633" spans="1:15" hidden="1" x14ac:dyDescent="0.25">
      <c r="A633" s="108"/>
      <c r="B633" s="39">
        <v>622</v>
      </c>
      <c r="C633" s="162" t="s">
        <v>7303</v>
      </c>
      <c r="D633" s="162"/>
      <c r="E633" s="162"/>
      <c r="F633" s="162"/>
      <c r="G633" s="162"/>
      <c r="H633" s="162"/>
      <c r="I633" s="39" t="s">
        <v>1875</v>
      </c>
      <c r="J633" s="111">
        <v>2500000</v>
      </c>
      <c r="K633" s="112">
        <v>45988</v>
      </c>
      <c r="L633" s="39"/>
      <c r="M633" s="39">
        <v>3052837617</v>
      </c>
      <c r="N633" s="39" t="s">
        <v>7302</v>
      </c>
      <c r="O633" s="38" t="s">
        <v>3199</v>
      </c>
    </row>
    <row r="634" spans="1:15" hidden="1" x14ac:dyDescent="0.25">
      <c r="A634" s="108"/>
      <c r="B634" s="39">
        <v>623</v>
      </c>
      <c r="C634" s="162" t="s">
        <v>7304</v>
      </c>
      <c r="D634" s="162"/>
      <c r="E634" s="162"/>
      <c r="F634" s="162"/>
      <c r="G634" s="162"/>
      <c r="H634" s="162"/>
      <c r="I634" s="39" t="s">
        <v>5549</v>
      </c>
      <c r="J634" s="111">
        <v>11950000</v>
      </c>
      <c r="K634" s="112">
        <v>45988</v>
      </c>
      <c r="L634" s="39"/>
      <c r="M634" s="39">
        <v>3162963854</v>
      </c>
      <c r="N634" s="39" t="s">
        <v>5374</v>
      </c>
      <c r="O634" s="116" t="s">
        <v>5375</v>
      </c>
    </row>
    <row r="635" spans="1:15" hidden="1" x14ac:dyDescent="0.25">
      <c r="A635" s="108"/>
      <c r="B635" s="39">
        <v>624</v>
      </c>
      <c r="C635" s="162" t="s">
        <v>7305</v>
      </c>
      <c r="D635" s="162"/>
      <c r="E635" s="162"/>
      <c r="F635" s="162"/>
      <c r="G635" s="162"/>
      <c r="H635" s="162"/>
      <c r="I635" s="39" t="s">
        <v>6093</v>
      </c>
      <c r="J635" s="111">
        <v>30000000</v>
      </c>
      <c r="K635" s="112">
        <v>45988</v>
      </c>
      <c r="L635" s="39"/>
      <c r="M635" s="39">
        <v>3218051309</v>
      </c>
      <c r="N635" s="39" t="s">
        <v>7306</v>
      </c>
      <c r="O635" s="116" t="s">
        <v>7113</v>
      </c>
    </row>
    <row r="636" spans="1:15" hidden="1" x14ac:dyDescent="0.25">
      <c r="A636" s="108"/>
      <c r="B636" s="39">
        <v>625</v>
      </c>
      <c r="C636" s="162" t="s">
        <v>7307</v>
      </c>
      <c r="D636" s="162"/>
      <c r="E636" s="162"/>
      <c r="F636" s="162"/>
      <c r="G636" s="162"/>
      <c r="H636" s="162"/>
      <c r="I636" s="39" t="s">
        <v>7308</v>
      </c>
      <c r="J636" s="111">
        <v>6270000</v>
      </c>
      <c r="K636" s="112">
        <v>45988</v>
      </c>
      <c r="L636" s="39"/>
      <c r="M636" s="39">
        <v>3127780644</v>
      </c>
      <c r="N636" s="39" t="s">
        <v>7308</v>
      </c>
      <c r="O636" s="116"/>
    </row>
    <row r="637" spans="1:15" hidden="1" x14ac:dyDescent="0.25">
      <c r="A637" s="108"/>
      <c r="B637" s="39">
        <v>626</v>
      </c>
      <c r="C637" s="162" t="s">
        <v>7310</v>
      </c>
      <c r="D637" s="162"/>
      <c r="E637" s="162"/>
      <c r="F637" s="162"/>
      <c r="G637" s="162"/>
      <c r="H637" s="162"/>
      <c r="I637" s="39" t="s">
        <v>7311</v>
      </c>
      <c r="J637" s="111">
        <v>16950000</v>
      </c>
      <c r="K637" s="112">
        <v>45988</v>
      </c>
      <c r="L637" s="39"/>
      <c r="M637" s="39">
        <v>3013107863</v>
      </c>
      <c r="N637" s="39"/>
      <c r="O637" s="116" t="s">
        <v>7309</v>
      </c>
    </row>
    <row r="638" spans="1:15" hidden="1" x14ac:dyDescent="0.25">
      <c r="A638" s="108"/>
      <c r="B638" s="39">
        <v>627</v>
      </c>
      <c r="C638" s="162" t="s">
        <v>7191</v>
      </c>
      <c r="D638" s="162"/>
      <c r="E638" s="162"/>
      <c r="F638" s="162"/>
      <c r="G638" s="162"/>
      <c r="H638" s="162"/>
      <c r="I638" s="39" t="s">
        <v>2743</v>
      </c>
      <c r="J638" s="111">
        <v>9950000</v>
      </c>
      <c r="K638" s="112">
        <v>45989</v>
      </c>
      <c r="L638" s="39"/>
      <c r="M638" s="39">
        <v>3175594091</v>
      </c>
      <c r="N638" s="39" t="s">
        <v>2045</v>
      </c>
      <c r="O638" s="116" t="s">
        <v>748</v>
      </c>
    </row>
    <row r="639" spans="1:15" hidden="1" x14ac:dyDescent="0.25">
      <c r="A639" s="108"/>
      <c r="B639" s="39">
        <v>628</v>
      </c>
      <c r="C639" s="162" t="s">
        <v>7312</v>
      </c>
      <c r="D639" s="162"/>
      <c r="E639" s="162"/>
      <c r="F639" s="162"/>
      <c r="G639" s="162"/>
      <c r="H639" s="162"/>
      <c r="I639" s="39" t="s">
        <v>476</v>
      </c>
      <c r="J639" s="111" t="s">
        <v>2492</v>
      </c>
      <c r="K639" s="112">
        <v>45990</v>
      </c>
      <c r="L639" s="39"/>
      <c r="M639" s="39">
        <v>3663276</v>
      </c>
      <c r="N639" s="39" t="s">
        <v>476</v>
      </c>
      <c r="O639" s="38" t="s">
        <v>7052</v>
      </c>
    </row>
    <row r="640" spans="1:15" hidden="1" x14ac:dyDescent="0.25">
      <c r="A640" s="108"/>
      <c r="B640" s="39">
        <v>629</v>
      </c>
      <c r="C640" s="162" t="s">
        <v>7313</v>
      </c>
      <c r="D640" s="162"/>
      <c r="E640" s="162"/>
      <c r="F640" s="162"/>
      <c r="G640" s="162"/>
      <c r="H640" s="162"/>
      <c r="I640" s="39" t="s">
        <v>6335</v>
      </c>
      <c r="J640" s="111" t="s">
        <v>7367</v>
      </c>
      <c r="K640" s="112">
        <v>45990</v>
      </c>
      <c r="L640" s="39"/>
      <c r="M640" s="39"/>
      <c r="N640" s="39" t="s">
        <v>6336</v>
      </c>
      <c r="O640" s="116" t="s">
        <v>6337</v>
      </c>
    </row>
    <row r="641" spans="1:15" hidden="1" x14ac:dyDescent="0.25">
      <c r="A641" s="108"/>
      <c r="B641" s="39">
        <v>630</v>
      </c>
      <c r="C641" s="162" t="s">
        <v>7314</v>
      </c>
      <c r="D641" s="162"/>
      <c r="E641" s="162"/>
      <c r="F641" s="162"/>
      <c r="G641" s="162"/>
      <c r="H641" s="162"/>
      <c r="I641" s="39" t="s">
        <v>702</v>
      </c>
      <c r="J641" s="111">
        <v>49950</v>
      </c>
      <c r="K641" s="112">
        <v>45992</v>
      </c>
      <c r="L641" s="39"/>
      <c r="M641" s="39">
        <v>3104165783</v>
      </c>
      <c r="N641" s="39" t="s">
        <v>4564</v>
      </c>
      <c r="O641" s="38" t="s">
        <v>4565</v>
      </c>
    </row>
    <row r="642" spans="1:15" hidden="1" x14ac:dyDescent="0.25">
      <c r="A642" s="108"/>
      <c r="B642" s="39">
        <v>631</v>
      </c>
      <c r="C642" s="162" t="s">
        <v>7315</v>
      </c>
      <c r="D642" s="162"/>
      <c r="E642" s="162"/>
      <c r="F642" s="162"/>
      <c r="G642" s="162"/>
      <c r="H642" s="162"/>
      <c r="I642" s="39" t="s">
        <v>7316</v>
      </c>
      <c r="J642" s="111" t="s">
        <v>381</v>
      </c>
      <c r="K642" s="112">
        <v>45992</v>
      </c>
      <c r="L642" s="39"/>
      <c r="M642" s="39"/>
      <c r="N642" s="39" t="s">
        <v>7317</v>
      </c>
      <c r="O642" s="116"/>
    </row>
    <row r="643" spans="1:15" hidden="1" x14ac:dyDescent="0.25">
      <c r="A643" s="108"/>
      <c r="B643" s="39">
        <v>632</v>
      </c>
      <c r="C643" s="162" t="s">
        <v>7318</v>
      </c>
      <c r="D643" s="162"/>
      <c r="E643" s="162"/>
      <c r="F643" s="162"/>
      <c r="G643" s="162"/>
      <c r="H643" s="162"/>
      <c r="I643" s="39" t="s">
        <v>805</v>
      </c>
      <c r="J643" s="111">
        <v>10050000</v>
      </c>
      <c r="K643" s="112">
        <v>45992</v>
      </c>
      <c r="L643" s="39"/>
      <c r="M643" s="39" t="s">
        <v>7228</v>
      </c>
      <c r="N643" s="39" t="s">
        <v>2637</v>
      </c>
      <c r="O643" s="38" t="s">
        <v>2638</v>
      </c>
    </row>
    <row r="644" spans="1:15" hidden="1" x14ac:dyDescent="0.25">
      <c r="A644" s="108"/>
      <c r="B644" s="39">
        <v>633</v>
      </c>
      <c r="C644" s="162" t="s">
        <v>7319</v>
      </c>
      <c r="D644" s="162"/>
      <c r="E644" s="162"/>
      <c r="F644" s="162"/>
      <c r="G644" s="162"/>
      <c r="H644" s="162"/>
      <c r="I644" s="39" t="s">
        <v>4597</v>
      </c>
      <c r="J644" s="111"/>
      <c r="K644" s="112">
        <v>45994</v>
      </c>
      <c r="L644" s="39"/>
      <c r="M644" s="39">
        <v>3135401714</v>
      </c>
      <c r="N644" s="39" t="s">
        <v>4294</v>
      </c>
      <c r="O644" s="116" t="s">
        <v>1662</v>
      </c>
    </row>
    <row r="645" spans="1:15" hidden="1" x14ac:dyDescent="0.25">
      <c r="A645" s="108"/>
      <c r="B645" s="39">
        <v>634</v>
      </c>
      <c r="C645" s="162" t="s">
        <v>7320</v>
      </c>
      <c r="D645" s="162"/>
      <c r="E645" s="162"/>
      <c r="F645" s="162"/>
      <c r="G645" s="162"/>
      <c r="H645" s="162"/>
      <c r="I645" s="39" t="s">
        <v>6028</v>
      </c>
      <c r="J645" s="111">
        <v>6950000</v>
      </c>
      <c r="K645" s="112">
        <v>45994</v>
      </c>
      <c r="L645" s="39"/>
      <c r="M645" s="39">
        <v>3146620375</v>
      </c>
      <c r="N645" s="39" t="s">
        <v>7321</v>
      </c>
      <c r="O645" s="38" t="s">
        <v>7322</v>
      </c>
    </row>
    <row r="646" spans="1:15" hidden="1" x14ac:dyDescent="0.25">
      <c r="A646" s="108"/>
      <c r="B646" s="39">
        <v>635</v>
      </c>
      <c r="C646" s="162" t="s">
        <v>7326</v>
      </c>
      <c r="D646" s="162"/>
      <c r="E646" s="162"/>
      <c r="F646" s="162"/>
      <c r="G646" s="162"/>
      <c r="H646" s="162"/>
      <c r="I646" s="39" t="s">
        <v>7323</v>
      </c>
      <c r="J646" s="111">
        <v>18250000</v>
      </c>
      <c r="K646" s="112">
        <v>45994</v>
      </c>
      <c r="L646" s="39"/>
      <c r="M646" s="39">
        <v>3104077307</v>
      </c>
      <c r="N646" s="39" t="s">
        <v>7324</v>
      </c>
      <c r="O646" s="38" t="s">
        <v>7325</v>
      </c>
    </row>
    <row r="647" spans="1:15" hidden="1" x14ac:dyDescent="0.25">
      <c r="A647" s="108"/>
      <c r="B647" s="39">
        <v>636</v>
      </c>
      <c r="C647" s="162" t="s">
        <v>7327</v>
      </c>
      <c r="D647" s="162"/>
      <c r="E647" s="162"/>
      <c r="F647" s="162"/>
      <c r="G647" s="162"/>
      <c r="H647" s="162"/>
      <c r="I647" s="39" t="s">
        <v>5356</v>
      </c>
      <c r="J647" s="111">
        <v>29950000</v>
      </c>
      <c r="K647" s="112">
        <v>45995</v>
      </c>
      <c r="L647" s="39"/>
      <c r="M647" s="39">
        <v>3216032204</v>
      </c>
      <c r="N647" s="39" t="s">
        <v>7265</v>
      </c>
      <c r="O647" s="38" t="s">
        <v>7266</v>
      </c>
    </row>
    <row r="648" spans="1:15" hidden="1" x14ac:dyDescent="0.25">
      <c r="A648" s="108"/>
      <c r="B648" s="39">
        <v>637</v>
      </c>
      <c r="C648" s="162" t="s">
        <v>7328</v>
      </c>
      <c r="D648" s="162"/>
      <c r="E648" s="162"/>
      <c r="F648" s="162"/>
      <c r="G648" s="162"/>
      <c r="H648" s="162"/>
      <c r="I648" s="39" t="s">
        <v>7329</v>
      </c>
      <c r="J648" s="111">
        <v>22850000</v>
      </c>
      <c r="K648" s="112">
        <v>45995</v>
      </c>
      <c r="L648" s="39"/>
      <c r="M648" s="39" t="s">
        <v>7331</v>
      </c>
      <c r="N648" s="39" t="s">
        <v>7330</v>
      </c>
      <c r="O648" s="116"/>
    </row>
    <row r="649" spans="1:15" hidden="1" x14ac:dyDescent="0.25">
      <c r="A649" s="108"/>
      <c r="B649" s="39">
        <v>638</v>
      </c>
      <c r="C649" s="162" t="s">
        <v>7332</v>
      </c>
      <c r="D649" s="162"/>
      <c r="E649" s="162"/>
      <c r="F649" s="162"/>
      <c r="G649" s="162"/>
      <c r="H649" s="162"/>
      <c r="I649" s="39" t="s">
        <v>7333</v>
      </c>
      <c r="J649" s="111"/>
      <c r="K649" s="112">
        <v>45996</v>
      </c>
      <c r="L649" s="39"/>
      <c r="M649" s="39" t="s">
        <v>7334</v>
      </c>
      <c r="N649" s="39" t="s">
        <v>7335</v>
      </c>
      <c r="O649" s="116"/>
    </row>
    <row r="650" spans="1:15" hidden="1" x14ac:dyDescent="0.25">
      <c r="A650" s="108"/>
      <c r="B650" s="39">
        <v>639</v>
      </c>
      <c r="C650" s="162" t="s">
        <v>7336</v>
      </c>
      <c r="D650" s="162"/>
      <c r="E650" s="162"/>
      <c r="F650" s="162"/>
      <c r="G650" s="162"/>
      <c r="H650" s="162"/>
      <c r="I650" s="39" t="s">
        <v>6028</v>
      </c>
      <c r="J650" s="111">
        <v>26950000</v>
      </c>
      <c r="K650" s="112">
        <v>45996</v>
      </c>
      <c r="L650" s="39"/>
      <c r="M650" s="39">
        <v>3146620375</v>
      </c>
      <c r="N650" s="39" t="s">
        <v>7321</v>
      </c>
      <c r="O650" s="38" t="s">
        <v>7322</v>
      </c>
    </row>
    <row r="651" spans="1:15" hidden="1" x14ac:dyDescent="0.25">
      <c r="A651" s="108"/>
      <c r="B651" s="39">
        <v>640</v>
      </c>
      <c r="C651" s="162" t="s">
        <v>7337</v>
      </c>
      <c r="D651" s="162"/>
      <c r="E651" s="162"/>
      <c r="F651" s="162"/>
      <c r="G651" s="162"/>
      <c r="H651" s="162"/>
      <c r="I651" s="39" t="s">
        <v>6028</v>
      </c>
      <c r="J651" s="111">
        <v>6950000</v>
      </c>
      <c r="K651" s="112">
        <v>45996</v>
      </c>
      <c r="L651" s="39"/>
      <c r="M651" s="39">
        <v>3146620375</v>
      </c>
      <c r="N651" s="39" t="s">
        <v>7321</v>
      </c>
      <c r="O651" s="38" t="s">
        <v>7322</v>
      </c>
    </row>
    <row r="652" spans="1:15" hidden="1" x14ac:dyDescent="0.25">
      <c r="A652" s="108"/>
      <c r="B652" s="39">
        <v>641</v>
      </c>
      <c r="C652" s="162" t="s">
        <v>7338</v>
      </c>
      <c r="D652" s="162"/>
      <c r="E652" s="162"/>
      <c r="F652" s="162"/>
      <c r="G652" s="162"/>
      <c r="H652" s="162"/>
      <c r="I652" s="39" t="s">
        <v>7249</v>
      </c>
      <c r="J652" s="111"/>
      <c r="K652" s="112">
        <v>45996</v>
      </c>
      <c r="L652" s="39"/>
      <c r="M652" s="39">
        <v>3108312159</v>
      </c>
      <c r="N652" s="39" t="s">
        <v>7250</v>
      </c>
      <c r="O652" s="38" t="s">
        <v>7021</v>
      </c>
    </row>
    <row r="653" spans="1:15" hidden="1" x14ac:dyDescent="0.25">
      <c r="A653" s="108"/>
      <c r="B653" s="39">
        <v>642</v>
      </c>
      <c r="C653" s="162" t="s">
        <v>7339</v>
      </c>
      <c r="D653" s="162"/>
      <c r="E653" s="162"/>
      <c r="F653" s="162"/>
      <c r="G653" s="162"/>
      <c r="H653" s="162"/>
      <c r="I653" s="39" t="s">
        <v>2445</v>
      </c>
      <c r="J653" s="111" t="s">
        <v>7368</v>
      </c>
      <c r="K653" s="112">
        <v>45997</v>
      </c>
      <c r="L653" s="39"/>
      <c r="M653" s="39">
        <v>3127218621</v>
      </c>
      <c r="N653" s="39" t="s">
        <v>3666</v>
      </c>
      <c r="O653" s="116" t="s">
        <v>3668</v>
      </c>
    </row>
    <row r="654" spans="1:15" hidden="1" x14ac:dyDescent="0.25">
      <c r="A654" s="108"/>
      <c r="B654" s="39">
        <v>643</v>
      </c>
      <c r="C654" s="162" t="s">
        <v>7340</v>
      </c>
      <c r="D654" s="162"/>
      <c r="E654" s="162"/>
      <c r="F654" s="162"/>
      <c r="G654" s="162"/>
      <c r="H654" s="162"/>
      <c r="I654" s="39" t="s">
        <v>7341</v>
      </c>
      <c r="J654" s="111" t="s">
        <v>381</v>
      </c>
      <c r="K654" s="112">
        <v>46002</v>
      </c>
      <c r="L654" s="39"/>
      <c r="M654" s="39">
        <v>3153547367</v>
      </c>
      <c r="N654" s="39" t="s">
        <v>7342</v>
      </c>
      <c r="O654" s="38" t="s">
        <v>7343</v>
      </c>
    </row>
    <row r="655" spans="1:15" hidden="1" x14ac:dyDescent="0.25">
      <c r="A655" s="108"/>
      <c r="B655" s="39">
        <v>644</v>
      </c>
      <c r="C655" s="162" t="s">
        <v>7345</v>
      </c>
      <c r="D655" s="162"/>
      <c r="E655" s="162"/>
      <c r="F655" s="162"/>
      <c r="G655" s="162"/>
      <c r="H655" s="162"/>
      <c r="I655" s="39" t="s">
        <v>7344</v>
      </c>
      <c r="J655" s="111">
        <v>59950000</v>
      </c>
      <c r="K655" s="112">
        <v>46006</v>
      </c>
      <c r="L655" s="39"/>
      <c r="M655" s="39">
        <v>3013660197</v>
      </c>
      <c r="N655" s="39" t="s">
        <v>7346</v>
      </c>
      <c r="O655" s="38" t="s">
        <v>7347</v>
      </c>
    </row>
    <row r="656" spans="1:15" hidden="1" x14ac:dyDescent="0.25">
      <c r="A656" s="108"/>
      <c r="B656" s="39">
        <v>645</v>
      </c>
      <c r="C656" s="162" t="s">
        <v>7348</v>
      </c>
      <c r="D656" s="162"/>
      <c r="E656" s="162"/>
      <c r="F656" s="162"/>
      <c r="G656" s="162"/>
      <c r="H656" s="162"/>
      <c r="I656" s="39" t="s">
        <v>5637</v>
      </c>
      <c r="J656" s="111">
        <v>18940000</v>
      </c>
      <c r="K656" s="112">
        <v>46008</v>
      </c>
      <c r="L656" s="39"/>
      <c r="M656" s="39">
        <v>3124690731</v>
      </c>
      <c r="N656" s="39" t="s">
        <v>7269</v>
      </c>
      <c r="O656" s="38" t="s">
        <v>7270</v>
      </c>
    </row>
    <row r="657" spans="1:15" hidden="1" x14ac:dyDescent="0.25">
      <c r="A657" s="108"/>
      <c r="B657" s="39">
        <v>646</v>
      </c>
      <c r="C657" s="162" t="s">
        <v>7349</v>
      </c>
      <c r="D657" s="162"/>
      <c r="E657" s="162"/>
      <c r="F657" s="162"/>
      <c r="G657" s="162"/>
      <c r="H657" s="162"/>
      <c r="I657" s="39" t="s">
        <v>1139</v>
      </c>
      <c r="J657" s="111">
        <v>9950000</v>
      </c>
      <c r="K657" s="112">
        <v>46008</v>
      </c>
      <c r="L657" s="39"/>
      <c r="M657" s="39">
        <v>3004938086</v>
      </c>
      <c r="N657" s="51" t="s">
        <v>5932</v>
      </c>
      <c r="O657" s="38" t="s">
        <v>5933</v>
      </c>
    </row>
    <row r="658" spans="1:15" hidden="1" x14ac:dyDescent="0.25">
      <c r="A658" s="108"/>
      <c r="B658" s="39">
        <v>647</v>
      </c>
      <c r="C658" s="162" t="s">
        <v>7350</v>
      </c>
      <c r="D658" s="162"/>
      <c r="E658" s="162"/>
      <c r="F658" s="162"/>
      <c r="G658" s="162"/>
      <c r="H658" s="162"/>
      <c r="I658" s="39" t="s">
        <v>7351</v>
      </c>
      <c r="J658" s="111">
        <v>12540000</v>
      </c>
      <c r="K658" s="112">
        <v>46008</v>
      </c>
      <c r="L658" s="39"/>
      <c r="M658" s="39">
        <v>3009086849</v>
      </c>
      <c r="N658" s="39" t="s">
        <v>7352</v>
      </c>
      <c r="O658" s="38" t="s">
        <v>7353</v>
      </c>
    </row>
    <row r="659" spans="1:15" hidden="1" x14ac:dyDescent="0.25">
      <c r="A659" s="108"/>
      <c r="B659" s="39">
        <v>648</v>
      </c>
      <c r="C659" s="162" t="s">
        <v>7354</v>
      </c>
      <c r="D659" s="162"/>
      <c r="E659" s="162"/>
      <c r="F659" s="162"/>
      <c r="G659" s="162"/>
      <c r="H659" s="162"/>
      <c r="I659" s="39" t="s">
        <v>5186</v>
      </c>
      <c r="J659" s="111">
        <v>2550000</v>
      </c>
      <c r="K659" s="112">
        <v>46007</v>
      </c>
      <c r="L659" s="39"/>
      <c r="M659" s="39">
        <v>3162963854</v>
      </c>
      <c r="N659" s="39" t="s">
        <v>5374</v>
      </c>
      <c r="O659" s="116" t="s">
        <v>5375</v>
      </c>
    </row>
    <row r="660" spans="1:15" hidden="1" x14ac:dyDescent="0.25">
      <c r="A660" s="108"/>
      <c r="B660" s="39">
        <v>649</v>
      </c>
      <c r="C660" s="162" t="s">
        <v>7355</v>
      </c>
      <c r="D660" s="162"/>
      <c r="E660" s="162"/>
      <c r="F660" s="162"/>
      <c r="G660" s="162"/>
      <c r="H660" s="162"/>
      <c r="I660" s="39" t="s">
        <v>6069</v>
      </c>
      <c r="J660" s="111">
        <v>22550000</v>
      </c>
      <c r="K660" s="112">
        <v>46010</v>
      </c>
      <c r="L660" s="39"/>
      <c r="M660" s="39">
        <v>3155852559</v>
      </c>
      <c r="N660" s="39" t="s">
        <v>1610</v>
      </c>
      <c r="O660" s="38" t="s">
        <v>1611</v>
      </c>
    </row>
    <row r="661" spans="1:15" hidden="1" x14ac:dyDescent="0.25">
      <c r="A661" s="108"/>
      <c r="B661" s="39">
        <v>650</v>
      </c>
      <c r="C661" s="162" t="s">
        <v>7356</v>
      </c>
      <c r="D661" s="162"/>
      <c r="E661" s="162"/>
      <c r="F661" s="162"/>
      <c r="G661" s="162"/>
      <c r="H661" s="162"/>
      <c r="I661" s="39" t="s">
        <v>4597</v>
      </c>
      <c r="J661" s="111">
        <v>3850000</v>
      </c>
      <c r="K661" s="112">
        <v>46010</v>
      </c>
      <c r="L661" s="39"/>
      <c r="M661" s="39" t="s">
        <v>5812</v>
      </c>
      <c r="N661" s="39" t="s">
        <v>4109</v>
      </c>
      <c r="O661" s="38" t="s">
        <v>5752</v>
      </c>
    </row>
    <row r="662" spans="1:15" hidden="1" x14ac:dyDescent="0.25">
      <c r="A662" s="108"/>
      <c r="B662" s="39">
        <v>651</v>
      </c>
      <c r="C662" s="162" t="s">
        <v>7357</v>
      </c>
      <c r="D662" s="162"/>
      <c r="E662" s="162"/>
      <c r="F662" s="162"/>
      <c r="G662" s="162"/>
      <c r="H662" s="162"/>
      <c r="I662" s="39" t="s">
        <v>6913</v>
      </c>
      <c r="J662" s="111">
        <v>16850000</v>
      </c>
      <c r="K662" s="112">
        <v>46009</v>
      </c>
      <c r="L662" s="39"/>
      <c r="M662" s="39">
        <v>3138461929</v>
      </c>
      <c r="N662" s="39" t="s">
        <v>7358</v>
      </c>
      <c r="O662" s="38" t="s">
        <v>7359</v>
      </c>
    </row>
    <row r="663" spans="1:15" hidden="1" x14ac:dyDescent="0.25">
      <c r="A663" s="108"/>
      <c r="B663" s="39">
        <v>652</v>
      </c>
      <c r="C663" s="162" t="s">
        <v>7360</v>
      </c>
      <c r="D663" s="162"/>
      <c r="E663" s="162"/>
      <c r="F663" s="162"/>
      <c r="G663" s="162"/>
      <c r="H663" s="162"/>
      <c r="I663" s="39" t="s">
        <v>7361</v>
      </c>
      <c r="J663" s="111" t="s">
        <v>150</v>
      </c>
      <c r="K663" s="112">
        <v>46010</v>
      </c>
      <c r="L663" s="39"/>
      <c r="M663" s="39">
        <v>3234031201</v>
      </c>
      <c r="N663" s="39" t="s">
        <v>7362</v>
      </c>
      <c r="O663" s="38" t="s">
        <v>7363</v>
      </c>
    </row>
    <row r="664" spans="1:15" hidden="1" x14ac:dyDescent="0.25">
      <c r="A664" s="108"/>
      <c r="B664" s="39">
        <v>653</v>
      </c>
      <c r="C664" s="162" t="s">
        <v>7364</v>
      </c>
      <c r="D664" s="162"/>
      <c r="E664" s="162"/>
      <c r="F664" s="162"/>
      <c r="G664" s="162"/>
      <c r="H664" s="162"/>
      <c r="I664" s="39" t="s">
        <v>7365</v>
      </c>
      <c r="J664" s="111" t="s">
        <v>7374</v>
      </c>
      <c r="K664" s="112">
        <v>46009</v>
      </c>
      <c r="L664" s="39"/>
      <c r="M664" s="39"/>
      <c r="N664" s="39"/>
      <c r="O664" s="116"/>
    </row>
    <row r="665" spans="1:15" hidden="1" x14ac:dyDescent="0.25">
      <c r="A665" s="108"/>
      <c r="B665" s="39">
        <v>654</v>
      </c>
      <c r="C665" s="162" t="s">
        <v>7366</v>
      </c>
      <c r="D665" s="162"/>
      <c r="E665" s="162"/>
      <c r="F665" s="162"/>
      <c r="G665" s="162"/>
      <c r="H665" s="162"/>
      <c r="I665" s="39" t="s">
        <v>6913</v>
      </c>
      <c r="J665" s="111">
        <v>15500000</v>
      </c>
      <c r="K665" s="112">
        <v>46009</v>
      </c>
      <c r="L665" s="39"/>
      <c r="M665" s="39">
        <v>3138461929</v>
      </c>
      <c r="N665" s="39" t="s">
        <v>7358</v>
      </c>
      <c r="O665" s="38" t="s">
        <v>7359</v>
      </c>
    </row>
    <row r="666" spans="1:15" hidden="1" x14ac:dyDescent="0.25">
      <c r="A666" s="108"/>
      <c r="B666" s="39">
        <v>655</v>
      </c>
      <c r="C666" s="162" t="s">
        <v>7369</v>
      </c>
      <c r="D666" s="162"/>
      <c r="E666" s="162"/>
      <c r="F666" s="162"/>
      <c r="G666" s="162"/>
      <c r="H666" s="162"/>
      <c r="I666" s="39" t="s">
        <v>7370</v>
      </c>
      <c r="J666" s="111">
        <v>22550000</v>
      </c>
      <c r="K666" s="112">
        <v>46013</v>
      </c>
      <c r="L666" s="39"/>
      <c r="M666" s="39" t="s">
        <v>7373</v>
      </c>
      <c r="N666" s="39" t="s">
        <v>7371</v>
      </c>
      <c r="O666" s="38" t="s">
        <v>7372</v>
      </c>
    </row>
    <row r="667" spans="1:15" hidden="1" x14ac:dyDescent="0.25">
      <c r="A667" s="108"/>
      <c r="B667" s="39">
        <v>656</v>
      </c>
      <c r="C667" s="162" t="s">
        <v>7377</v>
      </c>
      <c r="D667" s="162"/>
      <c r="E667" s="162"/>
      <c r="F667" s="162"/>
      <c r="G667" s="162"/>
      <c r="H667" s="162"/>
      <c r="I667" s="39" t="s">
        <v>3766</v>
      </c>
      <c r="J667" s="111"/>
      <c r="K667" s="112">
        <v>46013</v>
      </c>
      <c r="L667" s="39"/>
      <c r="M667" s="39">
        <v>3006194323</v>
      </c>
      <c r="N667" s="39" t="s">
        <v>6307</v>
      </c>
      <c r="O667" s="116" t="s">
        <v>4731</v>
      </c>
    </row>
    <row r="668" spans="1:15" hidden="1" x14ac:dyDescent="0.25">
      <c r="A668" s="108"/>
      <c r="B668" s="39">
        <v>657</v>
      </c>
      <c r="C668" s="162" t="s">
        <v>7378</v>
      </c>
      <c r="D668" s="162"/>
      <c r="E668" s="162"/>
      <c r="F668" s="162"/>
      <c r="G668" s="162"/>
      <c r="H668" s="162"/>
      <c r="I668" s="39"/>
      <c r="J668" s="111"/>
      <c r="K668" s="112"/>
      <c r="L668" s="39"/>
    </row>
    <row r="669" spans="1:15" hidden="1" x14ac:dyDescent="0.25">
      <c r="A669" s="108"/>
      <c r="B669" s="39">
        <v>658</v>
      </c>
      <c r="C669" s="162"/>
      <c r="D669" s="162"/>
      <c r="E669" s="162"/>
      <c r="F669" s="162"/>
      <c r="G669" s="162"/>
      <c r="H669" s="162"/>
      <c r="I669" s="39"/>
      <c r="J669" s="111"/>
      <c r="K669" s="112"/>
      <c r="L669" s="39"/>
      <c r="M669" s="39"/>
      <c r="N669" s="39"/>
      <c r="O669" s="116"/>
    </row>
    <row r="670" spans="1:15" x14ac:dyDescent="0.25">
      <c r="A670" s="108"/>
      <c r="B670" s="39"/>
      <c r="C670" s="162"/>
      <c r="D670" s="162"/>
      <c r="E670" s="162"/>
      <c r="F670" s="162"/>
      <c r="G670" s="162"/>
      <c r="H670" s="162"/>
      <c r="I670" s="39"/>
      <c r="J670" s="111"/>
      <c r="K670" s="112"/>
      <c r="L670" s="39"/>
      <c r="M670" s="39"/>
      <c r="N670" s="39"/>
      <c r="O670" s="116"/>
    </row>
    <row r="671" spans="1:15" x14ac:dyDescent="0.25">
      <c r="A671" s="108"/>
      <c r="B671" s="39"/>
      <c r="C671" s="162"/>
      <c r="D671" s="162"/>
      <c r="E671" s="162"/>
      <c r="F671" s="162"/>
      <c r="G671" s="162"/>
      <c r="H671" s="162"/>
      <c r="I671" s="39"/>
      <c r="J671" s="111"/>
      <c r="K671" s="112"/>
      <c r="L671" s="39"/>
      <c r="M671" s="39"/>
      <c r="N671" s="39"/>
      <c r="O671" s="116"/>
    </row>
    <row r="672" spans="1:15" x14ac:dyDescent="0.25">
      <c r="A672" s="108"/>
      <c r="B672" s="39"/>
      <c r="C672" s="162"/>
      <c r="D672" s="162"/>
      <c r="E672" s="162"/>
      <c r="F672" s="162"/>
      <c r="G672" s="162"/>
      <c r="H672" s="162"/>
      <c r="I672" s="39"/>
      <c r="J672" s="111"/>
      <c r="K672" s="112"/>
      <c r="L672" s="39"/>
      <c r="M672" s="39"/>
      <c r="N672" s="39"/>
      <c r="O672" s="116"/>
    </row>
    <row r="673" spans="1:15" x14ac:dyDescent="0.25">
      <c r="A673" s="108"/>
      <c r="B673" s="39"/>
      <c r="C673" s="162"/>
      <c r="D673" s="162"/>
      <c r="E673" s="162"/>
      <c r="F673" s="162"/>
      <c r="G673" s="162"/>
      <c r="H673" s="162"/>
      <c r="I673" s="39"/>
      <c r="J673" s="111"/>
      <c r="K673" s="112"/>
      <c r="L673" s="39"/>
      <c r="M673" s="39"/>
      <c r="N673" s="39"/>
      <c r="O673" s="116"/>
    </row>
    <row r="674" spans="1:15" x14ac:dyDescent="0.25">
      <c r="A674" s="108"/>
      <c r="B674" s="39"/>
      <c r="C674" s="162"/>
      <c r="D674" s="162"/>
      <c r="E674" s="162"/>
      <c r="F674" s="162"/>
      <c r="G674" s="162"/>
      <c r="H674" s="162"/>
      <c r="I674" s="39"/>
      <c r="J674" s="111"/>
      <c r="K674" s="112"/>
      <c r="L674" s="39"/>
      <c r="M674" s="39"/>
      <c r="N674" s="39"/>
      <c r="O674" s="116"/>
    </row>
    <row r="675" spans="1:15" x14ac:dyDescent="0.25">
      <c r="A675" s="108"/>
      <c r="B675" s="39"/>
      <c r="C675" s="162"/>
      <c r="D675" s="162"/>
      <c r="E675" s="162"/>
      <c r="F675" s="162"/>
      <c r="G675" s="162"/>
      <c r="H675" s="162"/>
      <c r="I675" s="39"/>
      <c r="J675" s="111"/>
      <c r="K675" s="112"/>
      <c r="L675" s="39"/>
      <c r="M675" s="39"/>
      <c r="N675" s="39"/>
      <c r="O675" s="116"/>
    </row>
    <row r="676" spans="1:15" x14ac:dyDescent="0.25">
      <c r="A676" s="108"/>
      <c r="B676" s="39"/>
      <c r="C676" s="162"/>
      <c r="D676" s="162"/>
      <c r="E676" s="162"/>
      <c r="F676" s="162"/>
      <c r="G676" s="162"/>
      <c r="H676" s="162"/>
      <c r="I676" s="39"/>
      <c r="J676" s="111"/>
      <c r="K676" s="112"/>
      <c r="L676" s="39"/>
      <c r="M676" s="39"/>
      <c r="N676" s="39"/>
      <c r="O676" s="116"/>
    </row>
    <row r="677" spans="1:15" x14ac:dyDescent="0.25">
      <c r="A677" s="108"/>
      <c r="B677" s="39"/>
      <c r="C677" s="162"/>
      <c r="D677" s="162"/>
      <c r="E677" s="162"/>
      <c r="F677" s="162"/>
      <c r="G677" s="162"/>
      <c r="H677" s="162"/>
      <c r="I677" s="39"/>
      <c r="J677" s="111"/>
      <c r="K677" s="112"/>
      <c r="L677" s="39"/>
      <c r="M677" s="39"/>
      <c r="N677" s="39"/>
      <c r="O677" s="116"/>
    </row>
    <row r="678" spans="1:15" x14ac:dyDescent="0.25">
      <c r="A678" s="108"/>
      <c r="B678" s="39"/>
      <c r="C678" s="162"/>
      <c r="D678" s="162"/>
      <c r="E678" s="162"/>
      <c r="F678" s="162"/>
      <c r="G678" s="162"/>
      <c r="H678" s="162"/>
      <c r="I678" s="39"/>
      <c r="J678" s="111"/>
      <c r="K678" s="112"/>
      <c r="L678" s="39"/>
      <c r="M678" s="39"/>
      <c r="N678" s="39"/>
      <c r="O678" s="116"/>
    </row>
    <row r="679" spans="1:15" x14ac:dyDescent="0.25">
      <c r="A679" s="108"/>
      <c r="B679" s="39"/>
      <c r="C679" s="162"/>
      <c r="D679" s="162"/>
      <c r="E679" s="162"/>
      <c r="F679" s="162"/>
      <c r="G679" s="162"/>
      <c r="H679" s="162"/>
      <c r="I679" s="39"/>
      <c r="J679" s="111"/>
      <c r="K679" s="112"/>
      <c r="L679" s="39"/>
      <c r="M679" s="39"/>
      <c r="N679" s="39"/>
      <c r="O679" s="116"/>
    </row>
    <row r="680" spans="1:15" x14ac:dyDescent="0.25">
      <c r="A680" s="108"/>
      <c r="B680" s="39"/>
      <c r="C680" s="162"/>
      <c r="D680" s="162"/>
      <c r="E680" s="162"/>
      <c r="F680" s="162"/>
      <c r="G680" s="162"/>
      <c r="H680" s="162"/>
      <c r="I680" s="39"/>
      <c r="J680" s="111"/>
      <c r="K680" s="112"/>
      <c r="L680" s="39"/>
      <c r="M680" s="39"/>
      <c r="N680" s="39"/>
      <c r="O680" s="116"/>
    </row>
    <row r="681" spans="1:15" x14ac:dyDescent="0.25">
      <c r="A681" s="108"/>
      <c r="B681" s="39"/>
      <c r="C681" s="162"/>
      <c r="D681" s="162"/>
      <c r="E681" s="162"/>
      <c r="F681" s="162"/>
      <c r="G681" s="162"/>
      <c r="H681" s="162"/>
      <c r="I681" s="39"/>
      <c r="J681" s="111"/>
      <c r="K681" s="112"/>
      <c r="L681" s="39"/>
      <c r="M681" s="39"/>
      <c r="N681" s="39"/>
      <c r="O681" s="116"/>
    </row>
    <row r="682" spans="1:15" x14ac:dyDescent="0.25">
      <c r="A682" s="108"/>
      <c r="B682" s="39"/>
      <c r="C682" s="162"/>
      <c r="D682" s="162"/>
      <c r="E682" s="162"/>
      <c r="F682" s="162"/>
      <c r="G682" s="162"/>
      <c r="H682" s="162"/>
      <c r="I682" s="39"/>
      <c r="J682" s="111"/>
      <c r="K682" s="112"/>
      <c r="L682" s="39"/>
      <c r="M682" s="39"/>
      <c r="N682" s="39"/>
      <c r="O682" s="116"/>
    </row>
    <row r="683" spans="1:15" x14ac:dyDescent="0.25">
      <c r="A683" s="108"/>
      <c r="B683" s="39"/>
      <c r="C683" s="162"/>
      <c r="D683" s="162"/>
      <c r="E683" s="162"/>
      <c r="F683" s="162"/>
      <c r="G683" s="162"/>
      <c r="H683" s="162"/>
      <c r="I683" s="39"/>
      <c r="J683" s="111"/>
      <c r="K683" s="112"/>
      <c r="L683" s="39"/>
      <c r="M683" s="39"/>
      <c r="N683" s="39"/>
      <c r="O683" s="116"/>
    </row>
    <row r="684" spans="1:15" x14ac:dyDescent="0.25">
      <c r="A684" s="108"/>
      <c r="B684" s="39"/>
      <c r="C684" s="162"/>
      <c r="D684" s="162"/>
      <c r="E684" s="162"/>
      <c r="F684" s="162"/>
      <c r="G684" s="162"/>
      <c r="H684" s="162"/>
      <c r="I684" s="39"/>
      <c r="J684" s="111"/>
      <c r="K684" s="112"/>
      <c r="L684" s="39"/>
      <c r="M684" s="39"/>
      <c r="N684" s="39"/>
      <c r="O684" s="116"/>
    </row>
    <row r="685" spans="1:15" x14ac:dyDescent="0.25">
      <c r="A685" s="108"/>
      <c r="B685" s="39"/>
      <c r="C685" s="162"/>
      <c r="D685" s="162"/>
      <c r="E685" s="162"/>
      <c r="F685" s="162"/>
      <c r="G685" s="162"/>
      <c r="H685" s="162"/>
      <c r="I685" s="39"/>
      <c r="J685" s="111"/>
      <c r="K685" s="112"/>
      <c r="L685" s="39"/>
      <c r="M685" s="39"/>
      <c r="N685" s="39"/>
      <c r="O685" s="116"/>
    </row>
    <row r="686" spans="1:15" x14ac:dyDescent="0.25">
      <c r="A686" s="108"/>
      <c r="B686" s="39"/>
      <c r="C686" s="162"/>
      <c r="D686" s="162"/>
      <c r="E686" s="162"/>
      <c r="F686" s="162"/>
      <c r="G686" s="162"/>
      <c r="H686" s="162"/>
      <c r="I686" s="39"/>
      <c r="J686" s="111"/>
      <c r="K686" s="112"/>
      <c r="L686" s="39"/>
      <c r="M686" s="39"/>
      <c r="N686" s="39"/>
      <c r="O686" s="116"/>
    </row>
    <row r="687" spans="1:15" x14ac:dyDescent="0.25">
      <c r="A687" s="108"/>
      <c r="B687" s="39"/>
      <c r="C687" s="162"/>
      <c r="D687" s="162"/>
      <c r="E687" s="162"/>
      <c r="F687" s="162"/>
      <c r="G687" s="162"/>
      <c r="H687" s="162"/>
      <c r="I687" s="39"/>
      <c r="J687" s="111"/>
      <c r="K687" s="112"/>
      <c r="L687" s="39"/>
      <c r="M687" s="39"/>
      <c r="N687" s="39"/>
      <c r="O687" s="116"/>
    </row>
    <row r="688" spans="1:15" x14ac:dyDescent="0.25">
      <c r="A688" s="108"/>
      <c r="B688" s="39"/>
      <c r="C688" s="162"/>
      <c r="D688" s="162"/>
      <c r="E688" s="162"/>
      <c r="F688" s="162"/>
      <c r="G688" s="162"/>
      <c r="H688" s="162"/>
      <c r="I688" s="39"/>
      <c r="J688" s="111"/>
      <c r="K688" s="112"/>
      <c r="L688" s="39"/>
      <c r="M688" s="39"/>
      <c r="N688" s="39"/>
      <c r="O688" s="116"/>
    </row>
    <row r="689" spans="1:15" x14ac:dyDescent="0.25">
      <c r="A689" s="108"/>
      <c r="B689" s="39"/>
      <c r="C689" s="162"/>
      <c r="D689" s="162"/>
      <c r="E689" s="162"/>
      <c r="F689" s="162"/>
      <c r="G689" s="162"/>
      <c r="H689" s="162"/>
      <c r="I689" s="39"/>
      <c r="J689" s="111"/>
      <c r="K689" s="112"/>
      <c r="L689" s="39"/>
      <c r="M689" s="39"/>
      <c r="N689" s="39"/>
      <c r="O689" s="116"/>
    </row>
    <row r="690" spans="1:15" x14ac:dyDescent="0.25">
      <c r="A690" s="108"/>
      <c r="B690" s="39"/>
      <c r="C690" s="162"/>
      <c r="D690" s="162"/>
      <c r="E690" s="162"/>
      <c r="F690" s="162"/>
      <c r="G690" s="162"/>
      <c r="H690" s="162"/>
      <c r="I690" s="39"/>
      <c r="J690" s="111"/>
      <c r="K690" s="112"/>
      <c r="L690" s="39"/>
      <c r="M690" s="39"/>
      <c r="N690" s="39"/>
      <c r="O690" s="116"/>
    </row>
    <row r="691" spans="1:15" x14ac:dyDescent="0.25">
      <c r="A691" s="108"/>
      <c r="B691" s="39"/>
      <c r="C691" s="162"/>
      <c r="D691" s="162"/>
      <c r="E691" s="162"/>
      <c r="F691" s="162"/>
      <c r="G691" s="162"/>
      <c r="H691" s="162"/>
      <c r="I691" s="39"/>
      <c r="J691" s="111"/>
      <c r="K691" s="112"/>
      <c r="L691" s="39"/>
      <c r="M691" s="39"/>
      <c r="N691" s="39"/>
      <c r="O691" s="116"/>
    </row>
    <row r="692" spans="1:15" x14ac:dyDescent="0.25">
      <c r="A692" s="108"/>
      <c r="B692" s="39"/>
      <c r="C692" s="162"/>
      <c r="D692" s="162"/>
      <c r="E692" s="162"/>
      <c r="F692" s="162"/>
      <c r="G692" s="162"/>
      <c r="H692" s="162"/>
      <c r="I692" s="39"/>
      <c r="J692" s="111"/>
      <c r="K692" s="112"/>
      <c r="L692" s="39"/>
      <c r="M692" s="39"/>
      <c r="N692" s="39"/>
      <c r="O692" s="116"/>
    </row>
    <row r="693" spans="1:15" x14ac:dyDescent="0.25">
      <c r="A693" s="108"/>
      <c r="B693" s="39"/>
      <c r="C693" s="162"/>
      <c r="D693" s="162"/>
      <c r="E693" s="162"/>
      <c r="F693" s="162"/>
      <c r="G693" s="162"/>
      <c r="H693" s="162"/>
      <c r="I693" s="39"/>
      <c r="J693" s="111"/>
      <c r="K693" s="112"/>
      <c r="L693" s="39"/>
      <c r="M693" s="39"/>
      <c r="N693" s="39"/>
      <c r="O693" s="116"/>
    </row>
    <row r="694" spans="1:15" x14ac:dyDescent="0.25">
      <c r="A694" s="108"/>
      <c r="B694" s="39"/>
      <c r="C694" s="162"/>
      <c r="D694" s="162"/>
      <c r="E694" s="162"/>
      <c r="F694" s="162"/>
      <c r="G694" s="162"/>
      <c r="H694" s="162"/>
      <c r="I694" s="39"/>
      <c r="J694" s="111"/>
      <c r="K694" s="112"/>
      <c r="L694" s="39"/>
      <c r="M694" s="39"/>
      <c r="N694" s="39"/>
      <c r="O694" s="116"/>
    </row>
    <row r="695" spans="1:15" x14ac:dyDescent="0.25">
      <c r="A695" s="108"/>
      <c r="B695" s="39"/>
      <c r="C695" s="162"/>
      <c r="D695" s="162"/>
      <c r="E695" s="162"/>
      <c r="F695" s="162"/>
      <c r="G695" s="162"/>
      <c r="H695" s="162"/>
      <c r="I695" s="39"/>
      <c r="J695" s="111"/>
      <c r="K695" s="112"/>
      <c r="L695" s="39"/>
      <c r="M695" s="39"/>
      <c r="N695" s="39"/>
      <c r="O695" s="116"/>
    </row>
    <row r="696" spans="1:15" x14ac:dyDescent="0.25">
      <c r="A696" s="108"/>
      <c r="B696" s="39"/>
      <c r="C696" s="162"/>
      <c r="D696" s="162"/>
      <c r="E696" s="162"/>
      <c r="F696" s="162"/>
      <c r="G696" s="162"/>
      <c r="H696" s="162"/>
      <c r="I696" s="39"/>
      <c r="J696" s="111"/>
      <c r="K696" s="112"/>
      <c r="L696" s="39"/>
      <c r="M696" s="39"/>
      <c r="N696" s="39"/>
      <c r="O696" s="116"/>
    </row>
    <row r="697" spans="1:15" x14ac:dyDescent="0.25">
      <c r="A697" s="108"/>
      <c r="B697" s="39"/>
      <c r="C697" s="162"/>
      <c r="D697" s="162"/>
      <c r="E697" s="162"/>
      <c r="F697" s="162"/>
      <c r="G697" s="162"/>
      <c r="H697" s="162"/>
      <c r="I697" s="39"/>
      <c r="J697" s="111"/>
      <c r="K697" s="112"/>
      <c r="L697" s="39"/>
      <c r="M697" s="39"/>
      <c r="N697" s="39"/>
      <c r="O697" s="116"/>
    </row>
    <row r="698" spans="1:15" x14ac:dyDescent="0.25">
      <c r="A698" s="108"/>
      <c r="B698" s="39"/>
      <c r="C698" s="162"/>
      <c r="D698" s="162"/>
      <c r="E698" s="162"/>
      <c r="F698" s="162"/>
      <c r="G698" s="162"/>
      <c r="H698" s="162"/>
      <c r="I698" s="39"/>
      <c r="J698" s="111"/>
      <c r="K698" s="112"/>
      <c r="L698" s="39"/>
      <c r="M698" s="39"/>
      <c r="N698" s="39"/>
      <c r="O698" s="116"/>
    </row>
    <row r="699" spans="1:15" x14ac:dyDescent="0.25">
      <c r="A699" s="108"/>
      <c r="B699" s="39"/>
      <c r="C699" s="162"/>
      <c r="D699" s="162"/>
      <c r="E699" s="162"/>
      <c r="F699" s="162"/>
      <c r="G699" s="162"/>
      <c r="H699" s="162"/>
      <c r="I699" s="39"/>
      <c r="J699" s="111"/>
      <c r="K699" s="112"/>
      <c r="L699" s="39"/>
      <c r="M699" s="39"/>
      <c r="N699" s="39"/>
      <c r="O699" s="116"/>
    </row>
    <row r="700" spans="1:15" x14ac:dyDescent="0.25">
      <c r="A700" s="108"/>
      <c r="B700" s="39"/>
      <c r="C700" s="162"/>
      <c r="D700" s="162"/>
      <c r="E700" s="162"/>
      <c r="F700" s="162"/>
      <c r="G700" s="162"/>
      <c r="H700" s="162"/>
      <c r="I700" s="39"/>
      <c r="J700" s="111"/>
      <c r="K700" s="112"/>
      <c r="L700" s="39"/>
      <c r="M700" s="39"/>
      <c r="N700" s="39"/>
      <c r="O700" s="116"/>
    </row>
    <row r="701" spans="1:15" x14ac:dyDescent="0.25">
      <c r="A701" s="108"/>
      <c r="B701" s="39"/>
      <c r="C701" s="162"/>
      <c r="D701" s="162"/>
      <c r="E701" s="162"/>
      <c r="F701" s="162"/>
      <c r="G701" s="162"/>
      <c r="H701" s="162"/>
      <c r="I701" s="39"/>
      <c r="J701" s="111"/>
      <c r="K701" s="112"/>
      <c r="L701" s="39"/>
      <c r="M701" s="39"/>
      <c r="N701" s="39"/>
      <c r="O701" s="116"/>
    </row>
    <row r="702" spans="1:15" x14ac:dyDescent="0.25">
      <c r="A702" s="108"/>
      <c r="B702" s="39"/>
      <c r="C702" s="162"/>
      <c r="D702" s="162"/>
      <c r="E702" s="162"/>
      <c r="F702" s="162"/>
      <c r="G702" s="162"/>
      <c r="H702" s="162"/>
      <c r="I702" s="39"/>
      <c r="J702" s="111"/>
      <c r="K702" s="112"/>
      <c r="L702" s="39"/>
      <c r="M702" s="39"/>
      <c r="N702" s="39"/>
      <c r="O702" s="116"/>
    </row>
    <row r="703" spans="1:15" x14ac:dyDescent="0.25">
      <c r="A703" s="108"/>
      <c r="B703" s="39"/>
      <c r="C703" s="162"/>
      <c r="D703" s="162"/>
      <c r="E703" s="162"/>
      <c r="F703" s="162"/>
      <c r="G703" s="162"/>
      <c r="H703" s="162"/>
      <c r="I703" s="39"/>
      <c r="J703" s="111"/>
      <c r="K703" s="112"/>
      <c r="L703" s="39"/>
      <c r="M703" s="39"/>
      <c r="N703" s="39"/>
      <c r="O703" s="116"/>
    </row>
    <row r="704" spans="1:15" x14ac:dyDescent="0.25">
      <c r="A704" s="108"/>
      <c r="B704" s="39"/>
      <c r="C704" s="162"/>
      <c r="D704" s="162"/>
      <c r="E704" s="162"/>
      <c r="F704" s="162"/>
      <c r="G704" s="162"/>
      <c r="H704" s="162"/>
      <c r="I704" s="39"/>
      <c r="J704" s="111"/>
      <c r="K704" s="112"/>
      <c r="L704" s="39"/>
      <c r="M704" s="39"/>
      <c r="N704" s="39"/>
      <c r="O704" s="116"/>
    </row>
    <row r="705" spans="1:15" x14ac:dyDescent="0.25">
      <c r="A705" s="108"/>
      <c r="B705" s="39"/>
      <c r="C705" s="162"/>
      <c r="D705" s="162"/>
      <c r="E705" s="162"/>
      <c r="F705" s="162"/>
      <c r="G705" s="162"/>
      <c r="H705" s="162"/>
      <c r="I705" s="39"/>
      <c r="J705" s="111"/>
      <c r="K705" s="112"/>
      <c r="L705" s="39"/>
      <c r="M705" s="39"/>
      <c r="N705" s="39"/>
      <c r="O705" s="116"/>
    </row>
    <row r="706" spans="1:15" x14ac:dyDescent="0.25">
      <c r="A706" s="108"/>
      <c r="B706" s="39"/>
      <c r="C706" s="162"/>
      <c r="D706" s="162"/>
      <c r="E706" s="162"/>
      <c r="F706" s="162"/>
      <c r="G706" s="162"/>
      <c r="H706" s="162"/>
      <c r="I706" s="39"/>
      <c r="J706" s="111"/>
      <c r="K706" s="112"/>
      <c r="L706" s="39"/>
      <c r="M706" s="39"/>
      <c r="N706" s="39"/>
      <c r="O706" s="116"/>
    </row>
    <row r="707" spans="1:15" x14ac:dyDescent="0.25">
      <c r="A707" s="108"/>
      <c r="B707" s="39"/>
      <c r="C707" s="162"/>
      <c r="D707" s="162"/>
      <c r="E707" s="162"/>
      <c r="F707" s="162"/>
      <c r="G707" s="162"/>
      <c r="H707" s="162"/>
      <c r="I707" s="39"/>
      <c r="J707" s="111"/>
      <c r="K707" s="112"/>
      <c r="L707" s="39"/>
      <c r="M707" s="39"/>
      <c r="N707" s="39"/>
      <c r="O707" s="116"/>
    </row>
    <row r="708" spans="1:15" x14ac:dyDescent="0.25">
      <c r="A708" s="108"/>
      <c r="B708" s="39"/>
      <c r="C708" s="162"/>
      <c r="D708" s="162"/>
      <c r="E708" s="162"/>
      <c r="F708" s="162"/>
      <c r="G708" s="162"/>
      <c r="H708" s="162"/>
      <c r="I708" s="39"/>
      <c r="J708" s="111"/>
      <c r="K708" s="112"/>
      <c r="L708" s="39"/>
      <c r="M708" s="39"/>
      <c r="N708" s="39"/>
      <c r="O708" s="116"/>
    </row>
    <row r="709" spans="1:15" x14ac:dyDescent="0.25">
      <c r="A709" s="108"/>
      <c r="B709" s="39"/>
      <c r="C709" s="162"/>
      <c r="D709" s="162"/>
      <c r="E709" s="162"/>
      <c r="F709" s="162"/>
      <c r="G709" s="162"/>
      <c r="H709" s="162"/>
      <c r="I709" s="39"/>
      <c r="J709" s="111"/>
      <c r="K709" s="112"/>
      <c r="L709" s="39"/>
      <c r="M709" s="39"/>
      <c r="N709" s="39"/>
      <c r="O709" s="116"/>
    </row>
    <row r="710" spans="1:15" x14ac:dyDescent="0.25">
      <c r="A710" s="108"/>
      <c r="B710" s="39"/>
      <c r="C710" s="162"/>
      <c r="D710" s="162"/>
      <c r="E710" s="162"/>
      <c r="F710" s="162"/>
      <c r="G710" s="162"/>
      <c r="H710" s="162"/>
      <c r="I710" s="39"/>
      <c r="J710" s="111"/>
      <c r="K710" s="112"/>
      <c r="L710" s="39"/>
      <c r="M710" s="39"/>
      <c r="N710" s="39"/>
      <c r="O710" s="116"/>
    </row>
    <row r="711" spans="1:15" x14ac:dyDescent="0.25">
      <c r="A711" s="108"/>
      <c r="B711" s="39"/>
      <c r="C711" s="162"/>
      <c r="D711" s="162"/>
      <c r="E711" s="162"/>
      <c r="F711" s="162"/>
      <c r="G711" s="162"/>
      <c r="H711" s="162"/>
      <c r="I711" s="39"/>
      <c r="J711" s="111"/>
      <c r="K711" s="112"/>
      <c r="L711" s="39"/>
      <c r="M711" s="39"/>
      <c r="N711" s="39"/>
      <c r="O711" s="116"/>
    </row>
    <row r="712" spans="1:15" x14ac:dyDescent="0.25">
      <c r="A712" s="108"/>
      <c r="B712" s="39"/>
      <c r="C712" s="162"/>
      <c r="D712" s="162"/>
      <c r="E712" s="162"/>
      <c r="F712" s="162"/>
      <c r="G712" s="162"/>
      <c r="H712" s="162"/>
      <c r="I712" s="39"/>
      <c r="J712" s="111"/>
      <c r="K712" s="112"/>
      <c r="L712" s="39"/>
      <c r="M712" s="39"/>
      <c r="N712" s="39"/>
      <c r="O712" s="116"/>
    </row>
    <row r="713" spans="1:15" x14ac:dyDescent="0.25">
      <c r="A713" s="108"/>
      <c r="B713" s="39"/>
      <c r="C713" s="162"/>
      <c r="D713" s="162"/>
      <c r="E713" s="162"/>
      <c r="F713" s="162"/>
      <c r="G713" s="162"/>
      <c r="H713" s="162"/>
      <c r="I713" s="39"/>
      <c r="J713" s="111"/>
      <c r="K713" s="112"/>
      <c r="L713" s="39"/>
      <c r="M713" s="39"/>
      <c r="N713" s="39"/>
      <c r="O713" s="116"/>
    </row>
    <row r="714" spans="1:15" x14ac:dyDescent="0.25">
      <c r="A714" s="108"/>
      <c r="B714" s="39"/>
      <c r="C714" s="162"/>
      <c r="D714" s="162"/>
      <c r="E714" s="162"/>
      <c r="F714" s="162"/>
      <c r="G714" s="162"/>
      <c r="H714" s="162"/>
      <c r="I714" s="39"/>
      <c r="J714" s="111"/>
      <c r="K714" s="112"/>
      <c r="L714" s="39"/>
      <c r="M714" s="39"/>
      <c r="N714" s="39"/>
      <c r="O714" s="116"/>
    </row>
    <row r="715" spans="1:15" x14ac:dyDescent="0.25">
      <c r="A715" s="108"/>
      <c r="B715" s="39"/>
      <c r="C715" s="162"/>
      <c r="D715" s="162"/>
      <c r="E715" s="162"/>
      <c r="F715" s="162"/>
      <c r="G715" s="162"/>
      <c r="H715" s="162"/>
      <c r="I715" s="39"/>
      <c r="J715" s="111"/>
      <c r="K715" s="112"/>
      <c r="L715" s="39"/>
      <c r="M715" s="39"/>
      <c r="N715" s="39"/>
      <c r="O715" s="116"/>
    </row>
    <row r="716" spans="1:15" x14ac:dyDescent="0.25">
      <c r="A716" s="108"/>
      <c r="B716" s="39"/>
      <c r="C716" s="162"/>
      <c r="D716" s="162"/>
      <c r="E716" s="162"/>
      <c r="F716" s="162"/>
      <c r="G716" s="162"/>
      <c r="H716" s="162"/>
      <c r="I716" s="39"/>
      <c r="J716" s="111"/>
      <c r="K716" s="112"/>
      <c r="L716" s="39"/>
      <c r="M716" s="39"/>
      <c r="N716" s="39"/>
      <c r="O716" s="116"/>
    </row>
    <row r="717" spans="1:15" x14ac:dyDescent="0.25">
      <c r="A717" s="108"/>
      <c r="B717" s="39"/>
      <c r="C717" s="162"/>
      <c r="D717" s="162"/>
      <c r="E717" s="162"/>
      <c r="F717" s="162"/>
      <c r="G717" s="162"/>
      <c r="H717" s="162"/>
      <c r="I717" s="39"/>
      <c r="J717" s="111"/>
      <c r="K717" s="112"/>
      <c r="L717" s="39"/>
      <c r="M717" s="39"/>
      <c r="N717" s="39"/>
      <c r="O717" s="116"/>
    </row>
    <row r="718" spans="1:15" x14ac:dyDescent="0.25">
      <c r="A718" s="108"/>
      <c r="B718" s="39"/>
      <c r="C718" s="162"/>
      <c r="D718" s="162"/>
      <c r="E718" s="162"/>
      <c r="F718" s="162"/>
      <c r="G718" s="162"/>
      <c r="H718" s="162"/>
      <c r="I718" s="39"/>
      <c r="J718" s="111"/>
      <c r="K718" s="112"/>
      <c r="L718" s="39"/>
      <c r="M718" s="39"/>
      <c r="N718" s="39"/>
      <c r="O718" s="116"/>
    </row>
    <row r="719" spans="1:15" x14ac:dyDescent="0.25">
      <c r="A719" s="108"/>
      <c r="B719" s="39"/>
      <c r="C719" s="162"/>
      <c r="D719" s="162"/>
      <c r="E719" s="162"/>
      <c r="F719" s="162"/>
      <c r="G719" s="162"/>
      <c r="H719" s="162"/>
      <c r="I719" s="39"/>
      <c r="J719" s="111"/>
      <c r="K719" s="112"/>
      <c r="L719" s="39"/>
      <c r="M719" s="39"/>
      <c r="N719" s="39"/>
      <c r="O719" s="116"/>
    </row>
    <row r="720" spans="1:15" x14ac:dyDescent="0.25">
      <c r="A720" s="108"/>
      <c r="B720" s="39"/>
      <c r="C720" s="162"/>
      <c r="D720" s="162"/>
      <c r="E720" s="162"/>
      <c r="F720" s="162"/>
      <c r="G720" s="162"/>
      <c r="H720" s="162"/>
      <c r="I720" s="39"/>
      <c r="J720" s="111"/>
      <c r="K720" s="112"/>
      <c r="L720" s="39"/>
      <c r="M720" s="39"/>
      <c r="N720" s="39"/>
      <c r="O720" s="116"/>
    </row>
    <row r="721" spans="1:15" x14ac:dyDescent="0.25">
      <c r="A721" s="108"/>
      <c r="B721" s="39"/>
      <c r="C721" s="162"/>
      <c r="D721" s="162"/>
      <c r="E721" s="162"/>
      <c r="F721" s="162"/>
      <c r="G721" s="162"/>
      <c r="H721" s="162"/>
      <c r="I721" s="39"/>
      <c r="J721" s="111"/>
      <c r="K721" s="112"/>
      <c r="L721" s="39"/>
      <c r="M721" s="39"/>
      <c r="N721" s="39"/>
      <c r="O721" s="116"/>
    </row>
    <row r="722" spans="1:15" x14ac:dyDescent="0.25">
      <c r="A722" s="108"/>
      <c r="B722" s="39"/>
      <c r="C722" s="162"/>
      <c r="D722" s="162"/>
      <c r="E722" s="162"/>
      <c r="F722" s="162"/>
      <c r="G722" s="162"/>
      <c r="H722" s="162"/>
      <c r="I722" s="39"/>
      <c r="J722" s="111"/>
      <c r="K722" s="112"/>
      <c r="L722" s="39"/>
      <c r="M722" s="39"/>
      <c r="N722" s="39"/>
      <c r="O722" s="116"/>
    </row>
    <row r="723" spans="1:15" x14ac:dyDescent="0.25">
      <c r="A723" s="108"/>
      <c r="B723" s="39"/>
      <c r="C723" s="162"/>
      <c r="D723" s="162"/>
      <c r="E723" s="162"/>
      <c r="F723" s="162"/>
      <c r="G723" s="162"/>
      <c r="H723" s="162"/>
      <c r="I723" s="39"/>
      <c r="J723" s="111"/>
      <c r="K723" s="112"/>
      <c r="L723" s="39"/>
      <c r="M723" s="39"/>
      <c r="N723" s="39"/>
      <c r="O723" s="116"/>
    </row>
    <row r="724" spans="1:15" x14ac:dyDescent="0.25">
      <c r="A724" s="108"/>
      <c r="B724" s="39"/>
      <c r="C724" s="162"/>
      <c r="D724" s="162"/>
      <c r="E724" s="162"/>
      <c r="F724" s="162"/>
      <c r="G724" s="162"/>
      <c r="H724" s="162"/>
      <c r="I724" s="39"/>
      <c r="J724" s="111"/>
      <c r="K724" s="112"/>
      <c r="L724" s="39"/>
      <c r="M724" s="39"/>
      <c r="N724" s="39"/>
      <c r="O724" s="116"/>
    </row>
    <row r="725" spans="1:15" x14ac:dyDescent="0.25">
      <c r="A725" s="108"/>
      <c r="B725" s="39"/>
      <c r="C725" s="162"/>
      <c r="D725" s="162"/>
      <c r="E725" s="162"/>
      <c r="F725" s="162"/>
      <c r="G725" s="162"/>
      <c r="H725" s="162"/>
      <c r="I725" s="39"/>
      <c r="J725" s="111"/>
      <c r="K725" s="112"/>
      <c r="L725" s="39"/>
      <c r="M725" s="39"/>
      <c r="N725" s="39"/>
      <c r="O725" s="116"/>
    </row>
    <row r="726" spans="1:15" x14ac:dyDescent="0.25">
      <c r="A726" s="108"/>
      <c r="B726" s="39"/>
      <c r="C726" s="162"/>
      <c r="D726" s="162"/>
      <c r="E726" s="162"/>
      <c r="F726" s="162"/>
      <c r="G726" s="162"/>
      <c r="H726" s="162"/>
      <c r="I726" s="39"/>
      <c r="J726" s="111"/>
      <c r="K726" s="112"/>
      <c r="L726" s="39"/>
      <c r="M726" s="39"/>
      <c r="N726" s="39"/>
      <c r="O726" s="116"/>
    </row>
    <row r="727" spans="1:15" x14ac:dyDescent="0.25">
      <c r="A727" s="108"/>
      <c r="B727" s="39"/>
      <c r="C727" s="162"/>
      <c r="D727" s="162"/>
      <c r="E727" s="162"/>
      <c r="F727" s="162"/>
      <c r="G727" s="162"/>
      <c r="H727" s="162"/>
      <c r="I727" s="39"/>
      <c r="J727" s="111"/>
      <c r="K727" s="112"/>
      <c r="L727" s="39"/>
      <c r="M727" s="39"/>
      <c r="N727" s="39"/>
      <c r="O727" s="116"/>
    </row>
    <row r="728" spans="1:15" x14ac:dyDescent="0.25">
      <c r="A728" s="108"/>
      <c r="B728" s="39"/>
      <c r="C728" s="162"/>
      <c r="D728" s="162"/>
      <c r="E728" s="162"/>
      <c r="F728" s="162"/>
      <c r="G728" s="162"/>
      <c r="H728" s="162"/>
      <c r="I728" s="39"/>
      <c r="J728" s="111"/>
      <c r="K728" s="112"/>
      <c r="L728" s="39"/>
      <c r="M728" s="39"/>
      <c r="N728" s="39"/>
      <c r="O728" s="116"/>
    </row>
    <row r="729" spans="1:15" x14ac:dyDescent="0.25">
      <c r="A729" s="108"/>
      <c r="B729" s="39"/>
      <c r="C729" s="162"/>
      <c r="D729" s="162"/>
      <c r="E729" s="162"/>
      <c r="F729" s="162"/>
      <c r="G729" s="162"/>
      <c r="H729" s="162"/>
      <c r="I729" s="39"/>
      <c r="J729" s="111"/>
      <c r="K729" s="112"/>
      <c r="L729" s="39"/>
      <c r="M729" s="39"/>
      <c r="N729" s="39"/>
      <c r="O729" s="116"/>
    </row>
    <row r="730" spans="1:15" x14ac:dyDescent="0.25">
      <c r="A730" s="108"/>
      <c r="B730" s="39"/>
      <c r="C730" s="162"/>
      <c r="D730" s="162"/>
      <c r="E730" s="162"/>
      <c r="F730" s="162"/>
      <c r="G730" s="162"/>
      <c r="H730" s="162"/>
      <c r="I730" s="39"/>
      <c r="J730" s="111"/>
      <c r="K730" s="112"/>
      <c r="L730" s="39"/>
      <c r="M730" s="39"/>
      <c r="N730" s="39"/>
      <c r="O730" s="116"/>
    </row>
    <row r="731" spans="1:15" x14ac:dyDescent="0.25">
      <c r="A731" s="108"/>
      <c r="B731" s="39"/>
      <c r="C731" s="162"/>
      <c r="D731" s="162"/>
      <c r="E731" s="162"/>
      <c r="F731" s="162"/>
      <c r="G731" s="162"/>
      <c r="H731" s="162"/>
      <c r="I731" s="39"/>
      <c r="J731" s="111"/>
      <c r="K731" s="112"/>
      <c r="L731" s="39"/>
      <c r="M731" s="39"/>
      <c r="N731" s="39"/>
      <c r="O731" s="116"/>
    </row>
    <row r="732" spans="1:15" x14ac:dyDescent="0.25">
      <c r="A732" s="108"/>
      <c r="B732" s="39"/>
      <c r="C732" s="162"/>
      <c r="D732" s="162"/>
      <c r="E732" s="162"/>
      <c r="F732" s="162"/>
      <c r="G732" s="162"/>
      <c r="H732" s="162"/>
      <c r="I732" s="39"/>
      <c r="J732" s="111"/>
      <c r="K732" s="112"/>
      <c r="L732" s="39"/>
      <c r="M732" s="39"/>
      <c r="N732" s="39"/>
      <c r="O732" s="116"/>
    </row>
    <row r="733" spans="1:15" x14ac:dyDescent="0.25">
      <c r="A733" s="108"/>
      <c r="B733" s="39"/>
      <c r="C733" s="162"/>
      <c r="D733" s="162"/>
      <c r="E733" s="162"/>
      <c r="F733" s="162"/>
      <c r="G733" s="162"/>
      <c r="H733" s="162"/>
      <c r="I733" s="39"/>
      <c r="J733" s="111"/>
      <c r="K733" s="112"/>
      <c r="L733" s="39"/>
      <c r="M733" s="39"/>
      <c r="N733" s="39"/>
      <c r="O733" s="116"/>
    </row>
    <row r="734" spans="1:15" x14ac:dyDescent="0.25">
      <c r="A734" s="108"/>
      <c r="B734" s="39"/>
      <c r="C734" s="162"/>
      <c r="D734" s="162"/>
      <c r="E734" s="162"/>
      <c r="F734" s="162"/>
      <c r="G734" s="162"/>
      <c r="H734" s="162"/>
      <c r="I734" s="39"/>
      <c r="J734" s="111"/>
      <c r="K734" s="112"/>
      <c r="L734" s="39"/>
      <c r="M734" s="39"/>
      <c r="N734" s="39"/>
      <c r="O734" s="116"/>
    </row>
    <row r="735" spans="1:15" x14ac:dyDescent="0.25">
      <c r="A735" s="108"/>
      <c r="B735" s="39"/>
      <c r="C735" s="162"/>
      <c r="D735" s="162"/>
      <c r="E735" s="162"/>
      <c r="F735" s="162"/>
      <c r="G735" s="162"/>
      <c r="H735" s="162"/>
      <c r="I735" s="39"/>
      <c r="J735" s="111"/>
      <c r="K735" s="112"/>
      <c r="L735" s="39"/>
      <c r="M735" s="39"/>
      <c r="N735" s="39"/>
      <c r="O735" s="116"/>
    </row>
    <row r="736" spans="1:15" x14ac:dyDescent="0.25">
      <c r="A736" s="108"/>
      <c r="B736" s="39"/>
      <c r="C736" s="162"/>
      <c r="D736" s="162"/>
      <c r="E736" s="162"/>
      <c r="F736" s="162"/>
      <c r="G736" s="162"/>
      <c r="H736" s="162"/>
      <c r="I736" s="39"/>
      <c r="J736" s="111"/>
      <c r="K736" s="112"/>
      <c r="L736" s="39"/>
      <c r="M736" s="39"/>
      <c r="N736" s="39"/>
      <c r="O736" s="116"/>
    </row>
    <row r="737" spans="1:15" x14ac:dyDescent="0.25">
      <c r="A737" s="108"/>
      <c r="B737" s="39"/>
      <c r="C737" s="162"/>
      <c r="D737" s="162"/>
      <c r="E737" s="162"/>
      <c r="F737" s="162"/>
      <c r="G737" s="162"/>
      <c r="H737" s="162"/>
      <c r="I737" s="39"/>
      <c r="J737" s="111"/>
      <c r="K737" s="112"/>
      <c r="L737" s="39"/>
      <c r="M737" s="39"/>
      <c r="N737" s="39"/>
      <c r="O737" s="116"/>
    </row>
    <row r="738" spans="1:15" x14ac:dyDescent="0.25">
      <c r="A738" s="108"/>
      <c r="B738" s="39"/>
      <c r="C738" s="162"/>
      <c r="D738" s="162"/>
      <c r="E738" s="162"/>
      <c r="F738" s="162"/>
      <c r="G738" s="162"/>
      <c r="H738" s="162"/>
      <c r="I738" s="39"/>
      <c r="J738" s="111"/>
      <c r="K738" s="112"/>
      <c r="L738" s="39"/>
      <c r="M738" s="39"/>
      <c r="N738" s="39"/>
      <c r="O738" s="116"/>
    </row>
    <row r="739" spans="1:15" x14ac:dyDescent="0.25">
      <c r="A739" s="108"/>
      <c r="B739" s="39"/>
      <c r="C739" s="162"/>
      <c r="D739" s="162"/>
      <c r="E739" s="162"/>
      <c r="F739" s="162"/>
      <c r="G739" s="162"/>
      <c r="H739" s="162"/>
      <c r="I739" s="39"/>
      <c r="J739" s="111"/>
      <c r="K739" s="112"/>
      <c r="L739" s="39"/>
      <c r="M739" s="39"/>
      <c r="N739" s="39"/>
      <c r="O739" s="116"/>
    </row>
    <row r="740" spans="1:15" x14ac:dyDescent="0.25">
      <c r="A740" s="108"/>
      <c r="B740" s="39"/>
      <c r="C740" s="162"/>
      <c r="D740" s="162"/>
      <c r="E740" s="162"/>
      <c r="F740" s="162"/>
      <c r="G740" s="162"/>
      <c r="H740" s="162"/>
      <c r="I740" s="39"/>
      <c r="J740" s="111"/>
      <c r="K740" s="112"/>
      <c r="L740" s="39"/>
      <c r="M740" s="39"/>
      <c r="N740" s="39"/>
      <c r="O740" s="116"/>
    </row>
    <row r="741" spans="1:15" x14ac:dyDescent="0.25">
      <c r="A741" s="108"/>
      <c r="B741" s="39"/>
      <c r="C741" s="162"/>
      <c r="D741" s="162"/>
      <c r="E741" s="162"/>
      <c r="F741" s="162"/>
      <c r="G741" s="162"/>
      <c r="H741" s="162"/>
      <c r="I741" s="39"/>
      <c r="J741" s="111"/>
      <c r="K741" s="112"/>
      <c r="L741" s="39"/>
      <c r="M741" s="39"/>
      <c r="N741" s="39"/>
      <c r="O741" s="116"/>
    </row>
    <row r="742" spans="1:15" x14ac:dyDescent="0.25">
      <c r="A742" s="108"/>
      <c r="B742" s="39"/>
      <c r="C742" s="162"/>
      <c r="D742" s="162"/>
      <c r="E742" s="162"/>
      <c r="F742" s="162"/>
      <c r="G742" s="162"/>
      <c r="H742" s="162"/>
      <c r="I742" s="39"/>
      <c r="J742" s="111"/>
      <c r="K742" s="112"/>
      <c r="L742" s="39"/>
      <c r="M742" s="39"/>
      <c r="N742" s="39"/>
      <c r="O742" s="116"/>
    </row>
    <row r="743" spans="1:15" x14ac:dyDescent="0.25">
      <c r="A743" s="108"/>
      <c r="B743" s="39"/>
      <c r="C743" s="162"/>
      <c r="D743" s="162"/>
      <c r="E743" s="162"/>
      <c r="F743" s="162"/>
      <c r="G743" s="162"/>
      <c r="H743" s="162"/>
      <c r="I743" s="39"/>
      <c r="J743" s="111"/>
      <c r="K743" s="112"/>
      <c r="L743" s="39"/>
      <c r="M743" s="39"/>
      <c r="N743" s="39"/>
      <c r="O743" s="116"/>
    </row>
    <row r="744" spans="1:15" x14ac:dyDescent="0.25">
      <c r="A744" s="108"/>
      <c r="B744" s="39"/>
      <c r="C744" s="162"/>
      <c r="D744" s="162"/>
      <c r="E744" s="162"/>
      <c r="F744" s="162"/>
      <c r="G744" s="162"/>
      <c r="H744" s="162"/>
      <c r="I744" s="39"/>
      <c r="J744" s="111"/>
      <c r="K744" s="112"/>
      <c r="L744" s="39"/>
      <c r="M744" s="39"/>
      <c r="N744" s="39"/>
      <c r="O744" s="116"/>
    </row>
    <row r="745" spans="1:15" x14ac:dyDescent="0.25">
      <c r="A745" s="108"/>
      <c r="B745" s="39"/>
      <c r="C745" s="162"/>
      <c r="D745" s="162"/>
      <c r="E745" s="162"/>
      <c r="F745" s="162"/>
      <c r="G745" s="162"/>
      <c r="H745" s="162"/>
      <c r="I745" s="39"/>
      <c r="J745" s="111"/>
      <c r="K745" s="112"/>
      <c r="L745" s="39"/>
      <c r="M745" s="39"/>
      <c r="N745" s="39"/>
      <c r="O745" s="116"/>
    </row>
    <row r="746" spans="1:15" x14ac:dyDescent="0.25">
      <c r="A746" s="108"/>
      <c r="B746" s="39"/>
      <c r="C746" s="162"/>
      <c r="D746" s="162"/>
      <c r="E746" s="162"/>
      <c r="F746" s="162"/>
      <c r="G746" s="162"/>
      <c r="H746" s="162"/>
      <c r="I746" s="39"/>
      <c r="J746" s="111"/>
      <c r="K746" s="112"/>
      <c r="L746" s="39"/>
      <c r="M746" s="39"/>
      <c r="N746" s="39"/>
      <c r="O746" s="116"/>
    </row>
    <row r="747" spans="1:15" x14ac:dyDescent="0.25">
      <c r="A747" s="108"/>
      <c r="B747" s="39"/>
      <c r="C747" s="162"/>
      <c r="D747" s="162"/>
      <c r="E747" s="162"/>
      <c r="F747" s="162"/>
      <c r="G747" s="162"/>
      <c r="H747" s="162"/>
      <c r="I747" s="39"/>
      <c r="J747" s="111"/>
      <c r="K747" s="112"/>
      <c r="L747" s="39"/>
      <c r="M747" s="39"/>
      <c r="N747" s="39"/>
      <c r="O747" s="116"/>
    </row>
    <row r="748" spans="1:15" x14ac:dyDescent="0.25">
      <c r="A748" s="108"/>
      <c r="B748" s="39"/>
      <c r="C748" s="162"/>
      <c r="D748" s="162"/>
      <c r="E748" s="162"/>
      <c r="F748" s="162"/>
      <c r="G748" s="162"/>
      <c r="H748" s="162"/>
      <c r="I748" s="39"/>
      <c r="J748" s="111"/>
      <c r="K748" s="112"/>
      <c r="L748" s="39"/>
      <c r="M748" s="39"/>
      <c r="N748" s="39"/>
      <c r="O748" s="116"/>
    </row>
    <row r="749" spans="1:15" x14ac:dyDescent="0.25">
      <c r="A749" s="108"/>
      <c r="B749" s="39"/>
      <c r="C749" s="162"/>
      <c r="D749" s="162"/>
      <c r="E749" s="162"/>
      <c r="F749" s="162"/>
      <c r="G749" s="162"/>
      <c r="H749" s="162"/>
      <c r="I749" s="39"/>
      <c r="J749" s="111"/>
      <c r="K749" s="112"/>
      <c r="L749" s="39"/>
      <c r="M749" s="39"/>
      <c r="N749" s="39"/>
      <c r="O749" s="116"/>
    </row>
    <row r="750" spans="1:15" x14ac:dyDescent="0.25">
      <c r="A750" s="108"/>
      <c r="B750" s="39"/>
      <c r="C750" s="162"/>
      <c r="D750" s="162"/>
      <c r="E750" s="162"/>
      <c r="F750" s="162"/>
      <c r="G750" s="162"/>
      <c r="H750" s="162"/>
      <c r="I750" s="39"/>
      <c r="J750" s="111"/>
      <c r="K750" s="112"/>
      <c r="L750" s="39"/>
      <c r="M750" s="39"/>
      <c r="N750" s="39"/>
      <c r="O750" s="116"/>
    </row>
    <row r="751" spans="1:15" x14ac:dyDescent="0.25">
      <c r="A751" s="108"/>
      <c r="B751" s="39"/>
      <c r="C751" s="162"/>
      <c r="D751" s="162"/>
      <c r="E751" s="162"/>
      <c r="F751" s="162"/>
      <c r="G751" s="162"/>
      <c r="H751" s="162"/>
      <c r="I751" s="39"/>
      <c r="J751" s="111"/>
      <c r="K751" s="112"/>
      <c r="L751" s="39"/>
      <c r="M751" s="39"/>
      <c r="N751" s="39"/>
      <c r="O751" s="116"/>
    </row>
    <row r="752" spans="1:15" x14ac:dyDescent="0.25">
      <c r="A752" s="108"/>
      <c r="B752" s="39"/>
      <c r="C752" s="162"/>
      <c r="D752" s="162"/>
      <c r="E752" s="162"/>
      <c r="F752" s="162"/>
      <c r="G752" s="162"/>
      <c r="H752" s="162"/>
      <c r="I752" s="39"/>
      <c r="J752" s="111"/>
      <c r="K752" s="112"/>
      <c r="L752" s="39"/>
      <c r="M752" s="39"/>
      <c r="N752" s="39"/>
      <c r="O752" s="116"/>
    </row>
    <row r="753" spans="1:15" x14ac:dyDescent="0.25">
      <c r="A753" s="108"/>
      <c r="B753" s="39"/>
      <c r="C753" s="162"/>
      <c r="D753" s="162"/>
      <c r="E753" s="162"/>
      <c r="F753" s="162"/>
      <c r="G753" s="162"/>
      <c r="H753" s="162"/>
      <c r="I753" s="39"/>
      <c r="J753" s="111"/>
      <c r="K753" s="112"/>
      <c r="L753" s="39"/>
      <c r="M753" s="39"/>
      <c r="N753" s="39"/>
      <c r="O753" s="116"/>
    </row>
    <row r="754" spans="1:15" x14ac:dyDescent="0.25">
      <c r="A754" s="108"/>
      <c r="B754" s="39"/>
      <c r="C754" s="162"/>
      <c r="D754" s="162"/>
      <c r="E754" s="162"/>
      <c r="F754" s="162"/>
      <c r="G754" s="162"/>
      <c r="H754" s="162"/>
      <c r="I754" s="39"/>
      <c r="J754" s="111"/>
      <c r="K754" s="112"/>
      <c r="L754" s="39"/>
      <c r="M754" s="39"/>
      <c r="N754" s="39"/>
      <c r="O754" s="116"/>
    </row>
    <row r="755" spans="1:15" x14ac:dyDescent="0.25">
      <c r="A755" s="108"/>
      <c r="B755" s="39"/>
      <c r="C755" s="162"/>
      <c r="D755" s="162"/>
      <c r="E755" s="162"/>
      <c r="F755" s="162"/>
      <c r="G755" s="162"/>
      <c r="H755" s="162"/>
      <c r="I755" s="39"/>
      <c r="J755" s="111"/>
      <c r="K755" s="112"/>
      <c r="L755" s="39"/>
      <c r="M755" s="39"/>
      <c r="N755" s="39"/>
      <c r="O755" s="116"/>
    </row>
    <row r="756" spans="1:15" x14ac:dyDescent="0.25">
      <c r="A756" s="108"/>
      <c r="B756" s="39"/>
      <c r="C756" s="162"/>
      <c r="D756" s="162"/>
      <c r="E756" s="162"/>
      <c r="F756" s="162"/>
      <c r="G756" s="162"/>
      <c r="H756" s="162"/>
      <c r="I756" s="39"/>
      <c r="J756" s="111"/>
      <c r="K756" s="112"/>
      <c r="L756" s="39"/>
      <c r="M756" s="39"/>
      <c r="N756" s="39"/>
      <c r="O756" s="116"/>
    </row>
    <row r="757" spans="1:15" x14ac:dyDescent="0.25">
      <c r="A757" s="108"/>
      <c r="B757" s="39"/>
      <c r="C757" s="162"/>
      <c r="D757" s="162"/>
      <c r="E757" s="162"/>
      <c r="F757" s="162"/>
      <c r="G757" s="162"/>
      <c r="H757" s="162"/>
      <c r="I757" s="39"/>
      <c r="J757" s="111"/>
      <c r="K757" s="112"/>
      <c r="L757" s="39"/>
      <c r="M757" s="39"/>
      <c r="N757" s="39"/>
      <c r="O757" s="116"/>
    </row>
    <row r="758" spans="1:15" x14ac:dyDescent="0.25">
      <c r="A758" s="108"/>
      <c r="B758" s="39"/>
      <c r="C758" s="162"/>
      <c r="D758" s="162"/>
      <c r="E758" s="162"/>
      <c r="F758" s="162"/>
      <c r="G758" s="162"/>
      <c r="H758" s="162"/>
      <c r="I758" s="39"/>
      <c r="J758" s="111"/>
      <c r="K758" s="112"/>
      <c r="L758" s="39"/>
      <c r="M758" s="39"/>
      <c r="N758" s="39"/>
      <c r="O758" s="116"/>
    </row>
    <row r="759" spans="1:15" x14ac:dyDescent="0.25">
      <c r="A759" s="108"/>
      <c r="B759" s="39"/>
      <c r="C759" s="162"/>
      <c r="D759" s="162"/>
      <c r="E759" s="162"/>
      <c r="F759" s="162"/>
      <c r="G759" s="162"/>
      <c r="H759" s="162"/>
      <c r="I759" s="39"/>
      <c r="J759" s="111"/>
      <c r="K759" s="112"/>
      <c r="L759" s="39"/>
      <c r="M759" s="39"/>
      <c r="N759" s="39"/>
      <c r="O759" s="116"/>
    </row>
    <row r="760" spans="1:15" x14ac:dyDescent="0.25">
      <c r="A760" s="108"/>
      <c r="B760" s="39"/>
      <c r="C760" s="162"/>
      <c r="D760" s="162"/>
      <c r="E760" s="162"/>
      <c r="F760" s="162"/>
      <c r="G760" s="162"/>
      <c r="H760" s="162"/>
      <c r="I760" s="39"/>
      <c r="J760" s="111"/>
      <c r="K760" s="112"/>
      <c r="L760" s="39"/>
      <c r="M760" s="39"/>
      <c r="N760" s="39"/>
      <c r="O760" s="116"/>
    </row>
    <row r="761" spans="1:15" x14ac:dyDescent="0.25">
      <c r="A761" s="108"/>
      <c r="B761" s="39"/>
      <c r="C761" s="162"/>
      <c r="D761" s="162"/>
      <c r="E761" s="162"/>
      <c r="F761" s="162"/>
      <c r="G761" s="162"/>
      <c r="H761" s="162"/>
      <c r="I761" s="39"/>
      <c r="J761" s="111"/>
      <c r="K761" s="112"/>
      <c r="L761" s="39"/>
      <c r="M761" s="39"/>
      <c r="N761" s="39"/>
      <c r="O761" s="116"/>
    </row>
    <row r="762" spans="1:15" x14ac:dyDescent="0.25">
      <c r="A762" s="108"/>
      <c r="B762" s="39"/>
      <c r="C762" s="162"/>
      <c r="D762" s="162"/>
      <c r="E762" s="162"/>
      <c r="F762" s="162"/>
      <c r="G762" s="162"/>
      <c r="H762" s="159"/>
      <c r="I762" s="39"/>
      <c r="J762" s="111"/>
      <c r="K762" s="112"/>
      <c r="L762" s="39"/>
      <c r="M762" s="39"/>
      <c r="N762" s="39"/>
      <c r="O762" s="116"/>
    </row>
    <row r="763" spans="1:15" x14ac:dyDescent="0.25">
      <c r="A763" s="108"/>
      <c r="B763" s="108"/>
      <c r="C763" s="108"/>
      <c r="D763" s="108"/>
      <c r="E763" s="108"/>
      <c r="F763" s="108"/>
      <c r="G763" s="108"/>
      <c r="H763" s="108"/>
      <c r="I763" s="23"/>
      <c r="J763" s="108"/>
      <c r="K763" s="108"/>
      <c r="L763" s="108"/>
      <c r="M763" s="78"/>
      <c r="N763" s="109"/>
      <c r="O763" s="109"/>
    </row>
    <row r="764" spans="1:15" x14ac:dyDescent="0.25">
      <c r="A764" s="108"/>
      <c r="B764" s="108"/>
      <c r="C764" s="108"/>
      <c r="D764" s="108"/>
      <c r="E764" s="108"/>
      <c r="F764" s="108"/>
      <c r="G764" s="108"/>
      <c r="H764" s="108"/>
      <c r="I764" s="23"/>
      <c r="J764" s="108"/>
      <c r="K764" s="108"/>
      <c r="L764" s="108"/>
      <c r="M764" s="108"/>
      <c r="N764" s="108"/>
      <c r="O764" s="108"/>
    </row>
    <row r="765" spans="1:15" x14ac:dyDescent="0.25">
      <c r="I765" s="60"/>
    </row>
  </sheetData>
  <autoFilter ref="A10:O669" xr:uid="{90584B80-EA5B-4EC2-BB46-F12D7BF00777}">
    <filterColumn colId="2" showButton="0"/>
    <filterColumn colId="3" showButton="0"/>
    <filterColumn colId="4" showButton="0"/>
    <filterColumn colId="5" showButton="0"/>
    <filterColumn colId="6" showButton="0"/>
    <filterColumn colId="8">
      <filters>
        <filter val="Redigroup"/>
      </filters>
    </filterColumn>
  </autoFilter>
  <mergeCells count="755">
    <mergeCell ref="C760:H760"/>
    <mergeCell ref="C761:H761"/>
    <mergeCell ref="C762:H762"/>
    <mergeCell ref="C754:H754"/>
    <mergeCell ref="C755:H755"/>
    <mergeCell ref="C756:H756"/>
    <mergeCell ref="C757:H757"/>
    <mergeCell ref="C758:H758"/>
    <mergeCell ref="C759:H759"/>
    <mergeCell ref="C748:H748"/>
    <mergeCell ref="C749:H749"/>
    <mergeCell ref="C750:H750"/>
    <mergeCell ref="C751:H751"/>
    <mergeCell ref="C752:H752"/>
    <mergeCell ref="C753:H753"/>
    <mergeCell ref="C742:H742"/>
    <mergeCell ref="C743:H743"/>
    <mergeCell ref="C744:H744"/>
    <mergeCell ref="C745:H745"/>
    <mergeCell ref="C746:H746"/>
    <mergeCell ref="C747:H747"/>
    <mergeCell ref="C736:H736"/>
    <mergeCell ref="C737:H737"/>
    <mergeCell ref="C738:H738"/>
    <mergeCell ref="C739:H739"/>
    <mergeCell ref="C740:H740"/>
    <mergeCell ref="C741:H741"/>
    <mergeCell ref="C730:H730"/>
    <mergeCell ref="C731:H731"/>
    <mergeCell ref="C732:H732"/>
    <mergeCell ref="C733:H733"/>
    <mergeCell ref="C734:H734"/>
    <mergeCell ref="C735:H735"/>
    <mergeCell ref="C724:H724"/>
    <mergeCell ref="C725:H725"/>
    <mergeCell ref="C726:H726"/>
    <mergeCell ref="C727:H727"/>
    <mergeCell ref="C728:H728"/>
    <mergeCell ref="C729:H729"/>
    <mergeCell ref="C718:H718"/>
    <mergeCell ref="C719:H719"/>
    <mergeCell ref="C720:H720"/>
    <mergeCell ref="C721:H721"/>
    <mergeCell ref="C722:H722"/>
    <mergeCell ref="C723:H723"/>
    <mergeCell ref="C712:H712"/>
    <mergeCell ref="C713:H713"/>
    <mergeCell ref="C714:H714"/>
    <mergeCell ref="C715:H715"/>
    <mergeCell ref="C716:H716"/>
    <mergeCell ref="C717:H717"/>
    <mergeCell ref="C706:H706"/>
    <mergeCell ref="C707:H707"/>
    <mergeCell ref="C708:H708"/>
    <mergeCell ref="C709:H709"/>
    <mergeCell ref="C710:H710"/>
    <mergeCell ref="C711:H711"/>
    <mergeCell ref="C700:H700"/>
    <mergeCell ref="C701:H701"/>
    <mergeCell ref="C702:H702"/>
    <mergeCell ref="C703:H703"/>
    <mergeCell ref="C704:H704"/>
    <mergeCell ref="C705:H705"/>
    <mergeCell ref="C694:H694"/>
    <mergeCell ref="C695:H695"/>
    <mergeCell ref="C696:H696"/>
    <mergeCell ref="C697:H697"/>
    <mergeCell ref="C698:H698"/>
    <mergeCell ref="C699:H699"/>
    <mergeCell ref="C688:H688"/>
    <mergeCell ref="C689:H689"/>
    <mergeCell ref="C690:H690"/>
    <mergeCell ref="C691:H691"/>
    <mergeCell ref="C692:H692"/>
    <mergeCell ref="C693:H693"/>
    <mergeCell ref="C682:H682"/>
    <mergeCell ref="C683:H683"/>
    <mergeCell ref="C684:H684"/>
    <mergeCell ref="C685:H685"/>
    <mergeCell ref="C686:H686"/>
    <mergeCell ref="C687:H687"/>
    <mergeCell ref="C676:H676"/>
    <mergeCell ref="C677:H677"/>
    <mergeCell ref="C678:H678"/>
    <mergeCell ref="C679:H679"/>
    <mergeCell ref="C680:H680"/>
    <mergeCell ref="C681:H681"/>
    <mergeCell ref="C670:H670"/>
    <mergeCell ref="C671:H671"/>
    <mergeCell ref="C672:H672"/>
    <mergeCell ref="C673:H673"/>
    <mergeCell ref="C674:H674"/>
    <mergeCell ref="C675:H675"/>
    <mergeCell ref="C664:H664"/>
    <mergeCell ref="C665:H665"/>
    <mergeCell ref="C666:H666"/>
    <mergeCell ref="C667:H667"/>
    <mergeCell ref="C668:H668"/>
    <mergeCell ref="C669:H669"/>
    <mergeCell ref="C658:H658"/>
    <mergeCell ref="C659:H659"/>
    <mergeCell ref="C660:H660"/>
    <mergeCell ref="C661:H661"/>
    <mergeCell ref="C662:H662"/>
    <mergeCell ref="C663:H663"/>
    <mergeCell ref="C652:H652"/>
    <mergeCell ref="C653:H653"/>
    <mergeCell ref="C654:H654"/>
    <mergeCell ref="C655:H655"/>
    <mergeCell ref="C656:H656"/>
    <mergeCell ref="C657:H657"/>
    <mergeCell ref="C646:H646"/>
    <mergeCell ref="C647:H647"/>
    <mergeCell ref="C648:H648"/>
    <mergeCell ref="C649:H649"/>
    <mergeCell ref="C650:H650"/>
    <mergeCell ref="C651:H651"/>
    <mergeCell ref="C640:H640"/>
    <mergeCell ref="C641:H641"/>
    <mergeCell ref="C642:H642"/>
    <mergeCell ref="C643:H643"/>
    <mergeCell ref="C644:H644"/>
    <mergeCell ref="C645:H645"/>
    <mergeCell ref="C634:H634"/>
    <mergeCell ref="C635:H635"/>
    <mergeCell ref="C636:H636"/>
    <mergeCell ref="C637:H637"/>
    <mergeCell ref="C638:H638"/>
    <mergeCell ref="C639:H639"/>
    <mergeCell ref="C628:H628"/>
    <mergeCell ref="C629:H629"/>
    <mergeCell ref="C630:H630"/>
    <mergeCell ref="C631:H631"/>
    <mergeCell ref="C632:H632"/>
    <mergeCell ref="C633:H633"/>
    <mergeCell ref="C622:H622"/>
    <mergeCell ref="C623:H623"/>
    <mergeCell ref="C624:H624"/>
    <mergeCell ref="C625:H625"/>
    <mergeCell ref="C626:H626"/>
    <mergeCell ref="C627:H627"/>
    <mergeCell ref="C616:H616"/>
    <mergeCell ref="C617:H617"/>
    <mergeCell ref="C618:H618"/>
    <mergeCell ref="C619:H619"/>
    <mergeCell ref="C620:H620"/>
    <mergeCell ref="C621:H621"/>
    <mergeCell ref="C610:H610"/>
    <mergeCell ref="C611:H611"/>
    <mergeCell ref="C612:H612"/>
    <mergeCell ref="C613:H613"/>
    <mergeCell ref="C614:H614"/>
    <mergeCell ref="C615:H615"/>
    <mergeCell ref="C604:H604"/>
    <mergeCell ref="C605:H605"/>
    <mergeCell ref="C606:H606"/>
    <mergeCell ref="C607:H607"/>
    <mergeCell ref="C608:H608"/>
    <mergeCell ref="C609:H609"/>
    <mergeCell ref="C598:H598"/>
    <mergeCell ref="C599:H599"/>
    <mergeCell ref="C600:H600"/>
    <mergeCell ref="C601:H601"/>
    <mergeCell ref="C602:H602"/>
    <mergeCell ref="C603:H603"/>
    <mergeCell ref="C592:H592"/>
    <mergeCell ref="C593:H593"/>
    <mergeCell ref="C594:H594"/>
    <mergeCell ref="C595:H595"/>
    <mergeCell ref="C596:H596"/>
    <mergeCell ref="C597:H597"/>
    <mergeCell ref="C586:H586"/>
    <mergeCell ref="C587:H587"/>
    <mergeCell ref="C588:H588"/>
    <mergeCell ref="C589:H589"/>
    <mergeCell ref="C590:H590"/>
    <mergeCell ref="C591:H591"/>
    <mergeCell ref="C580:H580"/>
    <mergeCell ref="C581:H581"/>
    <mergeCell ref="C582:H582"/>
    <mergeCell ref="C583:H583"/>
    <mergeCell ref="C584:H584"/>
    <mergeCell ref="C585:H585"/>
    <mergeCell ref="C574:H574"/>
    <mergeCell ref="C575:H575"/>
    <mergeCell ref="C576:H576"/>
    <mergeCell ref="C577:H577"/>
    <mergeCell ref="C578:H578"/>
    <mergeCell ref="C579:H579"/>
    <mergeCell ref="C568:H568"/>
    <mergeCell ref="C569:H569"/>
    <mergeCell ref="C570:H570"/>
    <mergeCell ref="C571:H571"/>
    <mergeCell ref="C572:H572"/>
    <mergeCell ref="C573:H573"/>
    <mergeCell ref="C562:H562"/>
    <mergeCell ref="C563:H563"/>
    <mergeCell ref="C564:H564"/>
    <mergeCell ref="C565:H565"/>
    <mergeCell ref="C566:H566"/>
    <mergeCell ref="C567:H567"/>
    <mergeCell ref="C557:H557"/>
    <mergeCell ref="C558:H558"/>
    <mergeCell ref="C559:H559"/>
    <mergeCell ref="C560:H560"/>
    <mergeCell ref="C561:H561"/>
    <mergeCell ref="C550:H550"/>
    <mergeCell ref="C551:H551"/>
    <mergeCell ref="C552:H552"/>
    <mergeCell ref="C553:H553"/>
    <mergeCell ref="C554:H554"/>
    <mergeCell ref="C556:H556"/>
    <mergeCell ref="C555:H555"/>
    <mergeCell ref="C544:H544"/>
    <mergeCell ref="C545:H545"/>
    <mergeCell ref="C546:H546"/>
    <mergeCell ref="C547:H547"/>
    <mergeCell ref="C548:H548"/>
    <mergeCell ref="C549:H549"/>
    <mergeCell ref="C538:H538"/>
    <mergeCell ref="C539:H539"/>
    <mergeCell ref="C540:H540"/>
    <mergeCell ref="C541:H541"/>
    <mergeCell ref="C542:H542"/>
    <mergeCell ref="C543:H543"/>
    <mergeCell ref="C532:H532"/>
    <mergeCell ref="C533:H533"/>
    <mergeCell ref="C534:H534"/>
    <mergeCell ref="C535:H535"/>
    <mergeCell ref="C536:H536"/>
    <mergeCell ref="C537:H537"/>
    <mergeCell ref="C526:H526"/>
    <mergeCell ref="C527:H527"/>
    <mergeCell ref="C528:H528"/>
    <mergeCell ref="C529:H529"/>
    <mergeCell ref="C530:H530"/>
    <mergeCell ref="C531:H531"/>
    <mergeCell ref="C520:H520"/>
    <mergeCell ref="C521:H521"/>
    <mergeCell ref="C522:H522"/>
    <mergeCell ref="C523:H523"/>
    <mergeCell ref="C524:H524"/>
    <mergeCell ref="C525:H525"/>
    <mergeCell ref="C514:H514"/>
    <mergeCell ref="C515:H515"/>
    <mergeCell ref="C516:H516"/>
    <mergeCell ref="C517:H517"/>
    <mergeCell ref="C518:H518"/>
    <mergeCell ref="C519:H519"/>
    <mergeCell ref="C508:H508"/>
    <mergeCell ref="C509:H509"/>
    <mergeCell ref="C510:H510"/>
    <mergeCell ref="C511:H511"/>
    <mergeCell ref="C512:H512"/>
    <mergeCell ref="C513:H513"/>
    <mergeCell ref="C502:H502"/>
    <mergeCell ref="C503:H503"/>
    <mergeCell ref="C504:H504"/>
    <mergeCell ref="C505:H505"/>
    <mergeCell ref="C506:H506"/>
    <mergeCell ref="C507:H507"/>
    <mergeCell ref="C496:H496"/>
    <mergeCell ref="C497:H497"/>
    <mergeCell ref="C498:H498"/>
    <mergeCell ref="C499:H499"/>
    <mergeCell ref="C500:H500"/>
    <mergeCell ref="C501:H501"/>
    <mergeCell ref="C490:H490"/>
    <mergeCell ref="C491:H491"/>
    <mergeCell ref="C492:H492"/>
    <mergeCell ref="C493:H493"/>
    <mergeCell ref="C494:H494"/>
    <mergeCell ref="C495:H495"/>
    <mergeCell ref="C484:H484"/>
    <mergeCell ref="C485:H485"/>
    <mergeCell ref="C486:H486"/>
    <mergeCell ref="C487:H487"/>
    <mergeCell ref="C488:H488"/>
    <mergeCell ref="C489:H489"/>
    <mergeCell ref="C478:H478"/>
    <mergeCell ref="C479:H479"/>
    <mergeCell ref="C480:H480"/>
    <mergeCell ref="C481:H481"/>
    <mergeCell ref="C482:H482"/>
    <mergeCell ref="C483:H483"/>
    <mergeCell ref="C472:H472"/>
    <mergeCell ref="C473:H473"/>
    <mergeCell ref="C474:H474"/>
    <mergeCell ref="C475:H475"/>
    <mergeCell ref="C476:H476"/>
    <mergeCell ref="C477:H477"/>
    <mergeCell ref="C466:H466"/>
    <mergeCell ref="C467:H467"/>
    <mergeCell ref="C468:H468"/>
    <mergeCell ref="C469:H469"/>
    <mergeCell ref="C470:H470"/>
    <mergeCell ref="C471:H471"/>
    <mergeCell ref="C460:H460"/>
    <mergeCell ref="C461:H461"/>
    <mergeCell ref="C462:H462"/>
    <mergeCell ref="C463:H463"/>
    <mergeCell ref="C464:H464"/>
    <mergeCell ref="C465:H465"/>
    <mergeCell ref="C454:H454"/>
    <mergeCell ref="C455:H455"/>
    <mergeCell ref="C456:H456"/>
    <mergeCell ref="C457:H457"/>
    <mergeCell ref="C458:H458"/>
    <mergeCell ref="C459:H459"/>
    <mergeCell ref="C448:H448"/>
    <mergeCell ref="C449:H449"/>
    <mergeCell ref="C450:H450"/>
    <mergeCell ref="C451:H451"/>
    <mergeCell ref="C452:H452"/>
    <mergeCell ref="C453:H453"/>
    <mergeCell ref="C442:H442"/>
    <mergeCell ref="C443:H443"/>
    <mergeCell ref="C444:H444"/>
    <mergeCell ref="C445:H445"/>
    <mergeCell ref="C446:H446"/>
    <mergeCell ref="C447:H447"/>
    <mergeCell ref="C436:H436"/>
    <mergeCell ref="C437:H437"/>
    <mergeCell ref="C438:H438"/>
    <mergeCell ref="C439:H439"/>
    <mergeCell ref="C440:H440"/>
    <mergeCell ref="C441:H441"/>
    <mergeCell ref="C430:H430"/>
    <mergeCell ref="C431:H431"/>
    <mergeCell ref="C432:H432"/>
    <mergeCell ref="C433:H433"/>
    <mergeCell ref="C434:H434"/>
    <mergeCell ref="C435:H435"/>
    <mergeCell ref="C424:H424"/>
    <mergeCell ref="C425:H425"/>
    <mergeCell ref="C426:H426"/>
    <mergeCell ref="C427:H427"/>
    <mergeCell ref="C428:H428"/>
    <mergeCell ref="C429:H429"/>
    <mergeCell ref="C418:H418"/>
    <mergeCell ref="C419:H419"/>
    <mergeCell ref="C420:H420"/>
    <mergeCell ref="C421:H421"/>
    <mergeCell ref="C422:H422"/>
    <mergeCell ref="C423:H423"/>
    <mergeCell ref="C412:H412"/>
    <mergeCell ref="C413:H413"/>
    <mergeCell ref="C414:H414"/>
    <mergeCell ref="C415:H415"/>
    <mergeCell ref="C416:H416"/>
    <mergeCell ref="C417:H417"/>
    <mergeCell ref="C406:H406"/>
    <mergeCell ref="C407:H407"/>
    <mergeCell ref="C408:H408"/>
    <mergeCell ref="C409:H409"/>
    <mergeCell ref="C410:H410"/>
    <mergeCell ref="C411:H411"/>
    <mergeCell ref="C400:H400"/>
    <mergeCell ref="C401:H401"/>
    <mergeCell ref="C402:H402"/>
    <mergeCell ref="C403:H403"/>
    <mergeCell ref="C404:H404"/>
    <mergeCell ref="C405:H405"/>
    <mergeCell ref="C394:H394"/>
    <mergeCell ref="C396:H396"/>
    <mergeCell ref="C397:H397"/>
    <mergeCell ref="C398:H398"/>
    <mergeCell ref="C399:H399"/>
    <mergeCell ref="C395:H395"/>
    <mergeCell ref="C388:H388"/>
    <mergeCell ref="C389:H389"/>
    <mergeCell ref="C390:H390"/>
    <mergeCell ref="C391:H391"/>
    <mergeCell ref="C392:H392"/>
    <mergeCell ref="C393:H393"/>
    <mergeCell ref="C382:H382"/>
    <mergeCell ref="C383:H383"/>
    <mergeCell ref="C384:H384"/>
    <mergeCell ref="C385:H385"/>
    <mergeCell ref="C386:H386"/>
    <mergeCell ref="C387:H387"/>
    <mergeCell ref="C376:H376"/>
    <mergeCell ref="C377:H377"/>
    <mergeCell ref="C378:H378"/>
    <mergeCell ref="C379:H379"/>
    <mergeCell ref="C380:H380"/>
    <mergeCell ref="C381:H381"/>
    <mergeCell ref="C370:H370"/>
    <mergeCell ref="C372:H372"/>
    <mergeCell ref="C373:H373"/>
    <mergeCell ref="C374:H374"/>
    <mergeCell ref="C375:H375"/>
    <mergeCell ref="C371:H371"/>
    <mergeCell ref="C364:H364"/>
    <mergeCell ref="C365:H365"/>
    <mergeCell ref="C366:H366"/>
    <mergeCell ref="C367:H367"/>
    <mergeCell ref="C368:H368"/>
    <mergeCell ref="C369:H369"/>
    <mergeCell ref="C358:H358"/>
    <mergeCell ref="C359:H359"/>
    <mergeCell ref="C360:H360"/>
    <mergeCell ref="C361:H361"/>
    <mergeCell ref="C362:H362"/>
    <mergeCell ref="C363:H363"/>
    <mergeCell ref="C352:H352"/>
    <mergeCell ref="C353:H353"/>
    <mergeCell ref="C354:H354"/>
    <mergeCell ref="C355:H355"/>
    <mergeCell ref="C356:H356"/>
    <mergeCell ref="C357:H357"/>
    <mergeCell ref="C346:H346"/>
    <mergeCell ref="C347:H347"/>
    <mergeCell ref="C348:H348"/>
    <mergeCell ref="C349:H349"/>
    <mergeCell ref="C350:H350"/>
    <mergeCell ref="C351:H351"/>
    <mergeCell ref="C340:H340"/>
    <mergeCell ref="C341:H341"/>
    <mergeCell ref="C342:H342"/>
    <mergeCell ref="C343:H343"/>
    <mergeCell ref="C344:H344"/>
    <mergeCell ref="C345:H345"/>
    <mergeCell ref="C334:H334"/>
    <mergeCell ref="C335:H335"/>
    <mergeCell ref="C336:H336"/>
    <mergeCell ref="C337:H337"/>
    <mergeCell ref="C338:H338"/>
    <mergeCell ref="C339:H339"/>
    <mergeCell ref="C328:H328"/>
    <mergeCell ref="C329:H329"/>
    <mergeCell ref="C330:H330"/>
    <mergeCell ref="C331:H331"/>
    <mergeCell ref="C332:H332"/>
    <mergeCell ref="C333:H333"/>
    <mergeCell ref="C322:H322"/>
    <mergeCell ref="C323:H323"/>
    <mergeCell ref="C324:H324"/>
    <mergeCell ref="C325:H325"/>
    <mergeCell ref="C326:H326"/>
    <mergeCell ref="C327:H327"/>
    <mergeCell ref="C316:H316"/>
    <mergeCell ref="C317:H317"/>
    <mergeCell ref="C318:H318"/>
    <mergeCell ref="C319:H319"/>
    <mergeCell ref="C320:H320"/>
    <mergeCell ref="C321:H321"/>
    <mergeCell ref="C310:H310"/>
    <mergeCell ref="C311:H311"/>
    <mergeCell ref="C312:H312"/>
    <mergeCell ref="C313:H313"/>
    <mergeCell ref="C314:H314"/>
    <mergeCell ref="C315:H315"/>
    <mergeCell ref="C304:H304"/>
    <mergeCell ref="C305:H305"/>
    <mergeCell ref="C306:H306"/>
    <mergeCell ref="C307:H307"/>
    <mergeCell ref="C308:H308"/>
    <mergeCell ref="C309:H309"/>
    <mergeCell ref="C298:H298"/>
    <mergeCell ref="C299:H299"/>
    <mergeCell ref="C300:H300"/>
    <mergeCell ref="C301:H301"/>
    <mergeCell ref="C302:H302"/>
    <mergeCell ref="C303:H303"/>
    <mergeCell ref="C292:H292"/>
    <mergeCell ref="C293:H293"/>
    <mergeCell ref="C294:H294"/>
    <mergeCell ref="C295:H295"/>
    <mergeCell ref="C296:H296"/>
    <mergeCell ref="C297:H297"/>
    <mergeCell ref="C286:H286"/>
    <mergeCell ref="C287:H287"/>
    <mergeCell ref="C288:H288"/>
    <mergeCell ref="C289:H289"/>
    <mergeCell ref="C290:H290"/>
    <mergeCell ref="C291:H291"/>
    <mergeCell ref="C280:H280"/>
    <mergeCell ref="C281:H281"/>
    <mergeCell ref="C282:H282"/>
    <mergeCell ref="C283:H283"/>
    <mergeCell ref="C284:H284"/>
    <mergeCell ref="C285:H285"/>
    <mergeCell ref="C274:H274"/>
    <mergeCell ref="C275:H275"/>
    <mergeCell ref="C276:H276"/>
    <mergeCell ref="C277:H277"/>
    <mergeCell ref="C278:H278"/>
    <mergeCell ref="C279:H279"/>
    <mergeCell ref="C268:H268"/>
    <mergeCell ref="C269:H269"/>
    <mergeCell ref="C271:H271"/>
    <mergeCell ref="C272:H272"/>
    <mergeCell ref="C273:H273"/>
    <mergeCell ref="C262:H262"/>
    <mergeCell ref="C263:H263"/>
    <mergeCell ref="C264:H264"/>
    <mergeCell ref="C265:H265"/>
    <mergeCell ref="C266:H266"/>
    <mergeCell ref="C267:H267"/>
    <mergeCell ref="C270:H270"/>
    <mergeCell ref="C256:H256"/>
    <mergeCell ref="C257:H257"/>
    <mergeCell ref="C258:H258"/>
    <mergeCell ref="C259:H259"/>
    <mergeCell ref="C260:H260"/>
    <mergeCell ref="C261:H261"/>
    <mergeCell ref="C250:H250"/>
    <mergeCell ref="C251:H251"/>
    <mergeCell ref="C252:H252"/>
    <mergeCell ref="C253:H253"/>
    <mergeCell ref="C254:H254"/>
    <mergeCell ref="C255:H255"/>
    <mergeCell ref="C244:H244"/>
    <mergeCell ref="C245:H245"/>
    <mergeCell ref="C246:H246"/>
    <mergeCell ref="C247:H247"/>
    <mergeCell ref="C248:H248"/>
    <mergeCell ref="C249:H249"/>
    <mergeCell ref="C238:H238"/>
    <mergeCell ref="C239:H239"/>
    <mergeCell ref="C240:H240"/>
    <mergeCell ref="C241:H241"/>
    <mergeCell ref="C242:H242"/>
    <mergeCell ref="C243:H243"/>
    <mergeCell ref="C232:H232"/>
    <mergeCell ref="C233:H233"/>
    <mergeCell ref="C234:H234"/>
    <mergeCell ref="C235:H235"/>
    <mergeCell ref="C236:H236"/>
    <mergeCell ref="C237:H237"/>
    <mergeCell ref="C202:H202"/>
    <mergeCell ref="C227:H227"/>
    <mergeCell ref="C228:H228"/>
    <mergeCell ref="C229:H229"/>
    <mergeCell ref="C230:H230"/>
    <mergeCell ref="C231:H231"/>
    <mergeCell ref="C226:H226"/>
    <mergeCell ref="C220:H220"/>
    <mergeCell ref="C221:H221"/>
    <mergeCell ref="C222:H222"/>
    <mergeCell ref="C223:H223"/>
    <mergeCell ref="C224:H224"/>
    <mergeCell ref="C225:H225"/>
    <mergeCell ref="C214:H214"/>
    <mergeCell ref="C215:H215"/>
    <mergeCell ref="C216:H216"/>
    <mergeCell ref="C217:H217"/>
    <mergeCell ref="C218:H218"/>
    <mergeCell ref="C219:H219"/>
    <mergeCell ref="C208:H208"/>
    <mergeCell ref="C209:H209"/>
    <mergeCell ref="C210:H210"/>
    <mergeCell ref="C211:H211"/>
    <mergeCell ref="C212:H212"/>
    <mergeCell ref="C213:H213"/>
    <mergeCell ref="C203:H203"/>
    <mergeCell ref="C204:H204"/>
    <mergeCell ref="C205:H205"/>
    <mergeCell ref="C206:H206"/>
    <mergeCell ref="C207:H207"/>
    <mergeCell ref="C196:H196"/>
    <mergeCell ref="C197:H197"/>
    <mergeCell ref="C198:H198"/>
    <mergeCell ref="C199:H199"/>
    <mergeCell ref="C200:H200"/>
    <mergeCell ref="C201:H201"/>
    <mergeCell ref="C190:H190"/>
    <mergeCell ref="C191:H191"/>
    <mergeCell ref="C192:H192"/>
    <mergeCell ref="C193:H193"/>
    <mergeCell ref="C194:H194"/>
    <mergeCell ref="C195:H195"/>
    <mergeCell ref="C184:H184"/>
    <mergeCell ref="C185:H185"/>
    <mergeCell ref="C186:H186"/>
    <mergeCell ref="C187:H187"/>
    <mergeCell ref="C188:H188"/>
    <mergeCell ref="C189:H189"/>
    <mergeCell ref="C178:H178"/>
    <mergeCell ref="C179:H179"/>
    <mergeCell ref="C180:H180"/>
    <mergeCell ref="C181:H181"/>
    <mergeCell ref="C182:H182"/>
    <mergeCell ref="C183:H183"/>
    <mergeCell ref="C172:H172"/>
    <mergeCell ref="C173:H173"/>
    <mergeCell ref="C174:H174"/>
    <mergeCell ref="C175:H175"/>
    <mergeCell ref="C176:H176"/>
    <mergeCell ref="C177:H177"/>
    <mergeCell ref="C166:H166"/>
    <mergeCell ref="C167:H167"/>
    <mergeCell ref="C168:H168"/>
    <mergeCell ref="C169:H169"/>
    <mergeCell ref="C170:H170"/>
    <mergeCell ref="C171:H171"/>
    <mergeCell ref="C160:H160"/>
    <mergeCell ref="C161:H161"/>
    <mergeCell ref="C162:H162"/>
    <mergeCell ref="C163:H163"/>
    <mergeCell ref="C164:H164"/>
    <mergeCell ref="C165:H165"/>
    <mergeCell ref="C154:H154"/>
    <mergeCell ref="C155:H155"/>
    <mergeCell ref="C156:H156"/>
    <mergeCell ref="C157:H157"/>
    <mergeCell ref="C158:H158"/>
    <mergeCell ref="C159:H159"/>
    <mergeCell ref="C148:H148"/>
    <mergeCell ref="C149:H149"/>
    <mergeCell ref="C150:H150"/>
    <mergeCell ref="C151:H151"/>
    <mergeCell ref="C152:H152"/>
    <mergeCell ref="C153:H153"/>
    <mergeCell ref="C142:H142"/>
    <mergeCell ref="C143:H143"/>
    <mergeCell ref="C144:H144"/>
    <mergeCell ref="C145:H145"/>
    <mergeCell ref="C146:H146"/>
    <mergeCell ref="C147:H147"/>
    <mergeCell ref="C136:H136"/>
    <mergeCell ref="C137:H137"/>
    <mergeCell ref="C138:H138"/>
    <mergeCell ref="C139:H139"/>
    <mergeCell ref="C140:H140"/>
    <mergeCell ref="C141:H141"/>
    <mergeCell ref="C130:H130"/>
    <mergeCell ref="C131:H131"/>
    <mergeCell ref="C132:H132"/>
    <mergeCell ref="C133:H133"/>
    <mergeCell ref="C134:H134"/>
    <mergeCell ref="C135:H135"/>
    <mergeCell ref="C124:H124"/>
    <mergeCell ref="C125:H125"/>
    <mergeCell ref="C126:H126"/>
    <mergeCell ref="C127:H127"/>
    <mergeCell ref="C128:H128"/>
    <mergeCell ref="C129:H129"/>
    <mergeCell ref="C118:H118"/>
    <mergeCell ref="C119:H119"/>
    <mergeCell ref="C120:H120"/>
    <mergeCell ref="C121:H121"/>
    <mergeCell ref="C122:H122"/>
    <mergeCell ref="C123:H123"/>
    <mergeCell ref="C112:H112"/>
    <mergeCell ref="C113:H113"/>
    <mergeCell ref="C114:H114"/>
    <mergeCell ref="C115:H115"/>
    <mergeCell ref="C116:H116"/>
    <mergeCell ref="C117:H117"/>
    <mergeCell ref="C106:H106"/>
    <mergeCell ref="C107:H107"/>
    <mergeCell ref="C108:H108"/>
    <mergeCell ref="C109:H109"/>
    <mergeCell ref="C110:H110"/>
    <mergeCell ref="C111:H111"/>
    <mergeCell ref="C100:H100"/>
    <mergeCell ref="C101:H101"/>
    <mergeCell ref="C102:H102"/>
    <mergeCell ref="C103:H103"/>
    <mergeCell ref="C104:H104"/>
    <mergeCell ref="C105:H105"/>
    <mergeCell ref="C94:H94"/>
    <mergeCell ref="C95:H95"/>
    <mergeCell ref="C96:H96"/>
    <mergeCell ref="C97:H97"/>
    <mergeCell ref="C98:H98"/>
    <mergeCell ref="C99:H99"/>
    <mergeCell ref="C88:H88"/>
    <mergeCell ref="C89:H89"/>
    <mergeCell ref="C90:H90"/>
    <mergeCell ref="C91:H91"/>
    <mergeCell ref="C92:H92"/>
    <mergeCell ref="C93:H93"/>
    <mergeCell ref="C82:H82"/>
    <mergeCell ref="C83:H83"/>
    <mergeCell ref="C84:H84"/>
    <mergeCell ref="C85:H85"/>
    <mergeCell ref="C86:H86"/>
    <mergeCell ref="C87:H87"/>
    <mergeCell ref="C76:H76"/>
    <mergeCell ref="C77:H77"/>
    <mergeCell ref="C78:H78"/>
    <mergeCell ref="C79:H79"/>
    <mergeCell ref="C80:H80"/>
    <mergeCell ref="C81:H81"/>
    <mergeCell ref="C70:H70"/>
    <mergeCell ref="C71:H71"/>
    <mergeCell ref="C72:H72"/>
    <mergeCell ref="C73:H73"/>
    <mergeCell ref="C74:H74"/>
    <mergeCell ref="C75:H75"/>
    <mergeCell ref="C64:H64"/>
    <mergeCell ref="C65:H65"/>
    <mergeCell ref="C66:H66"/>
    <mergeCell ref="C67:H67"/>
    <mergeCell ref="C68:H68"/>
    <mergeCell ref="C69:H69"/>
    <mergeCell ref="C58:H58"/>
    <mergeCell ref="C59:H59"/>
    <mergeCell ref="C60:H60"/>
    <mergeCell ref="C61:H61"/>
    <mergeCell ref="C62:H62"/>
    <mergeCell ref="C63:H63"/>
    <mergeCell ref="C51:H51"/>
    <mergeCell ref="C52:H52"/>
    <mergeCell ref="C53:H53"/>
    <mergeCell ref="C55:H55"/>
    <mergeCell ref="C56:H56"/>
    <mergeCell ref="C57:H57"/>
    <mergeCell ref="C45:H45"/>
    <mergeCell ref="C46:H46"/>
    <mergeCell ref="C47:H47"/>
    <mergeCell ref="C48:H48"/>
    <mergeCell ref="C49:H49"/>
    <mergeCell ref="C50:H50"/>
    <mergeCell ref="C54:H54"/>
    <mergeCell ref="C39:H39"/>
    <mergeCell ref="C40:H40"/>
    <mergeCell ref="C41:H41"/>
    <mergeCell ref="C43:H43"/>
    <mergeCell ref="C44:H44"/>
    <mergeCell ref="C33:H33"/>
    <mergeCell ref="C34:H34"/>
    <mergeCell ref="C35:H35"/>
    <mergeCell ref="C36:H36"/>
    <mergeCell ref="C37:H37"/>
    <mergeCell ref="C38:H38"/>
    <mergeCell ref="C42:H42"/>
    <mergeCell ref="C27:H27"/>
    <mergeCell ref="C28:H28"/>
    <mergeCell ref="C29:H29"/>
    <mergeCell ref="C30:H30"/>
    <mergeCell ref="C31:H31"/>
    <mergeCell ref="C32:H32"/>
    <mergeCell ref="C21:H21"/>
    <mergeCell ref="C22:H22"/>
    <mergeCell ref="C23:H23"/>
    <mergeCell ref="C24:H24"/>
    <mergeCell ref="C25:H25"/>
    <mergeCell ref="C26:H26"/>
    <mergeCell ref="B2:C9"/>
    <mergeCell ref="D2:O9"/>
    <mergeCell ref="C10:H10"/>
    <mergeCell ref="C15:H15"/>
    <mergeCell ref="C16:H16"/>
    <mergeCell ref="C17:H17"/>
    <mergeCell ref="C18:H18"/>
    <mergeCell ref="C19:H19"/>
    <mergeCell ref="C20:H20"/>
    <mergeCell ref="C11:H11"/>
    <mergeCell ref="C12:H12"/>
    <mergeCell ref="C13:H13"/>
    <mergeCell ref="C14:H14"/>
  </mergeCells>
  <hyperlinks>
    <hyperlink ref="O11" r:id="rId1" xr:uid="{AF9DF5F6-41EB-4055-94FF-6A9668E0D0E8}"/>
    <hyperlink ref="O12" r:id="rId2" xr:uid="{0AC88E95-F5B5-45E7-A114-575C4A24B476}"/>
    <hyperlink ref="O13" r:id="rId3" xr:uid="{A02EF690-43F0-4A82-9704-0063A57B8036}"/>
    <hyperlink ref="O14" r:id="rId4" xr:uid="{53316DDE-696B-4C7B-ACC9-999B3A7C609B}"/>
    <hyperlink ref="O15" r:id="rId5" xr:uid="{909E2397-C51E-40AA-A441-8D26A7EA8E26}"/>
    <hyperlink ref="O16" r:id="rId6" xr:uid="{EA0C60D4-4270-406D-B723-2CD88168CC56}"/>
    <hyperlink ref="O17" r:id="rId7" xr:uid="{565A873C-1ED8-40A4-8637-8EA37B566AC9}"/>
    <hyperlink ref="O18" r:id="rId8" xr:uid="{E3EE1C00-15AB-4F79-9573-30F356D4642A}"/>
    <hyperlink ref="O19" r:id="rId9" xr:uid="{ADB3BCDF-4765-473C-B95D-BE99DBDB1FA8}"/>
    <hyperlink ref="O20" r:id="rId10" xr:uid="{1D2B4957-00BE-488F-8530-485E84512C11}"/>
    <hyperlink ref="O21" r:id="rId11" xr:uid="{B97F1654-36CC-4644-9FC4-6EBA5944FAAC}"/>
    <hyperlink ref="O22" r:id="rId12" xr:uid="{2C4FC755-F449-4AC8-89FF-FAA4EF75B933}"/>
    <hyperlink ref="O23" r:id="rId13" xr:uid="{3CEE3917-189E-44E3-AF22-7004553FEF68}"/>
    <hyperlink ref="O24" r:id="rId14" xr:uid="{88D2E69B-A5C1-4161-A505-4E11C53C3CB4}"/>
    <hyperlink ref="O25" r:id="rId15" xr:uid="{442653E2-C081-4DD0-B0B5-F722C9D71F39}"/>
    <hyperlink ref="O27" r:id="rId16" xr:uid="{BBDE29F0-52FB-4B59-8F64-F3939C44F3D0}"/>
    <hyperlink ref="O29" r:id="rId17" xr:uid="{6C88572D-9653-4AF6-9C7C-19D59002BDE8}"/>
    <hyperlink ref="O28" r:id="rId18" xr:uid="{67D75CE0-FFC8-4C6E-A433-760F5919E9C5}"/>
    <hyperlink ref="O26" r:id="rId19" xr:uid="{E90567CA-8E6F-4A0A-B374-7E031E8541C0}"/>
    <hyperlink ref="O30" r:id="rId20" xr:uid="{291CECF4-A4CA-4E58-9454-ADB951F37E10}"/>
    <hyperlink ref="O31" r:id="rId21" xr:uid="{8D161DC3-FA6D-4017-B384-BD12316EE85B}"/>
    <hyperlink ref="O32" r:id="rId22" xr:uid="{C8B93871-6480-4244-A714-17DAF5860423}"/>
    <hyperlink ref="O33" r:id="rId23" xr:uid="{E6BDF30F-FB6D-4333-B61C-D36545DEF048}"/>
    <hyperlink ref="O35" r:id="rId24" xr:uid="{09D1CBDD-2C1A-4C7B-98A1-9D6D8A726159}"/>
    <hyperlink ref="O34" r:id="rId25" xr:uid="{46135632-8C9C-4EB7-8C80-F24A4C787162}"/>
    <hyperlink ref="O36" r:id="rId26" xr:uid="{E7B482C8-5A92-49D3-AD0C-6DFE1BB6ECF9}"/>
    <hyperlink ref="O37" r:id="rId27" display="mailto:laura.cardona@perfek.com.co" xr:uid="{13D22A7B-5960-456C-A4BF-5E238F36292F}"/>
    <hyperlink ref="O38" r:id="rId28" xr:uid="{F9DBA160-B81C-496C-827E-158F3B8A52EB}"/>
    <hyperlink ref="O39" r:id="rId29" xr:uid="{8B9102C3-EE80-4790-AE75-8DB2E6474068}"/>
    <hyperlink ref="O40" r:id="rId30" xr:uid="{73A52BD2-98AE-47A0-88A2-A8797DD72A31}"/>
    <hyperlink ref="O45" r:id="rId31" xr:uid="{A3B6E149-4993-4BB4-8CBF-85163C393746}"/>
    <hyperlink ref="O48" r:id="rId32" xr:uid="{EC22A00E-70F6-4AD0-B856-705CCFAEFFE4}"/>
    <hyperlink ref="O49" r:id="rId33" xr:uid="{B6C3E680-0A83-45D2-A6D4-5E4F660F20C4}"/>
    <hyperlink ref="O50" r:id="rId34" xr:uid="{AE4599E2-33CF-46B1-8FAF-BF3DF17014FC}"/>
    <hyperlink ref="O52" r:id="rId35" xr:uid="{1836C850-BDFD-4E47-9628-2991FBA1FA96}"/>
    <hyperlink ref="O53" r:id="rId36" xr:uid="{4398A1EA-CBCD-4F8C-83CB-0530C2BE8754}"/>
    <hyperlink ref="O55" r:id="rId37" xr:uid="{FBF61436-C9E8-4403-B99B-BC0B33C2558D}"/>
    <hyperlink ref="O58" r:id="rId38" xr:uid="{01EFF376-DAE7-4C7B-BDD3-49CC332D599A}"/>
    <hyperlink ref="O54" r:id="rId39" xr:uid="{F9270315-B154-432E-B328-FB363654BD11}"/>
    <hyperlink ref="O63" r:id="rId40" display="mailto:jenifer.orozco@ingeniobim.co" xr:uid="{37967BDC-C0CF-4333-ADBD-A4436A74C0FE}"/>
    <hyperlink ref="O64" r:id="rId41" xr:uid="{232FE3CE-D90C-4BE4-8579-D09F0EFF8424}"/>
    <hyperlink ref="O66" r:id="rId42" xr:uid="{69834EC2-1599-4E26-8852-E870CCF7B526}"/>
    <hyperlink ref="O69" r:id="rId43" xr:uid="{5A601FBC-7DE6-490C-9FFD-207056328921}"/>
    <hyperlink ref="O71" r:id="rId44" xr:uid="{9048F6FD-A45A-4E27-9527-D3D0E48D37F3}"/>
    <hyperlink ref="O72" r:id="rId45" xr:uid="{DAD65B87-5BC7-4CC8-B1B1-4479001CA041}"/>
    <hyperlink ref="O73" r:id="rId46" xr:uid="{91F1EB4F-0256-4A58-A8FF-9E1347EA8870}"/>
    <hyperlink ref="O74" r:id="rId47" xr:uid="{5564B1CA-2F6D-478C-A121-05FF1E346393}"/>
    <hyperlink ref="O75" r:id="rId48" xr:uid="{A8CF30FD-92B2-492C-9602-E675BDFF1104}"/>
    <hyperlink ref="O77" r:id="rId49" xr:uid="{DF297474-0903-4218-AA30-13F26151F313}"/>
    <hyperlink ref="O79" r:id="rId50" xr:uid="{FD4258D4-3D8D-4390-AD2A-EC3B39973D99}"/>
    <hyperlink ref="O80" r:id="rId51" xr:uid="{866A2B97-73AD-4996-8DC2-78E32445BB95}"/>
    <hyperlink ref="O81" r:id="rId52" xr:uid="{21357EDF-8889-46D4-8B63-3E2E52D425DD}"/>
    <hyperlink ref="O82" r:id="rId53" xr:uid="{C7485D63-27DD-4406-B705-4869E29EEF7B}"/>
    <hyperlink ref="O84" r:id="rId54" xr:uid="{35D311DD-00A9-47FF-AC56-37AE0EDDB614}"/>
    <hyperlink ref="O85" r:id="rId55" xr:uid="{89942E04-7432-43CF-B77F-4988B0DE4D11}"/>
    <hyperlink ref="O86" r:id="rId56" xr:uid="{8D27B2BF-D883-4B41-BA81-FE0A4721E628}"/>
    <hyperlink ref="O87" r:id="rId57" xr:uid="{04A4AE31-950B-4D35-A270-3175FADBA631}"/>
    <hyperlink ref="O88" r:id="rId58" xr:uid="{9A063E34-024F-4ECC-A0CA-4FE1677DA3F7}"/>
    <hyperlink ref="O89" r:id="rId59" display="mailto:manuela.henao@desur.gov.co" xr:uid="{1896AE24-7FBD-4DEA-98C0-B5B799782BDB}"/>
    <hyperlink ref="O93" r:id="rId60" xr:uid="{3D622DF4-92E0-4EFF-A217-E297D95F9EFF}"/>
    <hyperlink ref="O94" r:id="rId61" xr:uid="{E3B74334-DF63-4C65-B37F-224DA5F216F5}"/>
    <hyperlink ref="O95" r:id="rId62" xr:uid="{7956BB05-A2F9-4C30-AD33-B7D2D49F2243}"/>
    <hyperlink ref="O96" r:id="rId63" xr:uid="{A2B8B98B-DF5C-443C-B18E-094E2C69DD4C}"/>
    <hyperlink ref="O97" r:id="rId64" xr:uid="{47606BEA-E127-48CD-B47B-1D51F4FC0FD3}"/>
    <hyperlink ref="O100" r:id="rId65" xr:uid="{D7E75225-E8B3-4801-A29C-7B23984167F3}"/>
    <hyperlink ref="O101" r:id="rId66" xr:uid="{60F47A61-6EC8-4226-B12A-14AE68481897}"/>
    <hyperlink ref="O102" r:id="rId67" xr:uid="{98430D5F-6425-4ABC-9EC0-801F6AF7AA49}"/>
    <hyperlink ref="O104" r:id="rId68" xr:uid="{9402D6E1-E535-43E3-B846-0BCC0312EAA3}"/>
    <hyperlink ref="O105" r:id="rId69" xr:uid="{FAE1C898-61E8-4D47-9667-630C65100E65}"/>
    <hyperlink ref="O106" r:id="rId70" xr:uid="{CBAD8703-D2AC-4193-A905-1FE1E0670499}"/>
    <hyperlink ref="O107" r:id="rId71" xr:uid="{0D8BB947-7B1B-4C18-BC1D-BB43956F84C2}"/>
    <hyperlink ref="O108" r:id="rId72" xr:uid="{9958BC64-790B-47A5-AC3C-5D333688669F}"/>
    <hyperlink ref="O109" r:id="rId73" xr:uid="{841A0EE2-15D7-4619-87D9-A1013F42AA5C}"/>
    <hyperlink ref="O110" r:id="rId74" xr:uid="{0409CD8F-4E3E-49BF-AD4C-EE812022D5BE}"/>
    <hyperlink ref="O111" r:id="rId75" xr:uid="{633718AA-68E5-44C6-A5F6-60885BE8CF9D}"/>
    <hyperlink ref="O112" r:id="rId76" xr:uid="{6811C93B-3A20-4FA9-8C64-B98E369E67AA}"/>
    <hyperlink ref="O113" r:id="rId77" xr:uid="{0F6FF03D-4992-46CD-BF5C-EECE55DF606E}"/>
    <hyperlink ref="O114" r:id="rId78" xr:uid="{C5969BEF-9F18-4711-BD15-20A15F9E4DCC}"/>
    <hyperlink ref="O115" r:id="rId79" xr:uid="{7169762F-E704-4DFF-9105-2FFA34C9C1EF}"/>
    <hyperlink ref="O116" r:id="rId80" xr:uid="{997E7900-750B-45EE-B5D2-4AB0DFD3F0E0}"/>
    <hyperlink ref="O117" r:id="rId81" xr:uid="{CCBCEB6D-FDDA-4BD5-9A8D-BB12B1B45D3B}"/>
    <hyperlink ref="O118" r:id="rId82" xr:uid="{60B6EFC1-BFBE-4E69-9AFD-F114E19161D5}"/>
    <hyperlink ref="O119" r:id="rId83" xr:uid="{BE4A472B-9EE5-4E03-8851-F6E671504762}"/>
    <hyperlink ref="O120" r:id="rId84" xr:uid="{11589DC3-A6CF-46B6-ACCA-7E79A534E194}"/>
    <hyperlink ref="O123" r:id="rId85" xr:uid="{3A66F13A-5331-4C66-84EB-CA3D6805D05A}"/>
    <hyperlink ref="O124" r:id="rId86" display="mailto:cristinapalacio@mensulaingenieros.com" xr:uid="{80AE9155-3C81-4209-80A2-2B2C549B4CDA}"/>
    <hyperlink ref="O125" r:id="rId87" xr:uid="{66187FB5-EBF8-4E91-BF86-0ED6D7ED59E4}"/>
    <hyperlink ref="O126" r:id="rId88" xr:uid="{B6D9CFA5-7E35-4328-9F23-F514493303B0}"/>
    <hyperlink ref="O128" r:id="rId89" xr:uid="{5F17AE7B-D82A-4378-A600-4AFDB833ED01}"/>
    <hyperlink ref="O129" r:id="rId90" xr:uid="{A54279A4-4AA4-4EDC-9A37-C3C01ADE3CA7}"/>
    <hyperlink ref="O130" r:id="rId91" xr:uid="{249D8DA8-A546-4EA5-B96A-421854BB8468}"/>
    <hyperlink ref="O131" r:id="rId92" xr:uid="{276F9FEC-035E-4AF1-B172-8983E8BD0BB7}"/>
    <hyperlink ref="O132" r:id="rId93" xr:uid="{1CFAD53B-EC0D-4E67-B7B0-AEBB0C2795B0}"/>
    <hyperlink ref="O133" r:id="rId94" xr:uid="{E6163001-F806-4883-99E9-78E3C6AF7C2F}"/>
    <hyperlink ref="O134" r:id="rId95" xr:uid="{129A1ACB-C6A9-4994-994F-EB4BAFF54A23}"/>
    <hyperlink ref="O135" r:id="rId96" xr:uid="{B612FF25-26C1-4E4A-A076-9873EFBE675A}"/>
    <hyperlink ref="O136" r:id="rId97" xr:uid="{4B1C3BE3-A0A1-487D-9A74-C28BC76E1C5A}"/>
    <hyperlink ref="O137" r:id="rId98" xr:uid="{E51B3C93-D147-40A8-A964-AF82249DC26B}"/>
    <hyperlink ref="O138" r:id="rId99" xr:uid="{DEFD49FB-3F3A-4FF7-9AD1-CA6D279B9497}"/>
    <hyperlink ref="O139" r:id="rId100" xr:uid="{C1CA1AD2-1409-47DA-9BE4-15E2AC9C916A}"/>
    <hyperlink ref="O140" r:id="rId101" xr:uid="{283ABC82-8DC5-47F1-ABFB-0559518BA14A}"/>
    <hyperlink ref="O141" r:id="rId102" xr:uid="{EB019AA1-5190-4AC9-A4D4-4AE9696F6EC2}"/>
    <hyperlink ref="O142" r:id="rId103" xr:uid="{F423A93F-F553-48EA-AC8D-B0B33CA460BA}"/>
    <hyperlink ref="O143" r:id="rId104" xr:uid="{B23797F9-1F4A-4548-AB3E-188A9AC991F8}"/>
    <hyperlink ref="O145" r:id="rId105" xr:uid="{6809E567-373B-45E0-8083-D2656C59E737}"/>
    <hyperlink ref="O146" r:id="rId106" xr:uid="{C8F34048-89E3-4288-9D0B-A8B0213B6F9D}"/>
    <hyperlink ref="O147" r:id="rId107" xr:uid="{1571539D-0464-467F-9BEF-23B3C6F42ECA}"/>
    <hyperlink ref="O149" r:id="rId108" xr:uid="{8873CCB4-4F4A-4E2B-B28C-22BD6FA1318D}"/>
    <hyperlink ref="O148" r:id="rId109" xr:uid="{1945377D-EA54-4D12-8D60-2DD821F2F131}"/>
    <hyperlink ref="O150" r:id="rId110" xr:uid="{A225BBED-8063-4BC1-AE97-6A9A79914A49}"/>
    <hyperlink ref="O151" r:id="rId111" xr:uid="{DF07BB31-7B02-427E-A658-F2AEECB1A9EE}"/>
    <hyperlink ref="O152" r:id="rId112" xr:uid="{ECB37AD4-6D3A-4AAD-A714-20149911A552}"/>
    <hyperlink ref="O153" r:id="rId113" xr:uid="{52A00E31-7EB3-46F9-B305-6A744E6A12B6}"/>
    <hyperlink ref="O154" r:id="rId114" xr:uid="{B35F2037-FD99-4EF8-BBB5-0CE264795254}"/>
    <hyperlink ref="O161" r:id="rId115" xr:uid="{E0A5764E-D471-49B9-AB01-3D153A4542AD}"/>
    <hyperlink ref="O155" r:id="rId116" xr:uid="{F542AB1F-8ED2-47FB-8A91-EB73536D2FFD}"/>
    <hyperlink ref="O156" r:id="rId117" xr:uid="{C747F74F-0718-4F10-8696-577F77DCC045}"/>
    <hyperlink ref="O157" r:id="rId118" xr:uid="{5B4340FC-23CB-4F75-873B-08412260EA3A}"/>
    <hyperlink ref="O158" r:id="rId119" xr:uid="{2151301F-BEF7-4FD5-9823-356EAD80CCD0}"/>
    <hyperlink ref="O159" r:id="rId120" xr:uid="{DB4D2ADC-6233-4727-9A81-0348969B3E4A}"/>
    <hyperlink ref="O160" r:id="rId121" xr:uid="{E191DB08-B80D-4BD3-8622-44CA398EC3B8}"/>
    <hyperlink ref="O162" r:id="rId122" xr:uid="{DD176AE1-7F49-4D0E-8341-E936047966F0}"/>
    <hyperlink ref="O163" r:id="rId123" xr:uid="{DE2CF46A-2807-4122-92E0-260E3277C76C}"/>
    <hyperlink ref="O164" r:id="rId124" xr:uid="{A841399C-B30F-4433-8098-5FCA99DF8AF1}"/>
    <hyperlink ref="O165" r:id="rId125" xr:uid="{13A0D84B-DA41-4CEA-B1FE-1F8F2B3024F1}"/>
    <hyperlink ref="O166" r:id="rId126" xr:uid="{3AA88AF9-C627-4E5D-9E65-C3BA89C7EE06}"/>
    <hyperlink ref="O167" r:id="rId127" xr:uid="{9400AEA7-74F3-4FAB-AC17-FCA08367774F}"/>
    <hyperlink ref="O168" r:id="rId128" xr:uid="{711595F8-EAA1-41CB-B30D-77A7388BBAE6}"/>
    <hyperlink ref="O169" r:id="rId129" xr:uid="{63114D75-6ACB-470F-A645-FCF0AE605803}"/>
    <hyperlink ref="O170" r:id="rId130" xr:uid="{5BE7C85A-71D9-4894-A71D-A7759121751F}"/>
    <hyperlink ref="O171" r:id="rId131" xr:uid="{5C46C86B-78C5-4845-B3A8-5D904CDFFE53}"/>
    <hyperlink ref="O172" r:id="rId132" xr:uid="{209ECD5E-0143-47FB-92FD-35332AF9598E}"/>
    <hyperlink ref="O174" r:id="rId133" xr:uid="{47F70935-EC70-4966-A3EA-269A584CD5B9}"/>
    <hyperlink ref="O175" r:id="rId134" xr:uid="{9A4236AC-B1A6-472E-BA32-6FA20F27F3B8}"/>
    <hyperlink ref="O176" r:id="rId135" xr:uid="{BE86C339-C163-4F04-B6E8-B7AB0C108D63}"/>
    <hyperlink ref="O177" r:id="rId136" xr:uid="{8BB712B5-C86C-42B6-BACC-9A0375311296}"/>
    <hyperlink ref="O178" r:id="rId137" xr:uid="{3D3DFA06-E357-428B-A3F5-344B8CEA25C0}"/>
    <hyperlink ref="O181" r:id="rId138" xr:uid="{6F3D1815-9859-4978-8393-8408E9CDFD59}"/>
    <hyperlink ref="O182" r:id="rId139" xr:uid="{EBA56A74-2D98-49B8-AD29-222AE7AAB47A}"/>
    <hyperlink ref="O183" r:id="rId140" xr:uid="{18C3962A-0C11-4DB8-AC77-4E3D0F4467B4}"/>
    <hyperlink ref="O185" r:id="rId141" xr:uid="{2E95BCFB-C6EE-4CE6-B822-066A23C17BFC}"/>
    <hyperlink ref="O184" r:id="rId142" xr:uid="{0F32B967-3F94-4048-8601-B7BD21409016}"/>
    <hyperlink ref="O186" r:id="rId143" xr:uid="{195A36AC-3742-4A88-B51C-095B5A0F7724}"/>
    <hyperlink ref="O187" r:id="rId144" xr:uid="{E5DAC71A-187B-4C54-ADDC-47A5A4546624}"/>
    <hyperlink ref="O188" r:id="rId145" xr:uid="{3C0E64A5-E095-4B65-BE03-66556457C4D1}"/>
    <hyperlink ref="O189" r:id="rId146" xr:uid="{FFBB8502-3E87-449C-9661-0C80467F4737}"/>
    <hyperlink ref="O190" r:id="rId147" xr:uid="{EC91755C-D4D0-4CA7-8799-5C626FF1856F}"/>
    <hyperlink ref="O191" r:id="rId148" xr:uid="{7F10EA10-EACD-4DAC-9227-7D7D84AA7FF3}"/>
    <hyperlink ref="O192" r:id="rId149" xr:uid="{F46FBBF7-9DCC-4F79-AFEB-DD23EFB1F930}"/>
    <hyperlink ref="O195" r:id="rId150" xr:uid="{6EDC190F-A16E-4D71-8D38-A129215FC229}"/>
    <hyperlink ref="O196" r:id="rId151" xr:uid="{C8052E6A-1213-4479-B4EC-EAF2465E0387}"/>
    <hyperlink ref="O198" r:id="rId152" xr:uid="{6054BB98-13F6-45F2-A277-D618DDA85CB7}"/>
    <hyperlink ref="O199" r:id="rId153" xr:uid="{DC27292E-512A-4C46-8054-9E772F5862A5}"/>
    <hyperlink ref="O197" r:id="rId154" xr:uid="{5471C9B7-65EB-430F-A9E2-4DFF7B95D6DE}"/>
    <hyperlink ref="O200" r:id="rId155" xr:uid="{D785C983-C000-44BC-B3F7-7D942D9BF55C}"/>
    <hyperlink ref="O203" r:id="rId156" xr:uid="{8A96A177-C1FB-4A50-A536-BA39711432FC}"/>
    <hyperlink ref="O202" r:id="rId157" xr:uid="{33D7165E-3286-4CF1-9B6D-8548B8499CBA}"/>
    <hyperlink ref="O205" r:id="rId158" xr:uid="{F2C596BA-F8BD-47B5-BB00-0166C0C24E70}"/>
    <hyperlink ref="O206" r:id="rId159" xr:uid="{2C68D76E-6008-4116-92BB-5CC76EB1D916}"/>
    <hyperlink ref="O207" r:id="rId160" xr:uid="{DEE67B5F-2C61-44A6-80A5-6E7F6A497F07}"/>
    <hyperlink ref="O208" r:id="rId161" xr:uid="{E67BDF19-BD86-43B0-99CC-FA05A4DA38D2}"/>
    <hyperlink ref="O209" r:id="rId162" xr:uid="{BA7D2553-5DDF-40D7-A6B0-B5CAC377F25D}"/>
    <hyperlink ref="O210" r:id="rId163" xr:uid="{F385E31C-CEC2-4CC5-82D4-E478C9A86683}"/>
    <hyperlink ref="O211" r:id="rId164" xr:uid="{2812775D-1A17-4B8C-A884-6F42DBA71C62}"/>
    <hyperlink ref="O212" r:id="rId165" xr:uid="{9BB7648A-1588-448A-A8A5-458991451358}"/>
    <hyperlink ref="O213" r:id="rId166" xr:uid="{6DE30914-29AA-4569-8EE0-591B4F4E9301}"/>
    <hyperlink ref="O214" r:id="rId167" xr:uid="{5140630E-8F5E-4F81-89C4-EFA26F56F637}"/>
    <hyperlink ref="O215" r:id="rId168" xr:uid="{C186BFEF-F237-4FD8-B4F7-F660D71A0562}"/>
    <hyperlink ref="O216" r:id="rId169" xr:uid="{45567D70-CFC5-4B9C-A5F2-3C560E8B2A91}"/>
    <hyperlink ref="O217" r:id="rId170" xr:uid="{2379DD3E-FBD1-4ED2-8EC2-F8F81A9A47F4}"/>
    <hyperlink ref="O218" r:id="rId171" xr:uid="{948F0C51-8A75-45BE-97DE-E74F168378AD}"/>
    <hyperlink ref="O219" r:id="rId172" xr:uid="{0723C2E5-6E76-47A3-ADE2-43E368876995}"/>
    <hyperlink ref="O220" r:id="rId173" xr:uid="{E9288994-9EB1-4F53-A00B-99AD8D724138}"/>
    <hyperlink ref="O221" r:id="rId174" xr:uid="{6AC119A8-3283-48FE-AF4F-D8B1374195AE}"/>
    <hyperlink ref="O222" r:id="rId175" xr:uid="{77178C21-EA3B-4132-AE79-A064C79A0408}"/>
    <hyperlink ref="O223" r:id="rId176" xr:uid="{3858156C-5937-43BE-BFB5-569CF005F7B3}"/>
    <hyperlink ref="O224" r:id="rId177" xr:uid="{51588808-FA74-421F-AAD8-94046E6C9D71}"/>
    <hyperlink ref="O225" r:id="rId178" xr:uid="{7D14DA61-B715-4E85-AD49-CE01611426F7}"/>
    <hyperlink ref="O227" r:id="rId179" xr:uid="{407D4053-98FF-4B29-922E-7CBE5EC5C6DD}"/>
    <hyperlink ref="O228" r:id="rId180" xr:uid="{147C6D51-B5F1-450C-BBA3-9355091438CC}"/>
    <hyperlink ref="O229" r:id="rId181" xr:uid="{EA4DB504-CF81-47F3-991D-EAE45A241573}"/>
    <hyperlink ref="O231" r:id="rId182" xr:uid="{0B9B6F79-5ED3-4411-97B8-6053A54B45A3}"/>
    <hyperlink ref="O234" r:id="rId183" xr:uid="{DC51C7DC-9FD2-43AE-9FB0-7526F87CC316}"/>
    <hyperlink ref="O232" r:id="rId184" xr:uid="{4D5C612E-0684-49B2-94FC-1E5410804564}"/>
    <hyperlink ref="O233" r:id="rId185" xr:uid="{8E955C62-FE9B-437D-8507-1A27E0615EC5}"/>
    <hyperlink ref="O235" r:id="rId186" xr:uid="{30045B8F-BD93-40AB-BE5F-BC0581B22014}"/>
    <hyperlink ref="O236" r:id="rId187" xr:uid="{4FB9C0FB-D25B-49CD-9061-53D4BEF33C7F}"/>
    <hyperlink ref="O237" r:id="rId188" xr:uid="{4A36CA91-F046-4D58-AE97-17D039CB9654}"/>
    <hyperlink ref="O238" r:id="rId189" xr:uid="{13A7AD9F-65C7-431B-9766-04A8133FA47D}"/>
    <hyperlink ref="O240" r:id="rId190" xr:uid="{D98E035E-7349-4499-8933-158B65BDE4DA}"/>
    <hyperlink ref="O241" r:id="rId191" xr:uid="{2FFF9825-EF86-4B3D-A9A3-9542DFB9BBAD}"/>
    <hyperlink ref="O242" r:id="rId192" xr:uid="{5E30D3C1-BE45-4926-BCE6-D9A3C943C23F}"/>
    <hyperlink ref="O243" r:id="rId193" xr:uid="{1086843A-4270-4827-9DA5-921B6B7CC4CF}"/>
    <hyperlink ref="O245" r:id="rId194" xr:uid="{86C14BC0-425A-4E69-A22D-52A505F87521}"/>
    <hyperlink ref="O246" r:id="rId195" xr:uid="{9FD9EB4D-0436-423F-B36A-2F9336D5E373}"/>
    <hyperlink ref="O247" r:id="rId196" xr:uid="{A586D7AF-0A37-4D6B-B489-9EDC51BA04CE}"/>
    <hyperlink ref="O248" r:id="rId197" xr:uid="{B1C3474F-E123-4650-9568-0ED4966D5EF7}"/>
    <hyperlink ref="O250" r:id="rId198" xr:uid="{A7C8DC73-B943-4E49-AE29-95FD978D8622}"/>
    <hyperlink ref="O251" r:id="rId199" xr:uid="{D3E1A0B0-B552-4BA2-B25B-ABB04FD830D9}"/>
    <hyperlink ref="O252" r:id="rId200" xr:uid="{002730D9-EAA4-44F2-8598-C9A69F24B429}"/>
    <hyperlink ref="O255" r:id="rId201" xr:uid="{626DD098-C55F-49B0-A226-5F5AE88F310F}"/>
    <hyperlink ref="O256" r:id="rId202" xr:uid="{FFEEC65F-E542-4866-A5F7-D2CF821B3E90}"/>
    <hyperlink ref="O257" r:id="rId203" xr:uid="{2A999802-54DE-411E-A47C-4B3A83994E40}"/>
    <hyperlink ref="O260" r:id="rId204" xr:uid="{908F616A-D3DB-4386-A376-A5DF77ABC66D}"/>
    <hyperlink ref="O261" r:id="rId205" xr:uid="{A96F8085-4896-4C63-A74A-C0EFF7654CB8}"/>
    <hyperlink ref="O262" r:id="rId206" xr:uid="{BBC4148E-2A1C-42E1-B0ED-545075224F7F}"/>
    <hyperlink ref="O263" r:id="rId207" xr:uid="{4C45DDE4-22B3-4FD7-85B7-285D800A1CCF}"/>
    <hyperlink ref="O264" r:id="rId208" xr:uid="{74E4F60C-C6F9-4813-BF61-01DED6B1DE86}"/>
    <hyperlink ref="O265" r:id="rId209" xr:uid="{764601A2-5AC6-4E94-AE49-8F3EC9386748}"/>
    <hyperlink ref="O266" r:id="rId210" xr:uid="{BA58AB5E-83B1-4D92-A4BD-7044D8397CAE}"/>
    <hyperlink ref="O267" r:id="rId211" xr:uid="{24DEFDF5-9901-49AD-B7A0-9E89B463AE18}"/>
    <hyperlink ref="O268" r:id="rId212" xr:uid="{5FB5FD1B-885A-4C5A-BFDC-66592AABA499}"/>
    <hyperlink ref="O271" r:id="rId213" xr:uid="{11615F2E-AFA9-4F19-B719-D22B99897B5B}"/>
    <hyperlink ref="O272" r:id="rId214" xr:uid="{6AC91228-3F96-407E-88D7-81A78B24FFF9}"/>
    <hyperlink ref="O273" r:id="rId215" xr:uid="{306F0E99-28F8-4D5B-A262-CF04A9048136}"/>
    <hyperlink ref="O274" r:id="rId216" xr:uid="{64994364-65D5-420E-B0BB-936A1D1413CE}"/>
    <hyperlink ref="O275" r:id="rId217" xr:uid="{7550FF42-1FEB-4756-9F39-157738EFEAA5}"/>
    <hyperlink ref="O281" r:id="rId218" xr:uid="{C4A965CC-C7AD-4F5C-B013-92EB15256C12}"/>
    <hyperlink ref="O282" r:id="rId219" xr:uid="{5C736F1B-ABA5-4798-8776-A9204D5E79F1}"/>
    <hyperlink ref="O284" r:id="rId220" xr:uid="{08D090DA-449D-4E7E-8A6E-9E8C5C1DBA0D}"/>
    <hyperlink ref="O285" r:id="rId221" xr:uid="{E21A6D3F-698D-47DD-9CD1-8BDA5E9CFFE3}"/>
    <hyperlink ref="O286" r:id="rId222" xr:uid="{B42D0C8D-1989-4612-A9A5-5F9366F7FA6C}"/>
    <hyperlink ref="O287" r:id="rId223" xr:uid="{8D0B5EE1-E9A9-48FC-8BFF-ED245DEFDE1D}"/>
    <hyperlink ref="O288" r:id="rId224" xr:uid="{6E7056FD-6759-4EDE-B2A2-671438CEA7A4}"/>
    <hyperlink ref="O289" r:id="rId225" xr:uid="{43325E4F-A703-4BD6-A1E2-EF9EF3E28B0F}"/>
    <hyperlink ref="O290" r:id="rId226" xr:uid="{5EAC7AC9-993B-4AD8-9759-E71B0772A8E2}"/>
    <hyperlink ref="O291" r:id="rId227" xr:uid="{30F23173-C78B-49CE-BAF3-5038EECE8868}"/>
    <hyperlink ref="O292" r:id="rId228" xr:uid="{1F6D5069-FC39-4C8C-9558-B3B9AFC5F1E3}"/>
    <hyperlink ref="O57" r:id="rId229" xr:uid="{D0BD3AEF-D259-4CE8-B6C3-968C1C4363D2}"/>
    <hyperlink ref="O293" r:id="rId230" xr:uid="{7EDC7995-EBBD-4537-A56E-8E4766B599B7}"/>
    <hyperlink ref="O294" r:id="rId231" xr:uid="{F83CB924-5827-4552-B86F-C8613B3F34A0}"/>
    <hyperlink ref="O295" r:id="rId232" xr:uid="{24474A17-E1B9-4411-841C-39E82D9AC0FA}"/>
    <hyperlink ref="O297" r:id="rId233" xr:uid="{1E79FED4-0227-4E81-B97B-2D42D2C1064D}"/>
    <hyperlink ref="O298" r:id="rId234" xr:uid="{082BE6E9-0348-4B8F-AB97-295D8DD713E2}"/>
    <hyperlink ref="O299" r:id="rId235" xr:uid="{FAC897F3-2E9D-4090-89DF-313E8C5EB0F8}"/>
    <hyperlink ref="O300" r:id="rId236" xr:uid="{A2AEB0BE-FF6D-457A-B81B-8EF893814A8E}"/>
    <hyperlink ref="O301" r:id="rId237" xr:uid="{A0C52793-B225-4613-9898-F196874DE194}"/>
    <hyperlink ref="O303" r:id="rId238" xr:uid="{1517F9F1-30AF-42B0-94C2-3A93B0FBAED3}"/>
    <hyperlink ref="O302" r:id="rId239" xr:uid="{FA288EF9-9261-4A36-97D0-D9514FB3058F}"/>
    <hyperlink ref="O304" r:id="rId240" xr:uid="{2C467350-03C0-419F-BD44-01FCDFDF7983}"/>
    <hyperlink ref="O305" r:id="rId241" xr:uid="{F75E8131-5DF6-4297-9756-D100F1DF168C}"/>
    <hyperlink ref="O307" r:id="rId242" xr:uid="{21FBEA70-35D3-4F1B-B81B-2184FD876064}"/>
    <hyperlink ref="O306" r:id="rId243" xr:uid="{FD54AC4A-8600-472D-8158-01EA9E808F2B}"/>
    <hyperlink ref="O308" r:id="rId244" xr:uid="{160055A0-0D52-4ECB-9065-4FC1DE697146}"/>
    <hyperlink ref="O309" r:id="rId245" xr:uid="{4ECBA836-86B2-4284-A6DC-281E0DF139D9}"/>
    <hyperlink ref="O310" r:id="rId246" xr:uid="{E66F0696-11A3-438A-907E-04BD69BC39E2}"/>
    <hyperlink ref="O311" r:id="rId247" xr:uid="{533F175A-C4D1-4F8D-8C54-E3F37014D96B}"/>
    <hyperlink ref="O314" r:id="rId248" xr:uid="{47B2A572-5655-40B5-AF0C-FD26EBCEAD9A}"/>
    <hyperlink ref="O316" r:id="rId249" xr:uid="{A87D79F0-8161-4778-9422-C2C2C641870C}"/>
    <hyperlink ref="O315" r:id="rId250" xr:uid="{83BFBAA2-753C-460C-8898-E2D62A5E3BF5}"/>
    <hyperlink ref="O319" r:id="rId251" xr:uid="{129ABF3D-9372-4068-8B76-9CF66E375205}"/>
    <hyperlink ref="O318" r:id="rId252" xr:uid="{8761052D-0BAD-4AE7-B0F3-02084369139E}"/>
    <hyperlink ref="O320" r:id="rId253" xr:uid="{D04B6BD4-69F0-4D48-A533-562B9F7A3FB8}"/>
    <hyperlink ref="O321" r:id="rId254" xr:uid="{842F4CA5-B004-451A-ADC1-E98336C7A525}"/>
    <hyperlink ref="O322" r:id="rId255" xr:uid="{E909AD16-F9F5-41C1-AD15-FED1CD6ABA48}"/>
    <hyperlink ref="O323" r:id="rId256" xr:uid="{05AE0018-93E9-4362-ADA9-4168D9F74215}"/>
    <hyperlink ref="O324" r:id="rId257" xr:uid="{38CF8544-2588-4B96-AF37-17376632147E}"/>
    <hyperlink ref="O325" r:id="rId258" xr:uid="{67BEFB73-1691-4E1D-946B-F55BE7315925}"/>
    <hyperlink ref="O326" r:id="rId259" xr:uid="{A77FF69F-DB12-4D9E-8218-2308201C767A}"/>
    <hyperlink ref="O327" r:id="rId260" xr:uid="{FE4149D9-9C1F-40F9-9EE5-675521AF9246}"/>
    <hyperlink ref="O328" r:id="rId261" xr:uid="{624D3F99-9506-4CED-9611-7D950004A0F0}"/>
    <hyperlink ref="O329" r:id="rId262" xr:uid="{06967536-8C4F-4C4C-95C3-A9F6CB0B8014}"/>
    <hyperlink ref="O330" r:id="rId263" xr:uid="{BB276F50-71E9-4C68-927F-3D2FDE7A140E}"/>
    <hyperlink ref="O331" r:id="rId264" xr:uid="{0FC0429E-B450-4F33-9256-D0CDB6AE2F75}"/>
    <hyperlink ref="O332" r:id="rId265" xr:uid="{80689E48-A6B4-4E38-B620-2ADCF9D96132}"/>
    <hyperlink ref="O333" r:id="rId266" xr:uid="{9E7C019D-4277-4CBD-BF1D-3448116829D9}"/>
    <hyperlink ref="O335" r:id="rId267" xr:uid="{6CCDDB41-077C-4CB3-B264-7FE48AA2C2EA}"/>
    <hyperlink ref="O336" r:id="rId268" xr:uid="{B32F24FA-730B-4811-8546-FE880F40678A}"/>
    <hyperlink ref="O334" r:id="rId269" xr:uid="{D2A7AA91-27E4-490C-A969-8E3506C37B98}"/>
    <hyperlink ref="O337" r:id="rId270" xr:uid="{CA53F90C-DCD8-4BF4-B035-FA2FCED50382}"/>
    <hyperlink ref="O339" r:id="rId271" xr:uid="{BDD3484B-07BA-4BBB-8C60-6384C5832015}"/>
    <hyperlink ref="O340" r:id="rId272" xr:uid="{30F6787B-128D-47D8-9F0F-8523E34B0BA7}"/>
    <hyperlink ref="O341" r:id="rId273" xr:uid="{67A2F5CD-244C-488E-9B67-C769786FB509}"/>
    <hyperlink ref="O342" r:id="rId274" xr:uid="{0AE76A46-F4FD-4C3F-B546-1F3F15BD7777}"/>
    <hyperlink ref="O344" r:id="rId275" xr:uid="{E3E85077-D0F3-41C4-B2FD-F38428DEA097}"/>
    <hyperlink ref="O345" r:id="rId276" xr:uid="{D50D81BF-C073-48A4-B333-889A0BC0F882}"/>
    <hyperlink ref="O346" r:id="rId277" xr:uid="{C822E3BE-8DC9-489A-9C68-BF5172BB90B2}"/>
    <hyperlink ref="O347" r:id="rId278" xr:uid="{ABC6D5A8-2CD7-4D3E-9E06-540DEEB54398}"/>
    <hyperlink ref="O348" r:id="rId279" xr:uid="{C37FDF14-2641-4826-B6A7-9A104665E482}"/>
    <hyperlink ref="O349" r:id="rId280" xr:uid="{9F3D78AA-A048-4F31-BDB1-8FECE8BD4E3D}"/>
    <hyperlink ref="O350" r:id="rId281" xr:uid="{16050890-D57D-4AB8-A8EC-559BAE4BE52A}"/>
    <hyperlink ref="O351" r:id="rId282" xr:uid="{312F5649-3F51-42FF-99BF-EC0B024F6961}"/>
    <hyperlink ref="O352" r:id="rId283" xr:uid="{9FE04994-42DE-4570-A6F8-16014D2657CD}"/>
    <hyperlink ref="O353" r:id="rId284" xr:uid="{37BAA206-D68D-4E24-ADBE-7177F09405D2}"/>
    <hyperlink ref="O317" r:id="rId285" xr:uid="{8F6A6525-4D35-43D4-B6B9-964D0B013C4F}"/>
    <hyperlink ref="O354" r:id="rId286" xr:uid="{2615FC41-E7B5-42A8-B102-A6EB53E111A8}"/>
    <hyperlink ref="O355" r:id="rId287" xr:uid="{95726724-5CC0-439C-B48A-55FF9DB928AB}"/>
    <hyperlink ref="O356" r:id="rId288" xr:uid="{61934827-DE53-4F8E-A02D-17FB6117B48C}"/>
    <hyperlink ref="O357" r:id="rId289" xr:uid="{BFA8DDC8-FB65-4310-8AFF-AD2787BEAFC4}"/>
    <hyperlink ref="O358" r:id="rId290" xr:uid="{F52681EE-716A-482A-8C46-EF97E7B23E3D}"/>
    <hyperlink ref="O359" r:id="rId291" xr:uid="{647E3483-6D43-483D-B7D1-8503D03F2EB7}"/>
    <hyperlink ref="O361" r:id="rId292" xr:uid="{9FC36AD4-4D2E-4E4E-9164-A3FC51730E04}"/>
    <hyperlink ref="O362" r:id="rId293" xr:uid="{67CBAA23-30D3-486C-A012-23E85DF6BE42}"/>
    <hyperlink ref="O363" r:id="rId294" xr:uid="{C8419338-E554-4ED9-A6AD-D05680F0BDAA}"/>
    <hyperlink ref="O367" r:id="rId295" xr:uid="{B83AF18A-E5F5-4788-B829-8A0FB56CCFD7}"/>
    <hyperlink ref="O369" r:id="rId296" xr:uid="{692953DD-6808-4E5C-8259-D25FCBA2C169}"/>
    <hyperlink ref="O370" r:id="rId297" xr:uid="{CF78B9C4-4163-4257-B43F-55525ECBB5AE}"/>
    <hyperlink ref="O372" r:id="rId298" xr:uid="{F9047F47-DE87-4B00-B260-0E1F3179AE5F}"/>
    <hyperlink ref="O371" r:id="rId299" xr:uid="{4C4BEF94-E742-4795-87DB-84C676504A1B}"/>
    <hyperlink ref="O373" r:id="rId300" xr:uid="{2420FCD7-B54F-4D50-97AB-455D82AE8E45}"/>
    <hyperlink ref="O374" r:id="rId301" xr:uid="{2643F562-065D-4887-AB25-72609C843424}"/>
    <hyperlink ref="O375" r:id="rId302" xr:uid="{18536449-89E0-4351-B7B2-84604A56E734}"/>
    <hyperlink ref="O376" r:id="rId303" xr:uid="{1D54F3B9-037D-4C45-BBBA-BFAED63B06BC}"/>
    <hyperlink ref="O377" r:id="rId304" xr:uid="{ACE2AA26-5FB0-4CA7-9EDA-80D8BE032BEA}"/>
    <hyperlink ref="O378" r:id="rId305" xr:uid="{DA60713D-FDB7-4DB8-BE61-3FF0E0B03857}"/>
    <hyperlink ref="O379" r:id="rId306" xr:uid="{B7CB61A8-213F-4289-8349-FA3B0EB551C2}"/>
    <hyperlink ref="O380" r:id="rId307" xr:uid="{2BE5CA8F-F87D-478D-A775-C50C59C66AED}"/>
    <hyperlink ref="O381" r:id="rId308" xr:uid="{F106FD34-BF40-47A8-8B9D-854936A2BC57}"/>
    <hyperlink ref="O382" r:id="rId309" xr:uid="{F45516BA-0902-44E8-B88B-0016819977E8}"/>
    <hyperlink ref="O383" r:id="rId310" xr:uid="{C0B99469-72BE-42C9-8FF3-92785B45A716}"/>
    <hyperlink ref="O384" r:id="rId311" xr:uid="{A35C518E-BE37-48A4-86ED-B2C6B331C548}"/>
    <hyperlink ref="O385" r:id="rId312" xr:uid="{E027FB3F-1418-4908-83E7-418758698426}"/>
    <hyperlink ref="O386" r:id="rId313" xr:uid="{EDE4E2C7-4D9C-4F87-A048-DD0819FE54F6}"/>
    <hyperlink ref="O387" r:id="rId314" xr:uid="{BBA21DB0-CFC9-4E13-A009-C730D9A01DF1}"/>
    <hyperlink ref="O388" r:id="rId315" xr:uid="{850C6F2A-E2BA-4790-A005-34D3B6E189CC}"/>
    <hyperlink ref="O389" r:id="rId316" xr:uid="{3C0A38B3-42AC-4C1F-BEC9-DE6B0108B818}"/>
    <hyperlink ref="O390" r:id="rId317" xr:uid="{15B16ED2-2275-48AB-B383-3D416D31A0EA}"/>
    <hyperlink ref="O391" r:id="rId318" xr:uid="{176EC0E1-F904-4D89-9A37-EF3DD59A5D06}"/>
    <hyperlink ref="O392" r:id="rId319" xr:uid="{BFC7B6FD-835A-4B1D-BD59-AAC1BC124F46}"/>
    <hyperlink ref="O393" r:id="rId320" xr:uid="{EE30400D-DA76-4AE3-A283-58207D91E790}"/>
    <hyperlink ref="O396" r:id="rId321" xr:uid="{DD0CE895-447B-49C2-849F-CCEAB05CE65F}"/>
    <hyperlink ref="O399" r:id="rId322" xr:uid="{21584192-6C26-40EC-8875-C7B237326C3E}"/>
    <hyperlink ref="O400" r:id="rId323" xr:uid="{C2A84185-F6A0-4624-8938-31A5137CEC11}"/>
    <hyperlink ref="O401" r:id="rId324" xr:uid="{C5A1EC38-7835-4C7F-9D13-20AAD0008D49}"/>
    <hyperlink ref="O402" r:id="rId325" xr:uid="{47E7E604-51B8-4395-8B41-D7B744EC7E40}"/>
    <hyperlink ref="O404" r:id="rId326" xr:uid="{8A232BCD-5E90-4F6C-894C-8D2216145A03}"/>
    <hyperlink ref="O403" r:id="rId327" xr:uid="{D2240279-8AD4-4BEF-9FB0-12352C50E7EC}"/>
    <hyperlink ref="O405" r:id="rId328" xr:uid="{B034B420-E54E-4A98-A2E2-A956142009D7}"/>
    <hyperlink ref="O395" r:id="rId329" xr:uid="{E071CA20-DE47-43BA-9B5A-161C631035A3}"/>
    <hyperlink ref="O394" r:id="rId330" xr:uid="{87B92E99-A2B9-460C-8EA9-6D0A63F58647}"/>
    <hyperlink ref="O397" r:id="rId331" xr:uid="{E509ACC7-F8BF-4EE1-9361-67F5E34BF0A5}"/>
    <hyperlink ref="O408" r:id="rId332" xr:uid="{91931712-BEE6-4CD8-AD97-10F505AE0C5B}"/>
    <hyperlink ref="O409" r:id="rId333" xr:uid="{E57AA762-E7D4-43BD-A5E6-ADCFF0F945BA}"/>
    <hyperlink ref="O410" r:id="rId334" xr:uid="{59256B54-119C-4B60-BC5D-CEEC36BD2752}"/>
    <hyperlink ref="O411" r:id="rId335" xr:uid="{83254431-62FB-4028-A3E3-44244CF054AC}"/>
    <hyperlink ref="O412" r:id="rId336" xr:uid="{8367F704-28ED-4054-AB14-FAED6A552B89}"/>
    <hyperlink ref="O414" r:id="rId337" display="mailto:cristinapalacio@mensulaingenieros.com" xr:uid="{6D3C3A32-E85D-4763-BE7B-DBB2F7B813C8}"/>
    <hyperlink ref="O416" r:id="rId338" xr:uid="{E43725C7-A0F8-447B-BD80-5107BDAF7617}"/>
    <hyperlink ref="O420" r:id="rId339" xr:uid="{2F4564A6-EF13-44CE-86B3-61C9B71FCA23}"/>
    <hyperlink ref="O419" r:id="rId340" xr:uid="{8DE12C96-A1A6-477C-AD0E-8F6921D57940}"/>
    <hyperlink ref="O423" r:id="rId341" xr:uid="{80D287BD-DC19-4520-B489-2A33BA1E4885}"/>
    <hyperlink ref="O424" r:id="rId342" xr:uid="{9366B656-05A4-4CED-811B-F445F9A39244}"/>
    <hyperlink ref="O425" r:id="rId343" xr:uid="{A4B224F9-0065-4A32-B646-962EE5CF097C}"/>
    <hyperlink ref="O426" r:id="rId344" xr:uid="{385F8013-3DDC-43AD-AD0D-BE268A486A2C}"/>
    <hyperlink ref="O421" r:id="rId345" xr:uid="{5DF9E6A5-96EA-4099-9E7E-EA296DB04A0D}"/>
    <hyperlink ref="O415" r:id="rId346" xr:uid="{2A3EC47C-4AB7-42C1-BEB9-724D1C64C97E}"/>
    <hyperlink ref="O413" r:id="rId347" xr:uid="{DA283043-445A-49F9-97ED-C521ADE5BF0D}"/>
    <hyperlink ref="O406" r:id="rId348" xr:uid="{B6F42631-3ACD-4F76-976F-7D1CBBF89957}"/>
    <hyperlink ref="O427" r:id="rId349" xr:uid="{564B5885-97E0-46E3-A6F2-008623D26308}"/>
    <hyperlink ref="O429" r:id="rId350" xr:uid="{AFA0877B-A999-4722-A5A4-23681D491605}"/>
    <hyperlink ref="O430" r:id="rId351" xr:uid="{20626195-1858-4991-B2DD-4936491D3B81}"/>
    <hyperlink ref="O431" r:id="rId352" xr:uid="{7C51B587-78C2-4515-9C60-4B9A61EBABBD}"/>
    <hyperlink ref="O432" r:id="rId353" xr:uid="{56612BE1-8521-40C9-A17D-0086C2A03837}"/>
    <hyperlink ref="O433" r:id="rId354" xr:uid="{BD2CB453-4F5A-4F01-BE63-BAE58D52455D}"/>
    <hyperlink ref="O434" r:id="rId355" xr:uid="{66795FC0-BBFC-4B92-AD08-2E0CDEC203CE}"/>
    <hyperlink ref="O435" r:id="rId356" xr:uid="{A1E9890E-9A37-44CF-8212-FDEFB57873DE}"/>
    <hyperlink ref="O437" r:id="rId357" xr:uid="{4DF97D5E-4573-4C20-9B68-CBD5E6264165}"/>
    <hyperlink ref="O436" r:id="rId358" xr:uid="{3B883A00-8994-48FF-8F69-A15F34A9110E}"/>
    <hyperlink ref="O438" r:id="rId359" xr:uid="{8107CB61-7B85-4A13-A17C-DD6F32984412}"/>
    <hyperlink ref="O439" r:id="rId360" xr:uid="{DBCC1A7E-3599-40A6-BCF8-F7DF5F70DA9F}"/>
    <hyperlink ref="O440" r:id="rId361" xr:uid="{C220CAE8-92F9-48B4-9694-0E0198F0BBA0}"/>
    <hyperlink ref="O442" r:id="rId362" xr:uid="{BBAB3845-7C5E-439E-A45F-87AEDABEC590}"/>
    <hyperlink ref="O444" r:id="rId363" xr:uid="{000269AB-F35F-4979-9D43-865A4CDBB41E}"/>
    <hyperlink ref="O445" r:id="rId364" xr:uid="{22CA0D0F-028B-4D19-8197-D6D1104E3BED}"/>
    <hyperlink ref="O446" r:id="rId365" xr:uid="{CE14AF4D-6E40-40E3-8F16-DAF3AF8F6E30}"/>
    <hyperlink ref="O447" r:id="rId366" xr:uid="{9CB3D7FA-4715-49F4-9626-C883CC5C5E49}"/>
    <hyperlink ref="O449" r:id="rId367" xr:uid="{65B01786-153D-4954-B440-498915445270}"/>
    <hyperlink ref="O450" r:id="rId368" xr:uid="{1523A2F0-A895-40A9-9519-9E364C359D3F}"/>
    <hyperlink ref="O448" r:id="rId369" xr:uid="{BD523EF5-6DCC-4E2E-9668-39F4FB2DACEE}"/>
    <hyperlink ref="O452" r:id="rId370" xr:uid="{B7854E04-1F82-4D54-8FE8-9192E00C05BC}"/>
    <hyperlink ref="O453" r:id="rId371" xr:uid="{881ECFC7-7DF4-4020-B2DC-F4D3D8FA79C4}"/>
    <hyperlink ref="O455" r:id="rId372" xr:uid="{EAE85F9D-3BBD-4D00-BEAE-EBC2D3ECB395}"/>
    <hyperlink ref="O456" r:id="rId373" xr:uid="{20ADBF25-8BC7-4AAD-A1F5-69BBA4D6E104}"/>
    <hyperlink ref="O457" r:id="rId374" xr:uid="{0737FCC9-FD77-4CAD-9356-8BB6975001C4}"/>
    <hyperlink ref="O458" r:id="rId375" xr:uid="{DF5C9440-62DE-41BE-88CD-9C3EBA9FB122}"/>
    <hyperlink ref="O459" r:id="rId376" xr:uid="{31366FB1-D8FD-4DBD-AEF7-D533E26BE0B4}"/>
    <hyperlink ref="O460" r:id="rId377" xr:uid="{CAE8CB34-9D97-4FD2-9C1E-9D6EF737C8A0}"/>
    <hyperlink ref="O461" r:id="rId378" xr:uid="{7DC53018-947C-4B7E-9B9D-963E86BE0B99}"/>
    <hyperlink ref="O462" r:id="rId379" xr:uid="{262E62EF-6A80-4D9F-A0A0-7FB68E4F3741}"/>
    <hyperlink ref="O463" r:id="rId380" xr:uid="{15851B26-EBD8-4315-B8F5-34A2413B8D4F}"/>
    <hyperlink ref="O464" r:id="rId381" xr:uid="{318B00B8-F399-42D1-A65D-8878E0518071}"/>
    <hyperlink ref="O465" r:id="rId382" xr:uid="{6D4FBD98-9705-4BE2-9DE9-95C275583A0C}"/>
    <hyperlink ref="O466" r:id="rId383" xr:uid="{8B6FD4BB-2F7A-4661-AD8F-A0765B887C9D}"/>
    <hyperlink ref="O467" r:id="rId384" xr:uid="{635D4230-E029-4333-BBB5-A0AA15FC633E}"/>
    <hyperlink ref="O468" r:id="rId385" xr:uid="{1DFFD482-CA78-454B-8CFE-DEFF9DD8ABE7}"/>
    <hyperlink ref="O469" r:id="rId386" xr:uid="{47E48D05-E5CD-4E27-AD2C-AF4A16B8188E}"/>
    <hyperlink ref="O470" r:id="rId387" xr:uid="{66A75A07-C0B4-4F0E-9E55-873556F51358}"/>
    <hyperlink ref="O471" r:id="rId388" xr:uid="{5A622F5D-091F-4B0C-9CCE-FDB23E237D45}"/>
    <hyperlink ref="O472" r:id="rId389" xr:uid="{ABA3D4B1-2376-4795-A400-E86B66F5EEAD}"/>
    <hyperlink ref="O474" r:id="rId390" xr:uid="{44BA5C4C-1B31-4C03-9741-DEF5686BCCA5}"/>
    <hyperlink ref="O473" r:id="rId391" xr:uid="{C90776BA-7A19-4A6B-A91D-39947D08F5D9}"/>
    <hyperlink ref="O475" r:id="rId392" xr:uid="{6D8824D8-895E-4192-A47C-F30BAFC18727}"/>
    <hyperlink ref="O476" r:id="rId393" xr:uid="{D85DD67C-098D-4560-AC55-6D06640EB6D5}"/>
    <hyperlink ref="O477" r:id="rId394" xr:uid="{DEE43010-D678-4173-B2D6-7BD9CD241FB3}"/>
    <hyperlink ref="O478" r:id="rId395" xr:uid="{6FD3CAAB-B303-46BC-8730-D3E7E57E44E1}"/>
    <hyperlink ref="O479" r:id="rId396" xr:uid="{92A0AB73-04EA-4FBA-8082-F8761E4FA4AD}"/>
    <hyperlink ref="O480" r:id="rId397" xr:uid="{93B61868-B4C7-449E-B75D-21E5A18FBD81}"/>
    <hyperlink ref="O481" r:id="rId398" xr:uid="{829DB1B8-09C3-4F69-AE98-3CACEAC7A34E}"/>
    <hyperlink ref="O482" r:id="rId399" xr:uid="{64E0EDC0-A94B-4E25-8F96-7A93D246B081}"/>
    <hyperlink ref="O484" r:id="rId400" xr:uid="{CBC6AF57-5906-4CA1-AE53-1F3DDDCBDB64}"/>
    <hyperlink ref="O485" r:id="rId401" xr:uid="{86C6808D-DE51-46AF-ACB7-592FBBF383B2}"/>
    <hyperlink ref="O483" r:id="rId402" xr:uid="{0549B295-E514-4DD1-AAB9-C79EC5FC80FE}"/>
    <hyperlink ref="O486" r:id="rId403" xr:uid="{FDC293A7-7D71-42B1-B406-27C7839D3897}"/>
    <hyperlink ref="O487" r:id="rId404" xr:uid="{C4730451-6953-4FC9-889E-D24C09480CB5}"/>
    <hyperlink ref="O488" r:id="rId405" xr:uid="{E4371487-00C0-44C3-958D-B26AF88F5D3A}"/>
    <hyperlink ref="O489" r:id="rId406" xr:uid="{03BC3B1E-AC50-4D88-B22F-3B7DEF3B858E}"/>
    <hyperlink ref="O490" r:id="rId407" xr:uid="{0AA8C953-1296-44A1-83D9-6E114C0D8BEA}"/>
    <hyperlink ref="O491" r:id="rId408" xr:uid="{307FC99A-C381-4F36-A8EC-D2A23AFC7240}"/>
    <hyperlink ref="O492" r:id="rId409" xr:uid="{065B15FC-85D7-403F-B5B8-7024A35F9D72}"/>
    <hyperlink ref="O494" r:id="rId410" xr:uid="{6938D014-5F5D-4683-9219-54E131DE532D}"/>
    <hyperlink ref="O493" r:id="rId411" xr:uid="{0FB1DB42-01D4-45B0-86D0-7AA72794D3B9}"/>
    <hyperlink ref="O495" r:id="rId412" xr:uid="{76C147DE-1864-4676-8CD7-94A0F8FE78C8}"/>
    <hyperlink ref="O496" r:id="rId413" xr:uid="{9C2F3F43-FCD0-47E0-8459-3DFCD44447E9}"/>
    <hyperlink ref="O497" r:id="rId414" xr:uid="{91A1089F-CBF0-4F7C-96ED-D631636CC1D4}"/>
    <hyperlink ref="O498" r:id="rId415" xr:uid="{B6998508-2A40-4D73-B428-1220BFEB9D1E}"/>
    <hyperlink ref="O499" r:id="rId416" xr:uid="{48843BA7-B2F8-4B24-BDDA-A6C5F7BCAB65}"/>
    <hyperlink ref="O500" r:id="rId417" xr:uid="{2CC2D539-89D0-46B8-A35D-E7935F298BBA}"/>
    <hyperlink ref="O501" r:id="rId418" xr:uid="{ED5BC903-84CA-4C61-83F0-5A99746C2EA0}"/>
    <hyperlink ref="O502" r:id="rId419" xr:uid="{00EBEBE9-4801-4E9E-9060-C79D3C419EB5}"/>
    <hyperlink ref="O509" r:id="rId420" xr:uid="{84CE12BB-EF67-4941-97B6-18A6EFC96DEB}"/>
    <hyperlink ref="O510" r:id="rId421" xr:uid="{08348321-0B0C-48F7-863A-D7C59EA00723}"/>
    <hyperlink ref="O508" r:id="rId422" xr:uid="{7EDC05E4-C710-4F0D-B2F0-59F68ECA4129}"/>
    <hyperlink ref="O511" r:id="rId423" xr:uid="{A35366E4-14A9-4D75-A05A-9529624FE1A6}"/>
    <hyperlink ref="O512" r:id="rId424" xr:uid="{16E71B72-65AB-41D4-B772-5A77A7489E37}"/>
    <hyperlink ref="O513" r:id="rId425" xr:uid="{5EE3A163-1D67-4ABD-A433-D40CA4BF35BE}"/>
    <hyperlink ref="O514" r:id="rId426" xr:uid="{4AA805C0-6988-4734-BF46-B3803B327711}"/>
    <hyperlink ref="O516" r:id="rId427" xr:uid="{59DE872F-9CD7-4762-AAF7-9FD935B2A7BD}"/>
    <hyperlink ref="O517" r:id="rId428" xr:uid="{59DFE0DB-88FD-4E3F-BC45-1E3EF66E9078}"/>
    <hyperlink ref="O518" r:id="rId429" xr:uid="{41C7D4D5-88D8-41B3-A15F-936C53DA37C3}"/>
    <hyperlink ref="O519" r:id="rId430" xr:uid="{A70BE55D-E187-47AD-96B1-72566E8B72B6}"/>
    <hyperlink ref="O522" r:id="rId431" xr:uid="{15A68992-3F02-494D-9799-641564DC1AAC}"/>
    <hyperlink ref="O524" r:id="rId432" xr:uid="{25F58DE5-81C4-4E53-823B-BDCCFEAC1E1C}"/>
    <hyperlink ref="O525" r:id="rId433" xr:uid="{08D671EF-2BCA-4CA7-93F1-60B221EB6438}"/>
    <hyperlink ref="O526" r:id="rId434" xr:uid="{73E237D7-3C58-437C-A477-2A9536B80247}"/>
    <hyperlink ref="O527" r:id="rId435" xr:uid="{DC9EBCDE-00B7-4FA0-9793-627346A9E2D4}"/>
    <hyperlink ref="O528" r:id="rId436" xr:uid="{DEB23B1E-99C8-468B-A757-2B1D39580DE7}"/>
    <hyperlink ref="O529" r:id="rId437" xr:uid="{CC79EA93-89BA-4C5B-B723-BF218B2127C0}"/>
    <hyperlink ref="O530" r:id="rId438" xr:uid="{F86445D3-4261-412E-952F-DC23FC3BBD7E}"/>
    <hyperlink ref="O531" r:id="rId439" xr:uid="{7AC5FFBF-C376-4C25-8744-54E560049267}"/>
    <hyperlink ref="O534" r:id="rId440" xr:uid="{94577555-C55F-4211-A792-BD76FE559A2E}"/>
    <hyperlink ref="O515" r:id="rId441" xr:uid="{55365B76-076E-4E0B-9DDD-5536F7CE5612}"/>
    <hyperlink ref="O520" r:id="rId442" xr:uid="{86A4E92B-FBD0-4A23-9BAA-5F4C7B883CFC}"/>
    <hyperlink ref="O521" r:id="rId443" xr:uid="{AA38C803-D721-41B3-9FC9-7A1367AB9F30}"/>
    <hyperlink ref="O535" r:id="rId444" xr:uid="{A138227D-5AAD-4DB0-B9AF-1AC003A13580}"/>
    <hyperlink ref="O536" r:id="rId445" xr:uid="{2510C6D7-4355-4E7A-87E3-5EB2ECBEFC5F}"/>
    <hyperlink ref="O537" r:id="rId446" xr:uid="{70470EF4-DAB1-4E66-A6AB-355C91459275}"/>
    <hyperlink ref="O538" r:id="rId447" xr:uid="{F7248F40-DEBC-4463-BC26-21CEAD3D8B04}"/>
    <hyperlink ref="O539" r:id="rId448" xr:uid="{7AE39BF1-DF99-4BE2-88A7-2CBA59D1B924}"/>
    <hyperlink ref="O540" r:id="rId449" xr:uid="{AA4202D9-3AFF-4C84-8292-E6F520359AB0}"/>
    <hyperlink ref="O541" r:id="rId450" xr:uid="{517B3E7C-2EA7-40E1-997B-6FC0F82A2134}"/>
    <hyperlink ref="O543" r:id="rId451" xr:uid="{B6693019-FF22-483C-B29B-0B7715BAE992}"/>
    <hyperlink ref="O545" r:id="rId452" xr:uid="{55B331DE-BE50-47B1-9298-E2E87C6DF798}"/>
    <hyperlink ref="O546" r:id="rId453" xr:uid="{9BB6A637-3859-4B87-9B80-16D5A7C19F7C}"/>
    <hyperlink ref="O547" r:id="rId454" xr:uid="{86D3043F-CAF4-4FB1-B5BC-278E050B34AF}"/>
    <hyperlink ref="O548" r:id="rId455" xr:uid="{47FB188E-E047-4B1D-A977-47F7AD28404C}"/>
    <hyperlink ref="O549" r:id="rId456" xr:uid="{159938B7-E9FC-4B1B-A322-00339B579FB0}"/>
    <hyperlink ref="O550" r:id="rId457" xr:uid="{771A5FC0-6233-4231-B95A-6BEC89BB9E70}"/>
    <hyperlink ref="O551" r:id="rId458" xr:uid="{8BBDA93F-FB30-4349-B52E-68A45E1656B9}"/>
    <hyperlink ref="O552" r:id="rId459" xr:uid="{8CFB7F06-39B2-4AAC-9A31-EF6CE747E71B}"/>
    <hyperlink ref="O553" r:id="rId460" xr:uid="{356040D5-912A-4C87-87BD-1B0488EA5F7B}"/>
    <hyperlink ref="O554" r:id="rId461" xr:uid="{66CC8DC5-E69D-4BE7-837F-A71398416C63}"/>
    <hyperlink ref="O556" r:id="rId462" xr:uid="{6F69E56F-512E-4B0C-8325-D795AC4BC256}"/>
    <hyperlink ref="O555" r:id="rId463" xr:uid="{40153AA6-EC43-4A76-B0F8-DFD75935EC04}"/>
    <hyperlink ref="O557" r:id="rId464" xr:uid="{4B87A152-3A0E-4A84-97E6-58A18A7EB3C2}"/>
    <hyperlink ref="O558" r:id="rId465" xr:uid="{6961901F-6BB7-4A32-9B69-D2A63DD48990}"/>
    <hyperlink ref="O559" r:id="rId466" xr:uid="{C1FD7F4F-83F5-4F36-80C3-FE2A3B99E3BA}"/>
    <hyperlink ref="O560" r:id="rId467" xr:uid="{18A8266D-7B4B-4847-9B67-293E42437FB3}"/>
    <hyperlink ref="O561" r:id="rId468" xr:uid="{B186E90C-C700-4172-92F6-0FC61DF8F33E}"/>
    <hyperlink ref="O562" r:id="rId469" xr:uid="{1D1EAE0C-4A3C-40F7-ACDA-B57894AE8AAF}"/>
    <hyperlink ref="O563" r:id="rId470" xr:uid="{176E1320-A4A9-4654-BBCE-291ADB52753F}"/>
    <hyperlink ref="O564" r:id="rId471" xr:uid="{9B97F0D1-0ABA-4B8F-810C-E08E89757691}"/>
    <hyperlink ref="O565" r:id="rId472" xr:uid="{4B4B96B3-3553-4F13-82F4-5B5E271DB574}"/>
    <hyperlink ref="O568" r:id="rId473" xr:uid="{BD90A118-AC2F-4EEC-8A28-5FE66B20743C}"/>
    <hyperlink ref="O569" r:id="rId474" xr:uid="{BCE1D15A-5099-4081-8F46-2E81B3BF2075}"/>
    <hyperlink ref="O570" r:id="rId475" xr:uid="{7546DF2B-A04D-4D1C-8387-1DDF2BE1542B}"/>
    <hyperlink ref="O571" r:id="rId476" xr:uid="{F423E77C-F08D-468C-92B5-ABFCCBF2B5B8}"/>
    <hyperlink ref="O572" r:id="rId477" xr:uid="{90C40DE8-044A-4C44-8553-8BC135BB4908}"/>
    <hyperlink ref="O573" r:id="rId478" xr:uid="{6B97133A-4215-4D62-847A-90127C77C54C}"/>
    <hyperlink ref="O574" r:id="rId479" xr:uid="{53676692-5F9E-471B-89F5-854E14A63F19}"/>
    <hyperlink ref="O575" r:id="rId480" xr:uid="{97AD13E6-8030-4920-BBD5-8B2358C3A080}"/>
    <hyperlink ref="O576" r:id="rId481" xr:uid="{815DAFB1-741C-4FA6-9CC6-924BC432B817}"/>
    <hyperlink ref="O577" r:id="rId482" xr:uid="{47BEC85A-A80B-4314-90F8-AE5FB86D8F35}"/>
    <hyperlink ref="O578" r:id="rId483" xr:uid="{7D4F4984-B177-41F4-ADB2-F96C87268CC3}"/>
    <hyperlink ref="O566" r:id="rId484" xr:uid="{97CD3BE7-A9DE-4ABD-AEFE-06A7FA2BAFDF}"/>
    <hyperlink ref="O580" r:id="rId485" xr:uid="{E9944537-3B5E-4929-BF24-5769454994C6}"/>
    <hyperlink ref="O583" r:id="rId486" xr:uid="{80B1291C-DC3A-4766-87E0-01DC130A512F}"/>
    <hyperlink ref="O584" r:id="rId487" xr:uid="{BD12C696-C407-4860-9585-14C7D62597A6}"/>
    <hyperlink ref="O585" r:id="rId488" xr:uid="{5D237525-63AA-40BA-BC3E-A869D7CDFD3D}"/>
    <hyperlink ref="O586" r:id="rId489" xr:uid="{899B52FC-2627-4CF9-AB64-0BFE5ED0426E}"/>
    <hyperlink ref="O587" r:id="rId490" xr:uid="{35C073E4-4589-47F7-B455-BCF233E67345}"/>
    <hyperlink ref="O588" r:id="rId491" xr:uid="{E9DD321C-B1B2-4022-95AC-505BBB602C2A}"/>
    <hyperlink ref="O591" r:id="rId492" xr:uid="{6A75E431-987C-45B8-B8BF-48A643AAF52D}"/>
    <hyperlink ref="O592" r:id="rId493" xr:uid="{A92F6B78-56CE-4605-B90C-F38B436848E7}"/>
    <hyperlink ref="O581" r:id="rId494" xr:uid="{3069A5A1-80E3-4141-B7EA-3EA0303807F3}"/>
    <hyperlink ref="O582" r:id="rId495" xr:uid="{87B4992F-C9ED-4BF2-8814-436C902F9EC9}"/>
    <hyperlink ref="O593" r:id="rId496" xr:uid="{E66CDF9A-DE4D-4098-87E2-68CC02C723A9}"/>
    <hyperlink ref="O594" r:id="rId497" xr:uid="{F65A27BF-13B5-4D31-922B-AA755021704A}"/>
    <hyperlink ref="O595" r:id="rId498" xr:uid="{D890EF27-66BC-43B3-85FA-FAEFD396FB28}"/>
    <hyperlink ref="O598" r:id="rId499" xr:uid="{E3E1EED2-D02A-4BCD-B437-F65B5B15550F}"/>
    <hyperlink ref="O597" r:id="rId500" xr:uid="{B582AFDF-8219-4C3E-BE87-8F0E896AC073}"/>
    <hyperlink ref="O599" r:id="rId501" xr:uid="{A8A50546-7EAA-4814-A2F9-7C7CE3DCCD10}"/>
    <hyperlink ref="O600" r:id="rId502" xr:uid="{4BC5CFD7-3EF8-489E-B003-3B13FF44D9C9}"/>
    <hyperlink ref="O602" r:id="rId503" xr:uid="{4E75D016-9814-4FBE-B7C6-8051F280D576}"/>
    <hyperlink ref="O596" r:id="rId504" xr:uid="{6D87C4F4-1AB9-45AC-864F-9154D26B5B61}"/>
    <hyperlink ref="O603" r:id="rId505" xr:uid="{A6A86DF1-4E26-4595-A43D-5221E1EBB6AA}"/>
    <hyperlink ref="O604" r:id="rId506" xr:uid="{CBF96AC5-BF7D-42D1-B0DE-A59F27921C87}"/>
    <hyperlink ref="O605" r:id="rId507" xr:uid="{2D6FEE93-2612-47A8-AF49-AB6D6DA9369F}"/>
    <hyperlink ref="O606" r:id="rId508" xr:uid="{F61C2EDD-DBB9-4198-9C15-B7F58522D62A}"/>
    <hyperlink ref="O608" r:id="rId509" xr:uid="{1A6252C2-CAE9-4477-894D-268219E9030C}"/>
    <hyperlink ref="O609" r:id="rId510" xr:uid="{EC9CD106-BD0E-48CC-B6DE-559C0AD686ED}"/>
    <hyperlink ref="O610" r:id="rId511" xr:uid="{C52E26D9-D0FB-4094-8406-678BC3D9C4B3}"/>
    <hyperlink ref="O611" r:id="rId512" xr:uid="{FB8BD71D-C464-4BFB-BF47-64B5EA453F2F}"/>
    <hyperlink ref="O612" r:id="rId513" xr:uid="{C1B52862-B469-41A0-82C0-3F5B88CC9B98}"/>
    <hyperlink ref="O613" r:id="rId514" xr:uid="{C362C5FD-EEC7-4995-B22C-01459BF5A1A6}"/>
    <hyperlink ref="O614" r:id="rId515" xr:uid="{5222F167-32FC-46E0-B924-A98A75D8FDE1}"/>
    <hyperlink ref="O615" r:id="rId516" xr:uid="{53D107DE-919B-4D62-87B9-27AE1569820E}"/>
    <hyperlink ref="O616" r:id="rId517" xr:uid="{161BEB35-2FE3-45EB-A5FE-B55D4A41BA53}"/>
    <hyperlink ref="O617" r:id="rId518" xr:uid="{3624F08E-AA1B-4198-B4AB-D2AB500CAD59}"/>
    <hyperlink ref="O618" r:id="rId519" xr:uid="{48820538-71A8-4B3D-8A0B-12289F8B123F}"/>
    <hyperlink ref="O619" r:id="rId520" xr:uid="{1CE480DE-81BC-4439-82BD-B96B48D2F38A}"/>
    <hyperlink ref="O620" r:id="rId521" xr:uid="{3133C69D-4181-4019-B2D2-CD912C664B11}"/>
    <hyperlink ref="O621" r:id="rId522" xr:uid="{B85CC54A-E80C-4514-8058-F3D3CAAFCC57}"/>
    <hyperlink ref="O622" r:id="rId523" xr:uid="{969CF1C4-222A-41C0-ABFF-6D60E0695F6A}"/>
    <hyperlink ref="O623" r:id="rId524" xr:uid="{884134F8-CE39-41D6-864A-7FE2B7AAEEE2}"/>
    <hyperlink ref="O627" r:id="rId525" xr:uid="{FAC762A3-6E79-41E8-B08A-93A737DA0DA1}"/>
    <hyperlink ref="O630" r:id="rId526" xr:uid="{7CE49BBC-6631-4559-87DD-0E6C5BD57DFD}"/>
    <hyperlink ref="O631" r:id="rId527" xr:uid="{FED48463-9CF7-4419-8C6F-5D4E5A0ED07D}"/>
    <hyperlink ref="O632" r:id="rId528" xr:uid="{E1BE2C56-6714-4773-BA00-2701082FE5A8}"/>
    <hyperlink ref="O633" r:id="rId529" xr:uid="{ACD8D107-B3EB-4803-8CAF-6DC9B5B1D401}"/>
    <hyperlink ref="O634" r:id="rId530" xr:uid="{05FD04B7-554A-4E0E-B7FE-107DAFE256FC}"/>
    <hyperlink ref="O635" r:id="rId531" xr:uid="{CC93A1A5-E8CF-4ABD-8940-2469D50E40DC}"/>
    <hyperlink ref="O637" r:id="rId532" xr:uid="{100791FF-16E9-42CD-A795-8D571F5465EA}"/>
    <hyperlink ref="O638" r:id="rId533" xr:uid="{E86E5A53-24B9-4578-A156-BECDE0F1EDFC}"/>
    <hyperlink ref="O639" r:id="rId534" xr:uid="{87739C9B-D8A2-47B0-A858-4F9C2D8CCD2B}"/>
    <hyperlink ref="O640" r:id="rId535" xr:uid="{FF09993F-6FAD-43F6-BF09-E1218556EF8A}"/>
    <hyperlink ref="O641" r:id="rId536" xr:uid="{5F5219FA-FEA9-4F97-9B77-2DDBB7EC34AA}"/>
    <hyperlink ref="O643" r:id="rId537" xr:uid="{F452EEE8-8405-4079-B40A-112D1768CEFE}"/>
    <hyperlink ref="O645" r:id="rId538" xr:uid="{1F262675-E6BB-48EF-96C8-2418892525A2}"/>
    <hyperlink ref="O644" r:id="rId539" xr:uid="{C7B56362-D970-4E52-B0CC-1D75B257B1E4}"/>
    <hyperlink ref="O646" r:id="rId540" xr:uid="{3623FB48-0E8E-4F55-AA86-314E921B8341}"/>
    <hyperlink ref="O647" r:id="rId541" xr:uid="{E1AF0007-ECC2-4A5D-B5C6-7E9EA1EF2762}"/>
    <hyperlink ref="O650" r:id="rId542" xr:uid="{13A2D810-886C-4559-90B9-6E64B45CD753}"/>
    <hyperlink ref="O651" r:id="rId543" xr:uid="{C49FDADB-D42D-4DF4-B896-C24BF89CF3B5}"/>
    <hyperlink ref="O652" r:id="rId544" xr:uid="{D76FBECD-E007-49EF-9A51-AF2B4F8558D0}"/>
    <hyperlink ref="O653" r:id="rId545" xr:uid="{577535E5-CAD1-4277-8B9F-B897E4B1E734}"/>
    <hyperlink ref="O654" r:id="rId546" xr:uid="{C6FD0338-78F2-4DE0-88F2-FFC5F8DDDD74}"/>
    <hyperlink ref="O655" r:id="rId547" xr:uid="{025EB6FE-0F88-41BE-BF79-86549E664CEF}"/>
    <hyperlink ref="O656" r:id="rId548" xr:uid="{36205864-E7AE-4478-94DE-57CCD288DEC5}"/>
    <hyperlink ref="O657" r:id="rId549" xr:uid="{BC795FDA-1FD2-45C0-B37B-F8192B032455}"/>
    <hyperlink ref="O658" r:id="rId550" xr:uid="{5C33F32B-6955-4905-8479-86057A21CF16}"/>
    <hyperlink ref="O660" r:id="rId551" xr:uid="{9E50AC77-69E9-4664-8455-91787D89C1FC}"/>
    <hyperlink ref="O661" r:id="rId552" xr:uid="{76A5F68C-4C13-4620-A912-181A754072BC}"/>
    <hyperlink ref="O662" r:id="rId553" xr:uid="{8A93AA3B-3D28-4B9E-9AB7-6B0CCD813DF6}"/>
    <hyperlink ref="O663" r:id="rId554" xr:uid="{30EFD3CE-A23B-4027-BA11-BDB79582AE22}"/>
    <hyperlink ref="O665" r:id="rId555" xr:uid="{C72968C2-E27B-45AB-A981-9962AD927F82}"/>
    <hyperlink ref="O666" r:id="rId556" xr:uid="{EC0192EE-99C0-449A-8BB9-E03EE9EE85A2}"/>
    <hyperlink ref="O667" r:id="rId557" xr:uid="{B1DEBCDF-FBFF-41FA-B656-AF2A66D29D78}"/>
  </hyperlinks>
  <pageMargins left="0.7" right="0.7" top="0.75" bottom="0.75" header="0.3" footer="0.3"/>
  <pageSetup orientation="portrait" horizontalDpi="4294967293" r:id="rId558"/>
  <drawing r:id="rId559"/>
  <legacyDrawing r:id="rId56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B84C5-9905-44F0-962A-0BF0F6FAF1E8}">
  <dimension ref="A1:Q765"/>
  <sheetViews>
    <sheetView tabSelected="1" topLeftCell="A3" zoomScale="90" zoomScaleNormal="90" workbookViewId="0">
      <pane ySplit="8" topLeftCell="A303" activePane="bottomLeft" state="frozen"/>
      <selection activeCell="A3" sqref="A3"/>
      <selection pane="bottomLeft" activeCell="C325" sqref="C325:H325"/>
    </sheetView>
  </sheetViews>
  <sheetFormatPr baseColWidth="10" defaultColWidth="11.42578125" defaultRowHeight="15" x14ac:dyDescent="0.25"/>
  <cols>
    <col min="1" max="1" width="3.140625" customWidth="1"/>
    <col min="2" max="2" width="12.42578125" customWidth="1"/>
    <col min="3" max="3" width="13.5703125" customWidth="1"/>
    <col min="4" max="4" width="19.140625" customWidth="1"/>
    <col min="5" max="5" width="18.5703125" customWidth="1"/>
    <col min="6" max="6" width="18.85546875" customWidth="1"/>
    <col min="7" max="7" width="13.5703125" customWidth="1"/>
    <col min="8" max="8" width="27" customWidth="1"/>
    <col min="9" max="9" width="35" customWidth="1"/>
    <col min="10" max="10" width="17.140625" bestFit="1" customWidth="1"/>
    <col min="11" max="11" width="12.5703125" customWidth="1"/>
    <col min="12" max="12" width="10.42578125" bestFit="1" customWidth="1"/>
    <col min="13" max="13" width="23.5703125" customWidth="1"/>
    <col min="14" max="15" width="35.140625" customWidth="1"/>
    <col min="16" max="16" width="38.5703125" customWidth="1"/>
  </cols>
  <sheetData>
    <row r="1" spans="1:16" ht="15.75" thickBot="1" x14ac:dyDescent="0.3">
      <c r="A1" s="108"/>
      <c r="B1" s="109"/>
      <c r="C1" s="110"/>
      <c r="D1" s="110"/>
      <c r="E1" s="110"/>
      <c r="F1" s="110"/>
      <c r="G1" s="110"/>
      <c r="H1" s="110"/>
      <c r="I1" s="110"/>
      <c r="J1" s="109"/>
      <c r="K1" s="109"/>
      <c r="L1" s="109"/>
      <c r="M1" s="109"/>
      <c r="N1" s="109"/>
      <c r="O1" s="109"/>
      <c r="P1" s="109"/>
    </row>
    <row r="2" spans="1:16" x14ac:dyDescent="0.25">
      <c r="A2" s="108"/>
      <c r="B2" s="163"/>
      <c r="C2" s="164"/>
      <c r="D2" s="169" t="s">
        <v>7392</v>
      </c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1"/>
    </row>
    <row r="3" spans="1:16" x14ac:dyDescent="0.25">
      <c r="A3" s="108"/>
      <c r="B3" s="165"/>
      <c r="C3" s="166"/>
      <c r="D3" s="172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4"/>
    </row>
    <row r="4" spans="1:16" x14ac:dyDescent="0.25">
      <c r="A4" s="108"/>
      <c r="B4" s="165"/>
      <c r="C4" s="166"/>
      <c r="D4" s="172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4"/>
    </row>
    <row r="5" spans="1:16" x14ac:dyDescent="0.25">
      <c r="A5" s="108"/>
      <c r="B5" s="165"/>
      <c r="C5" s="166"/>
      <c r="D5" s="172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4"/>
    </row>
    <row r="6" spans="1:16" x14ac:dyDescent="0.25">
      <c r="A6" s="108"/>
      <c r="B6" s="165"/>
      <c r="C6" s="166"/>
      <c r="D6" s="172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4"/>
    </row>
    <row r="7" spans="1:16" x14ac:dyDescent="0.25">
      <c r="A7" s="108"/>
      <c r="B7" s="165"/>
      <c r="C7" s="166"/>
      <c r="D7" s="172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4"/>
    </row>
    <row r="8" spans="1:16" x14ac:dyDescent="0.25">
      <c r="A8" s="108"/>
      <c r="B8" s="165"/>
      <c r="C8" s="166"/>
      <c r="D8" s="172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4"/>
    </row>
    <row r="9" spans="1:16" ht="15.75" thickBot="1" x14ac:dyDescent="0.3">
      <c r="A9" s="108"/>
      <c r="B9" s="167"/>
      <c r="C9" s="168"/>
      <c r="D9" s="175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7"/>
    </row>
    <row r="10" spans="1:16" ht="28.5" x14ac:dyDescent="0.25">
      <c r="A10" s="108"/>
      <c r="B10" s="120" t="s">
        <v>1</v>
      </c>
      <c r="C10" s="178" t="s">
        <v>2</v>
      </c>
      <c r="D10" s="179"/>
      <c r="E10" s="179"/>
      <c r="F10" s="180"/>
      <c r="G10" s="181"/>
      <c r="H10" s="182"/>
      <c r="I10" s="123" t="s">
        <v>696</v>
      </c>
      <c r="J10" s="121" t="s">
        <v>3</v>
      </c>
      <c r="K10" s="122" t="s">
        <v>4</v>
      </c>
      <c r="L10" s="122" t="s">
        <v>3924</v>
      </c>
      <c r="M10" s="123" t="s">
        <v>6</v>
      </c>
      <c r="N10" s="123" t="s">
        <v>7</v>
      </c>
      <c r="O10" s="123" t="s">
        <v>7940</v>
      </c>
      <c r="P10" s="123" t="s">
        <v>8</v>
      </c>
    </row>
    <row r="11" spans="1:16" ht="15" customHeight="1" x14ac:dyDescent="0.25">
      <c r="A11" s="108"/>
      <c r="B11" s="39">
        <v>1</v>
      </c>
      <c r="C11" s="162" t="s">
        <v>7339</v>
      </c>
      <c r="D11" s="162"/>
      <c r="E11" s="162"/>
      <c r="F11" s="162"/>
      <c r="G11" s="162"/>
      <c r="H11" s="162"/>
      <c r="I11" s="39" t="s">
        <v>2445</v>
      </c>
      <c r="J11" s="111">
        <v>32150000</v>
      </c>
      <c r="K11" s="112">
        <v>46027</v>
      </c>
      <c r="L11" s="39"/>
      <c r="M11" s="39">
        <v>3162439535</v>
      </c>
      <c r="N11" s="39" t="s">
        <v>7615</v>
      </c>
      <c r="O11" s="39" t="s">
        <v>7968</v>
      </c>
      <c r="P11" s="52" t="s">
        <v>4150</v>
      </c>
    </row>
    <row r="12" spans="1:16" x14ac:dyDescent="0.25">
      <c r="A12" s="108"/>
      <c r="B12" s="39">
        <v>2</v>
      </c>
      <c r="C12" s="162" t="s">
        <v>7364</v>
      </c>
      <c r="D12" s="162"/>
      <c r="E12" s="162"/>
      <c r="F12" s="162"/>
      <c r="G12" s="162"/>
      <c r="H12" s="162"/>
      <c r="I12" s="39" t="s">
        <v>7365</v>
      </c>
      <c r="J12" s="111" t="s">
        <v>2492</v>
      </c>
      <c r="K12" s="112">
        <v>46027</v>
      </c>
      <c r="L12" s="39"/>
      <c r="M12" s="39" t="s">
        <v>7376</v>
      </c>
      <c r="N12" s="39" t="s">
        <v>7375</v>
      </c>
      <c r="O12" s="39"/>
      <c r="P12" s="38" t="s">
        <v>2650</v>
      </c>
    </row>
    <row r="13" spans="1:16" x14ac:dyDescent="0.25">
      <c r="A13" s="108"/>
      <c r="B13" s="39">
        <v>3</v>
      </c>
      <c r="C13" s="162" t="s">
        <v>7379</v>
      </c>
      <c r="D13" s="162"/>
      <c r="E13" s="162"/>
      <c r="F13" s="162"/>
      <c r="G13" s="162"/>
      <c r="H13" s="162"/>
      <c r="I13" s="39" t="s">
        <v>7380</v>
      </c>
      <c r="J13" s="111">
        <v>4500000</v>
      </c>
      <c r="K13" s="112">
        <v>46027</v>
      </c>
      <c r="L13" s="39"/>
      <c r="M13" s="39" t="s">
        <v>7229</v>
      </c>
      <c r="N13" s="39" t="s">
        <v>7207</v>
      </c>
      <c r="O13" s="39" t="s">
        <v>8005</v>
      </c>
      <c r="P13" s="38" t="s">
        <v>7230</v>
      </c>
    </row>
    <row r="14" spans="1:16" x14ac:dyDescent="0.25">
      <c r="A14" s="108"/>
      <c r="B14" s="39">
        <v>4</v>
      </c>
      <c r="C14" s="162" t="s">
        <v>7390</v>
      </c>
      <c r="D14" s="162"/>
      <c r="E14" s="162"/>
      <c r="F14" s="162"/>
      <c r="G14" s="162"/>
      <c r="H14" s="162"/>
      <c r="I14" s="39" t="s">
        <v>7381</v>
      </c>
      <c r="J14" s="111">
        <v>33870000</v>
      </c>
      <c r="K14" s="112">
        <v>46035</v>
      </c>
      <c r="L14" s="39"/>
      <c r="M14" s="39" t="s">
        <v>4946</v>
      </c>
      <c r="N14" s="39" t="s">
        <v>7983</v>
      </c>
      <c r="O14" s="39" t="s">
        <v>7982</v>
      </c>
      <c r="P14" s="52" t="s">
        <v>7389</v>
      </c>
    </row>
    <row r="15" spans="1:16" x14ac:dyDescent="0.25">
      <c r="A15" s="108"/>
      <c r="B15" s="39">
        <v>5</v>
      </c>
      <c r="C15" s="162" t="s">
        <v>7383</v>
      </c>
      <c r="D15" s="162"/>
      <c r="E15" s="162"/>
      <c r="F15" s="162"/>
      <c r="G15" s="162"/>
      <c r="H15" s="162"/>
      <c r="I15" s="39" t="s">
        <v>7382</v>
      </c>
      <c r="J15" s="111">
        <v>29970000</v>
      </c>
      <c r="K15" s="112">
        <v>46035</v>
      </c>
      <c r="L15" s="39"/>
      <c r="M15" s="39" t="s">
        <v>7385</v>
      </c>
      <c r="N15" s="102" t="s">
        <v>7384</v>
      </c>
      <c r="O15" s="102" t="s">
        <v>7999</v>
      </c>
      <c r="P15" s="52" t="s">
        <v>7388</v>
      </c>
    </row>
    <row r="16" spans="1:16" x14ac:dyDescent="0.25">
      <c r="A16" s="108"/>
      <c r="B16" s="39">
        <v>6</v>
      </c>
      <c r="C16" s="162" t="s">
        <v>7391</v>
      </c>
      <c r="D16" s="162"/>
      <c r="E16" s="162"/>
      <c r="F16" s="162"/>
      <c r="G16" s="162"/>
      <c r="H16" s="162"/>
      <c r="I16" s="39" t="s">
        <v>4436</v>
      </c>
      <c r="J16" s="111">
        <v>9970000</v>
      </c>
      <c r="K16" s="112">
        <v>46035</v>
      </c>
      <c r="L16" s="39"/>
      <c r="M16" s="39" t="s">
        <v>7387</v>
      </c>
      <c r="N16" s="39" t="s">
        <v>7386</v>
      </c>
      <c r="O16" s="39" t="s">
        <v>7986</v>
      </c>
      <c r="P16" s="52" t="s">
        <v>5933</v>
      </c>
    </row>
    <row r="17" spans="1:16" x14ac:dyDescent="0.25">
      <c r="A17" s="108"/>
      <c r="B17" s="39">
        <v>7</v>
      </c>
      <c r="C17" s="162" t="s">
        <v>7393</v>
      </c>
      <c r="D17" s="162"/>
      <c r="E17" s="162"/>
      <c r="F17" s="162"/>
      <c r="G17" s="162"/>
      <c r="H17" s="162"/>
      <c r="I17" s="39" t="s">
        <v>7333</v>
      </c>
      <c r="J17" s="111">
        <v>49950000</v>
      </c>
      <c r="K17" s="112">
        <v>46029</v>
      </c>
      <c r="L17" s="39"/>
      <c r="M17" s="39" t="s">
        <v>7334</v>
      </c>
      <c r="N17" s="39" t="s">
        <v>7335</v>
      </c>
      <c r="O17" s="39"/>
      <c r="P17" s="52"/>
    </row>
    <row r="18" spans="1:16" x14ac:dyDescent="0.25">
      <c r="A18" s="108"/>
      <c r="B18" s="39">
        <v>8</v>
      </c>
      <c r="C18" s="162" t="s">
        <v>7394</v>
      </c>
      <c r="D18" s="162"/>
      <c r="E18" s="162"/>
      <c r="F18" s="162"/>
      <c r="G18" s="162"/>
      <c r="H18" s="162"/>
      <c r="I18" s="39" t="s">
        <v>5549</v>
      </c>
      <c r="J18" s="111">
        <v>3950000</v>
      </c>
      <c r="K18" s="112">
        <v>46029</v>
      </c>
      <c r="L18" s="39"/>
      <c r="M18" s="39">
        <v>3155713220</v>
      </c>
      <c r="N18" s="39" t="s">
        <v>7395</v>
      </c>
      <c r="O18" s="39"/>
      <c r="P18" s="52" t="s">
        <v>7396</v>
      </c>
    </row>
    <row r="19" spans="1:16" x14ac:dyDescent="0.25">
      <c r="A19" s="108"/>
      <c r="B19" s="39">
        <v>9</v>
      </c>
      <c r="C19" s="162" t="s">
        <v>6038</v>
      </c>
      <c r="D19" s="162"/>
      <c r="E19" s="162"/>
      <c r="F19" s="162"/>
      <c r="G19" s="162"/>
      <c r="H19" s="162"/>
      <c r="I19" s="39" t="s">
        <v>7399</v>
      </c>
      <c r="J19" s="111">
        <v>7550000</v>
      </c>
      <c r="K19" s="112">
        <v>46029</v>
      </c>
      <c r="L19" s="39"/>
      <c r="M19" s="39">
        <v>3113555383</v>
      </c>
      <c r="N19" s="39" t="s">
        <v>7397</v>
      </c>
      <c r="O19" s="39"/>
      <c r="P19" s="52" t="s">
        <v>7398</v>
      </c>
    </row>
    <row r="20" spans="1:16" x14ac:dyDescent="0.25">
      <c r="A20" s="108"/>
      <c r="B20" s="39">
        <v>10</v>
      </c>
      <c r="C20" s="162" t="s">
        <v>7400</v>
      </c>
      <c r="D20" s="162"/>
      <c r="E20" s="162"/>
      <c r="F20" s="162"/>
      <c r="G20" s="162"/>
      <c r="H20" s="162"/>
      <c r="I20" s="39" t="s">
        <v>6335</v>
      </c>
      <c r="J20" s="111">
        <v>12550000</v>
      </c>
      <c r="K20" s="112">
        <v>46029</v>
      </c>
      <c r="L20" s="39"/>
      <c r="M20" s="39">
        <v>3113733919</v>
      </c>
      <c r="N20" s="39" t="s">
        <v>7401</v>
      </c>
      <c r="O20" s="39"/>
      <c r="P20" s="52" t="s">
        <v>7402</v>
      </c>
    </row>
    <row r="21" spans="1:16" x14ac:dyDescent="0.25">
      <c r="A21" s="108"/>
      <c r="B21" s="39">
        <v>11</v>
      </c>
      <c r="C21" s="162" t="s">
        <v>7403</v>
      </c>
      <c r="D21" s="162"/>
      <c r="E21" s="162"/>
      <c r="F21" s="162"/>
      <c r="G21" s="162"/>
      <c r="H21" s="162"/>
      <c r="I21" s="39" t="s">
        <v>7404</v>
      </c>
      <c r="J21" s="111">
        <v>45150000</v>
      </c>
      <c r="K21" s="112">
        <v>46029</v>
      </c>
      <c r="L21" s="39"/>
      <c r="M21" s="39"/>
      <c r="N21" s="103" t="s">
        <v>7405</v>
      </c>
      <c r="O21" s="103"/>
      <c r="P21" s="52" t="s">
        <v>7406</v>
      </c>
    </row>
    <row r="22" spans="1:16" x14ac:dyDescent="0.25">
      <c r="A22" s="108"/>
      <c r="B22" s="39">
        <v>12</v>
      </c>
      <c r="C22" s="162" t="s">
        <v>7407</v>
      </c>
      <c r="D22" s="162"/>
      <c r="E22" s="162"/>
      <c r="F22" s="162"/>
      <c r="G22" s="162"/>
      <c r="H22" s="162"/>
      <c r="I22" s="39" t="s">
        <v>7408</v>
      </c>
      <c r="J22" s="111" t="s">
        <v>2492</v>
      </c>
      <c r="K22" s="112">
        <v>46029</v>
      </c>
      <c r="L22" s="39"/>
      <c r="M22" s="39">
        <v>3205465936</v>
      </c>
      <c r="N22" s="103" t="s">
        <v>7409</v>
      </c>
      <c r="O22" s="103"/>
      <c r="P22" s="52" t="s">
        <v>7410</v>
      </c>
    </row>
    <row r="23" spans="1:16" x14ac:dyDescent="0.25">
      <c r="A23" s="108"/>
      <c r="B23" s="39">
        <v>13</v>
      </c>
      <c r="C23" s="162" t="s">
        <v>7411</v>
      </c>
      <c r="D23" s="162"/>
      <c r="E23" s="162"/>
      <c r="F23" s="162"/>
      <c r="G23" s="162"/>
      <c r="H23" s="162"/>
      <c r="I23" s="39" t="s">
        <v>7412</v>
      </c>
      <c r="J23" s="111">
        <v>24950000</v>
      </c>
      <c r="K23" s="112">
        <v>46029</v>
      </c>
      <c r="L23" s="39"/>
      <c r="M23" s="39">
        <v>3202156014</v>
      </c>
      <c r="N23" s="102" t="s">
        <v>7414</v>
      </c>
      <c r="O23" s="102"/>
      <c r="P23" s="52" t="s">
        <v>7413</v>
      </c>
    </row>
    <row r="24" spans="1:16" x14ac:dyDescent="0.25">
      <c r="A24" s="108"/>
      <c r="B24" s="39">
        <v>14</v>
      </c>
      <c r="C24" s="162" t="s">
        <v>7415</v>
      </c>
      <c r="D24" s="162"/>
      <c r="E24" s="162"/>
      <c r="F24" s="162"/>
      <c r="G24" s="162"/>
      <c r="H24" s="162"/>
      <c r="I24" s="39" t="s">
        <v>5883</v>
      </c>
      <c r="J24" s="111">
        <v>9970000</v>
      </c>
      <c r="K24" s="112">
        <v>46035</v>
      </c>
      <c r="L24" s="39"/>
      <c r="M24" s="39" t="s">
        <v>7416</v>
      </c>
      <c r="N24" s="39" t="s">
        <v>7214</v>
      </c>
      <c r="O24" s="39"/>
      <c r="P24" s="52" t="s">
        <v>7215</v>
      </c>
    </row>
    <row r="25" spans="1:16" x14ac:dyDescent="0.25">
      <c r="A25" s="108"/>
      <c r="B25" s="39">
        <v>15</v>
      </c>
      <c r="C25" s="162" t="s">
        <v>7421</v>
      </c>
      <c r="D25" s="162"/>
      <c r="E25" s="162"/>
      <c r="F25" s="162"/>
      <c r="G25" s="162"/>
      <c r="H25" s="162"/>
      <c r="I25" s="39" t="s">
        <v>4597</v>
      </c>
      <c r="J25" s="111">
        <v>5000000</v>
      </c>
      <c r="K25" s="112">
        <v>46032</v>
      </c>
      <c r="L25" s="39"/>
      <c r="M25" s="39" t="s">
        <v>5812</v>
      </c>
      <c r="N25" s="39" t="s">
        <v>4109</v>
      </c>
      <c r="O25" s="39"/>
      <c r="P25" s="38" t="s">
        <v>5752</v>
      </c>
    </row>
    <row r="26" spans="1:16" x14ac:dyDescent="0.25">
      <c r="A26" s="108"/>
      <c r="B26" s="39">
        <v>16</v>
      </c>
      <c r="C26" s="162" t="s">
        <v>7419</v>
      </c>
      <c r="D26" s="162"/>
      <c r="E26" s="162"/>
      <c r="F26" s="162"/>
      <c r="G26" s="162"/>
      <c r="H26" s="162"/>
      <c r="I26" s="39" t="s">
        <v>4597</v>
      </c>
      <c r="J26" s="111">
        <v>13950000</v>
      </c>
      <c r="K26" s="112">
        <v>46035</v>
      </c>
      <c r="L26" s="2"/>
      <c r="M26" s="39">
        <v>3014201614</v>
      </c>
      <c r="N26" s="39" t="s">
        <v>4029</v>
      </c>
      <c r="O26" s="39"/>
      <c r="P26" s="38" t="s">
        <v>2771</v>
      </c>
    </row>
    <row r="27" spans="1:16" x14ac:dyDescent="0.25">
      <c r="A27" s="108"/>
      <c r="B27" s="39">
        <v>17</v>
      </c>
      <c r="C27" s="162" t="s">
        <v>7418</v>
      </c>
      <c r="D27" s="162"/>
      <c r="E27" s="162"/>
      <c r="F27" s="162"/>
      <c r="G27" s="162"/>
      <c r="H27" s="162"/>
      <c r="I27" s="39" t="s">
        <v>7417</v>
      </c>
      <c r="J27" s="111">
        <v>5000000</v>
      </c>
      <c r="K27" s="112">
        <v>46032</v>
      </c>
      <c r="L27" s="39"/>
      <c r="M27" s="39" t="s">
        <v>1071</v>
      </c>
      <c r="N27" s="39" t="s">
        <v>272</v>
      </c>
      <c r="O27" s="39" t="s">
        <v>7979</v>
      </c>
      <c r="P27" s="38" t="s">
        <v>1072</v>
      </c>
    </row>
    <row r="28" spans="1:16" x14ac:dyDescent="0.25">
      <c r="A28" s="108"/>
      <c r="B28" s="39">
        <v>18</v>
      </c>
      <c r="C28" s="162" t="s">
        <v>7420</v>
      </c>
      <c r="D28" s="162"/>
      <c r="E28" s="162"/>
      <c r="F28" s="162"/>
      <c r="G28" s="162"/>
      <c r="H28" s="162"/>
      <c r="I28" s="39" t="s">
        <v>4597</v>
      </c>
      <c r="J28" s="111">
        <v>15950000</v>
      </c>
      <c r="K28" s="112">
        <v>46035</v>
      </c>
      <c r="L28" s="2"/>
      <c r="M28" s="39">
        <v>3014201614</v>
      </c>
      <c r="N28" s="39" t="s">
        <v>4029</v>
      </c>
      <c r="O28" s="39"/>
      <c r="P28" s="38" t="s">
        <v>2771</v>
      </c>
    </row>
    <row r="29" spans="1:16" x14ac:dyDescent="0.25">
      <c r="A29" s="108"/>
      <c r="B29" s="39">
        <v>19</v>
      </c>
      <c r="C29" s="162" t="s">
        <v>7422</v>
      </c>
      <c r="D29" s="162"/>
      <c r="E29" s="162"/>
      <c r="F29" s="162"/>
      <c r="G29" s="162"/>
      <c r="H29" s="162"/>
      <c r="I29" s="39" t="s">
        <v>7430</v>
      </c>
      <c r="J29" s="111">
        <v>9950000</v>
      </c>
      <c r="K29" s="112">
        <v>46036</v>
      </c>
      <c r="L29" s="39"/>
      <c r="M29" s="39" t="s">
        <v>4459</v>
      </c>
      <c r="N29" s="39" t="s">
        <v>6510</v>
      </c>
      <c r="O29" s="39"/>
      <c r="P29" s="116" t="s">
        <v>6509</v>
      </c>
    </row>
    <row r="30" spans="1:16" ht="14.25" customHeight="1" x14ac:dyDescent="0.25">
      <c r="A30" s="108"/>
      <c r="B30" s="39">
        <v>20</v>
      </c>
      <c r="C30" s="162" t="s">
        <v>7423</v>
      </c>
      <c r="D30" s="162"/>
      <c r="E30" s="162"/>
      <c r="F30" s="162"/>
      <c r="G30" s="162"/>
      <c r="H30" s="162"/>
      <c r="I30" s="39" t="s">
        <v>702</v>
      </c>
      <c r="J30" s="111">
        <v>14980000</v>
      </c>
      <c r="K30" s="112">
        <v>46037</v>
      </c>
      <c r="L30" s="39"/>
      <c r="M30" s="39">
        <v>3104165783</v>
      </c>
      <c r="N30" s="39" t="s">
        <v>4564</v>
      </c>
      <c r="O30" s="39" t="s">
        <v>8001</v>
      </c>
      <c r="P30" s="52" t="s">
        <v>4565</v>
      </c>
    </row>
    <row r="31" spans="1:16" x14ac:dyDescent="0.25">
      <c r="A31" s="108"/>
      <c r="B31" s="39">
        <v>21</v>
      </c>
      <c r="C31" s="162" t="s">
        <v>7424</v>
      </c>
      <c r="D31" s="162"/>
      <c r="E31" s="162"/>
      <c r="F31" s="162"/>
      <c r="G31" s="162"/>
      <c r="H31" s="162"/>
      <c r="I31" s="39" t="s">
        <v>4597</v>
      </c>
      <c r="J31" s="111">
        <v>24980000</v>
      </c>
      <c r="K31" s="112">
        <v>46037</v>
      </c>
      <c r="L31" s="39"/>
      <c r="M31" s="39">
        <v>3135401714</v>
      </c>
      <c r="N31" s="39" t="s">
        <v>4294</v>
      </c>
      <c r="O31" s="39"/>
      <c r="P31" s="52" t="s">
        <v>1662</v>
      </c>
    </row>
    <row r="32" spans="1:16" x14ac:dyDescent="0.25">
      <c r="A32" s="108"/>
      <c r="B32" s="39">
        <v>22</v>
      </c>
      <c r="C32" s="162" t="s">
        <v>7425</v>
      </c>
      <c r="D32" s="162"/>
      <c r="E32" s="162"/>
      <c r="F32" s="162"/>
      <c r="G32" s="162"/>
      <c r="H32" s="162"/>
      <c r="I32" s="39" t="s">
        <v>3766</v>
      </c>
      <c r="J32" s="111">
        <v>9980000</v>
      </c>
      <c r="K32" s="112">
        <v>46037</v>
      </c>
      <c r="L32" s="39"/>
      <c r="M32" s="39" t="s">
        <v>5243</v>
      </c>
      <c r="N32" s="39" t="s">
        <v>6301</v>
      </c>
      <c r="O32" s="39" t="s">
        <v>7995</v>
      </c>
      <c r="P32" s="52" t="s">
        <v>5234</v>
      </c>
    </row>
    <row r="33" spans="1:16" x14ac:dyDescent="0.25">
      <c r="A33" s="108"/>
      <c r="B33" s="39">
        <v>23</v>
      </c>
      <c r="C33" s="162" t="s">
        <v>7425</v>
      </c>
      <c r="D33" s="162"/>
      <c r="E33" s="162"/>
      <c r="F33" s="162"/>
      <c r="G33" s="162"/>
      <c r="H33" s="162"/>
      <c r="I33" s="39" t="s">
        <v>2743</v>
      </c>
      <c r="J33" s="111">
        <v>9980000</v>
      </c>
      <c r="K33" s="112">
        <v>46037</v>
      </c>
      <c r="L33" s="39"/>
      <c r="M33" s="39">
        <v>3175594091</v>
      </c>
      <c r="N33" s="39" t="s">
        <v>6303</v>
      </c>
      <c r="O33" s="39" t="s">
        <v>7991</v>
      </c>
      <c r="P33" s="52" t="s">
        <v>748</v>
      </c>
    </row>
    <row r="34" spans="1:16" x14ac:dyDescent="0.25">
      <c r="A34" s="108"/>
      <c r="B34" s="39">
        <v>24</v>
      </c>
      <c r="C34" s="162" t="s">
        <v>7426</v>
      </c>
      <c r="D34" s="162"/>
      <c r="E34" s="162"/>
      <c r="F34" s="162"/>
      <c r="G34" s="162"/>
      <c r="H34" s="162"/>
      <c r="I34" s="39" t="s">
        <v>5252</v>
      </c>
      <c r="J34" s="111">
        <v>25000000</v>
      </c>
      <c r="K34" s="112">
        <v>46037</v>
      </c>
      <c r="L34" s="39"/>
      <c r="M34" s="39">
        <v>3147537411</v>
      </c>
      <c r="N34" s="39" t="s">
        <v>4272</v>
      </c>
      <c r="O34" s="39"/>
      <c r="P34" s="52" t="s">
        <v>1131</v>
      </c>
    </row>
    <row r="35" spans="1:16" ht="15" customHeight="1" x14ac:dyDescent="0.25">
      <c r="A35" s="108"/>
      <c r="B35" s="39">
        <v>25</v>
      </c>
      <c r="C35" s="162" t="s">
        <v>7427</v>
      </c>
      <c r="D35" s="162"/>
      <c r="E35" s="162"/>
      <c r="F35" s="162"/>
      <c r="G35" s="162"/>
      <c r="H35" s="162"/>
      <c r="I35" s="39" t="s">
        <v>4597</v>
      </c>
      <c r="J35" s="111">
        <v>12540000</v>
      </c>
      <c r="K35" s="112">
        <v>46038</v>
      </c>
      <c r="L35" s="39"/>
      <c r="M35" s="39">
        <v>3014201614</v>
      </c>
      <c r="N35" s="39" t="s">
        <v>3019</v>
      </c>
      <c r="O35" s="39"/>
      <c r="P35" s="116" t="s">
        <v>2771</v>
      </c>
    </row>
    <row r="36" spans="1:16" x14ac:dyDescent="0.25">
      <c r="A36" s="108"/>
      <c r="B36" s="39">
        <v>26</v>
      </c>
      <c r="C36" s="162" t="s">
        <v>7340</v>
      </c>
      <c r="D36" s="162"/>
      <c r="E36" s="162"/>
      <c r="F36" s="162"/>
      <c r="G36" s="162"/>
      <c r="H36" s="162"/>
      <c r="I36" s="39" t="s">
        <v>7341</v>
      </c>
      <c r="J36" s="111">
        <v>26920000</v>
      </c>
      <c r="K36" s="112">
        <v>46038</v>
      </c>
      <c r="L36" s="39"/>
      <c r="M36" s="39">
        <v>3153547367</v>
      </c>
      <c r="N36" s="39" t="s">
        <v>7342</v>
      </c>
      <c r="O36" s="39"/>
      <c r="P36" s="38" t="s">
        <v>7343</v>
      </c>
    </row>
    <row r="37" spans="1:16" x14ac:dyDescent="0.25">
      <c r="A37" s="108"/>
      <c r="B37" s="39">
        <v>27</v>
      </c>
      <c r="C37" s="162" t="s">
        <v>7428</v>
      </c>
      <c r="D37" s="162"/>
      <c r="E37" s="162"/>
      <c r="F37" s="162"/>
      <c r="G37" s="162"/>
      <c r="H37" s="162"/>
      <c r="I37" s="39" t="s">
        <v>4120</v>
      </c>
      <c r="J37" s="111">
        <v>1450000</v>
      </c>
      <c r="K37" s="112">
        <v>46038</v>
      </c>
      <c r="L37" s="39"/>
      <c r="M37" s="32" t="s">
        <v>4124</v>
      </c>
      <c r="N37" s="32" t="s">
        <v>4122</v>
      </c>
      <c r="O37" s="39"/>
      <c r="P37" s="52" t="s">
        <v>4123</v>
      </c>
    </row>
    <row r="38" spans="1:16" x14ac:dyDescent="0.25">
      <c r="A38" s="108"/>
      <c r="B38" s="39">
        <v>28</v>
      </c>
      <c r="C38" s="162" t="s">
        <v>7429</v>
      </c>
      <c r="D38" s="162"/>
      <c r="E38" s="162"/>
      <c r="F38" s="162"/>
      <c r="G38" s="162"/>
      <c r="H38" s="162"/>
      <c r="I38" s="39" t="s">
        <v>6668</v>
      </c>
      <c r="J38" s="111">
        <v>9950000</v>
      </c>
      <c r="K38" s="112">
        <v>46038</v>
      </c>
      <c r="L38" s="39"/>
      <c r="M38" s="39">
        <v>3053533308</v>
      </c>
      <c r="N38" s="39" t="s">
        <v>6665</v>
      </c>
      <c r="O38" s="39"/>
      <c r="P38" s="52" t="s">
        <v>6666</v>
      </c>
    </row>
    <row r="39" spans="1:16" x14ac:dyDescent="0.25">
      <c r="A39" s="108"/>
      <c r="B39" s="39">
        <v>29</v>
      </c>
      <c r="C39" s="162" t="s">
        <v>7447</v>
      </c>
      <c r="D39" s="162"/>
      <c r="E39" s="162"/>
      <c r="F39" s="162"/>
      <c r="G39" s="162"/>
      <c r="H39" s="162"/>
      <c r="I39" s="39" t="s">
        <v>4597</v>
      </c>
      <c r="J39" s="111">
        <v>21990000</v>
      </c>
      <c r="K39" s="112">
        <v>46038</v>
      </c>
      <c r="L39" s="39"/>
      <c r="M39" s="39">
        <v>3014201614</v>
      </c>
      <c r="N39" s="39" t="s">
        <v>196</v>
      </c>
      <c r="O39" s="39"/>
      <c r="P39" s="38" t="s">
        <v>6111</v>
      </c>
    </row>
    <row r="40" spans="1:16" x14ac:dyDescent="0.25">
      <c r="A40" s="108"/>
      <c r="B40" s="39">
        <v>30</v>
      </c>
      <c r="C40" s="162" t="s">
        <v>7446</v>
      </c>
      <c r="D40" s="162"/>
      <c r="E40" s="162"/>
      <c r="F40" s="162"/>
      <c r="G40" s="162"/>
      <c r="H40" s="162"/>
      <c r="I40" s="39" t="s">
        <v>4597</v>
      </c>
      <c r="J40" s="111">
        <v>20550000</v>
      </c>
      <c r="K40" s="112">
        <v>46038</v>
      </c>
      <c r="L40" s="39"/>
      <c r="M40" s="39">
        <v>3014201614</v>
      </c>
      <c r="N40" s="39" t="s">
        <v>196</v>
      </c>
      <c r="O40" s="39"/>
      <c r="P40" s="38" t="s">
        <v>6111</v>
      </c>
    </row>
    <row r="41" spans="1:16" x14ac:dyDescent="0.25">
      <c r="A41" s="108"/>
      <c r="B41" s="39">
        <v>31</v>
      </c>
      <c r="C41" s="162" t="s">
        <v>7431</v>
      </c>
      <c r="D41" s="162"/>
      <c r="E41" s="162"/>
      <c r="F41" s="162"/>
      <c r="G41" s="162"/>
      <c r="H41" s="162"/>
      <c r="I41" s="39" t="s">
        <v>6545</v>
      </c>
      <c r="J41" s="111">
        <v>15000000</v>
      </c>
      <c r="K41" s="112">
        <v>46041</v>
      </c>
      <c r="L41" s="39"/>
      <c r="M41" s="39">
        <v>3134451063</v>
      </c>
      <c r="N41" s="39" t="s">
        <v>6906</v>
      </c>
      <c r="O41" s="39" t="s">
        <v>8006</v>
      </c>
      <c r="P41" s="38" t="s">
        <v>6907</v>
      </c>
    </row>
    <row r="42" spans="1:16" ht="15" customHeight="1" x14ac:dyDescent="0.25">
      <c r="A42" s="108"/>
      <c r="B42" s="39">
        <v>32</v>
      </c>
      <c r="C42" s="162" t="s">
        <v>7432</v>
      </c>
      <c r="D42" s="162"/>
      <c r="E42" s="162"/>
      <c r="F42" s="162"/>
      <c r="G42" s="162"/>
      <c r="H42" s="162"/>
      <c r="I42" s="39" t="s">
        <v>7433</v>
      </c>
      <c r="J42" s="111">
        <v>39950000</v>
      </c>
      <c r="K42" s="112">
        <v>46041</v>
      </c>
      <c r="L42" s="39"/>
      <c r="M42" s="39" t="s">
        <v>7434</v>
      </c>
      <c r="N42" s="39" t="s">
        <v>7435</v>
      </c>
      <c r="O42" s="39" t="s">
        <v>7977</v>
      </c>
      <c r="P42" s="52" t="s">
        <v>7436</v>
      </c>
    </row>
    <row r="43" spans="1:16" x14ac:dyDescent="0.25">
      <c r="A43" s="108"/>
      <c r="B43" s="39">
        <v>33</v>
      </c>
      <c r="C43" s="162" t="s">
        <v>7437</v>
      </c>
      <c r="D43" s="162"/>
      <c r="E43" s="162"/>
      <c r="F43" s="162"/>
      <c r="G43" s="162"/>
      <c r="H43" s="162"/>
      <c r="I43" s="39" t="s">
        <v>4390</v>
      </c>
      <c r="J43" s="111">
        <f>9410000*3</f>
        <v>28230000</v>
      </c>
      <c r="K43" s="112">
        <v>46042</v>
      </c>
      <c r="L43" s="39"/>
      <c r="M43" s="39">
        <v>3052837617</v>
      </c>
      <c r="N43" s="39" t="s">
        <v>7302</v>
      </c>
      <c r="O43" s="39"/>
      <c r="P43" s="52" t="s">
        <v>3199</v>
      </c>
    </row>
    <row r="44" spans="1:16" x14ac:dyDescent="0.25">
      <c r="A44" s="108"/>
      <c r="B44" s="39">
        <v>34</v>
      </c>
      <c r="C44" s="162" t="s">
        <v>7445</v>
      </c>
      <c r="D44" s="162"/>
      <c r="E44" s="162"/>
      <c r="F44" s="162"/>
      <c r="G44" s="162"/>
      <c r="H44" s="162"/>
      <c r="I44" s="39" t="s">
        <v>5637</v>
      </c>
      <c r="J44" s="111">
        <f>15920000*2</f>
        <v>31840000</v>
      </c>
      <c r="K44" s="112">
        <v>46042</v>
      </c>
      <c r="L44" s="39"/>
      <c r="M44" s="39">
        <v>3122310202</v>
      </c>
      <c r="N44" s="39" t="s">
        <v>6266</v>
      </c>
      <c r="O44" s="39" t="s">
        <v>7984</v>
      </c>
      <c r="P44" s="116" t="s">
        <v>6267</v>
      </c>
    </row>
    <row r="45" spans="1:16" x14ac:dyDescent="0.25">
      <c r="A45" s="108"/>
      <c r="B45" s="39">
        <v>35</v>
      </c>
      <c r="C45" s="162" t="s">
        <v>7438</v>
      </c>
      <c r="D45" s="162"/>
      <c r="E45" s="162"/>
      <c r="F45" s="162"/>
      <c r="G45" s="162"/>
      <c r="H45" s="162"/>
      <c r="I45" s="39" t="s">
        <v>7442</v>
      </c>
      <c r="J45" s="46">
        <v>2950000</v>
      </c>
      <c r="K45" s="112">
        <v>46042</v>
      </c>
      <c r="L45" s="2"/>
      <c r="M45" s="39"/>
      <c r="N45" s="39" t="s">
        <v>7440</v>
      </c>
      <c r="O45" s="39"/>
      <c r="P45" s="115" t="s">
        <v>7441</v>
      </c>
    </row>
    <row r="46" spans="1:16" x14ac:dyDescent="0.25">
      <c r="A46" s="108"/>
      <c r="B46" s="39">
        <v>36</v>
      </c>
      <c r="C46" s="162" t="s">
        <v>7439</v>
      </c>
      <c r="D46" s="162"/>
      <c r="E46" s="162"/>
      <c r="F46" s="162"/>
      <c r="G46" s="162"/>
      <c r="H46" s="162"/>
      <c r="I46" s="39" t="s">
        <v>7442</v>
      </c>
      <c r="J46" s="111">
        <v>3250000</v>
      </c>
      <c r="K46" s="112">
        <v>46042</v>
      </c>
      <c r="L46" s="39"/>
      <c r="M46" s="39"/>
      <c r="N46" s="39" t="s">
        <v>7440</v>
      </c>
      <c r="O46" s="39"/>
      <c r="P46" s="52" t="s">
        <v>7441</v>
      </c>
    </row>
    <row r="47" spans="1:16" x14ac:dyDescent="0.25">
      <c r="A47" s="108"/>
      <c r="B47" s="39">
        <v>37</v>
      </c>
      <c r="C47" s="162" t="s">
        <v>7443</v>
      </c>
      <c r="D47" s="162"/>
      <c r="E47" s="162"/>
      <c r="F47" s="162"/>
      <c r="G47" s="162"/>
      <c r="H47" s="162"/>
      <c r="I47" s="39" t="s">
        <v>6131</v>
      </c>
      <c r="J47" s="111">
        <v>39880000</v>
      </c>
      <c r="K47" s="112">
        <v>46042</v>
      </c>
      <c r="L47" s="39"/>
      <c r="M47" s="39">
        <v>3044244065</v>
      </c>
      <c r="N47" s="39" t="s">
        <v>7444</v>
      </c>
      <c r="O47" s="39"/>
      <c r="P47" s="115"/>
    </row>
    <row r="48" spans="1:16" x14ac:dyDescent="0.25">
      <c r="A48" s="108"/>
      <c r="B48" s="39">
        <v>38</v>
      </c>
      <c r="C48" s="162" t="s">
        <v>7448</v>
      </c>
      <c r="D48" s="162"/>
      <c r="E48" s="162"/>
      <c r="F48" s="162"/>
      <c r="G48" s="162"/>
      <c r="H48" s="162"/>
      <c r="I48" s="39" t="s">
        <v>2743</v>
      </c>
      <c r="J48" s="111">
        <v>10950000</v>
      </c>
      <c r="K48" s="112">
        <v>46042</v>
      </c>
      <c r="L48" s="39"/>
      <c r="M48" s="39">
        <v>3175594091</v>
      </c>
      <c r="N48" s="39" t="s">
        <v>6303</v>
      </c>
      <c r="O48" s="39" t="s">
        <v>7991</v>
      </c>
      <c r="P48" s="38" t="s">
        <v>748</v>
      </c>
    </row>
    <row r="49" spans="1:16" ht="15" customHeight="1" x14ac:dyDescent="0.25">
      <c r="A49" s="108"/>
      <c r="B49" s="39">
        <v>39</v>
      </c>
      <c r="C49" s="162" t="s">
        <v>7449</v>
      </c>
      <c r="D49" s="162"/>
      <c r="E49" s="162"/>
      <c r="F49" s="162"/>
      <c r="G49" s="162"/>
      <c r="H49" s="162"/>
      <c r="I49" s="39" t="s">
        <v>3871</v>
      </c>
      <c r="J49" s="111">
        <v>39950000</v>
      </c>
      <c r="K49" s="112">
        <v>46043</v>
      </c>
      <c r="L49" s="39"/>
      <c r="M49" s="39">
        <v>3188712570</v>
      </c>
      <c r="N49" s="39" t="s">
        <v>7450</v>
      </c>
      <c r="O49" s="39"/>
      <c r="P49" s="52" t="s">
        <v>7451</v>
      </c>
    </row>
    <row r="50" spans="1:16" ht="15" customHeight="1" x14ac:dyDescent="0.25">
      <c r="A50" s="108"/>
      <c r="B50" s="39">
        <v>40</v>
      </c>
      <c r="C50" s="162" t="s">
        <v>7452</v>
      </c>
      <c r="D50" s="162"/>
      <c r="E50" s="162"/>
      <c r="F50" s="162"/>
      <c r="G50" s="162"/>
      <c r="H50" s="162"/>
      <c r="I50" s="39" t="s">
        <v>2283</v>
      </c>
      <c r="J50" s="111">
        <v>5000000</v>
      </c>
      <c r="K50" s="112">
        <v>46043</v>
      </c>
      <c r="L50" s="39"/>
      <c r="M50" s="39">
        <v>3168335985</v>
      </c>
      <c r="N50" s="39" t="s">
        <v>7960</v>
      </c>
      <c r="O50" s="39" t="s">
        <v>7959</v>
      </c>
      <c r="P50" s="52" t="s">
        <v>6321</v>
      </c>
    </row>
    <row r="51" spans="1:16" x14ac:dyDescent="0.25">
      <c r="A51" s="108"/>
      <c r="B51" s="39">
        <v>41</v>
      </c>
      <c r="C51" s="162" t="s">
        <v>7453</v>
      </c>
      <c r="D51" s="162"/>
      <c r="E51" s="162"/>
      <c r="F51" s="162"/>
      <c r="G51" s="162"/>
      <c r="H51" s="162"/>
      <c r="I51" s="39" t="s">
        <v>7382</v>
      </c>
      <c r="J51" s="111">
        <v>20000000</v>
      </c>
      <c r="K51" s="112">
        <v>46044</v>
      </c>
      <c r="L51" s="39"/>
      <c r="M51" s="39">
        <v>3175180141</v>
      </c>
      <c r="N51" s="39" t="s">
        <v>6516</v>
      </c>
      <c r="O51" s="39" t="s">
        <v>8000</v>
      </c>
      <c r="P51" s="116" t="s">
        <v>6517</v>
      </c>
    </row>
    <row r="52" spans="1:16" x14ac:dyDescent="0.25">
      <c r="A52" s="108"/>
      <c r="B52" s="39">
        <v>42</v>
      </c>
      <c r="C52" s="162" t="s">
        <v>7454</v>
      </c>
      <c r="D52" s="162"/>
      <c r="E52" s="162"/>
      <c r="F52" s="162"/>
      <c r="G52" s="162"/>
      <c r="H52" s="162"/>
      <c r="I52" s="39" t="s">
        <v>7455</v>
      </c>
      <c r="J52" s="111">
        <v>19950000</v>
      </c>
      <c r="K52" s="112">
        <v>46044</v>
      </c>
      <c r="L52" s="39"/>
      <c r="M52" s="39">
        <v>6044455900</v>
      </c>
      <c r="N52" s="39" t="s">
        <v>7457</v>
      </c>
      <c r="O52" s="39"/>
      <c r="P52" s="52" t="s">
        <v>7456</v>
      </c>
    </row>
    <row r="53" spans="1:16" x14ac:dyDescent="0.25">
      <c r="A53" s="108"/>
      <c r="B53" s="39">
        <v>43</v>
      </c>
      <c r="C53" s="162" t="s">
        <v>7459</v>
      </c>
      <c r="D53" s="162"/>
      <c r="E53" s="162"/>
      <c r="F53" s="162"/>
      <c r="G53" s="162"/>
      <c r="H53" s="162"/>
      <c r="I53" s="39" t="s">
        <v>7430</v>
      </c>
      <c r="J53" s="111">
        <v>69950000</v>
      </c>
      <c r="K53" s="112">
        <v>46044</v>
      </c>
      <c r="L53" s="39"/>
      <c r="M53" s="39">
        <v>6044443091</v>
      </c>
      <c r="N53" s="39" t="s">
        <v>7460</v>
      </c>
      <c r="O53" s="39"/>
      <c r="P53" s="52" t="s">
        <v>7461</v>
      </c>
    </row>
    <row r="54" spans="1:16" x14ac:dyDescent="0.25">
      <c r="A54" s="108"/>
      <c r="B54" s="39">
        <v>44</v>
      </c>
      <c r="C54" s="159" t="s">
        <v>7458</v>
      </c>
      <c r="D54" s="160"/>
      <c r="E54" s="160"/>
      <c r="F54" s="160"/>
      <c r="G54" s="160"/>
      <c r="H54" s="161"/>
      <c r="I54" s="39" t="s">
        <v>6028</v>
      </c>
      <c r="J54" s="111">
        <v>18150000</v>
      </c>
      <c r="K54" s="112">
        <v>46044</v>
      </c>
      <c r="L54" s="39"/>
      <c r="M54" s="39">
        <v>3146620375</v>
      </c>
      <c r="N54" s="39" t="s">
        <v>7321</v>
      </c>
      <c r="O54" s="39"/>
      <c r="P54" s="52" t="s">
        <v>7322</v>
      </c>
    </row>
    <row r="55" spans="1:16" x14ac:dyDescent="0.25">
      <c r="A55" s="108"/>
      <c r="B55" s="39">
        <v>45</v>
      </c>
      <c r="C55" s="162" t="s">
        <v>7462</v>
      </c>
      <c r="D55" s="162"/>
      <c r="E55" s="162"/>
      <c r="F55" s="162"/>
      <c r="G55" s="162"/>
      <c r="H55" s="162"/>
      <c r="I55" s="39" t="s">
        <v>2743</v>
      </c>
      <c r="J55" s="111">
        <v>25000000</v>
      </c>
      <c r="K55" s="112">
        <v>46044</v>
      </c>
      <c r="L55" s="39"/>
      <c r="M55" s="39">
        <v>3175594091</v>
      </c>
      <c r="N55" s="39" t="s">
        <v>6303</v>
      </c>
      <c r="O55" s="39" t="s">
        <v>7991</v>
      </c>
      <c r="P55" s="38" t="s">
        <v>748</v>
      </c>
    </row>
    <row r="56" spans="1:16" x14ac:dyDescent="0.25">
      <c r="A56" s="108"/>
      <c r="B56" s="39">
        <v>46</v>
      </c>
      <c r="C56" s="162" t="s">
        <v>7463</v>
      </c>
      <c r="D56" s="162"/>
      <c r="E56" s="162"/>
      <c r="F56" s="162"/>
      <c r="G56" s="162"/>
      <c r="H56" s="162"/>
      <c r="I56" s="39" t="s">
        <v>7464</v>
      </c>
      <c r="J56" s="111">
        <v>6950000</v>
      </c>
      <c r="K56" s="112">
        <v>46044</v>
      </c>
      <c r="L56" s="39"/>
      <c r="M56" s="39">
        <v>3104297680</v>
      </c>
      <c r="N56" s="39" t="s">
        <v>7465</v>
      </c>
      <c r="O56" s="39"/>
      <c r="P56" s="115"/>
    </row>
    <row r="57" spans="1:16" x14ac:dyDescent="0.25">
      <c r="A57" s="108"/>
      <c r="B57" s="39">
        <v>47</v>
      </c>
      <c r="C57" s="162" t="s">
        <v>7466</v>
      </c>
      <c r="D57" s="162"/>
      <c r="E57" s="162"/>
      <c r="F57" s="162"/>
      <c r="G57" s="162"/>
      <c r="H57" s="162"/>
      <c r="I57" s="39" t="s">
        <v>6545</v>
      </c>
      <c r="J57" s="111">
        <v>11950000</v>
      </c>
      <c r="K57" s="112">
        <v>46044</v>
      </c>
      <c r="L57" s="39"/>
      <c r="M57" s="39" t="s">
        <v>7229</v>
      </c>
      <c r="N57" s="39" t="s">
        <v>7207</v>
      </c>
      <c r="O57" s="39" t="s">
        <v>8005</v>
      </c>
      <c r="P57" s="38" t="s">
        <v>7230</v>
      </c>
    </row>
    <row r="58" spans="1:16" x14ac:dyDescent="0.25">
      <c r="A58" s="108"/>
      <c r="B58" s="39">
        <v>48</v>
      </c>
      <c r="C58" s="162" t="s">
        <v>7467</v>
      </c>
      <c r="D58" s="162"/>
      <c r="E58" s="162"/>
      <c r="F58" s="162"/>
      <c r="G58" s="162"/>
      <c r="H58" s="162"/>
      <c r="I58" s="39" t="s">
        <v>4436</v>
      </c>
      <c r="J58" s="111">
        <v>11950000</v>
      </c>
      <c r="K58" s="112">
        <v>46046</v>
      </c>
      <c r="L58" s="39"/>
      <c r="M58" s="39">
        <v>3003404902</v>
      </c>
      <c r="N58" s="39" t="s">
        <v>2049</v>
      </c>
      <c r="O58" s="39" t="s">
        <v>7987</v>
      </c>
      <c r="P58" s="116" t="s">
        <v>2881</v>
      </c>
    </row>
    <row r="59" spans="1:16" x14ac:dyDescent="0.25">
      <c r="A59" s="108"/>
      <c r="B59" s="39">
        <v>49</v>
      </c>
      <c r="C59" s="162" t="s">
        <v>7468</v>
      </c>
      <c r="D59" s="162"/>
      <c r="E59" s="162"/>
      <c r="F59" s="162"/>
      <c r="G59" s="162"/>
      <c r="H59" s="162"/>
      <c r="I59" s="39" t="s">
        <v>6892</v>
      </c>
      <c r="J59" s="111">
        <v>53950000</v>
      </c>
      <c r="K59" s="112">
        <v>46048</v>
      </c>
      <c r="L59" s="39"/>
      <c r="M59" s="39">
        <v>6516066</v>
      </c>
      <c r="N59" s="125" t="s">
        <v>7469</v>
      </c>
      <c r="O59" s="39"/>
      <c r="P59" s="52" t="s">
        <v>7470</v>
      </c>
    </row>
    <row r="60" spans="1:16" x14ac:dyDescent="0.25">
      <c r="A60" s="108"/>
      <c r="B60" s="39">
        <v>50</v>
      </c>
      <c r="C60" s="162" t="s">
        <v>7471</v>
      </c>
      <c r="D60" s="162"/>
      <c r="E60" s="162"/>
      <c r="F60" s="162"/>
      <c r="G60" s="162"/>
      <c r="H60" s="162"/>
      <c r="I60" s="39" t="s">
        <v>7016</v>
      </c>
      <c r="J60" s="111">
        <v>27550000</v>
      </c>
      <c r="K60" s="112">
        <v>46048</v>
      </c>
      <c r="L60" s="39"/>
      <c r="M60" s="39"/>
      <c r="N60" s="39" t="s">
        <v>1626</v>
      </c>
      <c r="O60" s="39"/>
      <c r="P60" s="116" t="s">
        <v>7140</v>
      </c>
    </row>
    <row r="61" spans="1:16" x14ac:dyDescent="0.25">
      <c r="A61" s="108"/>
      <c r="B61" s="39">
        <v>51</v>
      </c>
      <c r="C61" s="162" t="s">
        <v>7472</v>
      </c>
      <c r="D61" s="162"/>
      <c r="E61" s="162"/>
      <c r="F61" s="162"/>
      <c r="G61" s="162"/>
      <c r="H61" s="162"/>
      <c r="I61" s="39" t="s">
        <v>2743</v>
      </c>
      <c r="J61" s="111">
        <v>15000000</v>
      </c>
      <c r="K61" s="112">
        <v>46048</v>
      </c>
      <c r="L61" s="39"/>
      <c r="M61" s="39">
        <v>3175594091</v>
      </c>
      <c r="N61" s="39" t="s">
        <v>6303</v>
      </c>
      <c r="O61" s="39" t="s">
        <v>7991</v>
      </c>
      <c r="P61" s="38" t="s">
        <v>748</v>
      </c>
    </row>
    <row r="62" spans="1:16" x14ac:dyDescent="0.25">
      <c r="A62" s="108"/>
      <c r="B62" s="39">
        <v>52</v>
      </c>
      <c r="C62" s="162" t="s">
        <v>7473</v>
      </c>
      <c r="D62" s="162"/>
      <c r="E62" s="162"/>
      <c r="F62" s="162"/>
      <c r="G62" s="162"/>
      <c r="H62" s="162"/>
      <c r="I62" s="39" t="s">
        <v>472</v>
      </c>
      <c r="J62" s="111">
        <v>24000000</v>
      </c>
      <c r="K62" s="112">
        <v>46050</v>
      </c>
      <c r="L62" s="39"/>
      <c r="M62" s="39"/>
      <c r="N62" s="39" t="s">
        <v>472</v>
      </c>
      <c r="O62" s="39" t="s">
        <v>7975</v>
      </c>
      <c r="P62" s="115"/>
    </row>
    <row r="63" spans="1:16" x14ac:dyDescent="0.25">
      <c r="A63" s="108"/>
      <c r="B63" s="39">
        <v>53</v>
      </c>
      <c r="C63" s="162" t="s">
        <v>7474</v>
      </c>
      <c r="D63" s="162"/>
      <c r="E63" s="162"/>
      <c r="F63" s="162"/>
      <c r="G63" s="162"/>
      <c r="H63" s="162"/>
      <c r="I63" s="39" t="s">
        <v>4436</v>
      </c>
      <c r="J63" s="111">
        <v>8780000</v>
      </c>
      <c r="K63" s="112">
        <v>46051</v>
      </c>
      <c r="L63" s="39"/>
      <c r="M63" s="39">
        <v>3148721400</v>
      </c>
      <c r="N63" s="39" t="s">
        <v>4575</v>
      </c>
      <c r="O63" s="39" t="s">
        <v>7988</v>
      </c>
      <c r="P63" s="38" t="s">
        <v>4576</v>
      </c>
    </row>
    <row r="64" spans="1:16" x14ac:dyDescent="0.25">
      <c r="A64" s="108"/>
      <c r="B64" s="39">
        <v>54</v>
      </c>
      <c r="C64" s="162" t="s">
        <v>7475</v>
      </c>
      <c r="D64" s="162"/>
      <c r="E64" s="162"/>
      <c r="F64" s="162"/>
      <c r="G64" s="162"/>
      <c r="H64" s="162"/>
      <c r="I64" s="39" t="s">
        <v>7476</v>
      </c>
      <c r="J64" s="111">
        <v>2500000</v>
      </c>
      <c r="K64" s="112">
        <v>46050</v>
      </c>
      <c r="L64" s="39"/>
      <c r="M64" s="39"/>
      <c r="N64" s="39" t="s">
        <v>7477</v>
      </c>
      <c r="O64" s="39"/>
      <c r="P64" s="52" t="s">
        <v>7478</v>
      </c>
    </row>
    <row r="65" spans="1:16" x14ac:dyDescent="0.25">
      <c r="A65" s="108"/>
      <c r="B65" s="39">
        <v>55</v>
      </c>
      <c r="C65" s="162" t="s">
        <v>7503</v>
      </c>
      <c r="D65" s="162"/>
      <c r="E65" s="162"/>
      <c r="F65" s="162"/>
      <c r="G65" s="162"/>
      <c r="H65" s="162"/>
      <c r="I65" s="39" t="s">
        <v>7481</v>
      </c>
      <c r="J65" s="111">
        <v>26950000</v>
      </c>
      <c r="K65" s="112">
        <v>46051</v>
      </c>
      <c r="L65" s="39"/>
      <c r="M65" s="39">
        <v>3207202429</v>
      </c>
      <c r="N65" s="39" t="s">
        <v>7479</v>
      </c>
      <c r="O65" s="39"/>
      <c r="P65" s="52" t="s">
        <v>7480</v>
      </c>
    </row>
    <row r="66" spans="1:16" x14ac:dyDescent="0.25">
      <c r="A66" s="108"/>
      <c r="B66" s="39">
        <v>56</v>
      </c>
      <c r="C66" s="162" t="s">
        <v>7482</v>
      </c>
      <c r="D66" s="162"/>
      <c r="E66" s="162"/>
      <c r="F66" s="162"/>
      <c r="G66" s="162"/>
      <c r="H66" s="162"/>
      <c r="I66" s="39" t="s">
        <v>4436</v>
      </c>
      <c r="J66" s="111">
        <v>7500000</v>
      </c>
      <c r="K66" s="112">
        <v>46051</v>
      </c>
      <c r="L66" s="39"/>
      <c r="M66" s="39">
        <v>3206194853</v>
      </c>
      <c r="N66" s="39" t="s">
        <v>7082</v>
      </c>
      <c r="O66" s="39" t="s">
        <v>7989</v>
      </c>
      <c r="P66" s="52" t="s">
        <v>7083</v>
      </c>
    </row>
    <row r="67" spans="1:16" x14ac:dyDescent="0.25">
      <c r="A67" s="108"/>
      <c r="B67" s="39">
        <v>57</v>
      </c>
      <c r="C67" s="162" t="s">
        <v>555</v>
      </c>
      <c r="D67" s="162"/>
      <c r="E67" s="162"/>
      <c r="F67" s="162"/>
      <c r="G67" s="162"/>
      <c r="H67" s="162"/>
      <c r="I67" s="39" t="s">
        <v>4390</v>
      </c>
      <c r="J67" s="111">
        <v>27000000</v>
      </c>
      <c r="K67" s="112">
        <v>46051</v>
      </c>
      <c r="L67" s="32"/>
      <c r="M67" s="39">
        <v>3052837617</v>
      </c>
      <c r="N67" s="39" t="s">
        <v>7302</v>
      </c>
      <c r="O67" s="39"/>
      <c r="P67" s="52" t="s">
        <v>3199</v>
      </c>
    </row>
    <row r="68" spans="1:16" x14ac:dyDescent="0.25">
      <c r="A68" s="108"/>
      <c r="B68" s="39">
        <v>58</v>
      </c>
      <c r="C68" s="162" t="s">
        <v>7484</v>
      </c>
      <c r="D68" s="162"/>
      <c r="E68" s="162"/>
      <c r="F68" s="162"/>
      <c r="G68" s="162"/>
      <c r="H68" s="162"/>
      <c r="I68" s="39" t="s">
        <v>7483</v>
      </c>
      <c r="J68" s="111">
        <v>4000000</v>
      </c>
      <c r="K68" s="112">
        <v>46051</v>
      </c>
      <c r="L68" s="39"/>
      <c r="M68" s="39">
        <v>3209066577</v>
      </c>
      <c r="N68" s="39" t="s">
        <v>7522</v>
      </c>
      <c r="O68" s="39"/>
      <c r="P68" s="115"/>
    </row>
    <row r="69" spans="1:16" x14ac:dyDescent="0.25">
      <c r="A69" s="108"/>
      <c r="B69" s="39">
        <v>59</v>
      </c>
      <c r="C69" s="162" t="s">
        <v>7485</v>
      </c>
      <c r="D69" s="162"/>
      <c r="E69" s="162"/>
      <c r="F69" s="162"/>
      <c r="G69" s="162"/>
      <c r="H69" s="162"/>
      <c r="I69" s="39" t="s">
        <v>3439</v>
      </c>
      <c r="J69" s="111">
        <v>5950000</v>
      </c>
      <c r="K69" s="112">
        <v>46052</v>
      </c>
      <c r="L69" s="39"/>
      <c r="M69" s="39"/>
      <c r="N69" s="39" t="s">
        <v>7492</v>
      </c>
      <c r="O69" s="39"/>
      <c r="P69" s="52" t="s">
        <v>7493</v>
      </c>
    </row>
    <row r="70" spans="1:16" ht="15" customHeight="1" x14ac:dyDescent="0.25">
      <c r="A70" s="108"/>
      <c r="B70" s="39">
        <v>60</v>
      </c>
      <c r="C70" s="162" t="s">
        <v>7486</v>
      </c>
      <c r="D70" s="162"/>
      <c r="E70" s="162"/>
      <c r="F70" s="162"/>
      <c r="G70" s="162"/>
      <c r="H70" s="162"/>
      <c r="I70" s="39" t="s">
        <v>6461</v>
      </c>
      <c r="J70" s="111">
        <v>2500000</v>
      </c>
      <c r="K70" s="112">
        <v>46052</v>
      </c>
      <c r="L70" s="39"/>
      <c r="M70" s="39" t="s">
        <v>7491</v>
      </c>
      <c r="N70" s="39" t="s">
        <v>5294</v>
      </c>
      <c r="O70" s="39"/>
      <c r="P70" s="52" t="s">
        <v>5293</v>
      </c>
    </row>
    <row r="71" spans="1:16" x14ac:dyDescent="0.25">
      <c r="A71" s="108"/>
      <c r="B71" s="39">
        <v>61</v>
      </c>
      <c r="C71" s="162" t="s">
        <v>7487</v>
      </c>
      <c r="D71" s="162"/>
      <c r="E71" s="162"/>
      <c r="F71" s="162"/>
      <c r="G71" s="162"/>
      <c r="H71" s="162"/>
      <c r="I71" s="39" t="s">
        <v>7488</v>
      </c>
      <c r="J71" s="111">
        <v>13550000</v>
      </c>
      <c r="K71" s="112">
        <v>46052</v>
      </c>
      <c r="L71" s="39"/>
      <c r="M71" s="39">
        <v>4798165</v>
      </c>
      <c r="N71" s="125" t="s">
        <v>7489</v>
      </c>
      <c r="O71" s="39" t="s">
        <v>8007</v>
      </c>
      <c r="P71" s="52" t="s">
        <v>7490</v>
      </c>
    </row>
    <row r="72" spans="1:16" x14ac:dyDescent="0.25">
      <c r="A72" s="108"/>
      <c r="B72" s="39">
        <v>62</v>
      </c>
      <c r="C72" s="162" t="s">
        <v>7494</v>
      </c>
      <c r="D72" s="162"/>
      <c r="E72" s="162"/>
      <c r="F72" s="162"/>
      <c r="G72" s="162"/>
      <c r="H72" s="162"/>
      <c r="I72" s="39" t="s">
        <v>7488</v>
      </c>
      <c r="J72" s="111">
        <v>7250000</v>
      </c>
      <c r="K72" s="112">
        <v>46052</v>
      </c>
      <c r="L72" s="39"/>
      <c r="M72" s="39">
        <v>4798165</v>
      </c>
      <c r="N72" s="125" t="s">
        <v>7489</v>
      </c>
      <c r="O72" s="39" t="s">
        <v>8007</v>
      </c>
      <c r="P72" s="52" t="s">
        <v>7490</v>
      </c>
    </row>
    <row r="73" spans="1:16" x14ac:dyDescent="0.25">
      <c r="A73" s="108"/>
      <c r="B73" s="39">
        <v>63</v>
      </c>
      <c r="C73" s="162" t="s">
        <v>7495</v>
      </c>
      <c r="D73" s="162"/>
      <c r="E73" s="162"/>
      <c r="F73" s="162"/>
      <c r="G73" s="162"/>
      <c r="H73" s="162"/>
      <c r="I73" s="39" t="s">
        <v>7488</v>
      </c>
      <c r="J73" s="111">
        <v>6950000</v>
      </c>
      <c r="K73" s="112">
        <v>46052</v>
      </c>
      <c r="L73" s="39"/>
      <c r="M73" s="39">
        <v>4798165</v>
      </c>
      <c r="N73" s="125" t="s">
        <v>7489</v>
      </c>
      <c r="O73" s="39" t="s">
        <v>8007</v>
      </c>
      <c r="P73" s="52" t="s">
        <v>7490</v>
      </c>
    </row>
    <row r="74" spans="1:16" ht="15" customHeight="1" x14ac:dyDescent="0.25">
      <c r="A74" s="108"/>
      <c r="B74" s="39">
        <v>64</v>
      </c>
      <c r="C74" s="162" t="s">
        <v>7496</v>
      </c>
      <c r="D74" s="162"/>
      <c r="E74" s="162"/>
      <c r="F74" s="162"/>
      <c r="G74" s="162"/>
      <c r="H74" s="162"/>
      <c r="I74" s="39" t="s">
        <v>7488</v>
      </c>
      <c r="J74" s="111">
        <v>19500000</v>
      </c>
      <c r="K74" s="112">
        <v>46052</v>
      </c>
      <c r="L74" s="39"/>
      <c r="M74" s="39">
        <v>4798165</v>
      </c>
      <c r="N74" s="125" t="s">
        <v>7489</v>
      </c>
      <c r="O74" s="39" t="s">
        <v>8007</v>
      </c>
      <c r="P74" s="52" t="s">
        <v>7490</v>
      </c>
    </row>
    <row r="75" spans="1:16" x14ac:dyDescent="0.25">
      <c r="A75" s="108"/>
      <c r="B75" s="39">
        <v>65</v>
      </c>
      <c r="C75" s="162" t="s">
        <v>7497</v>
      </c>
      <c r="D75" s="162"/>
      <c r="E75" s="162"/>
      <c r="F75" s="162"/>
      <c r="G75" s="162"/>
      <c r="H75" s="162"/>
      <c r="I75" s="39" t="s">
        <v>702</v>
      </c>
      <c r="J75" s="111">
        <v>42000000</v>
      </c>
      <c r="K75" s="112">
        <v>46053</v>
      </c>
      <c r="L75" s="39"/>
      <c r="M75" s="39">
        <v>3104165783</v>
      </c>
      <c r="N75" s="39" t="s">
        <v>4564</v>
      </c>
      <c r="O75" s="39" t="s">
        <v>8001</v>
      </c>
      <c r="P75" s="52" t="s">
        <v>4565</v>
      </c>
    </row>
    <row r="76" spans="1:16" x14ac:dyDescent="0.25">
      <c r="A76" s="108"/>
      <c r="B76" s="39">
        <v>66</v>
      </c>
      <c r="C76" s="162" t="s">
        <v>7498</v>
      </c>
      <c r="D76" s="162"/>
      <c r="E76" s="162"/>
      <c r="F76" s="162"/>
      <c r="G76" s="162"/>
      <c r="H76" s="162"/>
      <c r="I76" s="39" t="s">
        <v>7499</v>
      </c>
      <c r="J76" s="111">
        <f>15000000*10</f>
        <v>150000000</v>
      </c>
      <c r="K76" s="112">
        <v>46059</v>
      </c>
      <c r="L76" s="39"/>
      <c r="M76" s="39">
        <v>3214813898</v>
      </c>
      <c r="N76" s="39" t="s">
        <v>7501</v>
      </c>
      <c r="O76" s="39"/>
      <c r="P76" s="52" t="s">
        <v>7502</v>
      </c>
    </row>
    <row r="77" spans="1:16" x14ac:dyDescent="0.25">
      <c r="A77" s="108"/>
      <c r="B77" s="39">
        <v>67</v>
      </c>
      <c r="C77" s="162" t="s">
        <v>7500</v>
      </c>
      <c r="D77" s="162"/>
      <c r="E77" s="162"/>
      <c r="F77" s="162"/>
      <c r="G77" s="162"/>
      <c r="H77" s="162"/>
      <c r="I77" s="39" t="s">
        <v>4597</v>
      </c>
      <c r="J77" s="111">
        <v>5000000</v>
      </c>
      <c r="K77" s="112">
        <v>46058</v>
      </c>
      <c r="L77" s="39"/>
      <c r="M77" s="39" t="s">
        <v>5812</v>
      </c>
      <c r="N77" s="39" t="s">
        <v>4109</v>
      </c>
      <c r="O77" s="39" t="s">
        <v>8010</v>
      </c>
      <c r="P77" s="38" t="s">
        <v>5752</v>
      </c>
    </row>
    <row r="78" spans="1:16" x14ac:dyDescent="0.25">
      <c r="A78" s="108"/>
      <c r="B78" s="39">
        <v>68</v>
      </c>
      <c r="C78" s="162" t="s">
        <v>7503</v>
      </c>
      <c r="D78" s="162"/>
      <c r="E78" s="162"/>
      <c r="F78" s="162"/>
      <c r="G78" s="162"/>
      <c r="H78" s="162"/>
      <c r="I78" s="39" t="s">
        <v>7481</v>
      </c>
      <c r="J78" s="111">
        <v>26950000</v>
      </c>
      <c r="K78" s="112">
        <v>46055</v>
      </c>
      <c r="L78" s="39"/>
      <c r="M78" s="39">
        <v>3207202429</v>
      </c>
      <c r="N78" s="39" t="s">
        <v>7479</v>
      </c>
      <c r="O78" s="39"/>
      <c r="P78" s="52" t="s">
        <v>7480</v>
      </c>
    </row>
    <row r="79" spans="1:16" x14ac:dyDescent="0.25">
      <c r="A79" s="108"/>
      <c r="B79" s="39">
        <v>69</v>
      </c>
      <c r="C79" s="162" t="s">
        <v>6067</v>
      </c>
      <c r="D79" s="162"/>
      <c r="E79" s="162"/>
      <c r="F79" s="162"/>
      <c r="G79" s="162"/>
      <c r="H79" s="162"/>
      <c r="I79" s="39" t="s">
        <v>7365</v>
      </c>
      <c r="J79" s="111">
        <v>27320000</v>
      </c>
      <c r="K79" s="112">
        <v>46056</v>
      </c>
      <c r="L79" s="39"/>
      <c r="M79" s="39" t="s">
        <v>5232</v>
      </c>
      <c r="N79" s="39" t="s">
        <v>5199</v>
      </c>
      <c r="O79" s="39"/>
      <c r="P79" s="38" t="s">
        <v>5200</v>
      </c>
    </row>
    <row r="80" spans="1:16" x14ac:dyDescent="0.25">
      <c r="A80" s="108"/>
      <c r="B80" s="39">
        <v>70</v>
      </c>
      <c r="C80" s="162" t="s">
        <v>7504</v>
      </c>
      <c r="D80" s="162"/>
      <c r="E80" s="162"/>
      <c r="F80" s="162"/>
      <c r="G80" s="162"/>
      <c r="H80" s="162"/>
      <c r="I80" s="39" t="s">
        <v>3766</v>
      </c>
      <c r="J80" s="111">
        <v>10000000</v>
      </c>
      <c r="K80" s="112">
        <v>46056</v>
      </c>
      <c r="L80" s="39"/>
      <c r="M80" s="39">
        <v>3007549649</v>
      </c>
      <c r="N80" s="39" t="s">
        <v>3552</v>
      </c>
      <c r="O80" s="39" t="s">
        <v>7994</v>
      </c>
      <c r="P80" s="116" t="s">
        <v>3553</v>
      </c>
    </row>
    <row r="81" spans="1:16" x14ac:dyDescent="0.25">
      <c r="A81" s="108"/>
      <c r="B81" s="39">
        <v>71</v>
      </c>
      <c r="C81" s="162" t="s">
        <v>7505</v>
      </c>
      <c r="D81" s="162"/>
      <c r="E81" s="162"/>
      <c r="F81" s="162"/>
      <c r="G81" s="162"/>
      <c r="H81" s="162"/>
      <c r="I81" s="39" t="s">
        <v>3439</v>
      </c>
      <c r="J81" s="111">
        <v>7550000</v>
      </c>
      <c r="K81" s="112">
        <v>46057</v>
      </c>
      <c r="L81" s="39"/>
      <c r="M81" s="39"/>
      <c r="N81" s="39" t="s">
        <v>7492</v>
      </c>
      <c r="O81" s="39"/>
      <c r="P81" s="52" t="s">
        <v>7493</v>
      </c>
    </row>
    <row r="82" spans="1:16" ht="15" customHeight="1" x14ac:dyDescent="0.25">
      <c r="A82" s="108"/>
      <c r="B82" s="39">
        <v>72</v>
      </c>
      <c r="C82" s="162" t="s">
        <v>7506</v>
      </c>
      <c r="D82" s="162"/>
      <c r="E82" s="162"/>
      <c r="F82" s="162"/>
      <c r="G82" s="162"/>
      <c r="H82" s="162"/>
      <c r="I82" s="39" t="s">
        <v>2779</v>
      </c>
      <c r="J82" s="111">
        <v>5000000</v>
      </c>
      <c r="K82" s="112">
        <v>46058</v>
      </c>
      <c r="L82" s="39"/>
      <c r="M82" s="39" t="s">
        <v>7507</v>
      </c>
      <c r="N82" s="39" t="s">
        <v>7508</v>
      </c>
      <c r="O82" s="39"/>
      <c r="P82" s="115"/>
    </row>
    <row r="83" spans="1:16" x14ac:dyDescent="0.25">
      <c r="A83" s="108"/>
      <c r="B83" s="39">
        <v>73</v>
      </c>
      <c r="C83" s="162" t="s">
        <v>7509</v>
      </c>
      <c r="D83" s="162"/>
      <c r="E83" s="162"/>
      <c r="F83" s="162"/>
      <c r="G83" s="162"/>
      <c r="H83" s="162"/>
      <c r="I83" s="39" t="s">
        <v>7511</v>
      </c>
      <c r="J83" s="111">
        <v>16310000</v>
      </c>
      <c r="K83" s="112">
        <v>46059</v>
      </c>
      <c r="L83" s="39"/>
      <c r="M83" s="39"/>
      <c r="N83" s="39" t="s">
        <v>7510</v>
      </c>
      <c r="O83" s="39"/>
      <c r="P83" s="115"/>
    </row>
    <row r="84" spans="1:16" x14ac:dyDescent="0.25">
      <c r="A84" s="108"/>
      <c r="B84" s="39">
        <v>74</v>
      </c>
      <c r="C84" s="162" t="s">
        <v>7512</v>
      </c>
      <c r="D84" s="162"/>
      <c r="E84" s="162"/>
      <c r="F84" s="162"/>
      <c r="G84" s="162"/>
      <c r="H84" s="162"/>
      <c r="I84" s="39" t="s">
        <v>3766</v>
      </c>
      <c r="J84" s="111">
        <v>75200000</v>
      </c>
      <c r="K84" s="112">
        <v>46058</v>
      </c>
      <c r="L84" s="39"/>
      <c r="M84" s="39">
        <v>3007549649</v>
      </c>
      <c r="N84" s="39" t="s">
        <v>3552</v>
      </c>
      <c r="O84" s="39" t="s">
        <v>7994</v>
      </c>
      <c r="P84" s="116" t="s">
        <v>3553</v>
      </c>
    </row>
    <row r="85" spans="1:16" x14ac:dyDescent="0.25">
      <c r="A85" s="108"/>
      <c r="B85" s="39">
        <v>75</v>
      </c>
      <c r="C85" s="162" t="s">
        <v>7513</v>
      </c>
      <c r="D85" s="162"/>
      <c r="E85" s="162"/>
      <c r="F85" s="162"/>
      <c r="G85" s="162"/>
      <c r="H85" s="162"/>
      <c r="I85" s="39" t="s">
        <v>702</v>
      </c>
      <c r="J85" s="111">
        <v>1050000</v>
      </c>
      <c r="K85" s="112">
        <v>46058</v>
      </c>
      <c r="L85" s="39"/>
      <c r="M85" s="39">
        <v>3104165783</v>
      </c>
      <c r="N85" s="39" t="s">
        <v>4564</v>
      </c>
      <c r="O85" s="39" t="s">
        <v>8001</v>
      </c>
      <c r="P85" s="52" t="s">
        <v>4565</v>
      </c>
    </row>
    <row r="86" spans="1:16" x14ac:dyDescent="0.25">
      <c r="A86" s="108"/>
      <c r="B86" s="39">
        <v>76</v>
      </c>
      <c r="C86" s="162" t="s">
        <v>7514</v>
      </c>
      <c r="D86" s="162"/>
      <c r="E86" s="162"/>
      <c r="F86" s="162"/>
      <c r="G86" s="162"/>
      <c r="H86" s="162"/>
      <c r="I86" s="39" t="s">
        <v>702</v>
      </c>
      <c r="J86" s="111">
        <v>2000000</v>
      </c>
      <c r="K86" s="112">
        <v>46058</v>
      </c>
      <c r="L86" s="39"/>
      <c r="M86" s="39">
        <v>3104165783</v>
      </c>
      <c r="N86" s="39" t="s">
        <v>4564</v>
      </c>
      <c r="O86" s="39" t="s">
        <v>8001</v>
      </c>
      <c r="P86" s="52" t="s">
        <v>4565</v>
      </c>
    </row>
    <row r="87" spans="1:16" x14ac:dyDescent="0.25">
      <c r="A87" s="108"/>
      <c r="B87" s="39">
        <v>77</v>
      </c>
      <c r="C87" s="162" t="s">
        <v>7515</v>
      </c>
      <c r="D87" s="162"/>
      <c r="E87" s="162"/>
      <c r="F87" s="162"/>
      <c r="G87" s="162"/>
      <c r="H87" s="162"/>
      <c r="I87" s="39" t="s">
        <v>6611</v>
      </c>
      <c r="J87" s="111">
        <v>13750000</v>
      </c>
      <c r="K87" s="112">
        <v>46058</v>
      </c>
      <c r="L87" s="39"/>
      <c r="M87" s="39">
        <v>3108542361</v>
      </c>
      <c r="N87" s="39" t="s">
        <v>7520</v>
      </c>
      <c r="O87" s="39" t="s">
        <v>7973</v>
      </c>
      <c r="P87" s="52" t="s">
        <v>7521</v>
      </c>
    </row>
    <row r="88" spans="1:16" x14ac:dyDescent="0.25">
      <c r="A88" s="108"/>
      <c r="B88" s="39">
        <v>78</v>
      </c>
      <c r="C88" s="162" t="s">
        <v>7516</v>
      </c>
      <c r="D88" s="162"/>
      <c r="E88" s="162"/>
      <c r="F88" s="162"/>
      <c r="G88" s="162"/>
      <c r="H88" s="162"/>
      <c r="I88" s="39" t="s">
        <v>7519</v>
      </c>
      <c r="J88" s="111">
        <v>13800000</v>
      </c>
      <c r="K88" s="112">
        <v>46059</v>
      </c>
      <c r="L88" s="39"/>
      <c r="M88" s="39">
        <v>3108542361</v>
      </c>
      <c r="N88" s="39" t="s">
        <v>7517</v>
      </c>
      <c r="O88" s="39" t="s">
        <v>7978</v>
      </c>
      <c r="P88" s="52" t="s">
        <v>7518</v>
      </c>
    </row>
    <row r="89" spans="1:16" x14ac:dyDescent="0.25">
      <c r="A89" s="108"/>
      <c r="B89" s="39">
        <v>79</v>
      </c>
      <c r="C89" s="162" t="s">
        <v>7523</v>
      </c>
      <c r="D89" s="162"/>
      <c r="E89" s="162"/>
      <c r="F89" s="162"/>
      <c r="G89" s="162"/>
      <c r="H89" s="162"/>
      <c r="I89" s="39" t="s">
        <v>4597</v>
      </c>
      <c r="J89" s="111">
        <v>3000000</v>
      </c>
      <c r="K89" s="112">
        <v>46058</v>
      </c>
      <c r="L89" s="39"/>
      <c r="M89" s="39" t="s">
        <v>5812</v>
      </c>
      <c r="N89" s="39" t="s">
        <v>4109</v>
      </c>
      <c r="O89" s="39"/>
      <c r="P89" s="38" t="s">
        <v>5752</v>
      </c>
    </row>
    <row r="90" spans="1:16" ht="15" customHeight="1" x14ac:dyDescent="0.25">
      <c r="A90" s="108"/>
      <c r="B90" s="39">
        <v>80</v>
      </c>
      <c r="C90" s="162" t="s">
        <v>7524</v>
      </c>
      <c r="D90" s="162"/>
      <c r="E90" s="162"/>
      <c r="F90" s="162"/>
      <c r="G90" s="162"/>
      <c r="H90" s="162"/>
      <c r="I90" s="39" t="s">
        <v>5229</v>
      </c>
      <c r="J90" s="111" t="s">
        <v>150</v>
      </c>
      <c r="K90" s="112">
        <v>46062</v>
      </c>
      <c r="L90" s="39"/>
      <c r="M90" s="156">
        <v>3127764680</v>
      </c>
      <c r="N90" s="39" t="s">
        <v>4130</v>
      </c>
      <c r="O90" s="39" t="s">
        <v>8008</v>
      </c>
      <c r="P90" s="52" t="s">
        <v>4131</v>
      </c>
    </row>
    <row r="91" spans="1:16" ht="15" customHeight="1" x14ac:dyDescent="0.25">
      <c r="A91" s="108"/>
      <c r="B91" s="39">
        <v>81</v>
      </c>
      <c r="C91" s="162" t="s">
        <v>7525</v>
      </c>
      <c r="D91" s="162"/>
      <c r="E91" s="162"/>
      <c r="F91" s="162"/>
      <c r="G91" s="162"/>
      <c r="H91" s="162"/>
      <c r="I91" s="39" t="s">
        <v>4597</v>
      </c>
      <c r="J91" s="111">
        <v>19990000</v>
      </c>
      <c r="K91" s="112">
        <v>46062</v>
      </c>
      <c r="L91" s="39"/>
      <c r="M91" s="39">
        <v>3014201614</v>
      </c>
      <c r="N91" s="39" t="s">
        <v>196</v>
      </c>
      <c r="O91" s="39"/>
      <c r="P91" s="116" t="s">
        <v>6111</v>
      </c>
    </row>
    <row r="92" spans="1:16" x14ac:dyDescent="0.25">
      <c r="A92" s="108"/>
      <c r="B92" s="39">
        <v>82</v>
      </c>
      <c r="C92" s="162" t="s">
        <v>7526</v>
      </c>
      <c r="D92" s="162"/>
      <c r="E92" s="162"/>
      <c r="F92" s="162"/>
      <c r="G92" s="162"/>
      <c r="H92" s="162"/>
      <c r="I92" s="39" t="s">
        <v>4939</v>
      </c>
      <c r="J92" s="111">
        <v>18950000</v>
      </c>
      <c r="K92" s="112">
        <v>46063</v>
      </c>
      <c r="L92" s="39"/>
      <c r="M92" s="39">
        <v>3206678830</v>
      </c>
      <c r="N92" s="39" t="s">
        <v>5927</v>
      </c>
      <c r="O92" s="39"/>
      <c r="P92" s="52" t="s">
        <v>948</v>
      </c>
    </row>
    <row r="93" spans="1:16" x14ac:dyDescent="0.25">
      <c r="A93" s="108"/>
      <c r="B93" s="39">
        <v>83</v>
      </c>
      <c r="C93" s="162" t="s">
        <v>7529</v>
      </c>
      <c r="D93" s="162"/>
      <c r="E93" s="162"/>
      <c r="F93" s="162"/>
      <c r="G93" s="162"/>
      <c r="H93" s="162"/>
      <c r="I93" s="39" t="s">
        <v>7527</v>
      </c>
      <c r="J93" s="111">
        <v>3950000</v>
      </c>
      <c r="K93" s="112">
        <v>46063</v>
      </c>
      <c r="L93" s="39"/>
      <c r="M93" s="39">
        <v>3128939595</v>
      </c>
      <c r="N93" s="39" t="s">
        <v>7528</v>
      </c>
      <c r="O93" s="39"/>
      <c r="P93" s="115"/>
    </row>
    <row r="94" spans="1:16" x14ac:dyDescent="0.25">
      <c r="A94" s="108"/>
      <c r="B94" s="39">
        <v>84</v>
      </c>
      <c r="C94" s="162" t="s">
        <v>7530</v>
      </c>
      <c r="D94" s="162"/>
      <c r="E94" s="162"/>
      <c r="F94" s="162"/>
      <c r="G94" s="162"/>
      <c r="H94" s="162"/>
      <c r="I94" s="39" t="s">
        <v>4059</v>
      </c>
      <c r="J94" s="111">
        <v>24990000</v>
      </c>
      <c r="K94" s="112">
        <v>46063</v>
      </c>
      <c r="L94" s="39"/>
      <c r="M94" s="39" t="s">
        <v>5410</v>
      </c>
      <c r="N94" s="39" t="s">
        <v>4059</v>
      </c>
      <c r="O94" s="39"/>
      <c r="P94" s="115"/>
    </row>
    <row r="95" spans="1:16" x14ac:dyDescent="0.25">
      <c r="A95" s="108"/>
      <c r="B95" s="39">
        <v>85</v>
      </c>
      <c r="C95" s="162" t="s">
        <v>7531</v>
      </c>
      <c r="D95" s="162"/>
      <c r="E95" s="162"/>
      <c r="F95" s="162"/>
      <c r="G95" s="162"/>
      <c r="H95" s="162"/>
      <c r="I95" s="39" t="s">
        <v>7532</v>
      </c>
      <c r="J95" s="111">
        <v>4950000</v>
      </c>
      <c r="K95" s="112">
        <v>46064</v>
      </c>
      <c r="L95" s="39"/>
      <c r="M95" s="39">
        <v>3116456726</v>
      </c>
      <c r="N95" s="39" t="s">
        <v>7533</v>
      </c>
      <c r="O95" s="39" t="s">
        <v>7964</v>
      </c>
      <c r="P95" s="52" t="s">
        <v>7277</v>
      </c>
    </row>
    <row r="96" spans="1:16" x14ac:dyDescent="0.25">
      <c r="A96" s="108"/>
      <c r="B96" s="39">
        <v>86</v>
      </c>
      <c r="C96" s="162" t="s">
        <v>7534</v>
      </c>
      <c r="D96" s="162"/>
      <c r="E96" s="162"/>
      <c r="F96" s="162"/>
      <c r="G96" s="162"/>
      <c r="H96" s="162"/>
      <c r="I96" s="39" t="s">
        <v>7532</v>
      </c>
      <c r="J96" s="111">
        <v>6250000</v>
      </c>
      <c r="K96" s="112">
        <v>46064</v>
      </c>
      <c r="L96" s="39"/>
      <c r="M96" s="39">
        <v>3116456726</v>
      </c>
      <c r="N96" s="39" t="s">
        <v>7533</v>
      </c>
      <c r="O96" s="39" t="s">
        <v>7964</v>
      </c>
      <c r="P96" s="52" t="s">
        <v>7277</v>
      </c>
    </row>
    <row r="97" spans="1:16" x14ac:dyDescent="0.25">
      <c r="A97" s="108"/>
      <c r="B97" s="39">
        <v>87</v>
      </c>
      <c r="C97" s="162" t="s">
        <v>7535</v>
      </c>
      <c r="D97" s="162"/>
      <c r="E97" s="162"/>
      <c r="F97" s="162"/>
      <c r="G97" s="162"/>
      <c r="H97" s="162"/>
      <c r="I97" s="39" t="s">
        <v>6892</v>
      </c>
      <c r="J97" s="111">
        <v>49900000</v>
      </c>
      <c r="K97" s="112">
        <v>46064</v>
      </c>
      <c r="L97" s="39"/>
      <c r="M97" s="39">
        <v>3153267338</v>
      </c>
      <c r="N97" s="39" t="s">
        <v>7536</v>
      </c>
      <c r="O97" s="39"/>
      <c r="P97" s="52" t="s">
        <v>7537</v>
      </c>
    </row>
    <row r="98" spans="1:16" x14ac:dyDescent="0.25">
      <c r="A98" s="108"/>
      <c r="B98" s="39">
        <v>88</v>
      </c>
      <c r="C98" s="162" t="s">
        <v>7538</v>
      </c>
      <c r="D98" s="162"/>
      <c r="E98" s="162"/>
      <c r="F98" s="162"/>
      <c r="G98" s="162"/>
      <c r="H98" s="162"/>
      <c r="I98" s="39" t="s">
        <v>5549</v>
      </c>
      <c r="J98" s="111">
        <v>53950000</v>
      </c>
      <c r="K98" s="112">
        <v>46064</v>
      </c>
      <c r="L98" s="39"/>
      <c r="M98" s="39">
        <v>3162963854</v>
      </c>
      <c r="N98" s="39" t="s">
        <v>5374</v>
      </c>
      <c r="O98" s="39"/>
      <c r="P98" s="52" t="s">
        <v>5375</v>
      </c>
    </row>
    <row r="99" spans="1:16" x14ac:dyDescent="0.25">
      <c r="A99" s="108"/>
      <c r="B99" s="39">
        <v>89</v>
      </c>
      <c r="C99" s="162" t="s">
        <v>7539</v>
      </c>
      <c r="D99" s="162"/>
      <c r="E99" s="162"/>
      <c r="F99" s="162"/>
      <c r="G99" s="162"/>
      <c r="H99" s="162"/>
      <c r="I99" s="39" t="s">
        <v>5549</v>
      </c>
      <c r="J99" s="111">
        <v>39750000</v>
      </c>
      <c r="K99" s="112">
        <v>46064</v>
      </c>
      <c r="L99" s="39"/>
      <c r="M99" s="39">
        <v>3162963854</v>
      </c>
      <c r="N99" s="39" t="s">
        <v>5374</v>
      </c>
      <c r="O99" s="39"/>
      <c r="P99" s="52" t="s">
        <v>5375</v>
      </c>
    </row>
    <row r="100" spans="1:16" x14ac:dyDescent="0.25">
      <c r="A100" s="108"/>
      <c r="B100" s="39">
        <v>90</v>
      </c>
      <c r="C100" s="162" t="s">
        <v>7540</v>
      </c>
      <c r="D100" s="162"/>
      <c r="E100" s="162"/>
      <c r="F100" s="162"/>
      <c r="G100" s="162"/>
      <c r="H100" s="162"/>
      <c r="I100" s="39" t="s">
        <v>4597</v>
      </c>
      <c r="J100" s="111">
        <v>37930000</v>
      </c>
      <c r="K100" s="112">
        <v>46066</v>
      </c>
      <c r="L100" s="39"/>
      <c r="M100" s="39">
        <v>3135401714</v>
      </c>
      <c r="N100" s="39" t="s">
        <v>4294</v>
      </c>
      <c r="O100" s="39"/>
      <c r="P100" s="52" t="s">
        <v>1662</v>
      </c>
    </row>
    <row r="101" spans="1:16" x14ac:dyDescent="0.25">
      <c r="A101" s="108"/>
      <c r="B101" s="39">
        <v>91</v>
      </c>
      <c r="C101" s="162" t="s">
        <v>7541</v>
      </c>
      <c r="D101" s="162"/>
      <c r="E101" s="162"/>
      <c r="F101" s="162"/>
      <c r="G101" s="162"/>
      <c r="H101" s="162"/>
      <c r="I101" s="39" t="s">
        <v>4597</v>
      </c>
      <c r="J101" s="111">
        <v>29980000</v>
      </c>
      <c r="K101" s="112">
        <v>46066</v>
      </c>
      <c r="L101" s="39"/>
      <c r="M101" s="39">
        <v>3135401714</v>
      </c>
      <c r="N101" s="39" t="s">
        <v>4294</v>
      </c>
      <c r="O101" s="39"/>
      <c r="P101" s="52" t="s">
        <v>1662</v>
      </c>
    </row>
    <row r="102" spans="1:16" x14ac:dyDescent="0.25">
      <c r="A102" s="108"/>
      <c r="B102" s="39">
        <v>92</v>
      </c>
      <c r="C102" s="162" t="s">
        <v>7542</v>
      </c>
      <c r="D102" s="162"/>
      <c r="E102" s="162"/>
      <c r="F102" s="162"/>
      <c r="G102" s="162"/>
      <c r="H102" s="162"/>
      <c r="I102" s="39" t="s">
        <v>3766</v>
      </c>
      <c r="J102" s="111">
        <v>15970000</v>
      </c>
      <c r="K102" s="112">
        <v>46066</v>
      </c>
      <c r="L102" s="39"/>
      <c r="M102" s="39" t="s">
        <v>5243</v>
      </c>
      <c r="N102" s="39" t="s">
        <v>6301</v>
      </c>
      <c r="O102" s="39" t="s">
        <v>7995</v>
      </c>
      <c r="P102" s="115" t="s">
        <v>5234</v>
      </c>
    </row>
    <row r="103" spans="1:16" x14ac:dyDescent="0.25">
      <c r="A103" s="108"/>
      <c r="B103" s="39">
        <v>93</v>
      </c>
      <c r="C103" s="162" t="s">
        <v>7543</v>
      </c>
      <c r="D103" s="162"/>
      <c r="E103" s="162"/>
      <c r="F103" s="162"/>
      <c r="G103" s="162"/>
      <c r="H103" s="162"/>
      <c r="I103" s="39" t="s">
        <v>5229</v>
      </c>
      <c r="J103" s="111">
        <v>28250000</v>
      </c>
      <c r="K103" s="112">
        <v>46066</v>
      </c>
      <c r="L103" s="39"/>
      <c r="M103" s="39">
        <v>3127764680</v>
      </c>
      <c r="N103" s="39" t="s">
        <v>4130</v>
      </c>
      <c r="O103" s="39"/>
      <c r="P103" s="52" t="s">
        <v>4131</v>
      </c>
    </row>
    <row r="104" spans="1:16" x14ac:dyDescent="0.25">
      <c r="A104" s="108"/>
      <c r="B104" s="39">
        <v>94</v>
      </c>
      <c r="C104" s="162" t="s">
        <v>7544</v>
      </c>
      <c r="D104" s="162"/>
      <c r="E104" s="162"/>
      <c r="F104" s="162"/>
      <c r="G104" s="162"/>
      <c r="H104" s="162"/>
      <c r="I104" s="39" t="s">
        <v>5189</v>
      </c>
      <c r="J104" s="111">
        <v>22850000</v>
      </c>
      <c r="K104" s="112">
        <v>46066</v>
      </c>
      <c r="L104" s="39"/>
      <c r="M104" s="39" t="s">
        <v>7547</v>
      </c>
      <c r="N104" s="39" t="s">
        <v>7545</v>
      </c>
      <c r="O104" s="39"/>
      <c r="P104" s="52" t="s">
        <v>7546</v>
      </c>
    </row>
    <row r="105" spans="1:16" ht="15" customHeight="1" x14ac:dyDescent="0.25">
      <c r="A105" s="108"/>
      <c r="B105" s="39">
        <v>95</v>
      </c>
      <c r="C105" s="162" t="s">
        <v>7548</v>
      </c>
      <c r="D105" s="162"/>
      <c r="E105" s="162"/>
      <c r="F105" s="162"/>
      <c r="G105" s="162"/>
      <c r="H105" s="162"/>
      <c r="I105" s="39" t="s">
        <v>7549</v>
      </c>
      <c r="J105" s="111" t="s">
        <v>3448</v>
      </c>
      <c r="K105" s="112">
        <v>46066</v>
      </c>
      <c r="L105" s="39"/>
      <c r="M105" s="39">
        <v>3112823159</v>
      </c>
      <c r="N105" s="39" t="s">
        <v>7550</v>
      </c>
      <c r="O105" s="39" t="s">
        <v>7977</v>
      </c>
      <c r="P105" s="52" t="s">
        <v>7551</v>
      </c>
    </row>
    <row r="106" spans="1:16" x14ac:dyDescent="0.25">
      <c r="A106" s="108"/>
      <c r="B106" s="39">
        <v>96</v>
      </c>
      <c r="C106" s="162" t="s">
        <v>7552</v>
      </c>
      <c r="D106" s="162"/>
      <c r="E106" s="162"/>
      <c r="F106" s="162"/>
      <c r="G106" s="162"/>
      <c r="H106" s="162"/>
      <c r="I106" s="39" t="s">
        <v>3871</v>
      </c>
      <c r="J106" s="111">
        <v>18850000</v>
      </c>
      <c r="K106" s="112">
        <v>46066</v>
      </c>
      <c r="L106" s="39"/>
      <c r="M106" s="39" t="s">
        <v>7558</v>
      </c>
      <c r="N106" s="39" t="s">
        <v>7557</v>
      </c>
      <c r="O106" s="39"/>
      <c r="P106" s="52" t="s">
        <v>6560</v>
      </c>
    </row>
    <row r="107" spans="1:16" x14ac:dyDescent="0.25">
      <c r="A107" s="108"/>
      <c r="B107" s="39">
        <v>97</v>
      </c>
      <c r="C107" s="162" t="s">
        <v>7553</v>
      </c>
      <c r="D107" s="162"/>
      <c r="E107" s="162"/>
      <c r="F107" s="162"/>
      <c r="G107" s="162"/>
      <c r="H107" s="162"/>
      <c r="I107" s="39" t="s">
        <v>7554</v>
      </c>
      <c r="J107" s="111">
        <v>2420000</v>
      </c>
      <c r="K107" s="112">
        <v>46066</v>
      </c>
      <c r="L107" s="39"/>
      <c r="M107" s="39">
        <v>3042614902</v>
      </c>
      <c r="N107" s="39" t="s">
        <v>7556</v>
      </c>
      <c r="O107" s="39"/>
      <c r="P107" s="52" t="s">
        <v>7555</v>
      </c>
    </row>
    <row r="108" spans="1:16" x14ac:dyDescent="0.25">
      <c r="A108" s="108"/>
      <c r="B108" s="39">
        <v>98</v>
      </c>
      <c r="C108" s="162" t="s">
        <v>7559</v>
      </c>
      <c r="D108" s="162"/>
      <c r="E108" s="162"/>
      <c r="F108" s="162"/>
      <c r="G108" s="162"/>
      <c r="H108" s="162"/>
      <c r="I108" s="39" t="s">
        <v>7560</v>
      </c>
      <c r="J108" s="111">
        <v>37250000</v>
      </c>
      <c r="K108" s="112">
        <v>46069</v>
      </c>
      <c r="L108" s="39"/>
      <c r="M108" s="39">
        <v>3134019808</v>
      </c>
      <c r="N108" s="39" t="s">
        <v>7561</v>
      </c>
      <c r="O108" s="39"/>
      <c r="P108" s="52" t="s">
        <v>7562</v>
      </c>
    </row>
    <row r="109" spans="1:16" x14ac:dyDescent="0.25">
      <c r="A109" s="108"/>
      <c r="B109" s="39">
        <v>99</v>
      </c>
      <c r="C109" s="162" t="s">
        <v>7563</v>
      </c>
      <c r="D109" s="162"/>
      <c r="E109" s="162"/>
      <c r="F109" s="162"/>
      <c r="G109" s="162"/>
      <c r="H109" s="162"/>
      <c r="I109" s="39" t="s">
        <v>702</v>
      </c>
      <c r="J109" s="111">
        <v>7520000</v>
      </c>
      <c r="K109" s="112">
        <v>46069</v>
      </c>
      <c r="L109" s="39"/>
      <c r="M109" s="39">
        <v>3104165783</v>
      </c>
      <c r="N109" s="39" t="s">
        <v>4564</v>
      </c>
      <c r="O109" s="39" t="s">
        <v>8001</v>
      </c>
      <c r="P109" s="52" t="s">
        <v>4565</v>
      </c>
    </row>
    <row r="110" spans="1:16" x14ac:dyDescent="0.25">
      <c r="A110" s="108"/>
      <c r="B110" s="39">
        <v>100</v>
      </c>
      <c r="C110" s="162" t="s">
        <v>7569</v>
      </c>
      <c r="D110" s="162"/>
      <c r="E110" s="162"/>
      <c r="F110" s="162"/>
      <c r="G110" s="162"/>
      <c r="H110" s="162"/>
      <c r="I110" s="39" t="s">
        <v>702</v>
      </c>
      <c r="J110" s="111">
        <v>25250000</v>
      </c>
      <c r="K110" s="112">
        <v>46071</v>
      </c>
      <c r="L110" s="39"/>
      <c r="M110" s="39">
        <v>3104165783</v>
      </c>
      <c r="N110" s="39" t="s">
        <v>4564</v>
      </c>
      <c r="O110" s="39" t="s">
        <v>8001</v>
      </c>
      <c r="P110" s="52" t="s">
        <v>4565</v>
      </c>
    </row>
    <row r="111" spans="1:16" x14ac:dyDescent="0.25">
      <c r="A111" s="108"/>
      <c r="B111" s="39">
        <v>101</v>
      </c>
      <c r="C111" s="162" t="s">
        <v>7568</v>
      </c>
      <c r="D111" s="162"/>
      <c r="E111" s="162"/>
      <c r="F111" s="162"/>
      <c r="G111" s="162"/>
      <c r="H111" s="162"/>
      <c r="I111" s="39" t="s">
        <v>702</v>
      </c>
      <c r="J111" s="111">
        <v>36600000</v>
      </c>
      <c r="K111" s="112">
        <v>46071</v>
      </c>
      <c r="L111" s="39"/>
      <c r="M111" s="39">
        <v>3104165783</v>
      </c>
      <c r="N111" s="39" t="s">
        <v>4564</v>
      </c>
      <c r="O111" s="39" t="s">
        <v>8001</v>
      </c>
      <c r="P111" s="52" t="s">
        <v>4565</v>
      </c>
    </row>
    <row r="112" spans="1:16" x14ac:dyDescent="0.25">
      <c r="A112" s="108"/>
      <c r="B112" s="39">
        <v>102</v>
      </c>
      <c r="C112" s="162" t="s">
        <v>7570</v>
      </c>
      <c r="D112" s="162"/>
      <c r="E112" s="162"/>
      <c r="F112" s="162"/>
      <c r="G112" s="162"/>
      <c r="H112" s="162"/>
      <c r="I112" s="39" t="s">
        <v>4597</v>
      </c>
      <c r="J112" s="111">
        <v>2500000</v>
      </c>
      <c r="K112" s="112">
        <v>46071</v>
      </c>
      <c r="L112" s="39"/>
      <c r="M112" s="39">
        <v>3135401714</v>
      </c>
      <c r="N112" s="39" t="s">
        <v>4294</v>
      </c>
      <c r="O112" s="39"/>
      <c r="P112" s="52" t="s">
        <v>1662</v>
      </c>
    </row>
    <row r="113" spans="1:16" x14ac:dyDescent="0.25">
      <c r="A113" s="108"/>
      <c r="B113" s="39">
        <v>103</v>
      </c>
      <c r="C113" s="162" t="s">
        <v>7564</v>
      </c>
      <c r="D113" s="162"/>
      <c r="E113" s="162"/>
      <c r="F113" s="162"/>
      <c r="G113" s="162"/>
      <c r="H113" s="162"/>
      <c r="I113" s="39" t="s">
        <v>7565</v>
      </c>
      <c r="J113" s="111">
        <v>25250000</v>
      </c>
      <c r="K113" s="112">
        <v>46071</v>
      </c>
      <c r="L113" s="39"/>
      <c r="M113" s="39">
        <v>3146729645</v>
      </c>
      <c r="N113" s="39" t="s">
        <v>7566</v>
      </c>
      <c r="O113" s="39"/>
      <c r="P113" s="52" t="s">
        <v>7567</v>
      </c>
    </row>
    <row r="114" spans="1:16" x14ac:dyDescent="0.25">
      <c r="A114" s="108"/>
      <c r="B114" s="39">
        <v>104</v>
      </c>
      <c r="C114" s="162" t="s">
        <v>7571</v>
      </c>
      <c r="D114" s="162"/>
      <c r="E114" s="162"/>
      <c r="F114" s="162"/>
      <c r="G114" s="162"/>
      <c r="H114" s="162"/>
      <c r="I114" s="39" t="s">
        <v>5637</v>
      </c>
      <c r="J114" s="111">
        <v>5000000</v>
      </c>
      <c r="K114" s="112">
        <v>46071</v>
      </c>
      <c r="L114" s="39"/>
      <c r="M114" s="39">
        <v>3122310202</v>
      </c>
      <c r="N114" s="39" t="s">
        <v>6266</v>
      </c>
      <c r="O114" s="39" t="s">
        <v>7984</v>
      </c>
      <c r="P114" s="116" t="s">
        <v>6267</v>
      </c>
    </row>
    <row r="115" spans="1:16" x14ac:dyDescent="0.25">
      <c r="A115" s="108"/>
      <c r="B115" s="39">
        <v>105</v>
      </c>
      <c r="C115" s="162" t="s">
        <v>7572</v>
      </c>
      <c r="D115" s="162"/>
      <c r="E115" s="162"/>
      <c r="F115" s="162"/>
      <c r="G115" s="162"/>
      <c r="H115" s="162"/>
      <c r="I115" s="39" t="s">
        <v>7573</v>
      </c>
      <c r="J115" s="111">
        <v>21950000</v>
      </c>
      <c r="K115" s="112">
        <v>46077</v>
      </c>
      <c r="L115" s="39"/>
      <c r="M115" s="39">
        <v>3174382383</v>
      </c>
      <c r="N115" s="39" t="s">
        <v>7578</v>
      </c>
      <c r="O115" s="39"/>
      <c r="P115" s="38" t="s">
        <v>7579</v>
      </c>
    </row>
    <row r="116" spans="1:16" x14ac:dyDescent="0.25">
      <c r="A116" s="108"/>
      <c r="B116" s="39">
        <v>106</v>
      </c>
      <c r="C116" s="162" t="s">
        <v>7574</v>
      </c>
      <c r="D116" s="162"/>
      <c r="E116" s="162"/>
      <c r="F116" s="162"/>
      <c r="G116" s="162"/>
      <c r="H116" s="162"/>
      <c r="I116" s="39" t="s">
        <v>6077</v>
      </c>
      <c r="J116" s="111">
        <v>7950000</v>
      </c>
      <c r="K116" s="112">
        <v>46077</v>
      </c>
      <c r="L116" s="39"/>
      <c r="M116" s="39" t="s">
        <v>7577</v>
      </c>
      <c r="N116" s="39" t="s">
        <v>7575</v>
      </c>
      <c r="O116" s="39"/>
      <c r="P116" s="52" t="s">
        <v>7576</v>
      </c>
    </row>
    <row r="117" spans="1:16" ht="15" customHeight="1" x14ac:dyDescent="0.25">
      <c r="A117" s="108"/>
      <c r="B117" s="39">
        <v>107</v>
      </c>
      <c r="C117" s="162" t="s">
        <v>7580</v>
      </c>
      <c r="D117" s="162"/>
      <c r="E117" s="162"/>
      <c r="F117" s="162"/>
      <c r="G117" s="162"/>
      <c r="H117" s="162"/>
      <c r="I117" s="39" t="s">
        <v>7583</v>
      </c>
      <c r="J117" s="111">
        <v>22590000</v>
      </c>
      <c r="K117" s="112">
        <v>46077</v>
      </c>
      <c r="L117" s="39"/>
      <c r="M117" s="39">
        <v>3207420151</v>
      </c>
      <c r="N117" s="39" t="s">
        <v>7581</v>
      </c>
      <c r="O117" s="39"/>
      <c r="P117" s="52" t="s">
        <v>7582</v>
      </c>
    </row>
    <row r="118" spans="1:16" x14ac:dyDescent="0.25">
      <c r="A118" s="108"/>
      <c r="B118" s="39">
        <v>108</v>
      </c>
      <c r="C118" s="162" t="s">
        <v>7584</v>
      </c>
      <c r="D118" s="162"/>
      <c r="E118" s="162"/>
      <c r="F118" s="162"/>
      <c r="G118" s="162"/>
      <c r="H118" s="162"/>
      <c r="I118" s="39" t="s">
        <v>702</v>
      </c>
      <c r="J118" s="111">
        <v>4340000</v>
      </c>
      <c r="K118" s="112">
        <v>46077</v>
      </c>
      <c r="L118" s="39"/>
      <c r="M118" s="39">
        <v>3104165783</v>
      </c>
      <c r="N118" s="39" t="s">
        <v>4564</v>
      </c>
      <c r="O118" s="39" t="s">
        <v>8001</v>
      </c>
      <c r="P118" s="52" t="s">
        <v>4565</v>
      </c>
    </row>
    <row r="119" spans="1:16" x14ac:dyDescent="0.25">
      <c r="A119" s="108"/>
      <c r="B119" s="39">
        <v>109</v>
      </c>
      <c r="C119" s="162" t="s">
        <v>7585</v>
      </c>
      <c r="D119" s="162"/>
      <c r="E119" s="162"/>
      <c r="F119" s="162"/>
      <c r="G119" s="162"/>
      <c r="H119" s="162"/>
      <c r="I119" s="39" t="s">
        <v>702</v>
      </c>
      <c r="J119" s="111">
        <v>24950000</v>
      </c>
      <c r="K119" s="112">
        <v>46077</v>
      </c>
      <c r="L119" s="39"/>
      <c r="M119" s="39">
        <v>3104165783</v>
      </c>
      <c r="N119" s="39" t="s">
        <v>4564</v>
      </c>
      <c r="O119" s="39" t="s">
        <v>8001</v>
      </c>
      <c r="P119" s="52" t="s">
        <v>4565</v>
      </c>
    </row>
    <row r="120" spans="1:16" ht="15" customHeight="1" x14ac:dyDescent="0.25">
      <c r="A120" s="108"/>
      <c r="B120" s="39">
        <v>110</v>
      </c>
      <c r="C120" s="162" t="s">
        <v>7586</v>
      </c>
      <c r="D120" s="162"/>
      <c r="E120" s="162"/>
      <c r="F120" s="162"/>
      <c r="G120" s="162"/>
      <c r="H120" s="162"/>
      <c r="I120" s="39" t="s">
        <v>7587</v>
      </c>
      <c r="J120" s="111">
        <v>5950000</v>
      </c>
      <c r="K120" s="112">
        <v>46077</v>
      </c>
      <c r="L120" s="39"/>
      <c r="M120" s="39">
        <v>3126186988</v>
      </c>
      <c r="N120" s="39" t="s">
        <v>7588</v>
      </c>
      <c r="O120" s="39"/>
      <c r="P120" s="115"/>
    </row>
    <row r="121" spans="1:16" ht="15" customHeight="1" x14ac:dyDescent="0.25">
      <c r="A121" s="108"/>
      <c r="B121" s="39">
        <v>111</v>
      </c>
      <c r="C121" s="162" t="s">
        <v>7589</v>
      </c>
      <c r="D121" s="162"/>
      <c r="E121" s="162"/>
      <c r="F121" s="162"/>
      <c r="G121" s="162"/>
      <c r="H121" s="162"/>
      <c r="I121" s="39" t="s">
        <v>7590</v>
      </c>
      <c r="J121" s="111">
        <v>32950000</v>
      </c>
      <c r="K121" s="112">
        <v>46078</v>
      </c>
      <c r="L121" s="39"/>
      <c r="M121" s="39"/>
      <c r="N121" s="39"/>
      <c r="O121" s="39"/>
      <c r="P121" s="115"/>
    </row>
    <row r="122" spans="1:16" x14ac:dyDescent="0.25">
      <c r="A122" s="108"/>
      <c r="B122" s="39">
        <v>112</v>
      </c>
      <c r="C122" s="162" t="s">
        <v>7592</v>
      </c>
      <c r="D122" s="162"/>
      <c r="E122" s="162"/>
      <c r="F122" s="162"/>
      <c r="G122" s="162"/>
      <c r="H122" s="162"/>
      <c r="I122" s="39" t="s">
        <v>7591</v>
      </c>
      <c r="J122" s="111">
        <v>3950000</v>
      </c>
      <c r="K122" s="112">
        <v>46078</v>
      </c>
      <c r="L122" s="39"/>
      <c r="M122" s="39" t="s">
        <v>7593</v>
      </c>
      <c r="N122" s="39" t="s">
        <v>7595</v>
      </c>
      <c r="O122" s="39"/>
      <c r="P122" s="52" t="s">
        <v>7594</v>
      </c>
    </row>
    <row r="123" spans="1:16" x14ac:dyDescent="0.25">
      <c r="A123" s="108"/>
      <c r="B123" s="39">
        <v>113</v>
      </c>
      <c r="C123" s="162" t="s">
        <v>7606</v>
      </c>
      <c r="D123" s="162"/>
      <c r="E123" s="162"/>
      <c r="F123" s="162"/>
      <c r="G123" s="162"/>
      <c r="H123" s="162"/>
      <c r="I123" s="39" t="s">
        <v>7596</v>
      </c>
      <c r="J123" s="111">
        <v>26300000</v>
      </c>
      <c r="K123" s="112">
        <v>46079</v>
      </c>
      <c r="L123" s="39"/>
      <c r="M123" s="39">
        <v>3148909676</v>
      </c>
      <c r="N123" s="39" t="s">
        <v>7596</v>
      </c>
      <c r="O123" s="39"/>
      <c r="P123" s="52" t="s">
        <v>7597</v>
      </c>
    </row>
    <row r="124" spans="1:16" x14ac:dyDescent="0.25">
      <c r="A124" s="108"/>
      <c r="B124" s="39">
        <v>114</v>
      </c>
      <c r="C124" s="162" t="s">
        <v>7598</v>
      </c>
      <c r="D124" s="162"/>
      <c r="E124" s="162"/>
      <c r="F124" s="162"/>
      <c r="G124" s="162"/>
      <c r="H124" s="162"/>
      <c r="I124" s="39" t="s">
        <v>3766</v>
      </c>
      <c r="J124" s="111">
        <v>3950000</v>
      </c>
      <c r="K124" s="112">
        <v>46079</v>
      </c>
      <c r="L124" s="39"/>
      <c r="M124" s="39">
        <v>3122447026</v>
      </c>
      <c r="N124" s="39" t="s">
        <v>7599</v>
      </c>
      <c r="O124" s="39" t="s">
        <v>7992</v>
      </c>
      <c r="P124" s="52" t="s">
        <v>7600</v>
      </c>
    </row>
    <row r="125" spans="1:16" x14ac:dyDescent="0.25">
      <c r="A125" s="108"/>
      <c r="B125" s="39">
        <v>115</v>
      </c>
      <c r="C125" s="162" t="s">
        <v>7601</v>
      </c>
      <c r="D125" s="162"/>
      <c r="E125" s="162"/>
      <c r="F125" s="162"/>
      <c r="G125" s="162"/>
      <c r="H125" s="162"/>
      <c r="I125" s="39" t="s">
        <v>7554</v>
      </c>
      <c r="J125" s="111">
        <v>22860000</v>
      </c>
      <c r="K125" s="112">
        <v>46079</v>
      </c>
      <c r="L125" s="39"/>
      <c r="M125" s="39">
        <v>3045624551</v>
      </c>
      <c r="N125" s="39" t="s">
        <v>7602</v>
      </c>
      <c r="O125" s="39"/>
      <c r="P125" s="52" t="s">
        <v>7603</v>
      </c>
    </row>
    <row r="126" spans="1:16" ht="15" customHeight="1" x14ac:dyDescent="0.25">
      <c r="A126" s="108"/>
      <c r="B126" s="39">
        <v>116</v>
      </c>
      <c r="C126" s="162" t="s">
        <v>7604</v>
      </c>
      <c r="D126" s="162"/>
      <c r="E126" s="162"/>
      <c r="F126" s="162"/>
      <c r="G126" s="162"/>
      <c r="H126" s="162"/>
      <c r="I126" s="39" t="s">
        <v>3766</v>
      </c>
      <c r="J126" s="111">
        <v>64350000</v>
      </c>
      <c r="K126" s="112">
        <v>46079</v>
      </c>
      <c r="L126" s="39"/>
      <c r="M126" s="39">
        <v>3005934637</v>
      </c>
      <c r="N126" s="39" t="s">
        <v>7605</v>
      </c>
      <c r="O126" s="39" t="s">
        <v>7996</v>
      </c>
      <c r="P126" s="52" t="s">
        <v>7035</v>
      </c>
    </row>
    <row r="127" spans="1:16" x14ac:dyDescent="0.25">
      <c r="A127" s="108"/>
      <c r="B127" s="39">
        <v>117</v>
      </c>
      <c r="C127" s="162" t="s">
        <v>7607</v>
      </c>
      <c r="D127" s="162"/>
      <c r="E127" s="162"/>
      <c r="F127" s="162"/>
      <c r="G127" s="162"/>
      <c r="H127" s="162"/>
      <c r="I127" s="39" t="s">
        <v>4059</v>
      </c>
      <c r="J127" s="111">
        <v>15000000</v>
      </c>
      <c r="K127" s="112">
        <v>46083</v>
      </c>
      <c r="L127" s="39"/>
      <c r="M127" s="39" t="s">
        <v>5410</v>
      </c>
      <c r="N127" s="39" t="s">
        <v>4059</v>
      </c>
      <c r="O127" s="39"/>
      <c r="P127" s="115"/>
    </row>
    <row r="128" spans="1:16" x14ac:dyDescent="0.25">
      <c r="A128" s="108"/>
      <c r="B128" s="39">
        <v>118</v>
      </c>
      <c r="C128" s="162" t="s">
        <v>7608</v>
      </c>
      <c r="D128" s="162"/>
      <c r="E128" s="162"/>
      <c r="F128" s="162"/>
      <c r="G128" s="162"/>
      <c r="H128" s="162"/>
      <c r="I128" s="39" t="s">
        <v>2283</v>
      </c>
      <c r="J128" s="111">
        <v>15550000</v>
      </c>
      <c r="K128" s="112">
        <v>46083</v>
      </c>
      <c r="L128" s="39"/>
      <c r="M128" s="39"/>
      <c r="N128" s="39" t="s">
        <v>7609</v>
      </c>
      <c r="O128" s="39" t="s">
        <v>7961</v>
      </c>
      <c r="P128" s="52" t="s">
        <v>7610</v>
      </c>
    </row>
    <row r="129" spans="1:16" x14ac:dyDescent="0.25">
      <c r="A129" s="108"/>
      <c r="B129" s="39">
        <v>119</v>
      </c>
      <c r="C129" s="162" t="s">
        <v>7611</v>
      </c>
      <c r="D129" s="162"/>
      <c r="E129" s="162"/>
      <c r="F129" s="162"/>
      <c r="G129" s="162"/>
      <c r="H129" s="162"/>
      <c r="I129" s="39" t="s">
        <v>2743</v>
      </c>
      <c r="J129" s="111">
        <v>6500000</v>
      </c>
      <c r="K129" s="112">
        <v>46085</v>
      </c>
      <c r="L129" s="39"/>
      <c r="M129" s="39">
        <v>3175594091</v>
      </c>
      <c r="N129" s="39" t="s">
        <v>6303</v>
      </c>
      <c r="O129" s="39" t="s">
        <v>7991</v>
      </c>
      <c r="P129" s="52" t="s">
        <v>748</v>
      </c>
    </row>
    <row r="130" spans="1:16" ht="15" customHeight="1" x14ac:dyDescent="0.25">
      <c r="A130" s="108"/>
      <c r="B130" s="39">
        <v>120</v>
      </c>
      <c r="C130" s="162" t="s">
        <v>7612</v>
      </c>
      <c r="D130" s="162"/>
      <c r="E130" s="162"/>
      <c r="F130" s="162"/>
      <c r="G130" s="162"/>
      <c r="H130" s="162"/>
      <c r="I130" s="39" t="s">
        <v>7488</v>
      </c>
      <c r="J130" s="111" t="s">
        <v>2492</v>
      </c>
      <c r="K130" s="112">
        <v>46085</v>
      </c>
      <c r="L130" s="39"/>
      <c r="M130" s="39">
        <v>4798165</v>
      </c>
      <c r="N130" s="39" t="s">
        <v>7149</v>
      </c>
      <c r="O130" s="39" t="s">
        <v>7148</v>
      </c>
      <c r="P130" s="52" t="s">
        <v>7142</v>
      </c>
    </row>
    <row r="131" spans="1:16" x14ac:dyDescent="0.25">
      <c r="A131" s="108"/>
      <c r="B131" s="39">
        <v>121</v>
      </c>
      <c r="C131" s="162" t="s">
        <v>7613</v>
      </c>
      <c r="D131" s="162"/>
      <c r="E131" s="162"/>
      <c r="F131" s="162"/>
      <c r="G131" s="162"/>
      <c r="H131" s="162"/>
      <c r="I131" s="39" t="s">
        <v>702</v>
      </c>
      <c r="J131" s="111">
        <v>30000000</v>
      </c>
      <c r="K131" s="112">
        <v>46085</v>
      </c>
      <c r="L131" s="39"/>
      <c r="M131" s="39">
        <v>3104165783</v>
      </c>
      <c r="N131" s="39" t="s">
        <v>4564</v>
      </c>
      <c r="O131" s="39" t="s">
        <v>8001</v>
      </c>
      <c r="P131" s="52" t="s">
        <v>4565</v>
      </c>
    </row>
    <row r="132" spans="1:16" x14ac:dyDescent="0.25">
      <c r="A132" s="108"/>
      <c r="B132" s="39">
        <v>122</v>
      </c>
      <c r="C132" s="162" t="s">
        <v>7614</v>
      </c>
      <c r="D132" s="162"/>
      <c r="E132" s="162"/>
      <c r="F132" s="162"/>
      <c r="G132" s="162"/>
      <c r="H132" s="162"/>
      <c r="I132" s="39" t="s">
        <v>2445</v>
      </c>
      <c r="J132" s="111">
        <v>44850000</v>
      </c>
      <c r="K132" s="112">
        <v>46085</v>
      </c>
      <c r="L132" s="39"/>
      <c r="M132" s="39">
        <v>3162439535</v>
      </c>
      <c r="N132" s="39" t="s">
        <v>7615</v>
      </c>
      <c r="O132" s="39" t="s">
        <v>7968</v>
      </c>
      <c r="P132" s="52" t="s">
        <v>4150</v>
      </c>
    </row>
    <row r="133" spans="1:16" ht="15" customHeight="1" x14ac:dyDescent="0.25">
      <c r="A133" s="108"/>
      <c r="B133" s="39">
        <v>123</v>
      </c>
      <c r="C133" s="162" t="s">
        <v>7616</v>
      </c>
      <c r="D133" s="162"/>
      <c r="E133" s="162"/>
      <c r="F133" s="162"/>
      <c r="G133" s="162"/>
      <c r="H133" s="162"/>
      <c r="I133" s="39" t="s">
        <v>702</v>
      </c>
      <c r="J133" s="111">
        <v>14900000</v>
      </c>
      <c r="K133" s="112">
        <v>46085</v>
      </c>
      <c r="L133" s="39"/>
      <c r="M133" s="39">
        <v>3104165783</v>
      </c>
      <c r="N133" s="39" t="s">
        <v>4564</v>
      </c>
      <c r="O133" s="39" t="s">
        <v>8001</v>
      </c>
      <c r="P133" s="52" t="s">
        <v>4565</v>
      </c>
    </row>
    <row r="134" spans="1:16" x14ac:dyDescent="0.25">
      <c r="A134" s="108"/>
      <c r="B134" s="39">
        <v>124</v>
      </c>
      <c r="C134" s="162" t="s">
        <v>7617</v>
      </c>
      <c r="D134" s="162"/>
      <c r="E134" s="162"/>
      <c r="F134" s="162"/>
      <c r="G134" s="162"/>
      <c r="H134" s="162"/>
      <c r="I134" s="39" t="s">
        <v>5067</v>
      </c>
      <c r="J134" s="111">
        <v>9950000</v>
      </c>
      <c r="K134" s="112">
        <v>46085</v>
      </c>
      <c r="L134" s="39"/>
      <c r="M134" s="39">
        <v>3127846921</v>
      </c>
      <c r="N134" s="39" t="s">
        <v>6380</v>
      </c>
      <c r="O134" s="39" t="s">
        <v>7958</v>
      </c>
      <c r="P134" s="116" t="s">
        <v>6381</v>
      </c>
    </row>
    <row r="135" spans="1:16" x14ac:dyDescent="0.25">
      <c r="A135" s="108"/>
      <c r="B135" s="39">
        <v>125</v>
      </c>
      <c r="C135" s="162" t="s">
        <v>7618</v>
      </c>
      <c r="D135" s="162"/>
      <c r="E135" s="162"/>
      <c r="F135" s="162"/>
      <c r="G135" s="162"/>
      <c r="H135" s="162"/>
      <c r="I135" s="39" t="s">
        <v>7619</v>
      </c>
      <c r="J135" s="111">
        <v>25920000</v>
      </c>
      <c r="K135" s="112">
        <v>46086</v>
      </c>
      <c r="L135" s="39"/>
      <c r="M135" s="39">
        <v>3195175091</v>
      </c>
      <c r="N135" s="39" t="s">
        <v>7620</v>
      </c>
      <c r="O135" s="39"/>
      <c r="P135" s="116" t="s">
        <v>7621</v>
      </c>
    </row>
    <row r="136" spans="1:16" x14ac:dyDescent="0.25">
      <c r="A136" s="108"/>
      <c r="B136" s="39">
        <v>126</v>
      </c>
      <c r="C136" s="162" t="s">
        <v>7625</v>
      </c>
      <c r="D136" s="162"/>
      <c r="E136" s="162"/>
      <c r="F136" s="162"/>
      <c r="G136" s="162"/>
      <c r="H136" s="162"/>
      <c r="I136" s="39" t="s">
        <v>7622</v>
      </c>
      <c r="J136" s="111">
        <v>6000000</v>
      </c>
      <c r="K136" s="112">
        <v>46091</v>
      </c>
      <c r="L136" s="39"/>
      <c r="M136" s="39">
        <v>3235244851</v>
      </c>
      <c r="N136" s="39" t="s">
        <v>7623</v>
      </c>
      <c r="O136" s="39"/>
      <c r="P136" s="116" t="s">
        <v>7624</v>
      </c>
    </row>
    <row r="137" spans="1:16" ht="14.45" customHeight="1" x14ac:dyDescent="0.25">
      <c r="A137" s="108"/>
      <c r="B137" s="39">
        <v>127</v>
      </c>
      <c r="C137" s="162" t="s">
        <v>7626</v>
      </c>
      <c r="D137" s="162"/>
      <c r="E137" s="162"/>
      <c r="F137" s="162"/>
      <c r="G137" s="162"/>
      <c r="H137" s="162"/>
      <c r="I137" s="39" t="s">
        <v>7627</v>
      </c>
      <c r="J137" s="111" t="s">
        <v>2492</v>
      </c>
      <c r="K137" s="112">
        <v>46091</v>
      </c>
      <c r="L137" s="39"/>
      <c r="M137" s="39">
        <v>3147380188</v>
      </c>
      <c r="N137" s="39" t="s">
        <v>7628</v>
      </c>
      <c r="O137" s="39"/>
      <c r="P137" s="115"/>
    </row>
    <row r="138" spans="1:16" x14ac:dyDescent="0.25">
      <c r="A138" s="108"/>
      <c r="B138" s="39">
        <v>128</v>
      </c>
      <c r="C138" s="162" t="s">
        <v>7629</v>
      </c>
      <c r="D138" s="162"/>
      <c r="E138" s="162"/>
      <c r="F138" s="162"/>
      <c r="G138" s="162"/>
      <c r="H138" s="162"/>
      <c r="I138" s="39" t="s">
        <v>7382</v>
      </c>
      <c r="J138" s="111">
        <v>31920000</v>
      </c>
      <c r="K138" s="112">
        <v>46091</v>
      </c>
      <c r="L138" s="39"/>
      <c r="M138" s="39">
        <v>6044486800</v>
      </c>
      <c r="N138" s="39" t="s">
        <v>3598</v>
      </c>
      <c r="O138" s="39" t="s">
        <v>7966</v>
      </c>
      <c r="P138" s="52" t="s">
        <v>6415</v>
      </c>
    </row>
    <row r="139" spans="1:16" ht="15" customHeight="1" x14ac:dyDescent="0.25">
      <c r="A139" s="108"/>
      <c r="B139" s="39">
        <v>129</v>
      </c>
      <c r="C139" s="162" t="s">
        <v>7630</v>
      </c>
      <c r="D139" s="162"/>
      <c r="E139" s="162"/>
      <c r="F139" s="162"/>
      <c r="G139" s="162"/>
      <c r="H139" s="162"/>
      <c r="I139" s="39" t="s">
        <v>702</v>
      </c>
      <c r="J139" s="111">
        <v>25080000</v>
      </c>
      <c r="K139" s="112">
        <v>46091</v>
      </c>
      <c r="L139" s="39"/>
      <c r="M139" s="39">
        <v>3104165783</v>
      </c>
      <c r="N139" s="39" t="s">
        <v>4564</v>
      </c>
      <c r="O139" s="39" t="s">
        <v>8001</v>
      </c>
      <c r="P139" s="52" t="s">
        <v>4565</v>
      </c>
    </row>
    <row r="140" spans="1:16" ht="15" customHeight="1" x14ac:dyDescent="0.25">
      <c r="A140" s="108"/>
      <c r="B140" s="39">
        <v>130</v>
      </c>
      <c r="C140" s="162" t="s">
        <v>7631</v>
      </c>
      <c r="D140" s="162"/>
      <c r="E140" s="162"/>
      <c r="F140" s="162"/>
      <c r="G140" s="162"/>
      <c r="H140" s="162"/>
      <c r="I140" s="39" t="s">
        <v>7632</v>
      </c>
      <c r="J140" s="111">
        <v>17950000</v>
      </c>
      <c r="K140" s="112">
        <v>46091</v>
      </c>
      <c r="L140" s="39"/>
      <c r="M140" s="39">
        <v>3013358626</v>
      </c>
      <c r="N140" s="126" t="s">
        <v>7633</v>
      </c>
      <c r="O140" s="39"/>
      <c r="P140" s="52" t="s">
        <v>7634</v>
      </c>
    </row>
    <row r="141" spans="1:16" ht="15" customHeight="1" x14ac:dyDescent="0.25">
      <c r="A141" s="108"/>
      <c r="B141" s="39">
        <v>131</v>
      </c>
      <c r="C141" s="162" t="s">
        <v>7636</v>
      </c>
      <c r="D141" s="162"/>
      <c r="E141" s="162"/>
      <c r="F141" s="162"/>
      <c r="G141" s="162"/>
      <c r="H141" s="162"/>
      <c r="I141" s="39" t="s">
        <v>884</v>
      </c>
      <c r="J141" s="111">
        <v>31110000</v>
      </c>
      <c r="K141" s="112">
        <v>46091</v>
      </c>
      <c r="L141" s="39"/>
      <c r="M141" s="39">
        <v>6042662377</v>
      </c>
      <c r="N141" s="39" t="s">
        <v>7635</v>
      </c>
      <c r="O141" s="39" t="s">
        <v>7997</v>
      </c>
      <c r="P141" s="52" t="s">
        <v>2948</v>
      </c>
    </row>
    <row r="142" spans="1:16" ht="15" customHeight="1" x14ac:dyDescent="0.25">
      <c r="A142" s="108"/>
      <c r="B142" s="39">
        <v>132</v>
      </c>
      <c r="C142" s="162" t="s">
        <v>7637</v>
      </c>
      <c r="D142" s="162"/>
      <c r="E142" s="162"/>
      <c r="F142" s="162"/>
      <c r="G142" s="162"/>
      <c r="H142" s="162"/>
      <c r="I142" s="39" t="s">
        <v>7638</v>
      </c>
      <c r="J142" s="111">
        <v>32350000</v>
      </c>
      <c r="K142" s="112">
        <v>46091</v>
      </c>
      <c r="L142" s="39"/>
      <c r="M142" s="39">
        <v>3004496232</v>
      </c>
      <c r="N142" s="39" t="s">
        <v>7639</v>
      </c>
      <c r="O142" s="39"/>
      <c r="P142" s="52" t="s">
        <v>7640</v>
      </c>
    </row>
    <row r="143" spans="1:16" ht="15" customHeight="1" x14ac:dyDescent="0.25">
      <c r="A143" s="108"/>
      <c r="B143" s="39">
        <v>133</v>
      </c>
      <c r="C143" s="162" t="s">
        <v>7642</v>
      </c>
      <c r="D143" s="162"/>
      <c r="E143" s="162"/>
      <c r="F143" s="162"/>
      <c r="G143" s="162"/>
      <c r="H143" s="162"/>
      <c r="I143" s="39" t="s">
        <v>2743</v>
      </c>
      <c r="J143" s="111">
        <v>25000000</v>
      </c>
      <c r="K143" s="112">
        <v>46093</v>
      </c>
      <c r="L143" s="39"/>
      <c r="M143" s="39">
        <v>3175594091</v>
      </c>
      <c r="N143" s="39" t="s">
        <v>6303</v>
      </c>
      <c r="O143" s="39" t="s">
        <v>7991</v>
      </c>
      <c r="P143" s="52" t="s">
        <v>748</v>
      </c>
    </row>
    <row r="144" spans="1:16" x14ac:dyDescent="0.25">
      <c r="A144" s="108"/>
      <c r="B144" s="39">
        <v>134</v>
      </c>
      <c r="C144" s="162" t="s">
        <v>7643</v>
      </c>
      <c r="D144" s="162"/>
      <c r="E144" s="162"/>
      <c r="F144" s="162"/>
      <c r="G144" s="162"/>
      <c r="H144" s="162"/>
      <c r="I144" s="39" t="s">
        <v>7641</v>
      </c>
      <c r="J144" s="111">
        <v>1600000</v>
      </c>
      <c r="K144" s="112">
        <v>46093</v>
      </c>
      <c r="L144" s="32"/>
      <c r="M144" s="39">
        <v>3142231578</v>
      </c>
      <c r="N144" s="39" t="s">
        <v>355</v>
      </c>
      <c r="O144" s="39"/>
      <c r="P144" s="52" t="s">
        <v>7644</v>
      </c>
    </row>
    <row r="145" spans="1:16" x14ac:dyDescent="0.25">
      <c r="A145" s="108"/>
      <c r="B145" s="39">
        <v>135</v>
      </c>
      <c r="C145" s="162" t="s">
        <v>7645</v>
      </c>
      <c r="D145" s="162"/>
      <c r="E145" s="162"/>
      <c r="F145" s="162"/>
      <c r="G145" s="162"/>
      <c r="H145" s="162"/>
      <c r="I145" s="39"/>
      <c r="J145" s="111">
        <v>2568210</v>
      </c>
      <c r="K145" s="112">
        <v>46094</v>
      </c>
      <c r="L145" s="39"/>
      <c r="M145" s="39"/>
      <c r="N145" s="39"/>
      <c r="O145" s="39"/>
      <c r="P145" s="115"/>
    </row>
    <row r="146" spans="1:16" x14ac:dyDescent="0.25">
      <c r="A146" s="108"/>
      <c r="B146" s="39">
        <v>136</v>
      </c>
      <c r="C146" s="162" t="s">
        <v>7646</v>
      </c>
      <c r="D146" s="162"/>
      <c r="E146" s="162"/>
      <c r="F146" s="162"/>
      <c r="G146" s="162"/>
      <c r="H146" s="162"/>
      <c r="I146" s="39" t="s">
        <v>7647</v>
      </c>
      <c r="J146" s="111" t="s">
        <v>3448</v>
      </c>
      <c r="K146" s="112">
        <v>46098</v>
      </c>
      <c r="L146" s="39"/>
      <c r="M146" s="39">
        <v>3103818032</v>
      </c>
      <c r="N146" s="39" t="s">
        <v>7647</v>
      </c>
      <c r="O146" s="39"/>
      <c r="P146" s="52" t="s">
        <v>7648</v>
      </c>
    </row>
    <row r="147" spans="1:16" x14ac:dyDescent="0.25">
      <c r="A147" s="108"/>
      <c r="B147" s="39">
        <v>137</v>
      </c>
      <c r="C147" s="162" t="s">
        <v>7650</v>
      </c>
      <c r="D147" s="162"/>
      <c r="E147" s="162"/>
      <c r="F147" s="162"/>
      <c r="G147" s="162"/>
      <c r="H147" s="162"/>
      <c r="I147" s="39" t="s">
        <v>7649</v>
      </c>
      <c r="J147" s="111">
        <v>24950000</v>
      </c>
      <c r="K147" s="112">
        <v>46098</v>
      </c>
      <c r="L147" s="39"/>
      <c r="M147" s="39" t="s">
        <v>7651</v>
      </c>
      <c r="N147" s="39" t="s">
        <v>476</v>
      </c>
      <c r="O147" s="39"/>
      <c r="P147" s="52" t="s">
        <v>7052</v>
      </c>
    </row>
    <row r="148" spans="1:16" x14ac:dyDescent="0.25">
      <c r="A148" s="108"/>
      <c r="B148" s="39">
        <v>138</v>
      </c>
      <c r="C148" s="162" t="s">
        <v>7655</v>
      </c>
      <c r="D148" s="162"/>
      <c r="E148" s="162"/>
      <c r="F148" s="162"/>
      <c r="G148" s="162"/>
      <c r="H148" s="162"/>
      <c r="I148" s="39" t="s">
        <v>7653</v>
      </c>
      <c r="J148" s="111">
        <v>45457500</v>
      </c>
      <c r="K148" s="112">
        <v>46098</v>
      </c>
      <c r="L148" s="39"/>
      <c r="M148" s="39">
        <v>3005720520</v>
      </c>
      <c r="N148" s="39" t="s">
        <v>7652</v>
      </c>
      <c r="O148" s="39" t="s">
        <v>7970</v>
      </c>
      <c r="P148" s="52" t="s">
        <v>7654</v>
      </c>
    </row>
    <row r="149" spans="1:16" x14ac:dyDescent="0.25">
      <c r="A149" s="108"/>
      <c r="B149" s="39">
        <v>139</v>
      </c>
      <c r="C149" s="162" t="s">
        <v>7656</v>
      </c>
      <c r="D149" s="162"/>
      <c r="E149" s="162"/>
      <c r="F149" s="162"/>
      <c r="G149" s="162"/>
      <c r="H149" s="162"/>
      <c r="I149" s="39" t="s">
        <v>7659</v>
      </c>
      <c r="J149" s="111">
        <v>39850000</v>
      </c>
      <c r="K149" s="112">
        <v>46098</v>
      </c>
      <c r="L149" s="39"/>
      <c r="M149" s="39">
        <v>3128513052</v>
      </c>
      <c r="N149" s="39" t="s">
        <v>7658</v>
      </c>
      <c r="O149" s="39"/>
      <c r="P149" s="52" t="s">
        <v>7657</v>
      </c>
    </row>
    <row r="150" spans="1:16" x14ac:dyDescent="0.25">
      <c r="A150" s="108"/>
      <c r="B150" s="39">
        <v>140</v>
      </c>
      <c r="C150" s="162" t="s">
        <v>7660</v>
      </c>
      <c r="D150" s="162"/>
      <c r="E150" s="162"/>
      <c r="F150" s="162"/>
      <c r="G150" s="162"/>
      <c r="H150" s="162"/>
      <c r="I150" s="39" t="s">
        <v>2743</v>
      </c>
      <c r="J150" s="111">
        <v>9950000</v>
      </c>
      <c r="K150" s="112">
        <v>46098</v>
      </c>
      <c r="L150" s="39"/>
      <c r="M150" s="39">
        <v>3175594091</v>
      </c>
      <c r="N150" s="39" t="s">
        <v>6303</v>
      </c>
      <c r="O150" s="39" t="s">
        <v>7991</v>
      </c>
      <c r="P150" s="52" t="s">
        <v>748</v>
      </c>
    </row>
    <row r="151" spans="1:16" x14ac:dyDescent="0.25">
      <c r="A151" s="108"/>
      <c r="B151" s="39">
        <v>141</v>
      </c>
      <c r="C151" s="162" t="s">
        <v>7661</v>
      </c>
      <c r="D151" s="162"/>
      <c r="E151" s="162"/>
      <c r="F151" s="162"/>
      <c r="G151" s="162"/>
      <c r="H151" s="162"/>
      <c r="I151" s="39" t="s">
        <v>3002</v>
      </c>
      <c r="J151" s="111">
        <v>30980000</v>
      </c>
      <c r="K151" s="112">
        <v>46098</v>
      </c>
      <c r="L151" s="39"/>
      <c r="M151" s="39" t="s">
        <v>6219</v>
      </c>
      <c r="N151" s="39" t="s">
        <v>6217</v>
      </c>
      <c r="O151" s="39"/>
      <c r="P151" s="116" t="s">
        <v>2658</v>
      </c>
    </row>
    <row r="152" spans="1:16" x14ac:dyDescent="0.25">
      <c r="A152" s="108"/>
      <c r="B152" s="39">
        <v>142</v>
      </c>
      <c r="C152" s="162" t="s">
        <v>7662</v>
      </c>
      <c r="D152" s="162"/>
      <c r="E152" s="162"/>
      <c r="F152" s="162"/>
      <c r="G152" s="162"/>
      <c r="H152" s="162"/>
      <c r="I152" s="39" t="s">
        <v>7481</v>
      </c>
      <c r="J152" s="111">
        <v>7000000</v>
      </c>
      <c r="K152" s="112">
        <v>46098</v>
      </c>
      <c r="L152" s="39"/>
      <c r="M152" s="39">
        <v>3207202429</v>
      </c>
      <c r="N152" s="39" t="s">
        <v>7479</v>
      </c>
      <c r="O152" s="39"/>
      <c r="P152" s="52" t="s">
        <v>7480</v>
      </c>
    </row>
    <row r="153" spans="1:16" x14ac:dyDescent="0.25">
      <c r="A153" s="108"/>
      <c r="B153" s="39">
        <v>143</v>
      </c>
      <c r="C153" s="162" t="s">
        <v>7663</v>
      </c>
      <c r="D153" s="162"/>
      <c r="E153" s="162"/>
      <c r="F153" s="162"/>
      <c r="G153" s="162"/>
      <c r="H153" s="162"/>
      <c r="I153" s="39" t="s">
        <v>7679</v>
      </c>
      <c r="J153" s="111">
        <v>29950000</v>
      </c>
      <c r="K153" s="112">
        <v>42447</v>
      </c>
      <c r="L153" s="39"/>
      <c r="M153" s="39"/>
      <c r="N153" s="39"/>
      <c r="O153" s="39"/>
      <c r="P153" s="115"/>
    </row>
    <row r="154" spans="1:16" x14ac:dyDescent="0.25">
      <c r="A154" s="108"/>
      <c r="B154" s="39">
        <v>144</v>
      </c>
      <c r="C154" s="162" t="s">
        <v>7664</v>
      </c>
      <c r="D154" s="162"/>
      <c r="E154" s="162"/>
      <c r="F154" s="162"/>
      <c r="G154" s="162"/>
      <c r="H154" s="162"/>
      <c r="I154" s="39" t="s">
        <v>7382</v>
      </c>
      <c r="J154" s="111">
        <v>29970000</v>
      </c>
      <c r="K154" s="112">
        <v>46099</v>
      </c>
      <c r="L154" s="39"/>
      <c r="M154" s="39">
        <v>3175180141</v>
      </c>
      <c r="N154" s="39" t="s">
        <v>6516</v>
      </c>
      <c r="O154" s="39" t="s">
        <v>8000</v>
      </c>
      <c r="P154" s="116" t="s">
        <v>6517</v>
      </c>
    </row>
    <row r="155" spans="1:16" x14ac:dyDescent="0.25">
      <c r="A155" s="108"/>
      <c r="B155" s="39">
        <v>145</v>
      </c>
      <c r="C155" s="162" t="s">
        <v>7665</v>
      </c>
      <c r="D155" s="162"/>
      <c r="E155" s="162"/>
      <c r="F155" s="162"/>
      <c r="G155" s="162"/>
      <c r="H155" s="162"/>
      <c r="I155" s="39" t="s">
        <v>5637</v>
      </c>
      <c r="J155" s="111">
        <v>32450000</v>
      </c>
      <c r="K155" s="112">
        <v>46100</v>
      </c>
      <c r="L155" s="39"/>
      <c r="M155" s="39">
        <v>3122310202</v>
      </c>
      <c r="N155" s="39" t="s">
        <v>6266</v>
      </c>
      <c r="O155" s="39" t="s">
        <v>7984</v>
      </c>
      <c r="P155" s="116" t="s">
        <v>6267</v>
      </c>
    </row>
    <row r="156" spans="1:16" x14ac:dyDescent="0.25">
      <c r="A156" s="108"/>
      <c r="B156" s="39">
        <v>146</v>
      </c>
      <c r="C156" s="162" t="s">
        <v>7666</v>
      </c>
      <c r="D156" s="162"/>
      <c r="E156" s="162"/>
      <c r="F156" s="162"/>
      <c r="G156" s="162"/>
      <c r="H156" s="162"/>
      <c r="I156" s="39" t="s">
        <v>2445</v>
      </c>
      <c r="J156" s="111"/>
      <c r="K156" s="112">
        <v>46101</v>
      </c>
      <c r="L156" s="39"/>
      <c r="M156" s="39">
        <v>3162439535</v>
      </c>
      <c r="N156" s="39" t="s">
        <v>7615</v>
      </c>
      <c r="O156" s="39" t="s">
        <v>7968</v>
      </c>
      <c r="P156" s="52" t="s">
        <v>4150</v>
      </c>
    </row>
    <row r="157" spans="1:16" x14ac:dyDescent="0.25">
      <c r="A157" s="108"/>
      <c r="B157" s="39">
        <v>147</v>
      </c>
      <c r="C157" s="162" t="s">
        <v>7667</v>
      </c>
      <c r="D157" s="162"/>
      <c r="E157" s="162"/>
      <c r="F157" s="162"/>
      <c r="G157" s="162"/>
      <c r="H157" s="162"/>
      <c r="I157" s="39" t="s">
        <v>2445</v>
      </c>
      <c r="J157" s="111">
        <v>29950000</v>
      </c>
      <c r="K157" s="112">
        <v>46101</v>
      </c>
      <c r="L157" s="39"/>
      <c r="M157" s="39">
        <v>3162439535</v>
      </c>
      <c r="N157" s="39" t="s">
        <v>7615</v>
      </c>
      <c r="O157" s="39" t="s">
        <v>7968</v>
      </c>
      <c r="P157" s="52" t="s">
        <v>4150</v>
      </c>
    </row>
    <row r="158" spans="1:16" x14ac:dyDescent="0.25">
      <c r="A158" s="108"/>
      <c r="B158" s="39">
        <v>148</v>
      </c>
      <c r="C158" s="162" t="s">
        <v>7668</v>
      </c>
      <c r="D158" s="162"/>
      <c r="E158" s="162"/>
      <c r="F158" s="162"/>
      <c r="G158" s="162"/>
      <c r="H158" s="162"/>
      <c r="I158" s="39" t="s">
        <v>7532</v>
      </c>
      <c r="J158" s="111">
        <v>6850000</v>
      </c>
      <c r="K158" s="112">
        <v>46101</v>
      </c>
      <c r="L158" s="39"/>
      <c r="M158" s="39">
        <v>3116456726</v>
      </c>
      <c r="N158" s="39" t="s">
        <v>7533</v>
      </c>
      <c r="O158" s="39" t="s">
        <v>7964</v>
      </c>
      <c r="P158" s="52" t="s">
        <v>7277</v>
      </c>
    </row>
    <row r="159" spans="1:16" x14ac:dyDescent="0.25">
      <c r="A159" s="108"/>
      <c r="B159" s="39">
        <v>149</v>
      </c>
      <c r="C159" s="162" t="s">
        <v>7669</v>
      </c>
      <c r="D159" s="162"/>
      <c r="E159" s="162"/>
      <c r="F159" s="162"/>
      <c r="G159" s="162"/>
      <c r="H159" s="162"/>
      <c r="I159" s="39" t="s">
        <v>4390</v>
      </c>
      <c r="J159" s="111">
        <v>7500000</v>
      </c>
      <c r="K159" s="112">
        <v>46101</v>
      </c>
      <c r="L159" s="39"/>
      <c r="M159" s="39">
        <v>3116460496</v>
      </c>
      <c r="N159" s="39" t="s">
        <v>390</v>
      </c>
      <c r="O159" s="39"/>
      <c r="P159" s="52" t="s">
        <v>1876</v>
      </c>
    </row>
    <row r="160" spans="1:16" x14ac:dyDescent="0.25">
      <c r="A160" s="108"/>
      <c r="B160" s="39">
        <v>150</v>
      </c>
      <c r="C160" s="162" t="s">
        <v>7670</v>
      </c>
      <c r="D160" s="162"/>
      <c r="E160" s="162"/>
      <c r="F160" s="162"/>
      <c r="G160" s="162"/>
      <c r="H160" s="162"/>
      <c r="I160" s="39" t="s">
        <v>4390</v>
      </c>
      <c r="J160" s="111">
        <v>2500000</v>
      </c>
      <c r="K160" s="112">
        <v>46101</v>
      </c>
      <c r="L160" s="39"/>
      <c r="M160" s="39">
        <v>3116460496</v>
      </c>
      <c r="N160" s="39" t="s">
        <v>390</v>
      </c>
      <c r="O160" s="39"/>
      <c r="P160" s="52" t="s">
        <v>1876</v>
      </c>
    </row>
    <row r="161" spans="1:16" x14ac:dyDescent="0.25">
      <c r="A161" s="108"/>
      <c r="B161" s="39">
        <v>151</v>
      </c>
      <c r="C161" s="162" t="s">
        <v>7671</v>
      </c>
      <c r="D161" s="162"/>
      <c r="E161" s="162"/>
      <c r="F161" s="162"/>
      <c r="G161" s="162"/>
      <c r="H161" s="162"/>
      <c r="I161" s="39" t="s">
        <v>4390</v>
      </c>
      <c r="J161" s="111">
        <v>9970000</v>
      </c>
      <c r="K161" s="112">
        <v>46101</v>
      </c>
      <c r="L161" s="39"/>
      <c r="M161" s="39">
        <v>3116460496</v>
      </c>
      <c r="N161" s="39" t="s">
        <v>390</v>
      </c>
      <c r="O161" s="39"/>
      <c r="P161" s="52" t="s">
        <v>1876</v>
      </c>
    </row>
    <row r="162" spans="1:16" x14ac:dyDescent="0.25">
      <c r="A162" s="108"/>
      <c r="B162" s="39">
        <v>152</v>
      </c>
      <c r="C162" s="162" t="s">
        <v>7672</v>
      </c>
      <c r="D162" s="162"/>
      <c r="E162" s="162"/>
      <c r="F162" s="162"/>
      <c r="G162" s="162"/>
      <c r="H162" s="162"/>
      <c r="I162" s="39" t="s">
        <v>6611</v>
      </c>
      <c r="J162" s="111">
        <v>39950000</v>
      </c>
      <c r="K162" s="112">
        <v>46102</v>
      </c>
      <c r="L162" s="39"/>
      <c r="M162" s="39">
        <v>3147788200</v>
      </c>
      <c r="N162" s="39" t="s">
        <v>7211</v>
      </c>
      <c r="O162" s="39" t="s">
        <v>7972</v>
      </c>
      <c r="P162" s="38" t="s">
        <v>7210</v>
      </c>
    </row>
    <row r="163" spans="1:16" x14ac:dyDescent="0.25">
      <c r="A163" s="108"/>
      <c r="B163" s="39">
        <v>153</v>
      </c>
      <c r="C163" s="162" t="s">
        <v>7673</v>
      </c>
      <c r="D163" s="162"/>
      <c r="E163" s="162"/>
      <c r="F163" s="162"/>
      <c r="G163" s="162"/>
      <c r="H163" s="162"/>
      <c r="I163" s="39" t="s">
        <v>4390</v>
      </c>
      <c r="J163" s="111">
        <v>19950000</v>
      </c>
      <c r="K163" s="112">
        <v>46105</v>
      </c>
      <c r="L163" s="39"/>
      <c r="M163" s="39">
        <v>3104529624</v>
      </c>
      <c r="N163" s="39" t="s">
        <v>7674</v>
      </c>
      <c r="O163" s="39"/>
      <c r="P163" s="52" t="s">
        <v>7675</v>
      </c>
    </row>
    <row r="164" spans="1:16" x14ac:dyDescent="0.25">
      <c r="A164" s="108"/>
      <c r="B164" s="39">
        <v>154</v>
      </c>
      <c r="C164" s="162" t="s">
        <v>7676</v>
      </c>
      <c r="D164" s="162"/>
      <c r="E164" s="162"/>
      <c r="F164" s="162"/>
      <c r="G164" s="162"/>
      <c r="H164" s="162"/>
      <c r="I164" s="39" t="s">
        <v>1027</v>
      </c>
      <c r="J164" s="111">
        <v>7500000</v>
      </c>
      <c r="K164" s="112">
        <v>46105</v>
      </c>
      <c r="L164" s="39"/>
      <c r="M164" s="39">
        <v>3012547727</v>
      </c>
      <c r="N164" s="39" t="s">
        <v>1027</v>
      </c>
      <c r="O164" s="39"/>
      <c r="P164" s="115"/>
    </row>
    <row r="165" spans="1:16" x14ac:dyDescent="0.25">
      <c r="A165" s="108"/>
      <c r="B165" s="39">
        <v>155</v>
      </c>
      <c r="C165" s="162" t="s">
        <v>7677</v>
      </c>
      <c r="D165" s="162"/>
      <c r="E165" s="162"/>
      <c r="F165" s="162"/>
      <c r="G165" s="162"/>
      <c r="H165" s="162"/>
      <c r="I165" s="39" t="s">
        <v>5637</v>
      </c>
      <c r="J165" s="111">
        <v>31760000</v>
      </c>
      <c r="K165" s="112">
        <v>46105</v>
      </c>
      <c r="L165" s="39"/>
      <c r="M165" s="39">
        <v>3122310202</v>
      </c>
      <c r="N165" s="39" t="s">
        <v>6266</v>
      </c>
      <c r="O165" s="39" t="s">
        <v>7984</v>
      </c>
      <c r="P165" s="116" t="s">
        <v>6267</v>
      </c>
    </row>
    <row r="166" spans="1:16" x14ac:dyDescent="0.25">
      <c r="A166" s="108"/>
      <c r="B166" s="39">
        <v>156</v>
      </c>
      <c r="C166" s="162" t="s">
        <v>7678</v>
      </c>
      <c r="D166" s="162"/>
      <c r="E166" s="162"/>
      <c r="F166" s="162"/>
      <c r="G166" s="162"/>
      <c r="H166" s="162"/>
      <c r="I166" s="39" t="s">
        <v>5637</v>
      </c>
      <c r="J166" s="111">
        <v>31760000</v>
      </c>
      <c r="K166" s="112">
        <v>46105</v>
      </c>
      <c r="L166" s="39"/>
      <c r="M166" s="39">
        <v>3122310202</v>
      </c>
      <c r="N166" s="39" t="s">
        <v>6266</v>
      </c>
      <c r="O166" s="39" t="s">
        <v>7984</v>
      </c>
      <c r="P166" s="116" t="s">
        <v>6267</v>
      </c>
    </row>
    <row r="167" spans="1:16" ht="15" customHeight="1" x14ac:dyDescent="0.25">
      <c r="A167" s="108"/>
      <c r="B167" s="39">
        <v>157</v>
      </c>
      <c r="C167" s="162" t="s">
        <v>7680</v>
      </c>
      <c r="D167" s="162"/>
      <c r="E167" s="162"/>
      <c r="F167" s="162"/>
      <c r="G167" s="162"/>
      <c r="H167" s="162"/>
      <c r="I167" s="39" t="s">
        <v>4436</v>
      </c>
      <c r="J167" s="111">
        <v>24950000</v>
      </c>
      <c r="K167" s="112">
        <v>46108</v>
      </c>
      <c r="L167" s="39"/>
      <c r="M167" s="39"/>
      <c r="N167" s="39" t="s">
        <v>7681</v>
      </c>
      <c r="O167" s="39" t="s">
        <v>7990</v>
      </c>
      <c r="P167" s="52" t="s">
        <v>7682</v>
      </c>
    </row>
    <row r="168" spans="1:16" x14ac:dyDescent="0.25">
      <c r="A168" s="108"/>
      <c r="B168" s="39">
        <v>158</v>
      </c>
      <c r="C168" s="162" t="s">
        <v>7683</v>
      </c>
      <c r="D168" s="162"/>
      <c r="E168" s="162"/>
      <c r="F168" s="162"/>
      <c r="G168" s="162"/>
      <c r="H168" s="162"/>
      <c r="I168" s="39" t="s">
        <v>702</v>
      </c>
      <c r="J168" s="111">
        <v>28230000</v>
      </c>
      <c r="K168" s="112">
        <v>46108</v>
      </c>
      <c r="L168" s="39"/>
      <c r="M168" s="39">
        <v>3104165783</v>
      </c>
      <c r="N168" s="39" t="s">
        <v>4564</v>
      </c>
      <c r="O168" s="39" t="s">
        <v>8001</v>
      </c>
      <c r="P168" s="52" t="s">
        <v>4565</v>
      </c>
    </row>
    <row r="169" spans="1:16" x14ac:dyDescent="0.25">
      <c r="A169" s="108"/>
      <c r="B169" s="39">
        <v>159</v>
      </c>
      <c r="C169" s="162" t="s">
        <v>7685</v>
      </c>
      <c r="D169" s="162"/>
      <c r="E169" s="162"/>
      <c r="F169" s="162"/>
      <c r="G169" s="162"/>
      <c r="H169" s="162"/>
      <c r="I169" s="39" t="s">
        <v>3439</v>
      </c>
      <c r="J169" s="111">
        <v>9950000</v>
      </c>
      <c r="K169" s="112">
        <v>46108</v>
      </c>
      <c r="L169" s="39"/>
      <c r="M169" s="39"/>
      <c r="N169" s="39" t="s">
        <v>7684</v>
      </c>
      <c r="O169" s="39"/>
      <c r="P169" s="52" t="s">
        <v>7493</v>
      </c>
    </row>
    <row r="170" spans="1:16" x14ac:dyDescent="0.25">
      <c r="A170" s="108"/>
      <c r="B170" s="39">
        <v>160</v>
      </c>
      <c r="C170" s="162" t="s">
        <v>7686</v>
      </c>
      <c r="D170" s="162"/>
      <c r="E170" s="162"/>
      <c r="F170" s="162"/>
      <c r="G170" s="162"/>
      <c r="H170" s="162"/>
      <c r="I170" s="39" t="s">
        <v>7687</v>
      </c>
      <c r="J170" s="111">
        <v>5950000</v>
      </c>
      <c r="K170" s="112">
        <v>46111</v>
      </c>
      <c r="L170" s="39"/>
      <c r="M170" s="39">
        <v>3104139821</v>
      </c>
      <c r="N170" s="39" t="s">
        <v>6298</v>
      </c>
      <c r="O170" s="39"/>
      <c r="P170" s="116" t="s">
        <v>1114</v>
      </c>
    </row>
    <row r="171" spans="1:16" x14ac:dyDescent="0.25">
      <c r="A171" s="108"/>
      <c r="B171" s="39">
        <v>161</v>
      </c>
      <c r="C171" s="162" t="s">
        <v>7688</v>
      </c>
      <c r="D171" s="162"/>
      <c r="E171" s="162"/>
      <c r="F171" s="162"/>
      <c r="G171" s="162"/>
      <c r="H171" s="162"/>
      <c r="I171" s="39" t="s">
        <v>4939</v>
      </c>
      <c r="J171" s="111">
        <v>22850000</v>
      </c>
      <c r="K171" s="112">
        <v>46111</v>
      </c>
      <c r="L171" s="39"/>
      <c r="M171" s="39">
        <v>3206678830</v>
      </c>
      <c r="N171" s="39" t="s">
        <v>5109</v>
      </c>
      <c r="O171" s="39"/>
      <c r="P171" s="38" t="s">
        <v>948</v>
      </c>
    </row>
    <row r="172" spans="1:16" x14ac:dyDescent="0.25">
      <c r="A172" s="108"/>
      <c r="B172" s="39">
        <v>162</v>
      </c>
      <c r="C172" s="162" t="s">
        <v>7689</v>
      </c>
      <c r="D172" s="162"/>
      <c r="E172" s="162"/>
      <c r="F172" s="162"/>
      <c r="G172" s="162"/>
      <c r="H172" s="162"/>
      <c r="I172" s="39" t="s">
        <v>3766</v>
      </c>
      <c r="J172" s="111" t="s">
        <v>7694</v>
      </c>
      <c r="K172" s="112">
        <v>46119</v>
      </c>
      <c r="L172" s="39"/>
      <c r="M172" s="39">
        <v>3005934637</v>
      </c>
      <c r="N172" s="39" t="s">
        <v>7034</v>
      </c>
      <c r="O172" s="39" t="s">
        <v>7996</v>
      </c>
      <c r="P172" s="52" t="s">
        <v>7035</v>
      </c>
    </row>
    <row r="173" spans="1:16" x14ac:dyDescent="0.25">
      <c r="A173" s="108"/>
      <c r="B173" s="39">
        <v>163</v>
      </c>
      <c r="C173" s="162" t="s">
        <v>7690</v>
      </c>
      <c r="D173" s="162"/>
      <c r="E173" s="162"/>
      <c r="F173" s="162"/>
      <c r="G173" s="162"/>
      <c r="H173" s="162"/>
      <c r="I173" s="39" t="s">
        <v>2445</v>
      </c>
      <c r="J173" s="111">
        <v>24950000</v>
      </c>
      <c r="K173" s="112">
        <v>46119</v>
      </c>
      <c r="L173" s="39"/>
      <c r="M173" s="39">
        <v>3162439535</v>
      </c>
      <c r="N173" s="39" t="s">
        <v>7615</v>
      </c>
      <c r="O173" s="39" t="s">
        <v>7968</v>
      </c>
      <c r="P173" s="52" t="s">
        <v>4150</v>
      </c>
    </row>
    <row r="174" spans="1:16" x14ac:dyDescent="0.25">
      <c r="A174" s="108"/>
      <c r="B174" s="39">
        <v>164</v>
      </c>
      <c r="C174" s="162" t="s">
        <v>7691</v>
      </c>
      <c r="D174" s="162"/>
      <c r="E174" s="162"/>
      <c r="F174" s="162"/>
      <c r="G174" s="162"/>
      <c r="H174" s="162"/>
      <c r="I174" s="39" t="s">
        <v>7692</v>
      </c>
      <c r="J174" s="111">
        <v>1550000</v>
      </c>
      <c r="K174" s="112">
        <v>46120</v>
      </c>
      <c r="L174" s="39"/>
      <c r="M174" s="39" t="s">
        <v>7434</v>
      </c>
      <c r="N174" s="39" t="s">
        <v>7435</v>
      </c>
      <c r="O174" s="39"/>
      <c r="P174" s="52" t="s">
        <v>7436</v>
      </c>
    </row>
    <row r="175" spans="1:16" ht="15" customHeight="1" x14ac:dyDescent="0.25">
      <c r="A175" s="108"/>
      <c r="B175" s="39">
        <v>165</v>
      </c>
      <c r="C175" s="162" t="s">
        <v>7693</v>
      </c>
      <c r="D175" s="162"/>
      <c r="E175" s="162"/>
      <c r="F175" s="162"/>
      <c r="G175" s="162"/>
      <c r="H175" s="162"/>
      <c r="I175" s="39" t="s">
        <v>3202</v>
      </c>
      <c r="J175" s="111">
        <v>5500000</v>
      </c>
      <c r="K175" s="112">
        <v>46120</v>
      </c>
      <c r="L175" s="39"/>
      <c r="M175" s="39">
        <v>3137851941</v>
      </c>
      <c r="N175" s="39" t="s">
        <v>192</v>
      </c>
      <c r="O175" s="39" t="s">
        <v>8014</v>
      </c>
      <c r="P175" s="52" t="s">
        <v>713</v>
      </c>
    </row>
    <row r="176" spans="1:16" ht="15" customHeight="1" x14ac:dyDescent="0.25">
      <c r="A176" s="108"/>
      <c r="B176" s="39">
        <v>166</v>
      </c>
      <c r="C176" s="162" t="s">
        <v>7695</v>
      </c>
      <c r="D176" s="162"/>
      <c r="E176" s="162"/>
      <c r="F176" s="162"/>
      <c r="G176" s="162"/>
      <c r="H176" s="162"/>
      <c r="I176" s="39" t="s">
        <v>7696</v>
      </c>
      <c r="J176" s="111">
        <v>4950000</v>
      </c>
      <c r="K176" s="112">
        <v>46122</v>
      </c>
      <c r="L176" s="39"/>
      <c r="M176" s="39">
        <v>3014832094</v>
      </c>
      <c r="N176" s="39" t="s">
        <v>7697</v>
      </c>
      <c r="O176" s="39"/>
      <c r="P176" s="52" t="s">
        <v>7698</v>
      </c>
    </row>
    <row r="177" spans="1:16" x14ac:dyDescent="0.25">
      <c r="A177" s="108"/>
      <c r="B177" s="39">
        <v>167</v>
      </c>
      <c r="C177" s="162" t="s">
        <v>7699</v>
      </c>
      <c r="D177" s="162"/>
      <c r="E177" s="162"/>
      <c r="F177" s="162"/>
      <c r="G177" s="162"/>
      <c r="H177" s="162"/>
      <c r="I177" s="39" t="s">
        <v>7700</v>
      </c>
      <c r="J177" s="111">
        <v>15950000</v>
      </c>
      <c r="K177" s="112">
        <v>46122</v>
      </c>
      <c r="L177" s="39"/>
      <c r="M177" s="39">
        <v>3137246726</v>
      </c>
      <c r="N177" s="39" t="s">
        <v>7702</v>
      </c>
      <c r="O177" s="39"/>
      <c r="P177" s="52" t="s">
        <v>7701</v>
      </c>
    </row>
    <row r="178" spans="1:16" x14ac:dyDescent="0.25">
      <c r="A178" s="108"/>
      <c r="B178" s="39">
        <v>168</v>
      </c>
      <c r="C178" s="162" t="s">
        <v>7703</v>
      </c>
      <c r="D178" s="162"/>
      <c r="E178" s="162"/>
      <c r="F178" s="162"/>
      <c r="G178" s="162"/>
      <c r="H178" s="162"/>
      <c r="I178" s="39" t="s">
        <v>2445</v>
      </c>
      <c r="J178" s="111">
        <v>39850000</v>
      </c>
      <c r="K178" s="112">
        <v>46122</v>
      </c>
      <c r="L178" s="39"/>
      <c r="M178" s="39">
        <v>3162439535</v>
      </c>
      <c r="N178" s="39" t="s">
        <v>7615</v>
      </c>
      <c r="O178" s="39" t="s">
        <v>7968</v>
      </c>
      <c r="P178" s="52" t="s">
        <v>4150</v>
      </c>
    </row>
    <row r="179" spans="1:16" ht="15" customHeight="1" x14ac:dyDescent="0.25">
      <c r="A179" s="108"/>
      <c r="B179" s="39">
        <v>169</v>
      </c>
      <c r="C179" s="162" t="s">
        <v>7704</v>
      </c>
      <c r="D179" s="162"/>
      <c r="E179" s="162"/>
      <c r="F179" s="162"/>
      <c r="G179" s="162"/>
      <c r="H179" s="162"/>
      <c r="I179" s="39" t="s">
        <v>5189</v>
      </c>
      <c r="J179" s="111">
        <v>6550000</v>
      </c>
      <c r="K179" s="112">
        <v>46126</v>
      </c>
      <c r="L179" s="39"/>
      <c r="M179" s="39">
        <v>3137337587</v>
      </c>
      <c r="N179" s="39" t="s">
        <v>4544</v>
      </c>
      <c r="O179" s="39"/>
      <c r="P179" s="38" t="s">
        <v>4545</v>
      </c>
    </row>
    <row r="180" spans="1:16" x14ac:dyDescent="0.25">
      <c r="A180" s="108"/>
      <c r="B180" s="39">
        <v>170</v>
      </c>
      <c r="C180" s="162" t="s">
        <v>7705</v>
      </c>
      <c r="D180" s="162"/>
      <c r="E180" s="162"/>
      <c r="F180" s="162"/>
      <c r="G180" s="162"/>
      <c r="H180" s="162"/>
      <c r="I180" s="39" t="s">
        <v>5189</v>
      </c>
      <c r="J180" s="111">
        <v>7250000</v>
      </c>
      <c r="K180" s="112">
        <v>46126</v>
      </c>
      <c r="L180" s="39"/>
      <c r="M180" s="39">
        <v>3137337587</v>
      </c>
      <c r="N180" s="39" t="s">
        <v>4544</v>
      </c>
      <c r="O180" s="39"/>
      <c r="P180" s="38" t="s">
        <v>4545</v>
      </c>
    </row>
    <row r="181" spans="1:16" x14ac:dyDescent="0.25">
      <c r="A181" s="108"/>
      <c r="B181" s="39">
        <v>171</v>
      </c>
      <c r="C181" s="162" t="s">
        <v>7706</v>
      </c>
      <c r="D181" s="162"/>
      <c r="E181" s="162"/>
      <c r="F181" s="162"/>
      <c r="G181" s="162"/>
      <c r="H181" s="162"/>
      <c r="I181" s="39" t="s">
        <v>7417</v>
      </c>
      <c r="J181" s="111">
        <v>5350000</v>
      </c>
      <c r="K181" s="112">
        <v>46126</v>
      </c>
      <c r="L181" s="39"/>
      <c r="M181" s="39" t="s">
        <v>1071</v>
      </c>
      <c r="N181" s="39" t="s">
        <v>272</v>
      </c>
      <c r="O181" s="39" t="s">
        <v>7979</v>
      </c>
      <c r="P181" s="38" t="s">
        <v>1072</v>
      </c>
    </row>
    <row r="182" spans="1:16" x14ac:dyDescent="0.25">
      <c r="A182" s="108"/>
      <c r="B182" s="39">
        <v>172</v>
      </c>
      <c r="C182" s="162" t="s">
        <v>7707</v>
      </c>
      <c r="D182" s="162"/>
      <c r="E182" s="162"/>
      <c r="F182" s="162"/>
      <c r="G182" s="162"/>
      <c r="H182" s="162"/>
      <c r="I182" s="39" t="s">
        <v>7708</v>
      </c>
      <c r="J182" s="111">
        <v>16930000</v>
      </c>
      <c r="K182" s="112">
        <v>46126</v>
      </c>
      <c r="L182" s="39"/>
      <c r="M182" s="39">
        <v>3207840159</v>
      </c>
      <c r="N182" s="39" t="s">
        <v>7709</v>
      </c>
      <c r="O182" s="39" t="s">
        <v>7971</v>
      </c>
      <c r="P182" s="52" t="s">
        <v>7710</v>
      </c>
    </row>
    <row r="183" spans="1:16" x14ac:dyDescent="0.25">
      <c r="A183" s="108"/>
      <c r="B183" s="39">
        <v>173</v>
      </c>
      <c r="C183" s="162" t="s">
        <v>7711</v>
      </c>
      <c r="D183" s="162"/>
      <c r="E183" s="162"/>
      <c r="F183" s="162"/>
      <c r="G183" s="162"/>
      <c r="H183" s="162"/>
      <c r="I183" s="39" t="s">
        <v>5229</v>
      </c>
      <c r="J183" s="111">
        <v>3150000</v>
      </c>
      <c r="K183" s="112">
        <v>46126</v>
      </c>
      <c r="L183" s="39"/>
      <c r="M183" s="39">
        <v>6012357612</v>
      </c>
      <c r="N183" s="39" t="s">
        <v>3801</v>
      </c>
      <c r="O183" s="39"/>
      <c r="P183" s="38" t="s">
        <v>1854</v>
      </c>
    </row>
    <row r="184" spans="1:16" x14ac:dyDescent="0.25">
      <c r="A184" s="108"/>
      <c r="B184" s="39">
        <v>174</v>
      </c>
      <c r="C184" s="162" t="s">
        <v>7713</v>
      </c>
      <c r="D184" s="162"/>
      <c r="E184" s="162"/>
      <c r="F184" s="162"/>
      <c r="G184" s="162"/>
      <c r="H184" s="162"/>
      <c r="I184" s="39" t="s">
        <v>4436</v>
      </c>
      <c r="J184" s="111">
        <v>15950000</v>
      </c>
      <c r="K184" s="112">
        <v>46126</v>
      </c>
      <c r="L184" s="6"/>
      <c r="M184" s="6"/>
      <c r="N184" s="39" t="s">
        <v>7714</v>
      </c>
      <c r="O184" s="39" t="s">
        <v>7955</v>
      </c>
      <c r="P184" s="38" t="s">
        <v>7715</v>
      </c>
    </row>
    <row r="185" spans="1:16" x14ac:dyDescent="0.25">
      <c r="A185" s="108"/>
      <c r="B185" s="39">
        <v>175</v>
      </c>
      <c r="C185" s="162" t="s">
        <v>7712</v>
      </c>
      <c r="D185" s="162"/>
      <c r="E185" s="162"/>
      <c r="F185" s="162"/>
      <c r="G185" s="162"/>
      <c r="H185" s="162"/>
      <c r="I185" s="39" t="s">
        <v>3002</v>
      </c>
      <c r="J185" s="111">
        <v>2500000</v>
      </c>
      <c r="K185" s="112">
        <v>46126</v>
      </c>
      <c r="L185" s="39"/>
      <c r="M185" s="39">
        <v>3014317086</v>
      </c>
      <c r="N185" s="39" t="s">
        <v>4153</v>
      </c>
      <c r="O185" s="39"/>
      <c r="P185" s="116" t="s">
        <v>4152</v>
      </c>
    </row>
    <row r="186" spans="1:16" x14ac:dyDescent="0.25">
      <c r="A186" s="108"/>
      <c r="B186" s="39">
        <v>176</v>
      </c>
      <c r="C186" s="162" t="s">
        <v>7716</v>
      </c>
      <c r="D186" s="162"/>
      <c r="E186" s="162"/>
      <c r="F186" s="162"/>
      <c r="G186" s="162"/>
      <c r="H186" s="162"/>
      <c r="I186" s="39" t="s">
        <v>4390</v>
      </c>
      <c r="J186" s="111">
        <v>16300000</v>
      </c>
      <c r="K186" s="112">
        <v>46127</v>
      </c>
      <c r="L186" s="6"/>
      <c r="M186" s="39">
        <v>3116460496</v>
      </c>
      <c r="N186" s="39" t="s">
        <v>390</v>
      </c>
      <c r="O186" s="39"/>
      <c r="P186" s="52" t="s">
        <v>1876</v>
      </c>
    </row>
    <row r="187" spans="1:16" ht="15" customHeight="1" x14ac:dyDescent="0.25">
      <c r="A187" s="108"/>
      <c r="B187" s="39">
        <v>177</v>
      </c>
      <c r="C187" s="162" t="s">
        <v>7717</v>
      </c>
      <c r="D187" s="162"/>
      <c r="E187" s="162"/>
      <c r="F187" s="162"/>
      <c r="G187" s="162"/>
      <c r="H187" s="162"/>
      <c r="I187" s="39" t="s">
        <v>4597</v>
      </c>
      <c r="J187" s="111">
        <v>2500000</v>
      </c>
      <c r="K187" s="112">
        <v>46127</v>
      </c>
      <c r="L187" s="39"/>
      <c r="M187" s="39">
        <v>3014201614</v>
      </c>
      <c r="N187" s="39" t="s">
        <v>4029</v>
      </c>
      <c r="O187" s="39"/>
      <c r="P187" s="38" t="s">
        <v>2771</v>
      </c>
    </row>
    <row r="188" spans="1:16" ht="15" customHeight="1" x14ac:dyDescent="0.25">
      <c r="A188" s="108"/>
      <c r="B188" s="39">
        <v>178</v>
      </c>
      <c r="C188" s="162" t="s">
        <v>7718</v>
      </c>
      <c r="D188" s="162"/>
      <c r="E188" s="162"/>
      <c r="F188" s="162"/>
      <c r="G188" s="162"/>
      <c r="H188" s="162"/>
      <c r="I188" s="39" t="s">
        <v>5549</v>
      </c>
      <c r="J188" s="111">
        <v>29950000</v>
      </c>
      <c r="K188" s="112">
        <v>46132</v>
      </c>
      <c r="L188" s="39"/>
      <c r="M188" s="39"/>
      <c r="N188" s="39" t="s">
        <v>7719</v>
      </c>
      <c r="O188" s="39"/>
      <c r="P188" s="52" t="s">
        <v>5627</v>
      </c>
    </row>
    <row r="189" spans="1:16" x14ac:dyDescent="0.25">
      <c r="A189" s="108"/>
      <c r="B189" s="39">
        <v>179</v>
      </c>
      <c r="C189" s="162" t="s">
        <v>7720</v>
      </c>
      <c r="D189" s="162"/>
      <c r="E189" s="162"/>
      <c r="F189" s="162"/>
      <c r="G189" s="162"/>
      <c r="H189" s="162"/>
      <c r="I189" s="39" t="s">
        <v>3766</v>
      </c>
      <c r="J189" s="111">
        <v>10940000</v>
      </c>
      <c r="K189" s="112">
        <v>46132</v>
      </c>
      <c r="L189" s="39"/>
      <c r="M189" s="39">
        <v>3005934637</v>
      </c>
      <c r="N189" s="39" t="s">
        <v>7722</v>
      </c>
      <c r="O189" s="39" t="s">
        <v>7993</v>
      </c>
      <c r="P189" s="52" t="s">
        <v>7723</v>
      </c>
    </row>
    <row r="190" spans="1:16" x14ac:dyDescent="0.25">
      <c r="A190" s="108"/>
      <c r="B190" s="39">
        <v>180</v>
      </c>
      <c r="C190" s="162" t="s">
        <v>7721</v>
      </c>
      <c r="D190" s="162"/>
      <c r="E190" s="162"/>
      <c r="F190" s="162"/>
      <c r="G190" s="162"/>
      <c r="H190" s="162"/>
      <c r="I190" s="39" t="s">
        <v>4597</v>
      </c>
      <c r="J190" s="111">
        <v>2860000</v>
      </c>
      <c r="K190" s="112">
        <v>46132</v>
      </c>
      <c r="L190" s="39"/>
      <c r="M190" s="39" t="s">
        <v>5812</v>
      </c>
      <c r="N190" s="39" t="s">
        <v>4109</v>
      </c>
      <c r="O190" s="39"/>
      <c r="P190" s="38" t="s">
        <v>5752</v>
      </c>
    </row>
    <row r="191" spans="1:16" x14ac:dyDescent="0.25">
      <c r="A191" s="108"/>
      <c r="B191" s="39">
        <v>181</v>
      </c>
      <c r="C191" s="162" t="s">
        <v>7724</v>
      </c>
      <c r="D191" s="162"/>
      <c r="E191" s="162"/>
      <c r="F191" s="162"/>
      <c r="G191" s="162"/>
      <c r="H191" s="162"/>
      <c r="I191" s="39" t="s">
        <v>702</v>
      </c>
      <c r="J191" s="111">
        <v>3400000</v>
      </c>
      <c r="K191" s="112">
        <v>46132</v>
      </c>
      <c r="L191" s="39"/>
      <c r="M191" s="39">
        <v>3104165783</v>
      </c>
      <c r="N191" s="39" t="s">
        <v>4564</v>
      </c>
      <c r="O191" s="39" t="s">
        <v>8001</v>
      </c>
      <c r="P191" s="52" t="s">
        <v>4565</v>
      </c>
    </row>
    <row r="192" spans="1:16" x14ac:dyDescent="0.25">
      <c r="A192" s="108"/>
      <c r="B192" s="39">
        <v>182</v>
      </c>
      <c r="C192" s="162" t="s">
        <v>7725</v>
      </c>
      <c r="D192" s="162"/>
      <c r="E192" s="162"/>
      <c r="F192" s="162"/>
      <c r="G192" s="162"/>
      <c r="H192" s="162"/>
      <c r="I192" s="39" t="s">
        <v>2445</v>
      </c>
      <c r="J192" s="111">
        <v>41950000</v>
      </c>
      <c r="K192" s="112">
        <v>46132</v>
      </c>
      <c r="L192" s="39"/>
      <c r="M192" s="39">
        <v>3162439535</v>
      </c>
      <c r="N192" s="39" t="s">
        <v>7615</v>
      </c>
      <c r="O192" s="39" t="s">
        <v>7968</v>
      </c>
      <c r="P192" s="52" t="s">
        <v>4150</v>
      </c>
    </row>
    <row r="193" spans="1:16" x14ac:dyDescent="0.25">
      <c r="A193" s="108"/>
      <c r="B193" s="39">
        <v>183</v>
      </c>
      <c r="C193" s="162" t="s">
        <v>7726</v>
      </c>
      <c r="D193" s="162"/>
      <c r="E193" s="162"/>
      <c r="F193" s="162"/>
      <c r="G193" s="162"/>
      <c r="H193" s="162"/>
      <c r="I193" s="39" t="s">
        <v>5252</v>
      </c>
      <c r="J193" s="111">
        <v>19980000</v>
      </c>
      <c r="K193" s="112">
        <v>46134</v>
      </c>
      <c r="L193" s="39"/>
      <c r="M193" s="39">
        <v>3147537411</v>
      </c>
      <c r="N193" s="39" t="s">
        <v>4272</v>
      </c>
      <c r="O193" s="39"/>
      <c r="P193" s="52" t="s">
        <v>1131</v>
      </c>
    </row>
    <row r="194" spans="1:16" x14ac:dyDescent="0.25">
      <c r="A194" s="108"/>
      <c r="B194" s="39">
        <v>184</v>
      </c>
      <c r="C194" s="162" t="s">
        <v>7749</v>
      </c>
      <c r="D194" s="162"/>
      <c r="E194" s="162"/>
      <c r="F194" s="162"/>
      <c r="G194" s="162"/>
      <c r="H194" s="162"/>
      <c r="I194" s="39" t="s">
        <v>702</v>
      </c>
      <c r="J194" s="111">
        <v>210000000</v>
      </c>
      <c r="K194" s="112">
        <v>46134</v>
      </c>
      <c r="L194" s="39"/>
      <c r="M194" s="39">
        <v>3104165783</v>
      </c>
      <c r="N194" s="39" t="s">
        <v>4564</v>
      </c>
      <c r="O194" s="39" t="s">
        <v>8001</v>
      </c>
      <c r="P194" s="52" t="s">
        <v>4565</v>
      </c>
    </row>
    <row r="195" spans="1:16" x14ac:dyDescent="0.25">
      <c r="A195" s="108"/>
      <c r="B195" s="39">
        <v>185</v>
      </c>
      <c r="C195" s="162" t="s">
        <v>7749</v>
      </c>
      <c r="D195" s="162"/>
      <c r="E195" s="162"/>
      <c r="F195" s="162"/>
      <c r="G195" s="162"/>
      <c r="H195" s="162"/>
      <c r="I195" s="39" t="s">
        <v>4939</v>
      </c>
      <c r="J195" s="111">
        <v>210000000</v>
      </c>
      <c r="K195" s="112">
        <v>46134</v>
      </c>
      <c r="L195" s="39"/>
      <c r="M195" s="39">
        <v>3014111727</v>
      </c>
      <c r="N195" s="39" t="s">
        <v>3402</v>
      </c>
      <c r="O195" s="39"/>
      <c r="P195" s="52" t="s">
        <v>2235</v>
      </c>
    </row>
    <row r="196" spans="1:16" x14ac:dyDescent="0.25">
      <c r="A196" s="108"/>
      <c r="B196" s="39">
        <v>186</v>
      </c>
      <c r="C196" s="162" t="s">
        <v>7727</v>
      </c>
      <c r="D196" s="162"/>
      <c r="E196" s="162"/>
      <c r="F196" s="162"/>
      <c r="G196" s="162"/>
      <c r="H196" s="162"/>
      <c r="I196" s="39" t="s">
        <v>4390</v>
      </c>
      <c r="J196" s="111">
        <v>13500000</v>
      </c>
      <c r="K196" s="112">
        <v>46134</v>
      </c>
      <c r="L196" s="39"/>
      <c r="M196" s="39">
        <v>3116460496</v>
      </c>
      <c r="N196" s="39" t="s">
        <v>390</v>
      </c>
      <c r="O196" s="39"/>
      <c r="P196" s="52" t="s">
        <v>1876</v>
      </c>
    </row>
    <row r="197" spans="1:16" x14ac:dyDescent="0.25">
      <c r="A197" s="108"/>
      <c r="B197" s="39">
        <v>187</v>
      </c>
      <c r="C197" s="162" t="s">
        <v>7726</v>
      </c>
      <c r="D197" s="162"/>
      <c r="E197" s="162"/>
      <c r="F197" s="162"/>
      <c r="G197" s="162"/>
      <c r="H197" s="162"/>
      <c r="I197" s="39" t="s">
        <v>3202</v>
      </c>
      <c r="J197" s="111">
        <v>19980000</v>
      </c>
      <c r="K197" s="112">
        <v>46134</v>
      </c>
      <c r="L197" s="39"/>
      <c r="M197" s="39">
        <v>3137851941</v>
      </c>
      <c r="N197" s="39" t="s">
        <v>192</v>
      </c>
      <c r="O197" s="39"/>
      <c r="P197" s="52" t="s">
        <v>713</v>
      </c>
    </row>
    <row r="198" spans="1:16" x14ac:dyDescent="0.25">
      <c r="A198" s="108"/>
      <c r="B198" s="39">
        <v>188</v>
      </c>
      <c r="C198" s="162" t="s">
        <v>7729</v>
      </c>
      <c r="D198" s="162"/>
      <c r="E198" s="162"/>
      <c r="F198" s="162"/>
      <c r="G198" s="162"/>
      <c r="H198" s="162"/>
      <c r="I198" s="39" t="s">
        <v>7728</v>
      </c>
      <c r="J198" s="111">
        <v>14950000</v>
      </c>
      <c r="K198" s="112">
        <v>46134</v>
      </c>
      <c r="L198" s="39"/>
      <c r="M198" s="39">
        <v>3127200512</v>
      </c>
      <c r="N198" s="39" t="s">
        <v>7730</v>
      </c>
      <c r="O198" s="39"/>
      <c r="P198" s="115"/>
    </row>
    <row r="199" spans="1:16" x14ac:dyDescent="0.25">
      <c r="A199" s="108"/>
      <c r="B199" s="39">
        <v>189</v>
      </c>
      <c r="C199" s="162" t="s">
        <v>7731</v>
      </c>
      <c r="D199" s="162"/>
      <c r="E199" s="162"/>
      <c r="F199" s="162"/>
      <c r="G199" s="162"/>
      <c r="H199" s="162"/>
      <c r="I199" s="39" t="s">
        <v>7732</v>
      </c>
      <c r="J199" s="111">
        <v>1850000</v>
      </c>
      <c r="K199" s="112">
        <v>46134</v>
      </c>
      <c r="L199" s="39"/>
      <c r="M199" s="39">
        <v>3014220879</v>
      </c>
      <c r="N199" s="39" t="s">
        <v>7733</v>
      </c>
      <c r="O199" s="39"/>
      <c r="P199" s="115"/>
    </row>
    <row r="200" spans="1:16" x14ac:dyDescent="0.25">
      <c r="A200" s="108"/>
      <c r="B200" s="39">
        <v>190</v>
      </c>
      <c r="C200" s="162" t="s">
        <v>7734</v>
      </c>
      <c r="D200" s="162"/>
      <c r="E200" s="162"/>
      <c r="F200" s="162"/>
      <c r="G200" s="162"/>
      <c r="H200" s="162"/>
      <c r="I200" s="39" t="s">
        <v>6423</v>
      </c>
      <c r="J200" s="111">
        <v>20950000</v>
      </c>
      <c r="K200" s="112">
        <v>46134</v>
      </c>
      <c r="L200" s="39"/>
      <c r="M200" s="39" t="s">
        <v>7434</v>
      </c>
      <c r="N200" s="39" t="s">
        <v>7435</v>
      </c>
      <c r="O200" s="39"/>
      <c r="P200" s="52" t="s">
        <v>7436</v>
      </c>
    </row>
    <row r="201" spans="1:16" x14ac:dyDescent="0.25">
      <c r="A201" s="108"/>
      <c r="B201" s="39">
        <v>191</v>
      </c>
      <c r="C201" s="162" t="s">
        <v>7736</v>
      </c>
      <c r="D201" s="162"/>
      <c r="E201" s="162"/>
      <c r="F201" s="162"/>
      <c r="G201" s="162"/>
      <c r="H201" s="162"/>
      <c r="I201" s="39" t="s">
        <v>7735</v>
      </c>
      <c r="J201" s="111">
        <v>10950000</v>
      </c>
      <c r="K201" s="112">
        <v>46136</v>
      </c>
      <c r="L201" s="39"/>
      <c r="M201" s="39">
        <v>6014320020</v>
      </c>
      <c r="N201" s="39" t="s">
        <v>6145</v>
      </c>
      <c r="O201" s="39" t="s">
        <v>7967</v>
      </c>
      <c r="P201" s="52" t="s">
        <v>6146</v>
      </c>
    </row>
    <row r="202" spans="1:16" x14ac:dyDescent="0.25">
      <c r="A202" s="108"/>
      <c r="B202" s="39">
        <v>192</v>
      </c>
      <c r="C202" s="162" t="s">
        <v>7737</v>
      </c>
      <c r="D202" s="162"/>
      <c r="E202" s="162"/>
      <c r="F202" s="162"/>
      <c r="G202" s="162"/>
      <c r="H202" s="162"/>
      <c r="I202" s="39" t="s">
        <v>2838</v>
      </c>
      <c r="J202" s="111">
        <v>19980000</v>
      </c>
      <c r="K202" s="112">
        <v>46136</v>
      </c>
      <c r="L202" s="39"/>
      <c r="M202" s="39">
        <v>3052501777</v>
      </c>
      <c r="N202" s="39" t="s">
        <v>6540</v>
      </c>
      <c r="O202" s="39"/>
      <c r="P202" s="52" t="s">
        <v>5258</v>
      </c>
    </row>
    <row r="203" spans="1:16" x14ac:dyDescent="0.25">
      <c r="A203" s="108"/>
      <c r="B203" s="39">
        <v>193</v>
      </c>
      <c r="C203" s="162" t="s">
        <v>7738</v>
      </c>
      <c r="D203" s="162"/>
      <c r="E203" s="162"/>
      <c r="F203" s="162"/>
      <c r="G203" s="162"/>
      <c r="H203" s="162"/>
      <c r="I203" s="39" t="s">
        <v>7739</v>
      </c>
      <c r="J203" s="111">
        <v>29950000</v>
      </c>
      <c r="K203" s="112">
        <v>46139</v>
      </c>
      <c r="L203" s="39"/>
      <c r="M203" s="39"/>
      <c r="N203" s="39" t="s">
        <v>4837</v>
      </c>
      <c r="O203" s="39"/>
      <c r="P203" s="52" t="s">
        <v>7746</v>
      </c>
    </row>
    <row r="204" spans="1:16" ht="15" customHeight="1" x14ac:dyDescent="0.25">
      <c r="A204" s="108"/>
      <c r="B204" s="39">
        <v>194</v>
      </c>
      <c r="C204" s="162" t="s">
        <v>7740</v>
      </c>
      <c r="D204" s="162"/>
      <c r="E204" s="162"/>
      <c r="F204" s="162"/>
      <c r="G204" s="162"/>
      <c r="H204" s="162"/>
      <c r="I204" s="39" t="s">
        <v>7741</v>
      </c>
      <c r="J204" s="111">
        <v>24950000</v>
      </c>
      <c r="K204" s="112">
        <v>46140</v>
      </c>
      <c r="L204" s="39"/>
      <c r="M204" s="39">
        <v>3104033227</v>
      </c>
      <c r="N204" s="39" t="s">
        <v>7742</v>
      </c>
      <c r="O204" s="39"/>
      <c r="P204" s="115"/>
    </row>
    <row r="205" spans="1:16" x14ac:dyDescent="0.25">
      <c r="A205" s="108"/>
      <c r="B205" s="39">
        <v>195</v>
      </c>
      <c r="C205" s="162" t="s">
        <v>7743</v>
      </c>
      <c r="D205" s="162"/>
      <c r="E205" s="162"/>
      <c r="F205" s="162"/>
      <c r="G205" s="162"/>
      <c r="H205" s="162"/>
      <c r="I205" s="39" t="s">
        <v>7744</v>
      </c>
      <c r="J205" s="111">
        <v>79950000</v>
      </c>
      <c r="K205" s="112">
        <v>46140</v>
      </c>
      <c r="L205" s="39"/>
      <c r="M205" s="39">
        <v>3136130779</v>
      </c>
      <c r="N205" s="39" t="s">
        <v>7745</v>
      </c>
      <c r="O205" s="39"/>
      <c r="P205" s="115"/>
    </row>
    <row r="206" spans="1:16" x14ac:dyDescent="0.25">
      <c r="A206" s="108"/>
      <c r="B206" s="39">
        <v>196</v>
      </c>
      <c r="C206" s="162" t="s">
        <v>7747</v>
      </c>
      <c r="D206" s="162"/>
      <c r="E206" s="162"/>
      <c r="F206" s="162"/>
      <c r="G206" s="162"/>
      <c r="H206" s="162"/>
      <c r="I206" s="39" t="s">
        <v>7748</v>
      </c>
      <c r="J206" s="111">
        <v>39510000</v>
      </c>
      <c r="K206" s="112">
        <v>46140</v>
      </c>
      <c r="L206" s="39"/>
      <c r="M206" s="39">
        <v>3113079477</v>
      </c>
      <c r="N206" s="39" t="s">
        <v>2626</v>
      </c>
      <c r="O206" s="39"/>
      <c r="P206" s="52" t="s">
        <v>1899</v>
      </c>
    </row>
    <row r="207" spans="1:16" x14ac:dyDescent="0.25">
      <c r="A207" s="108"/>
      <c r="B207" s="39">
        <v>197</v>
      </c>
      <c r="C207" s="162" t="s">
        <v>7750</v>
      </c>
      <c r="D207" s="162"/>
      <c r="E207" s="162"/>
      <c r="F207" s="162"/>
      <c r="G207" s="162"/>
      <c r="H207" s="162"/>
      <c r="I207" s="39" t="s">
        <v>7748</v>
      </c>
      <c r="J207" s="111">
        <v>21950000</v>
      </c>
      <c r="K207" s="112">
        <v>46140</v>
      </c>
      <c r="L207" s="39"/>
      <c r="M207" s="39">
        <v>3113079478</v>
      </c>
      <c r="N207" s="39" t="s">
        <v>2626</v>
      </c>
      <c r="O207" s="39"/>
      <c r="P207" s="52" t="s">
        <v>1899</v>
      </c>
    </row>
    <row r="208" spans="1:16" ht="15" customHeight="1" x14ac:dyDescent="0.25">
      <c r="A208" s="108"/>
      <c r="B208" s="39">
        <v>198</v>
      </c>
      <c r="C208" s="162" t="s">
        <v>7751</v>
      </c>
      <c r="D208" s="162"/>
      <c r="E208" s="162"/>
      <c r="F208" s="162"/>
      <c r="G208" s="162"/>
      <c r="H208" s="162"/>
      <c r="I208" s="39" t="s">
        <v>7752</v>
      </c>
      <c r="J208" s="111">
        <v>39950000</v>
      </c>
      <c r="K208" s="112">
        <v>46140</v>
      </c>
      <c r="L208" s="39"/>
      <c r="M208" s="39">
        <v>3217576906</v>
      </c>
      <c r="N208" s="39" t="s">
        <v>7757</v>
      </c>
      <c r="O208" s="39"/>
      <c r="P208" s="52" t="s">
        <v>7758</v>
      </c>
    </row>
    <row r="209" spans="1:16" x14ac:dyDescent="0.25">
      <c r="A209" s="108"/>
      <c r="B209" s="39">
        <v>199</v>
      </c>
      <c r="C209" s="162" t="s">
        <v>7753</v>
      </c>
      <c r="D209" s="162"/>
      <c r="E209" s="162"/>
      <c r="F209" s="162"/>
      <c r="G209" s="162"/>
      <c r="H209" s="162"/>
      <c r="I209" s="39" t="s">
        <v>7754</v>
      </c>
      <c r="J209" s="111">
        <v>17500000</v>
      </c>
      <c r="K209" s="112">
        <v>46140</v>
      </c>
      <c r="L209" s="39"/>
      <c r="M209" s="39">
        <v>3138403145</v>
      </c>
      <c r="N209" s="39" t="s">
        <v>7756</v>
      </c>
      <c r="O209" s="39"/>
      <c r="P209" s="52" t="s">
        <v>7755</v>
      </c>
    </row>
    <row r="210" spans="1:16" x14ac:dyDescent="0.25">
      <c r="A210" s="108"/>
      <c r="B210" s="39">
        <v>200</v>
      </c>
      <c r="C210" s="162" t="s">
        <v>7759</v>
      </c>
      <c r="D210" s="162"/>
      <c r="E210" s="162"/>
      <c r="F210" s="162"/>
      <c r="G210" s="162"/>
      <c r="H210" s="162"/>
      <c r="I210" s="39" t="s">
        <v>7760</v>
      </c>
      <c r="J210" s="111"/>
      <c r="K210" s="112">
        <v>46140</v>
      </c>
      <c r="L210" s="39"/>
      <c r="M210" s="39">
        <v>3002451504</v>
      </c>
      <c r="N210" s="39" t="s">
        <v>7761</v>
      </c>
      <c r="O210" s="39"/>
      <c r="P210" s="52"/>
    </row>
    <row r="211" spans="1:16" x14ac:dyDescent="0.25">
      <c r="A211" s="108"/>
      <c r="B211" s="39">
        <v>201</v>
      </c>
      <c r="C211" s="162" t="s">
        <v>7762</v>
      </c>
      <c r="D211" s="162"/>
      <c r="E211" s="162"/>
      <c r="F211" s="162"/>
      <c r="G211" s="162"/>
      <c r="H211" s="162"/>
      <c r="I211" s="39" t="s">
        <v>4597</v>
      </c>
      <c r="J211" s="111">
        <v>11920000</v>
      </c>
      <c r="K211" s="112">
        <v>46146</v>
      </c>
      <c r="L211" s="39"/>
      <c r="M211" s="39">
        <v>3135401714</v>
      </c>
      <c r="N211" s="39" t="s">
        <v>4294</v>
      </c>
      <c r="O211" s="39"/>
      <c r="P211" s="52" t="s">
        <v>1662</v>
      </c>
    </row>
    <row r="212" spans="1:16" ht="15" customHeight="1" x14ac:dyDescent="0.25">
      <c r="A212" s="108"/>
      <c r="B212" s="39">
        <v>202</v>
      </c>
      <c r="C212" s="162" t="s">
        <v>7763</v>
      </c>
      <c r="D212" s="162"/>
      <c r="E212" s="162"/>
      <c r="F212" s="162"/>
      <c r="G212" s="162"/>
      <c r="H212" s="162"/>
      <c r="I212" s="39" t="s">
        <v>4597</v>
      </c>
      <c r="J212" s="111">
        <v>29980000</v>
      </c>
      <c r="K212" s="112">
        <v>46146</v>
      </c>
      <c r="L212" s="39"/>
      <c r="M212" s="39">
        <v>3135401714</v>
      </c>
      <c r="N212" s="39" t="s">
        <v>4294</v>
      </c>
      <c r="O212" s="39"/>
      <c r="P212" s="52" t="s">
        <v>1662</v>
      </c>
    </row>
    <row r="213" spans="1:16" x14ac:dyDescent="0.25">
      <c r="A213" s="108"/>
      <c r="B213" s="39">
        <v>203</v>
      </c>
      <c r="C213" s="162" t="s">
        <v>7764</v>
      </c>
      <c r="D213" s="162"/>
      <c r="E213" s="162"/>
      <c r="F213" s="162"/>
      <c r="G213" s="162"/>
      <c r="H213" s="162"/>
      <c r="I213" s="39" t="s">
        <v>702</v>
      </c>
      <c r="J213" s="111">
        <v>28850000</v>
      </c>
      <c r="K213" s="112">
        <v>46146</v>
      </c>
      <c r="L213" s="39"/>
      <c r="M213" s="39">
        <v>3137546144</v>
      </c>
      <c r="N213" s="39" t="s">
        <v>4964</v>
      </c>
      <c r="O213" s="39" t="s">
        <v>8002</v>
      </c>
      <c r="P213" s="52" t="s">
        <v>2504</v>
      </c>
    </row>
    <row r="214" spans="1:16" x14ac:dyDescent="0.25">
      <c r="A214" s="108"/>
      <c r="B214" s="39">
        <v>204</v>
      </c>
      <c r="C214" s="162" t="s">
        <v>6147</v>
      </c>
      <c r="D214" s="162"/>
      <c r="E214" s="162"/>
      <c r="F214" s="162"/>
      <c r="G214" s="162"/>
      <c r="H214" s="162"/>
      <c r="I214" s="39" t="s">
        <v>6077</v>
      </c>
      <c r="J214" s="111">
        <v>50970000</v>
      </c>
      <c r="K214" s="112">
        <v>46146</v>
      </c>
      <c r="L214" s="39"/>
      <c r="M214" s="39">
        <v>3007701428</v>
      </c>
      <c r="N214" s="39" t="s">
        <v>2368</v>
      </c>
      <c r="O214" s="39"/>
      <c r="P214" s="116" t="s">
        <v>2369</v>
      </c>
    </row>
    <row r="215" spans="1:16" x14ac:dyDescent="0.25">
      <c r="A215" s="108"/>
      <c r="B215" s="39">
        <v>205</v>
      </c>
      <c r="C215" s="162" t="s">
        <v>7765</v>
      </c>
      <c r="D215" s="162"/>
      <c r="E215" s="162"/>
      <c r="F215" s="162"/>
      <c r="G215" s="162"/>
      <c r="H215" s="162"/>
      <c r="I215" s="39" t="s">
        <v>6077</v>
      </c>
      <c r="J215" s="111">
        <v>1500000</v>
      </c>
      <c r="K215" s="112">
        <v>46146</v>
      </c>
      <c r="L215" s="39"/>
      <c r="M215" s="39">
        <v>3007701428</v>
      </c>
      <c r="N215" s="39" t="s">
        <v>2368</v>
      </c>
      <c r="O215" s="39"/>
      <c r="P215" s="116" t="s">
        <v>2369</v>
      </c>
    </row>
    <row r="216" spans="1:16" x14ac:dyDescent="0.25">
      <c r="A216" s="108"/>
      <c r="B216" s="39">
        <v>206</v>
      </c>
      <c r="C216" s="162" t="s">
        <v>7766</v>
      </c>
      <c r="D216" s="162"/>
      <c r="E216" s="162"/>
      <c r="F216" s="162"/>
      <c r="G216" s="162"/>
      <c r="H216" s="162"/>
      <c r="I216" s="39" t="s">
        <v>6408</v>
      </c>
      <c r="J216" s="111">
        <v>1500000</v>
      </c>
      <c r="K216" s="112">
        <v>46146</v>
      </c>
      <c r="L216" s="39"/>
      <c r="M216" s="39">
        <v>3136550192</v>
      </c>
      <c r="N216" s="39" t="s">
        <v>7767</v>
      </c>
      <c r="O216" s="39"/>
      <c r="P216" s="52" t="s">
        <v>7768</v>
      </c>
    </row>
    <row r="217" spans="1:16" x14ac:dyDescent="0.25">
      <c r="A217" s="108"/>
      <c r="B217" s="39">
        <v>207</v>
      </c>
      <c r="C217" s="162" t="s">
        <v>7769</v>
      </c>
      <c r="D217" s="162"/>
      <c r="E217" s="162"/>
      <c r="F217" s="162"/>
      <c r="G217" s="162"/>
      <c r="H217" s="162"/>
      <c r="I217" s="39" t="s">
        <v>3002</v>
      </c>
      <c r="J217" s="111">
        <v>38760000</v>
      </c>
      <c r="K217" s="112">
        <v>46147</v>
      </c>
      <c r="L217" s="39"/>
      <c r="M217" s="39" t="s">
        <v>5232</v>
      </c>
      <c r="N217" s="39" t="s">
        <v>5199</v>
      </c>
      <c r="O217" s="39"/>
      <c r="P217" s="38" t="s">
        <v>5200</v>
      </c>
    </row>
    <row r="218" spans="1:16" x14ac:dyDescent="0.25">
      <c r="A218" s="108"/>
      <c r="B218" s="39">
        <v>208</v>
      </c>
      <c r="C218" s="162" t="s">
        <v>7747</v>
      </c>
      <c r="D218" s="162"/>
      <c r="E218" s="162"/>
      <c r="F218" s="162"/>
      <c r="G218" s="162"/>
      <c r="H218" s="162"/>
      <c r="I218" s="39" t="s">
        <v>7772</v>
      </c>
      <c r="J218" s="111">
        <v>39510000</v>
      </c>
      <c r="K218" s="112">
        <v>46147</v>
      </c>
      <c r="L218" s="39"/>
      <c r="M218" s="39">
        <v>3113908241</v>
      </c>
      <c r="N218" s="39" t="s">
        <v>7770</v>
      </c>
      <c r="O218" s="39"/>
      <c r="P218" s="38" t="s">
        <v>7771</v>
      </c>
    </row>
    <row r="219" spans="1:16" x14ac:dyDescent="0.25">
      <c r="A219" s="108"/>
      <c r="B219" s="39">
        <v>209</v>
      </c>
      <c r="C219" s="159" t="s">
        <v>7773</v>
      </c>
      <c r="D219" s="160"/>
      <c r="E219" s="160"/>
      <c r="F219" s="160"/>
      <c r="G219" s="160"/>
      <c r="H219" s="161"/>
      <c r="I219" s="39" t="s">
        <v>6545</v>
      </c>
      <c r="J219" s="111">
        <v>8750000</v>
      </c>
      <c r="K219" s="112">
        <v>46148</v>
      </c>
      <c r="L219" s="39"/>
      <c r="M219" s="39" t="s">
        <v>7229</v>
      </c>
      <c r="N219" s="39" t="s">
        <v>7207</v>
      </c>
      <c r="O219" s="39" t="s">
        <v>8005</v>
      </c>
      <c r="P219" s="38" t="s">
        <v>7230</v>
      </c>
    </row>
    <row r="220" spans="1:16" x14ac:dyDescent="0.25">
      <c r="A220" s="108"/>
      <c r="B220" s="39">
        <v>210</v>
      </c>
      <c r="C220" s="159" t="s">
        <v>7774</v>
      </c>
      <c r="D220" s="160"/>
      <c r="E220" s="160"/>
      <c r="F220" s="160"/>
      <c r="G220" s="160"/>
      <c r="H220" s="161"/>
      <c r="I220" s="39" t="s">
        <v>7775</v>
      </c>
      <c r="J220" s="111">
        <v>29970000</v>
      </c>
      <c r="K220" s="112">
        <v>46148</v>
      </c>
      <c r="L220" s="39"/>
      <c r="M220" s="39" t="s">
        <v>3600</v>
      </c>
      <c r="N220" s="39" t="s">
        <v>6414</v>
      </c>
      <c r="O220" s="39" t="s">
        <v>7966</v>
      </c>
      <c r="P220" s="52" t="s">
        <v>6415</v>
      </c>
    </row>
    <row r="221" spans="1:16" x14ac:dyDescent="0.25">
      <c r="A221" s="108"/>
      <c r="B221" s="39">
        <v>211</v>
      </c>
      <c r="C221" s="159" t="s">
        <v>7776</v>
      </c>
      <c r="D221" s="160"/>
      <c r="E221" s="160"/>
      <c r="F221" s="160"/>
      <c r="G221" s="160"/>
      <c r="H221" s="161"/>
      <c r="I221" s="39" t="s">
        <v>6913</v>
      </c>
      <c r="J221" s="111">
        <v>9950000</v>
      </c>
      <c r="K221" s="112">
        <v>46149</v>
      </c>
      <c r="L221" s="39"/>
      <c r="M221" s="113">
        <v>3104513967</v>
      </c>
      <c r="N221" s="39" t="s">
        <v>7777</v>
      </c>
      <c r="O221" s="39"/>
      <c r="P221" s="52" t="s">
        <v>7778</v>
      </c>
    </row>
    <row r="222" spans="1:16" x14ac:dyDescent="0.25">
      <c r="A222" s="108"/>
      <c r="B222" s="39">
        <v>212</v>
      </c>
      <c r="C222" s="159" t="s">
        <v>7780</v>
      </c>
      <c r="D222" s="160"/>
      <c r="E222" s="160"/>
      <c r="F222" s="160"/>
      <c r="G222" s="160"/>
      <c r="H222" s="161"/>
      <c r="I222" s="39" t="s">
        <v>7781</v>
      </c>
      <c r="J222" s="111">
        <v>29950000</v>
      </c>
      <c r="K222" s="112">
        <v>46150</v>
      </c>
      <c r="L222" s="39"/>
      <c r="M222" s="39"/>
      <c r="N222" s="39"/>
      <c r="O222" s="39"/>
      <c r="P222" s="52" t="s">
        <v>7779</v>
      </c>
    </row>
    <row r="223" spans="1:16" ht="15.75" customHeight="1" x14ac:dyDescent="0.25">
      <c r="A223" s="108"/>
      <c r="B223" s="39">
        <v>213</v>
      </c>
      <c r="C223" s="159" t="s">
        <v>7784</v>
      </c>
      <c r="D223" s="160"/>
      <c r="E223" s="160"/>
      <c r="F223" s="160"/>
      <c r="G223" s="160"/>
      <c r="H223" s="161"/>
      <c r="I223" s="39" t="s">
        <v>7783</v>
      </c>
      <c r="J223" s="111">
        <v>5550000</v>
      </c>
      <c r="K223" s="112">
        <v>46150</v>
      </c>
      <c r="L223" s="39"/>
      <c r="M223" s="39">
        <v>3016361315</v>
      </c>
      <c r="N223" s="39" t="s">
        <v>7782</v>
      </c>
      <c r="O223" s="39" t="s">
        <v>7967</v>
      </c>
      <c r="P223" s="52" t="s">
        <v>7785</v>
      </c>
    </row>
    <row r="224" spans="1:16" x14ac:dyDescent="0.25">
      <c r="A224" s="108"/>
      <c r="B224" s="39">
        <v>214</v>
      </c>
      <c r="C224" s="159" t="s">
        <v>7789</v>
      </c>
      <c r="D224" s="160"/>
      <c r="E224" s="160"/>
      <c r="F224" s="160"/>
      <c r="G224" s="160"/>
      <c r="H224" s="161"/>
      <c r="I224" s="39" t="s">
        <v>7786</v>
      </c>
      <c r="J224" s="111">
        <v>16940000</v>
      </c>
      <c r="K224" s="112">
        <v>46150</v>
      </c>
      <c r="L224" s="39"/>
      <c r="M224" s="39">
        <v>3227665056</v>
      </c>
      <c r="N224" s="39" t="s">
        <v>7786</v>
      </c>
      <c r="O224" s="39"/>
      <c r="P224" s="52" t="s">
        <v>7787</v>
      </c>
    </row>
    <row r="225" spans="1:16" x14ac:dyDescent="0.25">
      <c r="A225" s="108"/>
      <c r="B225" s="39">
        <v>215</v>
      </c>
      <c r="C225" s="159" t="s">
        <v>7788</v>
      </c>
      <c r="D225" s="160"/>
      <c r="E225" s="160"/>
      <c r="F225" s="160"/>
      <c r="G225" s="160"/>
      <c r="H225" s="161"/>
      <c r="I225" s="39" t="s">
        <v>7728</v>
      </c>
      <c r="J225" s="111">
        <v>8770000</v>
      </c>
      <c r="K225" s="112">
        <v>46150</v>
      </c>
      <c r="L225" s="39"/>
      <c r="M225" s="39">
        <v>3127200512</v>
      </c>
      <c r="N225" s="39" t="s">
        <v>7730</v>
      </c>
      <c r="O225" s="39"/>
      <c r="P225" s="115"/>
    </row>
    <row r="226" spans="1:16" x14ac:dyDescent="0.25">
      <c r="A226" s="108"/>
      <c r="B226" s="39">
        <v>216</v>
      </c>
      <c r="C226" s="159" t="s">
        <v>7790</v>
      </c>
      <c r="D226" s="160"/>
      <c r="E226" s="160"/>
      <c r="F226" s="160"/>
      <c r="G226" s="160"/>
      <c r="H226" s="161"/>
      <c r="I226" s="39" t="s">
        <v>5229</v>
      </c>
      <c r="J226" s="111">
        <v>13450000</v>
      </c>
      <c r="K226" s="112">
        <v>46150</v>
      </c>
      <c r="L226" s="39"/>
      <c r="M226" s="39"/>
      <c r="N226" s="39" t="s">
        <v>443</v>
      </c>
      <c r="O226" s="39"/>
      <c r="P226" s="115"/>
    </row>
    <row r="227" spans="1:16" x14ac:dyDescent="0.25">
      <c r="A227" s="108"/>
      <c r="B227" s="39">
        <v>217</v>
      </c>
      <c r="C227" s="159" t="s">
        <v>7791</v>
      </c>
      <c r="D227" s="160"/>
      <c r="E227" s="160"/>
      <c r="F227" s="160"/>
      <c r="G227" s="160"/>
      <c r="H227" s="161"/>
      <c r="I227" s="39" t="s">
        <v>4597</v>
      </c>
      <c r="J227" s="111">
        <v>28210000</v>
      </c>
      <c r="K227" s="112">
        <v>46151</v>
      </c>
      <c r="L227" s="39"/>
      <c r="M227" s="39">
        <v>3135401714</v>
      </c>
      <c r="N227" s="39" t="s">
        <v>4294</v>
      </c>
      <c r="O227" s="39"/>
      <c r="P227" s="52" t="s">
        <v>1662</v>
      </c>
    </row>
    <row r="228" spans="1:16" ht="15" customHeight="1" x14ac:dyDescent="0.25">
      <c r="A228" s="108"/>
      <c r="B228" s="39">
        <v>218</v>
      </c>
      <c r="C228" s="159" t="s">
        <v>7792</v>
      </c>
      <c r="D228" s="160"/>
      <c r="E228" s="160"/>
      <c r="F228" s="160"/>
      <c r="G228" s="160"/>
      <c r="H228" s="161"/>
      <c r="I228" s="39" t="s">
        <v>702</v>
      </c>
      <c r="J228" s="111">
        <v>12540000</v>
      </c>
      <c r="K228" s="112">
        <v>46151</v>
      </c>
      <c r="L228" s="39"/>
      <c r="M228" s="39">
        <v>3137546144</v>
      </c>
      <c r="N228" s="39" t="s">
        <v>4964</v>
      </c>
      <c r="O228" s="39" t="s">
        <v>8002</v>
      </c>
      <c r="P228" s="52" t="s">
        <v>2504</v>
      </c>
    </row>
    <row r="229" spans="1:16" ht="15" customHeight="1" x14ac:dyDescent="0.25">
      <c r="A229" s="108"/>
      <c r="B229" s="39">
        <v>219</v>
      </c>
      <c r="C229" s="159" t="s">
        <v>7793</v>
      </c>
      <c r="D229" s="160"/>
      <c r="E229" s="160"/>
      <c r="F229" s="160"/>
      <c r="G229" s="160"/>
      <c r="H229" s="161"/>
      <c r="I229" s="39" t="s">
        <v>1890</v>
      </c>
      <c r="J229" s="111">
        <v>13800000</v>
      </c>
      <c r="K229" s="112">
        <v>46154</v>
      </c>
      <c r="L229" s="39"/>
      <c r="M229" s="39" t="s">
        <v>7796</v>
      </c>
      <c r="N229" s="39" t="s">
        <v>7794</v>
      </c>
      <c r="O229" s="39"/>
      <c r="P229" s="52" t="s">
        <v>7795</v>
      </c>
    </row>
    <row r="230" spans="1:16" ht="18" customHeight="1" x14ac:dyDescent="0.25">
      <c r="A230" s="108"/>
      <c r="B230" s="39">
        <v>220</v>
      </c>
      <c r="C230" s="159" t="s">
        <v>7797</v>
      </c>
      <c r="D230" s="160"/>
      <c r="E230" s="160"/>
      <c r="F230" s="160"/>
      <c r="G230" s="160"/>
      <c r="H230" s="161"/>
      <c r="I230" s="39" t="s">
        <v>7798</v>
      </c>
      <c r="J230" s="111">
        <v>2480000</v>
      </c>
      <c r="K230" s="112">
        <v>46154</v>
      </c>
      <c r="L230" s="39"/>
      <c r="M230" s="39">
        <v>3117237168</v>
      </c>
      <c r="N230" s="39" t="s">
        <v>7799</v>
      </c>
      <c r="O230" s="39"/>
      <c r="P230" s="157" t="s">
        <v>7800</v>
      </c>
    </row>
    <row r="231" spans="1:16" x14ac:dyDescent="0.25">
      <c r="A231" s="108"/>
      <c r="B231" s="39">
        <v>221</v>
      </c>
      <c r="C231" s="159" t="s">
        <v>7801</v>
      </c>
      <c r="D231" s="160"/>
      <c r="E231" s="160"/>
      <c r="F231" s="160"/>
      <c r="G231" s="160"/>
      <c r="H231" s="161"/>
      <c r="I231" s="39" t="s">
        <v>7802</v>
      </c>
      <c r="J231" s="111">
        <v>27600000</v>
      </c>
      <c r="K231" s="112">
        <v>46154</v>
      </c>
      <c r="L231" s="39"/>
      <c r="M231" s="39">
        <v>3134010231</v>
      </c>
      <c r="N231" s="39" t="s">
        <v>7803</v>
      </c>
      <c r="O231" s="39"/>
      <c r="P231" s="115"/>
    </row>
    <row r="232" spans="1:16" x14ac:dyDescent="0.25">
      <c r="A232" s="108"/>
      <c r="B232" s="39">
        <v>222</v>
      </c>
      <c r="C232" s="159" t="s">
        <v>7804</v>
      </c>
      <c r="D232" s="160"/>
      <c r="E232" s="160"/>
      <c r="F232" s="160"/>
      <c r="G232" s="160"/>
      <c r="H232" s="161"/>
      <c r="I232" s="39" t="s">
        <v>7783</v>
      </c>
      <c r="J232" s="111">
        <v>11950000</v>
      </c>
      <c r="K232" s="112">
        <v>46155</v>
      </c>
      <c r="L232" s="39"/>
      <c r="M232" s="39">
        <v>3016361315</v>
      </c>
      <c r="N232" s="39" t="s">
        <v>7782</v>
      </c>
      <c r="O232" s="39" t="s">
        <v>7967</v>
      </c>
      <c r="P232" s="52" t="s">
        <v>7785</v>
      </c>
    </row>
    <row r="233" spans="1:16" ht="15" customHeight="1" x14ac:dyDescent="0.25">
      <c r="A233" s="108"/>
      <c r="B233" s="39">
        <v>223</v>
      </c>
      <c r="C233" s="159" t="s">
        <v>4790</v>
      </c>
      <c r="D233" s="160"/>
      <c r="E233" s="160"/>
      <c r="F233" s="160"/>
      <c r="G233" s="160"/>
      <c r="H233" s="161"/>
      <c r="I233" s="39" t="s">
        <v>3871</v>
      </c>
      <c r="J233" s="111" t="s">
        <v>3448</v>
      </c>
      <c r="K233" s="112">
        <v>46156</v>
      </c>
      <c r="L233" s="39"/>
      <c r="M233" s="39">
        <v>3008643710</v>
      </c>
      <c r="N233" s="39" t="s">
        <v>7805</v>
      </c>
      <c r="O233" s="39"/>
      <c r="P233" s="52" t="s">
        <v>1326</v>
      </c>
    </row>
    <row r="234" spans="1:16" x14ac:dyDescent="0.25">
      <c r="A234" s="108"/>
      <c r="B234" s="39">
        <v>224</v>
      </c>
      <c r="C234" s="159" t="s">
        <v>7806</v>
      </c>
      <c r="D234" s="160"/>
      <c r="E234" s="160"/>
      <c r="F234" s="160"/>
      <c r="G234" s="160"/>
      <c r="H234" s="161"/>
      <c r="I234" s="39" t="s">
        <v>4597</v>
      </c>
      <c r="J234" s="111">
        <v>5500000</v>
      </c>
      <c r="K234" s="112">
        <v>46156</v>
      </c>
      <c r="L234" s="39"/>
      <c r="M234" s="39" t="s">
        <v>5812</v>
      </c>
      <c r="N234" s="39" t="s">
        <v>4109</v>
      </c>
      <c r="O234" s="39"/>
      <c r="P234" s="38" t="s">
        <v>5752</v>
      </c>
    </row>
    <row r="235" spans="1:16" x14ac:dyDescent="0.25">
      <c r="A235" s="108"/>
      <c r="B235" s="39">
        <v>225</v>
      </c>
      <c r="C235" s="159" t="s">
        <v>7807</v>
      </c>
      <c r="D235" s="160"/>
      <c r="E235" s="160"/>
      <c r="F235" s="160"/>
      <c r="G235" s="160"/>
      <c r="H235" s="161"/>
      <c r="I235" s="39" t="s">
        <v>5582</v>
      </c>
      <c r="J235" s="111">
        <v>5000000</v>
      </c>
      <c r="K235" s="112">
        <v>46156</v>
      </c>
      <c r="L235" s="39"/>
      <c r="M235" s="32"/>
      <c r="N235" s="39" t="s">
        <v>7808</v>
      </c>
      <c r="O235" s="39"/>
      <c r="P235" s="115"/>
    </row>
    <row r="236" spans="1:16" x14ac:dyDescent="0.25">
      <c r="A236" s="108"/>
      <c r="B236" s="39">
        <v>226</v>
      </c>
      <c r="C236" s="159" t="s">
        <v>7809</v>
      </c>
      <c r="D236" s="160"/>
      <c r="E236" s="160"/>
      <c r="F236" s="160"/>
      <c r="G236" s="160"/>
      <c r="H236" s="161"/>
      <c r="I236" s="39" t="s">
        <v>4597</v>
      </c>
      <c r="J236" s="111">
        <v>33990000</v>
      </c>
      <c r="K236" s="112">
        <v>46157</v>
      </c>
      <c r="L236" s="39"/>
      <c r="M236" s="39">
        <v>3135401714</v>
      </c>
      <c r="N236" s="39" t="s">
        <v>4294</v>
      </c>
      <c r="O236" s="39"/>
      <c r="P236" s="52" t="s">
        <v>1662</v>
      </c>
    </row>
    <row r="237" spans="1:16" ht="15" customHeight="1" x14ac:dyDescent="0.25">
      <c r="A237" s="108"/>
      <c r="B237" s="39">
        <v>227</v>
      </c>
      <c r="C237" s="159" t="s">
        <v>7810</v>
      </c>
      <c r="D237" s="160"/>
      <c r="E237" s="160"/>
      <c r="F237" s="160"/>
      <c r="G237" s="160"/>
      <c r="H237" s="161"/>
      <c r="I237" s="39" t="s">
        <v>7811</v>
      </c>
      <c r="J237" s="111">
        <v>12550000</v>
      </c>
      <c r="K237" s="112">
        <v>46157</v>
      </c>
      <c r="L237" s="39"/>
      <c r="M237" s="39">
        <v>3148051569</v>
      </c>
      <c r="N237" s="39" t="s">
        <v>7812</v>
      </c>
      <c r="O237" s="39" t="s">
        <v>7981</v>
      </c>
      <c r="P237" s="52" t="s">
        <v>1707</v>
      </c>
    </row>
    <row r="238" spans="1:16" ht="15" customHeight="1" x14ac:dyDescent="0.25">
      <c r="A238" s="108"/>
      <c r="B238" s="39">
        <v>228</v>
      </c>
      <c r="C238" s="159" t="s">
        <v>7816</v>
      </c>
      <c r="D238" s="160"/>
      <c r="E238" s="160"/>
      <c r="F238" s="160"/>
      <c r="G238" s="160"/>
      <c r="H238" s="161"/>
      <c r="I238" s="39" t="s">
        <v>7815</v>
      </c>
      <c r="J238" s="111" t="s">
        <v>2492</v>
      </c>
      <c r="K238" s="112">
        <v>46157</v>
      </c>
      <c r="L238" s="39"/>
      <c r="M238" s="39">
        <v>3122888615</v>
      </c>
      <c r="N238" s="39" t="s">
        <v>7814</v>
      </c>
      <c r="O238" s="39"/>
      <c r="P238" s="52" t="s">
        <v>7813</v>
      </c>
    </row>
    <row r="239" spans="1:16" x14ac:dyDescent="0.25">
      <c r="A239" s="108"/>
      <c r="B239" s="39">
        <v>229</v>
      </c>
      <c r="C239" s="159" t="s">
        <v>7820</v>
      </c>
      <c r="D239" s="160"/>
      <c r="E239" s="160"/>
      <c r="F239" s="160"/>
      <c r="G239" s="160"/>
      <c r="H239" s="161"/>
      <c r="I239" s="39" t="s">
        <v>7819</v>
      </c>
      <c r="J239" s="111">
        <v>18820000</v>
      </c>
      <c r="K239" s="112">
        <v>46157</v>
      </c>
      <c r="L239" s="39"/>
      <c r="M239" s="39">
        <v>3023393125</v>
      </c>
      <c r="N239" s="39" t="s">
        <v>7818</v>
      </c>
      <c r="O239" s="39"/>
      <c r="P239" s="52" t="s">
        <v>7817</v>
      </c>
    </row>
    <row r="240" spans="1:16" x14ac:dyDescent="0.25">
      <c r="A240" s="108"/>
      <c r="B240" s="39">
        <v>230</v>
      </c>
      <c r="C240" s="159" t="s">
        <v>7821</v>
      </c>
      <c r="D240" s="160"/>
      <c r="E240" s="160"/>
      <c r="F240" s="160"/>
      <c r="G240" s="160"/>
      <c r="H240" s="161"/>
      <c r="I240" s="39" t="s">
        <v>5252</v>
      </c>
      <c r="J240" s="111">
        <v>18800000</v>
      </c>
      <c r="K240" s="112">
        <v>46161</v>
      </c>
      <c r="L240" s="39"/>
      <c r="M240" s="39">
        <v>3147537411</v>
      </c>
      <c r="N240" s="39" t="s">
        <v>4272</v>
      </c>
      <c r="O240" s="39"/>
      <c r="P240" s="52" t="s">
        <v>1131</v>
      </c>
    </row>
    <row r="241" spans="1:16" x14ac:dyDescent="0.25">
      <c r="A241" s="108"/>
      <c r="B241" s="39">
        <v>231</v>
      </c>
      <c r="C241" s="159" t="s">
        <v>7822</v>
      </c>
      <c r="D241" s="160"/>
      <c r="E241" s="160"/>
      <c r="F241" s="160"/>
      <c r="G241" s="160"/>
      <c r="H241" s="161"/>
      <c r="I241" s="39" t="s">
        <v>6545</v>
      </c>
      <c r="J241" s="111">
        <v>14950000</v>
      </c>
      <c r="K241" s="112">
        <v>46162</v>
      </c>
      <c r="L241" s="39"/>
      <c r="M241" s="39">
        <v>3134451063</v>
      </c>
      <c r="N241" s="39" t="s">
        <v>6906</v>
      </c>
      <c r="O241" s="39" t="s">
        <v>8006</v>
      </c>
      <c r="P241" s="38" t="s">
        <v>6907</v>
      </c>
    </row>
    <row r="242" spans="1:16" x14ac:dyDescent="0.25">
      <c r="A242" s="108"/>
      <c r="B242" s="39">
        <v>232</v>
      </c>
      <c r="C242" s="159" t="s">
        <v>7823</v>
      </c>
      <c r="D242" s="160"/>
      <c r="E242" s="160"/>
      <c r="F242" s="160"/>
      <c r="G242" s="160"/>
      <c r="H242" s="161"/>
      <c r="I242" s="39" t="s">
        <v>6164</v>
      </c>
      <c r="J242" s="111">
        <v>46650000</v>
      </c>
      <c r="K242" s="112">
        <v>46163</v>
      </c>
      <c r="L242" s="39"/>
      <c r="M242" s="39">
        <v>3207256603</v>
      </c>
      <c r="N242" s="39" t="s">
        <v>7824</v>
      </c>
      <c r="O242" s="39"/>
      <c r="P242" s="52" t="s">
        <v>4780</v>
      </c>
    </row>
    <row r="243" spans="1:16" x14ac:dyDescent="0.25">
      <c r="A243" s="108"/>
      <c r="B243" s="39">
        <v>233</v>
      </c>
      <c r="C243" s="159" t="s">
        <v>7825</v>
      </c>
      <c r="D243" s="160"/>
      <c r="E243" s="160"/>
      <c r="F243" s="160"/>
      <c r="G243" s="160"/>
      <c r="H243" s="161"/>
      <c r="I243" s="39" t="s">
        <v>702</v>
      </c>
      <c r="J243" s="111">
        <v>13850000</v>
      </c>
      <c r="K243" s="112">
        <v>46163</v>
      </c>
      <c r="L243" s="39"/>
      <c r="M243" s="39"/>
      <c r="N243" s="39" t="s">
        <v>212</v>
      </c>
      <c r="O243" s="39" t="s">
        <v>8003</v>
      </c>
      <c r="P243" s="52" t="s">
        <v>703</v>
      </c>
    </row>
    <row r="244" spans="1:16" x14ac:dyDescent="0.25">
      <c r="A244" s="108"/>
      <c r="B244" s="39">
        <v>234</v>
      </c>
      <c r="C244" s="159" t="s">
        <v>7826</v>
      </c>
      <c r="D244" s="160"/>
      <c r="E244" s="160"/>
      <c r="F244" s="160"/>
      <c r="G244" s="160"/>
      <c r="H244" s="161"/>
      <c r="I244" s="39" t="s">
        <v>702</v>
      </c>
      <c r="J244" s="111">
        <v>14950000</v>
      </c>
      <c r="K244" s="112">
        <v>46163</v>
      </c>
      <c r="L244" s="39"/>
      <c r="M244" s="39">
        <v>3104165783</v>
      </c>
      <c r="N244" s="39" t="s">
        <v>4564</v>
      </c>
      <c r="O244" s="39" t="s">
        <v>8001</v>
      </c>
      <c r="P244" s="52" t="s">
        <v>4565</v>
      </c>
    </row>
    <row r="245" spans="1:16" ht="15" customHeight="1" x14ac:dyDescent="0.25">
      <c r="A245" s="108"/>
      <c r="B245" s="39">
        <v>235</v>
      </c>
      <c r="C245" s="159" t="s">
        <v>7827</v>
      </c>
      <c r="D245" s="160"/>
      <c r="E245" s="160"/>
      <c r="F245" s="160"/>
      <c r="G245" s="160"/>
      <c r="H245" s="161"/>
      <c r="I245" s="39" t="s">
        <v>7828</v>
      </c>
      <c r="J245" s="111">
        <v>65850000</v>
      </c>
      <c r="K245" s="112">
        <v>46163</v>
      </c>
      <c r="L245" s="39"/>
      <c r="M245" s="39" t="s">
        <v>7831</v>
      </c>
      <c r="N245" s="39" t="s">
        <v>7829</v>
      </c>
      <c r="O245" s="39" t="s">
        <v>7980</v>
      </c>
      <c r="P245" s="52" t="s">
        <v>7830</v>
      </c>
    </row>
    <row r="246" spans="1:16" x14ac:dyDescent="0.25">
      <c r="A246" s="108"/>
      <c r="B246" s="39">
        <v>236</v>
      </c>
      <c r="C246" s="159" t="s">
        <v>7832</v>
      </c>
      <c r="D246" s="160"/>
      <c r="E246" s="160"/>
      <c r="F246" s="160"/>
      <c r="G246" s="160"/>
      <c r="H246" s="161"/>
      <c r="I246" s="39" t="s">
        <v>3128</v>
      </c>
      <c r="J246" s="111">
        <v>47250000</v>
      </c>
      <c r="K246" s="112">
        <v>46163</v>
      </c>
      <c r="L246" s="39"/>
      <c r="M246" s="39">
        <v>3183484307</v>
      </c>
      <c r="N246" s="39" t="s">
        <v>6649</v>
      </c>
      <c r="O246" s="39"/>
      <c r="P246" s="52" t="s">
        <v>2117</v>
      </c>
    </row>
    <row r="247" spans="1:16" x14ac:dyDescent="0.25">
      <c r="A247" s="108"/>
      <c r="B247" s="39">
        <v>237</v>
      </c>
      <c r="C247" s="159" t="s">
        <v>7833</v>
      </c>
      <c r="D247" s="160"/>
      <c r="E247" s="160"/>
      <c r="F247" s="160"/>
      <c r="G247" s="160"/>
      <c r="H247" s="161"/>
      <c r="I247" s="39" t="s">
        <v>702</v>
      </c>
      <c r="J247" s="111">
        <v>5650000</v>
      </c>
      <c r="K247" s="112">
        <v>46164</v>
      </c>
      <c r="L247" s="39"/>
      <c r="M247" s="39">
        <v>3104165783</v>
      </c>
      <c r="N247" s="39" t="s">
        <v>4564</v>
      </c>
      <c r="O247" s="39" t="s">
        <v>8001</v>
      </c>
      <c r="P247" s="52" t="s">
        <v>4565</v>
      </c>
    </row>
    <row r="248" spans="1:16" ht="15" customHeight="1" x14ac:dyDescent="0.25">
      <c r="A248" s="108"/>
      <c r="B248" s="39">
        <v>238</v>
      </c>
      <c r="C248" s="159" t="s">
        <v>7834</v>
      </c>
      <c r="D248" s="160"/>
      <c r="E248" s="160"/>
      <c r="F248" s="160"/>
      <c r="G248" s="160"/>
      <c r="H248" s="161"/>
      <c r="I248" s="39" t="s">
        <v>7728</v>
      </c>
      <c r="J248" s="111">
        <v>14950000</v>
      </c>
      <c r="K248" s="112">
        <v>46164</v>
      </c>
      <c r="L248" s="39"/>
      <c r="M248" s="39"/>
      <c r="N248" s="39"/>
      <c r="O248" s="39"/>
      <c r="P248" s="115"/>
    </row>
    <row r="249" spans="1:16" x14ac:dyDescent="0.25">
      <c r="A249" s="108"/>
      <c r="B249" s="39">
        <v>239</v>
      </c>
      <c r="C249" s="159" t="s">
        <v>7835</v>
      </c>
      <c r="D249" s="160"/>
      <c r="E249" s="160"/>
      <c r="F249" s="160"/>
      <c r="G249" s="160"/>
      <c r="H249" s="161"/>
      <c r="I249" s="39" t="s">
        <v>7819</v>
      </c>
      <c r="J249" s="111">
        <v>13500000</v>
      </c>
      <c r="K249" s="112">
        <v>46164</v>
      </c>
      <c r="L249" s="39"/>
      <c r="M249" s="39">
        <v>3023393125</v>
      </c>
      <c r="N249" s="39" t="s">
        <v>7818</v>
      </c>
      <c r="O249" s="39"/>
      <c r="P249" s="52" t="s">
        <v>7817</v>
      </c>
    </row>
    <row r="250" spans="1:16" x14ac:dyDescent="0.25">
      <c r="A250" s="108"/>
      <c r="B250" s="39">
        <v>240</v>
      </c>
      <c r="C250" s="159" t="s">
        <v>6639</v>
      </c>
      <c r="D250" s="160"/>
      <c r="E250" s="160"/>
      <c r="F250" s="160"/>
      <c r="G250" s="160"/>
      <c r="H250" s="161"/>
      <c r="I250" s="39" t="s">
        <v>3002</v>
      </c>
      <c r="J250" s="111">
        <v>31760000</v>
      </c>
      <c r="K250" s="112">
        <v>46164</v>
      </c>
      <c r="L250" s="39"/>
      <c r="M250" s="39">
        <v>3014317086</v>
      </c>
      <c r="N250" s="39" t="s">
        <v>4153</v>
      </c>
      <c r="O250" s="39"/>
      <c r="P250" s="116" t="s">
        <v>4152</v>
      </c>
    </row>
    <row r="251" spans="1:16" x14ac:dyDescent="0.25">
      <c r="A251" s="108"/>
      <c r="B251" s="39">
        <v>241</v>
      </c>
      <c r="C251" s="159" t="s">
        <v>7836</v>
      </c>
      <c r="D251" s="160"/>
      <c r="E251" s="160"/>
      <c r="F251" s="160"/>
      <c r="G251" s="160"/>
      <c r="H251" s="161"/>
      <c r="I251" s="39" t="s">
        <v>3002</v>
      </c>
      <c r="J251" s="111">
        <v>22860000</v>
      </c>
      <c r="K251" s="112">
        <v>46164</v>
      </c>
      <c r="L251" s="39"/>
      <c r="M251" s="39" t="s">
        <v>6219</v>
      </c>
      <c r="N251" s="39" t="s">
        <v>6217</v>
      </c>
      <c r="O251" s="39"/>
      <c r="P251" s="116" t="s">
        <v>2658</v>
      </c>
    </row>
    <row r="252" spans="1:16" x14ac:dyDescent="0.25">
      <c r="A252" s="108"/>
      <c r="B252" s="39">
        <v>242</v>
      </c>
      <c r="C252" s="159" t="s">
        <v>7838</v>
      </c>
      <c r="D252" s="160"/>
      <c r="E252" s="160"/>
      <c r="F252" s="160"/>
      <c r="G252" s="160"/>
      <c r="H252" s="161"/>
      <c r="I252" s="39" t="s">
        <v>3002</v>
      </c>
      <c r="J252" s="111" t="s">
        <v>2492</v>
      </c>
      <c r="K252" s="112">
        <v>46168</v>
      </c>
      <c r="L252" s="39"/>
      <c r="M252" s="39" t="s">
        <v>5232</v>
      </c>
      <c r="N252" s="39" t="s">
        <v>5199</v>
      </c>
      <c r="O252" s="39"/>
      <c r="P252" s="38" t="s">
        <v>5200</v>
      </c>
    </row>
    <row r="253" spans="1:16" x14ac:dyDescent="0.25">
      <c r="A253" s="108"/>
      <c r="B253" s="39">
        <v>243</v>
      </c>
      <c r="C253" s="159" t="s">
        <v>7840</v>
      </c>
      <c r="D253" s="160"/>
      <c r="E253" s="160"/>
      <c r="F253" s="160"/>
      <c r="G253" s="160"/>
      <c r="H253" s="161"/>
      <c r="I253" s="39" t="s">
        <v>7839</v>
      </c>
      <c r="J253" s="111">
        <v>13530000</v>
      </c>
      <c r="K253" s="112">
        <v>46168</v>
      </c>
      <c r="L253" s="39"/>
      <c r="M253" s="39">
        <v>3175594091</v>
      </c>
      <c r="N253" s="39" t="s">
        <v>6303</v>
      </c>
      <c r="O253" s="39" t="s">
        <v>8015</v>
      </c>
      <c r="P253" s="52" t="s">
        <v>7837</v>
      </c>
    </row>
    <row r="254" spans="1:16" x14ac:dyDescent="0.25">
      <c r="A254" s="108"/>
      <c r="B254" s="39">
        <v>244</v>
      </c>
      <c r="C254" s="159" t="s">
        <v>7841</v>
      </c>
      <c r="D254" s="160"/>
      <c r="E254" s="160"/>
      <c r="F254" s="160"/>
      <c r="G254" s="160"/>
      <c r="H254" s="161"/>
      <c r="I254" s="39" t="s">
        <v>7842</v>
      </c>
      <c r="J254" s="111">
        <v>39950000</v>
      </c>
      <c r="K254" s="112">
        <v>46168</v>
      </c>
      <c r="L254" s="39"/>
      <c r="M254" s="39"/>
      <c r="N254" s="39" t="s">
        <v>7845</v>
      </c>
      <c r="O254" s="39"/>
      <c r="P254" s="52" t="s">
        <v>7844</v>
      </c>
    </row>
    <row r="255" spans="1:16" x14ac:dyDescent="0.25">
      <c r="A255" s="108"/>
      <c r="B255" s="39">
        <v>245</v>
      </c>
      <c r="C255" s="159" t="s">
        <v>7843</v>
      </c>
      <c r="D255" s="160"/>
      <c r="E255" s="160"/>
      <c r="F255" s="160"/>
      <c r="G255" s="160"/>
      <c r="H255" s="161"/>
      <c r="I255" s="39" t="s">
        <v>702</v>
      </c>
      <c r="J255" s="111">
        <v>17490000</v>
      </c>
      <c r="K255" s="112">
        <v>46168</v>
      </c>
      <c r="L255" s="39"/>
      <c r="M255" s="39">
        <v>3137546144</v>
      </c>
      <c r="N255" s="39" t="s">
        <v>4964</v>
      </c>
      <c r="O255" s="39" t="s">
        <v>8002</v>
      </c>
      <c r="P255" s="52" t="s">
        <v>2504</v>
      </c>
    </row>
    <row r="256" spans="1:16" x14ac:dyDescent="0.25">
      <c r="A256" s="108"/>
      <c r="B256" s="39">
        <v>246</v>
      </c>
      <c r="C256" s="159" t="s">
        <v>7846</v>
      </c>
      <c r="D256" s="160"/>
      <c r="E256" s="160"/>
      <c r="F256" s="160"/>
      <c r="G256" s="160"/>
      <c r="H256" s="161"/>
      <c r="I256" s="39" t="s">
        <v>5637</v>
      </c>
      <c r="J256" s="111">
        <v>24950000</v>
      </c>
      <c r="K256" s="112">
        <v>46168</v>
      </c>
      <c r="L256" s="39"/>
      <c r="M256" s="39">
        <v>3124690731</v>
      </c>
      <c r="N256" s="39" t="s">
        <v>7269</v>
      </c>
      <c r="O256" s="39" t="s">
        <v>7985</v>
      </c>
      <c r="P256" s="52" t="s">
        <v>7270</v>
      </c>
    </row>
    <row r="257" spans="1:17" x14ac:dyDescent="0.25">
      <c r="A257" s="108"/>
      <c r="B257" s="39">
        <v>247</v>
      </c>
      <c r="C257" s="159" t="s">
        <v>7847</v>
      </c>
      <c r="D257" s="160"/>
      <c r="E257" s="160"/>
      <c r="F257" s="160"/>
      <c r="G257" s="160"/>
      <c r="H257" s="161"/>
      <c r="I257" s="39" t="s">
        <v>5352</v>
      </c>
      <c r="J257" s="111">
        <v>39790000</v>
      </c>
      <c r="K257" s="112">
        <v>46168</v>
      </c>
      <c r="L257" s="39"/>
      <c r="M257" s="39">
        <v>2662377</v>
      </c>
      <c r="N257" s="39" t="s">
        <v>7848</v>
      </c>
      <c r="O257" s="39" t="s">
        <v>7998</v>
      </c>
      <c r="P257" s="52" t="s">
        <v>7849</v>
      </c>
    </row>
    <row r="258" spans="1:17" x14ac:dyDescent="0.25">
      <c r="A258" s="108"/>
      <c r="B258" s="39">
        <v>248</v>
      </c>
      <c r="C258" s="159" t="s">
        <v>7859</v>
      </c>
      <c r="D258" s="160"/>
      <c r="E258" s="160"/>
      <c r="F258" s="160"/>
      <c r="G258" s="160"/>
      <c r="H258" s="161"/>
      <c r="I258" s="39" t="s">
        <v>2779</v>
      </c>
      <c r="J258" s="111">
        <v>31750000</v>
      </c>
      <c r="K258" s="112">
        <v>46168</v>
      </c>
      <c r="L258" s="39"/>
      <c r="M258" s="39" t="s">
        <v>7507</v>
      </c>
      <c r="N258" s="39" t="s">
        <v>7508</v>
      </c>
      <c r="O258" s="39"/>
      <c r="P258" s="115"/>
    </row>
    <row r="259" spans="1:17" x14ac:dyDescent="0.25">
      <c r="A259" s="108"/>
      <c r="B259" s="39">
        <v>249</v>
      </c>
      <c r="C259" s="159" t="s">
        <v>7850</v>
      </c>
      <c r="D259" s="160"/>
      <c r="E259" s="160"/>
      <c r="F259" s="160"/>
      <c r="G259" s="160"/>
      <c r="H259" s="161"/>
      <c r="I259" s="39" t="s">
        <v>2779</v>
      </c>
      <c r="J259" s="111">
        <v>29630000</v>
      </c>
      <c r="K259" s="112">
        <v>46168</v>
      </c>
      <c r="L259" s="39"/>
      <c r="M259" s="39" t="s">
        <v>7507</v>
      </c>
      <c r="N259" s="39" t="s">
        <v>7508</v>
      </c>
      <c r="O259" s="39"/>
      <c r="P259" s="115"/>
    </row>
    <row r="260" spans="1:17" x14ac:dyDescent="0.25">
      <c r="A260" s="108"/>
      <c r="B260" s="39">
        <v>250</v>
      </c>
      <c r="C260" s="159" t="s">
        <v>7851</v>
      </c>
      <c r="D260" s="160"/>
      <c r="E260" s="160"/>
      <c r="F260" s="160"/>
      <c r="G260" s="160"/>
      <c r="H260" s="161"/>
      <c r="I260" s="39" t="s">
        <v>774</v>
      </c>
      <c r="J260" s="111">
        <v>16350000</v>
      </c>
      <c r="K260" s="112">
        <v>46169</v>
      </c>
      <c r="L260" s="39"/>
      <c r="M260" s="39"/>
      <c r="N260" s="125" t="s">
        <v>7852</v>
      </c>
      <c r="O260" s="39" t="s">
        <v>7965</v>
      </c>
      <c r="P260" s="52" t="s">
        <v>7853</v>
      </c>
    </row>
    <row r="261" spans="1:17" x14ac:dyDescent="0.25">
      <c r="A261" s="108"/>
      <c r="B261" s="39">
        <v>251</v>
      </c>
      <c r="C261" s="159" t="s">
        <v>7854</v>
      </c>
      <c r="D261" s="160"/>
      <c r="E261" s="160"/>
      <c r="F261" s="160"/>
      <c r="G261" s="160"/>
      <c r="H261" s="161"/>
      <c r="I261" s="39" t="s">
        <v>7855</v>
      </c>
      <c r="J261" s="111">
        <v>6950000</v>
      </c>
      <c r="K261" s="112">
        <v>46169</v>
      </c>
      <c r="L261" s="39"/>
      <c r="M261" s="39">
        <v>3004717432</v>
      </c>
      <c r="N261" s="39" t="s">
        <v>7856</v>
      </c>
      <c r="O261" s="39"/>
      <c r="P261" s="52" t="s">
        <v>7857</v>
      </c>
    </row>
    <row r="262" spans="1:17" x14ac:dyDescent="0.25">
      <c r="A262" s="108"/>
      <c r="B262" s="39">
        <v>252</v>
      </c>
      <c r="C262" s="159" t="s">
        <v>7858</v>
      </c>
      <c r="D262" s="160"/>
      <c r="E262" s="160"/>
      <c r="F262" s="160"/>
      <c r="G262" s="160"/>
      <c r="H262" s="161"/>
      <c r="I262" s="39" t="s">
        <v>5229</v>
      </c>
      <c r="J262" s="111">
        <v>6950000</v>
      </c>
      <c r="K262" s="112">
        <v>46169</v>
      </c>
      <c r="L262" s="39"/>
      <c r="M262" s="39">
        <v>6012357612</v>
      </c>
      <c r="N262" s="39" t="s">
        <v>3801</v>
      </c>
      <c r="O262" s="39"/>
      <c r="P262" s="38" t="s">
        <v>1854</v>
      </c>
    </row>
    <row r="263" spans="1:17" x14ac:dyDescent="0.25">
      <c r="A263" s="108"/>
      <c r="B263" s="39">
        <v>253</v>
      </c>
      <c r="C263" s="159" t="s">
        <v>7860</v>
      </c>
      <c r="D263" s="160"/>
      <c r="E263" s="160"/>
      <c r="F263" s="160"/>
      <c r="G263" s="160"/>
      <c r="H263" s="161"/>
      <c r="I263" s="39" t="s">
        <v>4390</v>
      </c>
      <c r="J263" s="111">
        <v>4590000</v>
      </c>
      <c r="K263" s="112">
        <v>46174</v>
      </c>
      <c r="L263" s="39"/>
      <c r="M263" s="39">
        <v>3116460496</v>
      </c>
      <c r="N263" s="39" t="s">
        <v>390</v>
      </c>
      <c r="O263" s="39"/>
      <c r="P263" s="38" t="s">
        <v>1876</v>
      </c>
    </row>
    <row r="264" spans="1:17" x14ac:dyDescent="0.25">
      <c r="A264" s="108"/>
      <c r="B264" s="39">
        <v>254</v>
      </c>
      <c r="C264" s="159" t="s">
        <v>7861</v>
      </c>
      <c r="D264" s="160"/>
      <c r="E264" s="160"/>
      <c r="F264" s="160"/>
      <c r="G264" s="160"/>
      <c r="H264" s="161"/>
      <c r="I264" s="39" t="s">
        <v>4390</v>
      </c>
      <c r="J264" s="111">
        <v>4590000</v>
      </c>
      <c r="K264" s="112">
        <v>46174</v>
      </c>
      <c r="L264" s="39"/>
      <c r="M264" s="39">
        <v>3116460496</v>
      </c>
      <c r="N264" s="39" t="s">
        <v>390</v>
      </c>
      <c r="O264" s="39"/>
      <c r="P264" s="52" t="s">
        <v>1876</v>
      </c>
    </row>
    <row r="265" spans="1:17" ht="15" customHeight="1" x14ac:dyDescent="0.25">
      <c r="A265" s="108"/>
      <c r="B265" s="39">
        <v>255</v>
      </c>
      <c r="C265" s="159" t="s">
        <v>7862</v>
      </c>
      <c r="D265" s="160"/>
      <c r="E265" s="160"/>
      <c r="F265" s="160"/>
      <c r="G265" s="160"/>
      <c r="H265" s="161"/>
      <c r="I265" s="39" t="s">
        <v>4390</v>
      </c>
      <c r="J265" s="158" t="s">
        <v>2492</v>
      </c>
      <c r="K265" s="112">
        <v>46174</v>
      </c>
      <c r="L265" s="39"/>
      <c r="M265" s="39">
        <v>3116460496</v>
      </c>
      <c r="N265" s="39" t="s">
        <v>390</v>
      </c>
      <c r="O265" s="39"/>
      <c r="P265" s="52" t="s">
        <v>1876</v>
      </c>
      <c r="Q265" s="52"/>
    </row>
    <row r="266" spans="1:17" x14ac:dyDescent="0.25">
      <c r="A266" s="108"/>
      <c r="B266" s="39">
        <v>256</v>
      </c>
      <c r="C266" s="159" t="s">
        <v>7863</v>
      </c>
      <c r="D266" s="160"/>
      <c r="E266" s="160"/>
      <c r="F266" s="160"/>
      <c r="G266" s="160"/>
      <c r="H266" s="161"/>
      <c r="I266" s="39" t="s">
        <v>4597</v>
      </c>
      <c r="J266" s="111">
        <v>23830000</v>
      </c>
      <c r="K266" s="112">
        <v>46174</v>
      </c>
      <c r="L266" s="39"/>
      <c r="M266" s="39">
        <v>3014201614</v>
      </c>
      <c r="N266" s="39" t="s">
        <v>4029</v>
      </c>
      <c r="O266" s="39"/>
      <c r="P266" s="38" t="s">
        <v>2771</v>
      </c>
    </row>
    <row r="267" spans="1:17" ht="15" customHeight="1" x14ac:dyDescent="0.25">
      <c r="A267" s="108"/>
      <c r="B267" s="39">
        <v>257</v>
      </c>
      <c r="C267" s="159" t="s">
        <v>7864</v>
      </c>
      <c r="D267" s="160"/>
      <c r="E267" s="160"/>
      <c r="F267" s="160"/>
      <c r="G267" s="160"/>
      <c r="H267" s="161"/>
      <c r="I267" s="39" t="s">
        <v>4939</v>
      </c>
      <c r="J267" s="111">
        <v>29950000</v>
      </c>
      <c r="K267" s="112">
        <v>46174</v>
      </c>
      <c r="L267" s="39"/>
      <c r="M267" s="39">
        <v>3206678830</v>
      </c>
      <c r="N267" s="39" t="s">
        <v>5109</v>
      </c>
      <c r="O267" s="39"/>
      <c r="P267" s="38" t="s">
        <v>948</v>
      </c>
    </row>
    <row r="268" spans="1:17" x14ac:dyDescent="0.25">
      <c r="A268" s="108"/>
      <c r="B268" s="39">
        <v>258</v>
      </c>
      <c r="C268" s="159" t="s">
        <v>7865</v>
      </c>
      <c r="D268" s="160"/>
      <c r="E268" s="160"/>
      <c r="F268" s="160"/>
      <c r="G268" s="160"/>
      <c r="H268" s="161"/>
      <c r="I268" s="39" t="s">
        <v>7866</v>
      </c>
      <c r="J268" s="111"/>
      <c r="K268" s="112">
        <v>46174</v>
      </c>
      <c r="L268" s="39"/>
      <c r="M268" s="39">
        <v>3103725039</v>
      </c>
      <c r="N268" s="39" t="s">
        <v>7867</v>
      </c>
      <c r="O268" s="39"/>
      <c r="P268" s="52" t="s">
        <v>7868</v>
      </c>
    </row>
    <row r="269" spans="1:17" x14ac:dyDescent="0.25">
      <c r="A269" s="108"/>
      <c r="B269" s="39">
        <v>259</v>
      </c>
      <c r="C269" s="159" t="s">
        <v>7869</v>
      </c>
      <c r="D269" s="160"/>
      <c r="E269" s="160"/>
      <c r="F269" s="160"/>
      <c r="G269" s="160"/>
      <c r="H269" s="161"/>
      <c r="I269" s="39" t="s">
        <v>4597</v>
      </c>
      <c r="J269" s="111">
        <v>10500000</v>
      </c>
      <c r="K269" s="112">
        <v>46174</v>
      </c>
      <c r="L269" s="39"/>
      <c r="M269" s="39">
        <v>3135401714</v>
      </c>
      <c r="N269" s="39" t="s">
        <v>4294</v>
      </c>
      <c r="O269" s="39"/>
      <c r="P269" s="38" t="s">
        <v>1662</v>
      </c>
    </row>
    <row r="270" spans="1:17" x14ac:dyDescent="0.25">
      <c r="A270" s="108"/>
      <c r="B270" s="39">
        <v>260</v>
      </c>
      <c r="C270" s="159" t="s">
        <v>7870</v>
      </c>
      <c r="D270" s="160"/>
      <c r="E270" s="160"/>
      <c r="F270" s="160"/>
      <c r="G270" s="160"/>
      <c r="H270" s="161"/>
      <c r="I270" s="128" t="s">
        <v>7871</v>
      </c>
      <c r="J270" s="111">
        <v>19950000</v>
      </c>
      <c r="K270" s="112">
        <v>46176</v>
      </c>
      <c r="M270" s="6"/>
      <c r="N270" s="128" t="s">
        <v>7871</v>
      </c>
      <c r="O270" s="39"/>
      <c r="P270" s="38" t="s">
        <v>7872</v>
      </c>
    </row>
    <row r="271" spans="1:17" x14ac:dyDescent="0.25">
      <c r="A271" s="108"/>
      <c r="B271" s="39">
        <v>261</v>
      </c>
      <c r="C271" s="159" t="s">
        <v>7873</v>
      </c>
      <c r="D271" s="160"/>
      <c r="E271" s="160"/>
      <c r="F271" s="160"/>
      <c r="G271" s="160"/>
      <c r="H271" s="161"/>
      <c r="I271" s="39" t="s">
        <v>7839</v>
      </c>
      <c r="J271" s="111">
        <v>7950000</v>
      </c>
      <c r="K271" s="112">
        <v>46176</v>
      </c>
      <c r="L271" s="39"/>
      <c r="M271" s="39">
        <v>3175594091</v>
      </c>
      <c r="N271" s="39" t="s">
        <v>6303</v>
      </c>
      <c r="O271" s="39"/>
      <c r="P271" s="52" t="s">
        <v>7837</v>
      </c>
    </row>
    <row r="272" spans="1:17" x14ac:dyDescent="0.25">
      <c r="A272" s="108"/>
      <c r="B272" s="39">
        <v>262</v>
      </c>
      <c r="C272" s="159" t="s">
        <v>7874</v>
      </c>
      <c r="D272" s="160"/>
      <c r="E272" s="160"/>
      <c r="F272" s="160"/>
      <c r="G272" s="160"/>
      <c r="H272" s="161"/>
      <c r="I272" s="39" t="s">
        <v>7879</v>
      </c>
      <c r="J272" s="111">
        <v>16950000</v>
      </c>
      <c r="K272" s="112">
        <v>46178</v>
      </c>
      <c r="L272" s="39"/>
      <c r="M272" s="39">
        <v>6042665050</v>
      </c>
      <c r="N272" s="39" t="s">
        <v>7878</v>
      </c>
      <c r="O272" s="39" t="s">
        <v>7976</v>
      </c>
      <c r="P272" s="52" t="s">
        <v>7880</v>
      </c>
    </row>
    <row r="273" spans="1:16" x14ac:dyDescent="0.25">
      <c r="A273" s="108"/>
      <c r="B273" s="39">
        <v>263</v>
      </c>
      <c r="C273" s="159" t="s">
        <v>7875</v>
      </c>
      <c r="D273" s="160"/>
      <c r="E273" s="160"/>
      <c r="F273" s="160"/>
      <c r="G273" s="160"/>
      <c r="H273" s="161"/>
      <c r="I273" s="39" t="s">
        <v>7876</v>
      </c>
      <c r="J273" s="111">
        <v>21450000</v>
      </c>
      <c r="K273" s="112">
        <v>46178</v>
      </c>
      <c r="L273" s="39"/>
      <c r="M273" s="39">
        <v>3137114113</v>
      </c>
      <c r="N273" s="39" t="s">
        <v>7877</v>
      </c>
      <c r="O273" s="39"/>
      <c r="P273" s="52"/>
    </row>
    <row r="274" spans="1:16" x14ac:dyDescent="0.25">
      <c r="A274" s="108"/>
      <c r="B274" s="39">
        <v>264</v>
      </c>
      <c r="C274" s="159" t="s">
        <v>7881</v>
      </c>
      <c r="D274" s="160"/>
      <c r="E274" s="160"/>
      <c r="F274" s="160"/>
      <c r="G274" s="160"/>
      <c r="H274" s="161"/>
      <c r="I274" s="39" t="s">
        <v>2445</v>
      </c>
      <c r="J274" s="111">
        <v>39950000</v>
      </c>
      <c r="K274" s="112">
        <v>46178</v>
      </c>
      <c r="L274" s="39"/>
      <c r="M274" s="39">
        <v>3162439535</v>
      </c>
      <c r="N274" s="39" t="s">
        <v>7615</v>
      </c>
      <c r="O274" s="39" t="s">
        <v>7968</v>
      </c>
      <c r="P274" s="52" t="s">
        <v>4150</v>
      </c>
    </row>
    <row r="275" spans="1:16" ht="15" customHeight="1" x14ac:dyDescent="0.25">
      <c r="A275" s="108"/>
      <c r="B275" s="39">
        <v>265</v>
      </c>
      <c r="C275" s="159" t="s">
        <v>7882</v>
      </c>
      <c r="D275" s="160"/>
      <c r="E275" s="160"/>
      <c r="F275" s="160"/>
      <c r="G275" s="160"/>
      <c r="H275" s="161"/>
      <c r="I275" s="39" t="s">
        <v>7883</v>
      </c>
      <c r="J275" s="111">
        <v>2000000</v>
      </c>
      <c r="K275" s="112">
        <v>46178</v>
      </c>
      <c r="L275" s="39"/>
      <c r="M275" s="39">
        <v>3235293577</v>
      </c>
      <c r="N275" s="39" t="s">
        <v>7884</v>
      </c>
      <c r="O275" s="39"/>
      <c r="P275" s="52" t="s">
        <v>7885</v>
      </c>
    </row>
    <row r="276" spans="1:16" x14ac:dyDescent="0.25">
      <c r="A276" s="108"/>
      <c r="B276" s="39">
        <v>266</v>
      </c>
      <c r="C276" s="159" t="s">
        <v>7887</v>
      </c>
      <c r="D276" s="160"/>
      <c r="E276" s="160"/>
      <c r="F276" s="160"/>
      <c r="G276" s="160"/>
      <c r="H276" s="161"/>
      <c r="I276" s="39" t="s">
        <v>7886</v>
      </c>
      <c r="J276" s="111">
        <v>1950000</v>
      </c>
      <c r="K276" s="112">
        <v>46178</v>
      </c>
      <c r="L276" s="39"/>
      <c r="M276" s="39">
        <v>3176461961</v>
      </c>
      <c r="N276" s="39" t="s">
        <v>374</v>
      </c>
      <c r="O276" s="39"/>
      <c r="P276" s="52"/>
    </row>
    <row r="277" spans="1:16" x14ac:dyDescent="0.25">
      <c r="A277" s="108"/>
      <c r="B277" s="39">
        <v>267</v>
      </c>
      <c r="C277" s="159" t="s">
        <v>7892</v>
      </c>
      <c r="D277" s="160"/>
      <c r="E277" s="160"/>
      <c r="F277" s="160"/>
      <c r="G277" s="160"/>
      <c r="H277" s="161"/>
      <c r="I277" s="39" t="s">
        <v>4921</v>
      </c>
      <c r="J277" s="111">
        <v>19950000</v>
      </c>
      <c r="K277" s="112">
        <v>46182</v>
      </c>
      <c r="L277" s="39"/>
      <c r="M277" s="39"/>
      <c r="N277" s="39" t="s">
        <v>7893</v>
      </c>
      <c r="O277" s="39"/>
      <c r="P277" s="52" t="s">
        <v>3748</v>
      </c>
    </row>
    <row r="278" spans="1:16" x14ac:dyDescent="0.25">
      <c r="A278" s="108"/>
      <c r="B278" s="39">
        <v>268</v>
      </c>
      <c r="C278" s="159" t="s">
        <v>7891</v>
      </c>
      <c r="D278" s="160"/>
      <c r="E278" s="160"/>
      <c r="F278" s="160"/>
      <c r="G278" s="160"/>
      <c r="H278" s="161"/>
      <c r="I278" s="39" t="s">
        <v>4921</v>
      </c>
      <c r="J278" s="111">
        <v>6950000</v>
      </c>
      <c r="K278" s="112">
        <v>46182</v>
      </c>
      <c r="L278" s="39"/>
      <c r="M278" s="39"/>
      <c r="N278" s="39" t="s">
        <v>7893</v>
      </c>
      <c r="O278" s="39"/>
      <c r="P278" s="52" t="s">
        <v>3748</v>
      </c>
    </row>
    <row r="279" spans="1:16" x14ac:dyDescent="0.25">
      <c r="A279" s="108"/>
      <c r="B279" s="39">
        <v>269</v>
      </c>
      <c r="C279" s="159" t="s">
        <v>7888</v>
      </c>
      <c r="D279" s="160"/>
      <c r="E279" s="160"/>
      <c r="F279" s="160"/>
      <c r="G279" s="160"/>
      <c r="H279" s="161"/>
      <c r="I279" s="39" t="s">
        <v>7156</v>
      </c>
      <c r="J279" s="111">
        <v>39950000</v>
      </c>
      <c r="K279" s="112">
        <v>46182</v>
      </c>
      <c r="L279" s="39"/>
      <c r="M279" s="39">
        <v>3007377368</v>
      </c>
      <c r="N279" s="39" t="s">
        <v>7889</v>
      </c>
      <c r="O279" s="39" t="s">
        <v>7974</v>
      </c>
      <c r="P279" s="52" t="s">
        <v>7890</v>
      </c>
    </row>
    <row r="280" spans="1:16" x14ac:dyDescent="0.25">
      <c r="A280" s="108"/>
      <c r="B280" s="39">
        <v>270</v>
      </c>
      <c r="C280" s="159" t="s">
        <v>7894</v>
      </c>
      <c r="D280" s="160"/>
      <c r="E280" s="160"/>
      <c r="F280" s="160"/>
      <c r="G280" s="160"/>
      <c r="H280" s="161"/>
      <c r="I280" s="39" t="s">
        <v>702</v>
      </c>
      <c r="J280" s="111">
        <v>24850000</v>
      </c>
      <c r="K280" s="112">
        <v>46182</v>
      </c>
      <c r="L280" s="39"/>
      <c r="M280" s="39"/>
      <c r="N280" s="39" t="s">
        <v>212</v>
      </c>
      <c r="O280" s="39" t="s">
        <v>8004</v>
      </c>
      <c r="P280" s="52" t="s">
        <v>703</v>
      </c>
    </row>
    <row r="281" spans="1:16" x14ac:dyDescent="0.25">
      <c r="A281" s="108"/>
      <c r="B281" s="39">
        <v>271</v>
      </c>
      <c r="C281" s="159" t="s">
        <v>7895</v>
      </c>
      <c r="D281" s="160"/>
      <c r="E281" s="160"/>
      <c r="F281" s="160"/>
      <c r="G281" s="160"/>
      <c r="H281" s="161"/>
      <c r="I281" s="39" t="s">
        <v>5474</v>
      </c>
      <c r="J281" s="111"/>
      <c r="K281" s="112">
        <v>46182</v>
      </c>
      <c r="L281" s="39"/>
      <c r="M281" s="39">
        <v>3202207622</v>
      </c>
      <c r="N281" s="39" t="s">
        <v>7897</v>
      </c>
      <c r="O281" s="39"/>
      <c r="P281" s="52" t="s">
        <v>7898</v>
      </c>
    </row>
    <row r="282" spans="1:16" x14ac:dyDescent="0.25">
      <c r="A282" s="108"/>
      <c r="B282" s="39">
        <v>272</v>
      </c>
      <c r="C282" s="159" t="s">
        <v>7896</v>
      </c>
      <c r="D282" s="160"/>
      <c r="E282" s="160"/>
      <c r="F282" s="160"/>
      <c r="G282" s="160"/>
      <c r="H282" s="161"/>
      <c r="I282" s="39" t="s">
        <v>702</v>
      </c>
      <c r="J282" s="111">
        <v>2950000</v>
      </c>
      <c r="K282" s="112">
        <v>46182</v>
      </c>
      <c r="L282" s="39"/>
      <c r="M282" s="39">
        <v>3137546144</v>
      </c>
      <c r="N282" s="39" t="s">
        <v>4964</v>
      </c>
      <c r="O282" s="39" t="s">
        <v>8002</v>
      </c>
      <c r="P282" s="52" t="s">
        <v>2504</v>
      </c>
    </row>
    <row r="283" spans="1:16" x14ac:dyDescent="0.25">
      <c r="A283" s="108"/>
      <c r="B283" s="39">
        <v>273</v>
      </c>
      <c r="C283" s="159" t="s">
        <v>7899</v>
      </c>
      <c r="D283" s="160"/>
      <c r="E283" s="160"/>
      <c r="F283" s="160"/>
      <c r="G283" s="160"/>
      <c r="H283" s="161"/>
      <c r="I283" s="39" t="s">
        <v>7962</v>
      </c>
      <c r="J283" s="111">
        <v>3500000</v>
      </c>
      <c r="K283" s="112">
        <v>46185</v>
      </c>
      <c r="L283" s="39"/>
      <c r="M283" s="39">
        <v>3155633340</v>
      </c>
      <c r="N283" s="39" t="s">
        <v>7900</v>
      </c>
      <c r="O283" s="39" t="s">
        <v>7963</v>
      </c>
      <c r="P283" s="52" t="s">
        <v>7901</v>
      </c>
    </row>
    <row r="284" spans="1:16" x14ac:dyDescent="0.25">
      <c r="A284" s="108"/>
      <c r="B284" s="39">
        <v>274</v>
      </c>
      <c r="C284" s="159" t="s">
        <v>7902</v>
      </c>
      <c r="D284" s="160"/>
      <c r="E284" s="160"/>
      <c r="F284" s="160"/>
      <c r="G284" s="160"/>
      <c r="H284" s="161"/>
      <c r="I284" s="39" t="s">
        <v>7905</v>
      </c>
      <c r="J284" s="111">
        <v>146400000</v>
      </c>
      <c r="K284" s="112">
        <v>46185</v>
      </c>
      <c r="L284" s="39"/>
      <c r="M284" s="39"/>
      <c r="N284" s="39" t="s">
        <v>7903</v>
      </c>
      <c r="O284" s="39"/>
      <c r="P284" s="52" t="s">
        <v>7904</v>
      </c>
    </row>
    <row r="285" spans="1:16" x14ac:dyDescent="0.25">
      <c r="A285" s="108"/>
      <c r="B285" s="39">
        <v>275</v>
      </c>
      <c r="C285" s="159" t="s">
        <v>7906</v>
      </c>
      <c r="D285" s="160"/>
      <c r="E285" s="160"/>
      <c r="F285" s="160"/>
      <c r="G285" s="160"/>
      <c r="H285" s="161"/>
      <c r="I285" s="39" t="s">
        <v>4597</v>
      </c>
      <c r="J285" s="111"/>
      <c r="K285" s="112">
        <v>46190</v>
      </c>
      <c r="L285" s="39"/>
      <c r="M285" s="39" t="s">
        <v>5812</v>
      </c>
      <c r="N285" s="39" t="s">
        <v>4109</v>
      </c>
      <c r="O285" s="39"/>
      <c r="P285" s="38" t="s">
        <v>5752</v>
      </c>
    </row>
    <row r="286" spans="1:16" ht="15" customHeight="1" x14ac:dyDescent="0.25">
      <c r="A286" s="108"/>
      <c r="B286" s="39">
        <v>276</v>
      </c>
      <c r="C286" s="159" t="s">
        <v>7907</v>
      </c>
      <c r="D286" s="160"/>
      <c r="E286" s="160"/>
      <c r="F286" s="160"/>
      <c r="G286" s="160"/>
      <c r="H286" s="161"/>
      <c r="I286" s="39" t="s">
        <v>7908</v>
      </c>
      <c r="J286" s="111"/>
      <c r="K286" s="112">
        <v>46190</v>
      </c>
      <c r="L286" s="39"/>
      <c r="M286" s="39" t="s">
        <v>7909</v>
      </c>
      <c r="N286" s="39" t="s">
        <v>7910</v>
      </c>
      <c r="O286" s="39"/>
      <c r="P286" s="52" t="s">
        <v>7911</v>
      </c>
    </row>
    <row r="287" spans="1:16" ht="15" customHeight="1" x14ac:dyDescent="0.25">
      <c r="A287" s="108"/>
      <c r="B287" s="39">
        <v>277</v>
      </c>
      <c r="C287" s="159" t="s">
        <v>7912</v>
      </c>
      <c r="D287" s="160"/>
      <c r="E287" s="160"/>
      <c r="F287" s="160"/>
      <c r="G287" s="160"/>
      <c r="H287" s="161"/>
      <c r="I287" s="39" t="s">
        <v>4390</v>
      </c>
      <c r="J287" s="111">
        <v>19990000</v>
      </c>
      <c r="K287" s="112">
        <v>46190</v>
      </c>
      <c r="L287" s="39"/>
      <c r="M287" s="39">
        <v>3245777917</v>
      </c>
      <c r="N287" s="39" t="s">
        <v>7913</v>
      </c>
      <c r="O287" s="39" t="s">
        <v>8030</v>
      </c>
      <c r="P287" s="52" t="s">
        <v>7914</v>
      </c>
    </row>
    <row r="288" spans="1:16" ht="15" customHeight="1" x14ac:dyDescent="0.25">
      <c r="A288" s="108"/>
      <c r="B288" s="39">
        <v>278</v>
      </c>
      <c r="C288" s="159" t="s">
        <v>7915</v>
      </c>
      <c r="D288" s="160"/>
      <c r="E288" s="160"/>
      <c r="F288" s="160"/>
      <c r="G288" s="160"/>
      <c r="H288" s="161"/>
      <c r="I288" s="39" t="s">
        <v>4390</v>
      </c>
      <c r="J288" s="111">
        <v>13800000</v>
      </c>
      <c r="K288" s="112">
        <v>46190</v>
      </c>
      <c r="L288" s="39"/>
      <c r="M288" s="39">
        <v>3245777917</v>
      </c>
      <c r="N288" s="39" t="s">
        <v>7913</v>
      </c>
      <c r="O288" s="39" t="s">
        <v>8030</v>
      </c>
      <c r="P288" s="52" t="s">
        <v>7914</v>
      </c>
    </row>
    <row r="289" spans="1:16" ht="15" customHeight="1" x14ac:dyDescent="0.25">
      <c r="A289" s="108"/>
      <c r="B289" s="39">
        <v>279</v>
      </c>
      <c r="C289" s="159" t="s">
        <v>7916</v>
      </c>
      <c r="D289" s="160"/>
      <c r="E289" s="160"/>
      <c r="F289" s="160"/>
      <c r="G289" s="160"/>
      <c r="H289" s="161"/>
      <c r="I289" s="39" t="s">
        <v>7532</v>
      </c>
      <c r="J289" s="111">
        <v>6300000</v>
      </c>
      <c r="K289" s="112">
        <v>46190</v>
      </c>
      <c r="L289" s="39"/>
      <c r="M289" s="39">
        <v>3116456726</v>
      </c>
      <c r="N289" s="39" t="s">
        <v>7533</v>
      </c>
      <c r="O289" s="39" t="s">
        <v>7964</v>
      </c>
      <c r="P289" s="52" t="s">
        <v>7277</v>
      </c>
    </row>
    <row r="290" spans="1:16" ht="15" customHeight="1" x14ac:dyDescent="0.25">
      <c r="A290" s="108"/>
      <c r="B290" s="39">
        <v>280</v>
      </c>
      <c r="C290" s="159" t="s">
        <v>7917</v>
      </c>
      <c r="D290" s="160"/>
      <c r="E290" s="160"/>
      <c r="F290" s="160"/>
      <c r="G290" s="160"/>
      <c r="H290" s="161"/>
      <c r="I290" s="39" t="s">
        <v>6545</v>
      </c>
      <c r="J290" s="111">
        <v>8750000</v>
      </c>
      <c r="K290" s="112">
        <v>46190</v>
      </c>
      <c r="L290" s="39"/>
      <c r="M290" s="39">
        <v>3134451063</v>
      </c>
      <c r="N290" s="39" t="s">
        <v>6906</v>
      </c>
      <c r="O290" s="39" t="s">
        <v>8006</v>
      </c>
      <c r="P290" s="38" t="s">
        <v>6907</v>
      </c>
    </row>
    <row r="291" spans="1:16" x14ac:dyDescent="0.25">
      <c r="A291" s="108"/>
      <c r="B291" s="39">
        <v>281</v>
      </c>
      <c r="C291" s="159" t="s">
        <v>7918</v>
      </c>
      <c r="D291" s="160"/>
      <c r="E291" s="160"/>
      <c r="F291" s="160"/>
      <c r="G291" s="160"/>
      <c r="H291" s="161"/>
      <c r="I291" s="39" t="s">
        <v>6545</v>
      </c>
      <c r="J291" s="111">
        <v>24950000</v>
      </c>
      <c r="K291" s="112">
        <v>46190</v>
      </c>
      <c r="L291" s="39"/>
      <c r="M291" s="39">
        <v>3134451063</v>
      </c>
      <c r="N291" s="39" t="s">
        <v>6906</v>
      </c>
      <c r="O291" s="39" t="s">
        <v>8006</v>
      </c>
      <c r="P291" s="38" t="s">
        <v>6907</v>
      </c>
    </row>
    <row r="292" spans="1:16" x14ac:dyDescent="0.25">
      <c r="A292" s="108"/>
      <c r="B292" s="39">
        <v>282</v>
      </c>
      <c r="C292" s="159" t="s">
        <v>7919</v>
      </c>
      <c r="D292" s="160"/>
      <c r="E292" s="160"/>
      <c r="F292" s="160"/>
      <c r="G292" s="160"/>
      <c r="H292" s="161"/>
      <c r="I292" s="39" t="s">
        <v>6008</v>
      </c>
      <c r="J292" s="111">
        <v>26300000</v>
      </c>
      <c r="K292" s="112">
        <v>46190</v>
      </c>
      <c r="L292" s="39"/>
      <c r="M292" s="39">
        <v>3007839601</v>
      </c>
      <c r="N292" s="39" t="s">
        <v>7921</v>
      </c>
      <c r="O292" s="39"/>
      <c r="P292" s="52" t="s">
        <v>7922</v>
      </c>
    </row>
    <row r="293" spans="1:16" x14ac:dyDescent="0.25">
      <c r="A293" s="108"/>
      <c r="B293" s="39">
        <v>283</v>
      </c>
      <c r="C293" s="159" t="s">
        <v>7920</v>
      </c>
      <c r="D293" s="160"/>
      <c r="E293" s="160"/>
      <c r="F293" s="160"/>
      <c r="G293" s="160"/>
      <c r="H293" s="161"/>
      <c r="I293" s="39" t="s">
        <v>4436</v>
      </c>
      <c r="J293" s="111">
        <v>89000000</v>
      </c>
      <c r="K293" s="112">
        <v>46190</v>
      </c>
      <c r="L293" s="39"/>
      <c r="M293" s="39">
        <v>3206194853</v>
      </c>
      <c r="N293" s="39" t="s">
        <v>7082</v>
      </c>
      <c r="O293" s="39" t="s">
        <v>7989</v>
      </c>
      <c r="P293" s="52" t="s">
        <v>7083</v>
      </c>
    </row>
    <row r="294" spans="1:16" x14ac:dyDescent="0.25">
      <c r="A294" s="108"/>
      <c r="B294" s="39">
        <v>284</v>
      </c>
      <c r="C294" s="159" t="s">
        <v>7925</v>
      </c>
      <c r="D294" s="160"/>
      <c r="E294" s="160"/>
      <c r="F294" s="160"/>
      <c r="G294" s="160"/>
      <c r="H294" s="161"/>
      <c r="I294" s="39" t="s">
        <v>7926</v>
      </c>
      <c r="J294" s="111"/>
      <c r="K294" s="112">
        <v>46190</v>
      </c>
      <c r="L294" s="39"/>
      <c r="M294" s="39"/>
      <c r="N294" s="39" t="s">
        <v>7924</v>
      </c>
      <c r="O294" s="39" t="s">
        <v>7969</v>
      </c>
      <c r="P294" s="52" t="s">
        <v>7923</v>
      </c>
    </row>
    <row r="295" spans="1:16" x14ac:dyDescent="0.25">
      <c r="A295" s="108"/>
      <c r="B295" s="39">
        <v>285</v>
      </c>
      <c r="C295" s="159" t="s">
        <v>7927</v>
      </c>
      <c r="D295" s="160"/>
      <c r="E295" s="160"/>
      <c r="F295" s="160"/>
      <c r="G295" s="160"/>
      <c r="H295" s="161"/>
      <c r="I295" s="39" t="s">
        <v>6008</v>
      </c>
      <c r="J295" s="111">
        <v>29950000</v>
      </c>
      <c r="K295" s="112">
        <v>46192</v>
      </c>
      <c r="L295" s="39"/>
      <c r="M295" s="39">
        <v>3136112279</v>
      </c>
      <c r="N295" s="39" t="s">
        <v>6713</v>
      </c>
      <c r="O295" s="39"/>
      <c r="P295" s="52" t="s">
        <v>6007</v>
      </c>
    </row>
    <row r="296" spans="1:16" ht="15" customHeight="1" x14ac:dyDescent="0.25">
      <c r="A296" s="108"/>
      <c r="B296" s="39">
        <v>286</v>
      </c>
      <c r="C296" s="159" t="s">
        <v>7935</v>
      </c>
      <c r="D296" s="160"/>
      <c r="E296" s="160"/>
      <c r="F296" s="160"/>
      <c r="G296" s="160"/>
      <c r="H296" s="161"/>
      <c r="I296" s="39" t="s">
        <v>3002</v>
      </c>
      <c r="J296" s="111">
        <v>13540000</v>
      </c>
      <c r="K296" s="112">
        <v>46195</v>
      </c>
      <c r="L296" s="39"/>
      <c r="M296" s="39" t="s">
        <v>5232</v>
      </c>
      <c r="N296" s="39" t="s">
        <v>5199</v>
      </c>
      <c r="O296" s="39"/>
      <c r="P296" s="38" t="s">
        <v>5200</v>
      </c>
    </row>
    <row r="297" spans="1:16" x14ac:dyDescent="0.25">
      <c r="A297" s="108"/>
      <c r="B297" s="39">
        <v>287</v>
      </c>
      <c r="C297" s="159" t="s">
        <v>7936</v>
      </c>
      <c r="D297" s="160"/>
      <c r="E297" s="160"/>
      <c r="F297" s="160"/>
      <c r="G297" s="160"/>
      <c r="H297" s="161"/>
      <c r="I297" s="39" t="s">
        <v>3002</v>
      </c>
      <c r="J297" s="111">
        <v>44450000</v>
      </c>
      <c r="K297" s="112">
        <v>46195</v>
      </c>
      <c r="L297" s="39"/>
      <c r="M297" s="39" t="s">
        <v>6219</v>
      </c>
      <c r="N297" s="39" t="s">
        <v>6217</v>
      </c>
      <c r="O297" s="39"/>
      <c r="P297" s="116" t="s">
        <v>2658</v>
      </c>
    </row>
    <row r="298" spans="1:16" x14ac:dyDescent="0.25">
      <c r="A298" s="108"/>
      <c r="B298" s="39">
        <v>288</v>
      </c>
      <c r="C298" s="159" t="s">
        <v>7369</v>
      </c>
      <c r="D298" s="160"/>
      <c r="E298" s="160"/>
      <c r="F298" s="160"/>
      <c r="G298" s="160"/>
      <c r="H298" s="161"/>
      <c r="I298" s="39" t="s">
        <v>7928</v>
      </c>
      <c r="J298" s="111"/>
      <c r="K298" s="112">
        <v>46195</v>
      </c>
      <c r="L298" s="39"/>
      <c r="M298" s="39">
        <v>3014546806</v>
      </c>
      <c r="N298" s="39" t="s">
        <v>7808</v>
      </c>
      <c r="O298" s="39"/>
      <c r="P298" s="38" t="s">
        <v>6705</v>
      </c>
    </row>
    <row r="299" spans="1:16" x14ac:dyDescent="0.25">
      <c r="A299" s="108"/>
      <c r="B299" s="39">
        <v>289</v>
      </c>
      <c r="C299" s="159" t="s">
        <v>7929</v>
      </c>
      <c r="D299" s="160"/>
      <c r="E299" s="160"/>
      <c r="F299" s="160"/>
      <c r="G299" s="160"/>
      <c r="H299" s="161"/>
      <c r="I299" s="39" t="s">
        <v>2672</v>
      </c>
      <c r="J299" s="111">
        <v>29980000</v>
      </c>
      <c r="K299" s="112">
        <v>46196</v>
      </c>
      <c r="L299" s="39"/>
      <c r="M299" s="39">
        <v>3017782882</v>
      </c>
      <c r="N299" s="39" t="s">
        <v>7934</v>
      </c>
      <c r="O299" s="39"/>
      <c r="P299" s="52" t="s">
        <v>3505</v>
      </c>
    </row>
    <row r="300" spans="1:16" x14ac:dyDescent="0.25">
      <c r="A300" s="108"/>
      <c r="B300" s="39">
        <v>290</v>
      </c>
      <c r="C300" s="159" t="s">
        <v>7930</v>
      </c>
      <c r="D300" s="160"/>
      <c r="E300" s="160"/>
      <c r="F300" s="160"/>
      <c r="G300" s="160"/>
      <c r="H300" s="161"/>
      <c r="I300" s="39" t="s">
        <v>7931</v>
      </c>
      <c r="J300" s="111"/>
      <c r="K300" s="112">
        <v>46196</v>
      </c>
      <c r="L300" s="39"/>
      <c r="M300" s="32" t="s">
        <v>7933</v>
      </c>
      <c r="N300" s="39" t="s">
        <v>7932</v>
      </c>
      <c r="O300" s="39"/>
      <c r="P300" s="52" t="s">
        <v>6968</v>
      </c>
    </row>
    <row r="301" spans="1:16" x14ac:dyDescent="0.25">
      <c r="A301" s="108"/>
      <c r="B301" s="39">
        <v>291</v>
      </c>
      <c r="C301" s="159" t="s">
        <v>7929</v>
      </c>
      <c r="D301" s="160"/>
      <c r="E301" s="160"/>
      <c r="F301" s="160"/>
      <c r="G301" s="160"/>
      <c r="H301" s="161"/>
      <c r="I301" s="39" t="s">
        <v>5163</v>
      </c>
      <c r="J301" s="111">
        <v>29980000</v>
      </c>
      <c r="K301" s="112">
        <v>46198</v>
      </c>
      <c r="L301" s="39"/>
      <c r="M301" s="39">
        <v>6012357612</v>
      </c>
      <c r="N301" s="39" t="s">
        <v>3801</v>
      </c>
      <c r="O301" s="39"/>
      <c r="P301" s="38" t="s">
        <v>1854</v>
      </c>
    </row>
    <row r="302" spans="1:16" x14ac:dyDescent="0.25">
      <c r="A302" s="108"/>
      <c r="B302" s="39">
        <v>292</v>
      </c>
      <c r="C302" s="159" t="s">
        <v>7937</v>
      </c>
      <c r="D302" s="160"/>
      <c r="E302" s="160"/>
      <c r="F302" s="160"/>
      <c r="G302" s="160"/>
      <c r="H302" s="161"/>
      <c r="I302" s="39" t="s">
        <v>6545</v>
      </c>
      <c r="J302" s="111">
        <v>1950000</v>
      </c>
      <c r="K302" s="112">
        <v>46198</v>
      </c>
      <c r="L302" s="39"/>
      <c r="M302" s="39">
        <v>3134451063</v>
      </c>
      <c r="N302" s="39" t="s">
        <v>6906</v>
      </c>
      <c r="O302" s="39" t="s">
        <v>8006</v>
      </c>
      <c r="P302" s="38" t="s">
        <v>6907</v>
      </c>
    </row>
    <row r="303" spans="1:16" x14ac:dyDescent="0.25">
      <c r="A303" s="108"/>
      <c r="B303" s="39">
        <v>293</v>
      </c>
      <c r="C303" s="159" t="s">
        <v>7938</v>
      </c>
      <c r="D303" s="160"/>
      <c r="E303" s="160"/>
      <c r="F303" s="160"/>
      <c r="G303" s="160"/>
      <c r="H303" s="161"/>
      <c r="I303" s="39" t="s">
        <v>7939</v>
      </c>
      <c r="J303" s="111"/>
      <c r="K303" s="112">
        <v>46199</v>
      </c>
      <c r="L303" s="39"/>
      <c r="M303" s="39"/>
      <c r="N303" s="39" t="s">
        <v>7942</v>
      </c>
      <c r="O303" s="39" t="s">
        <v>7941</v>
      </c>
      <c r="P303" s="52" t="s">
        <v>5393</v>
      </c>
    </row>
    <row r="304" spans="1:16" x14ac:dyDescent="0.25">
      <c r="A304" s="108"/>
      <c r="B304" s="39">
        <v>294</v>
      </c>
      <c r="C304" s="159" t="s">
        <v>7944</v>
      </c>
      <c r="D304" s="160"/>
      <c r="E304" s="160"/>
      <c r="F304" s="160"/>
      <c r="G304" s="160"/>
      <c r="H304" s="161"/>
      <c r="I304" s="39" t="s">
        <v>4436</v>
      </c>
      <c r="J304" s="111">
        <v>10990000</v>
      </c>
      <c r="K304" s="112">
        <v>46199</v>
      </c>
      <c r="L304" s="39"/>
      <c r="M304" s="39">
        <v>3003675022</v>
      </c>
      <c r="N304" s="39" t="s">
        <v>3604</v>
      </c>
      <c r="O304" s="39" t="s">
        <v>7943</v>
      </c>
      <c r="P304" s="52" t="s">
        <v>1307</v>
      </c>
    </row>
    <row r="305" spans="1:16" x14ac:dyDescent="0.25">
      <c r="A305" s="108"/>
      <c r="B305" s="39">
        <v>295</v>
      </c>
      <c r="C305" s="159" t="s">
        <v>7945</v>
      </c>
      <c r="D305" s="160"/>
      <c r="E305" s="160"/>
      <c r="F305" s="160"/>
      <c r="G305" s="160"/>
      <c r="H305" s="161"/>
      <c r="I305" s="39" t="s">
        <v>4436</v>
      </c>
      <c r="J305" s="111">
        <v>11990000</v>
      </c>
      <c r="K305" s="112">
        <v>46199</v>
      </c>
      <c r="L305" s="39"/>
      <c r="M305" s="39">
        <v>3003675022</v>
      </c>
      <c r="N305" s="39" t="s">
        <v>3604</v>
      </c>
      <c r="O305" s="39" t="s">
        <v>7943</v>
      </c>
      <c r="P305" s="52" t="s">
        <v>1307</v>
      </c>
    </row>
    <row r="306" spans="1:16" x14ac:dyDescent="0.25">
      <c r="A306" s="108"/>
      <c r="B306" s="39">
        <v>296</v>
      </c>
      <c r="C306" s="159" t="s">
        <v>7946</v>
      </c>
      <c r="D306" s="160"/>
      <c r="E306" s="160"/>
      <c r="F306" s="160"/>
      <c r="G306" s="160"/>
      <c r="H306" s="161"/>
      <c r="I306" s="39" t="s">
        <v>7947</v>
      </c>
      <c r="J306" s="111">
        <v>25950000</v>
      </c>
      <c r="K306" s="112">
        <v>46199</v>
      </c>
      <c r="L306" s="39"/>
      <c r="M306" s="39"/>
      <c r="N306" s="39" t="s">
        <v>7949</v>
      </c>
      <c r="O306" s="39"/>
      <c r="P306" s="52" t="s">
        <v>7948</v>
      </c>
    </row>
    <row r="307" spans="1:16" x14ac:dyDescent="0.25">
      <c r="A307" s="108"/>
      <c r="B307" s="39">
        <v>297</v>
      </c>
      <c r="C307" s="159" t="s">
        <v>7954</v>
      </c>
      <c r="D307" s="160"/>
      <c r="E307" s="160"/>
      <c r="F307" s="160"/>
      <c r="G307" s="160"/>
      <c r="H307" s="161"/>
      <c r="I307" s="39" t="s">
        <v>7951</v>
      </c>
      <c r="J307" s="111"/>
      <c r="K307" s="112">
        <v>46199</v>
      </c>
      <c r="L307" s="39"/>
      <c r="M307" s="39">
        <v>3218260240</v>
      </c>
      <c r="N307" s="39" t="s">
        <v>7950</v>
      </c>
      <c r="O307" s="39" t="s">
        <v>7952</v>
      </c>
      <c r="P307" s="52" t="s">
        <v>7953</v>
      </c>
    </row>
    <row r="308" spans="1:16" x14ac:dyDescent="0.25">
      <c r="A308" s="108"/>
      <c r="B308" s="39">
        <v>298</v>
      </c>
      <c r="C308" s="159" t="s">
        <v>7957</v>
      </c>
      <c r="D308" s="160"/>
      <c r="E308" s="160"/>
      <c r="F308" s="160"/>
      <c r="G308" s="160"/>
      <c r="H308" s="161"/>
      <c r="I308" s="39" t="s">
        <v>4436</v>
      </c>
      <c r="J308" s="111">
        <v>59950000</v>
      </c>
      <c r="K308" s="112">
        <v>46199</v>
      </c>
      <c r="L308" s="39"/>
      <c r="M308" s="39"/>
      <c r="N308" s="125" t="s">
        <v>7956</v>
      </c>
      <c r="O308" s="39" t="s">
        <v>7955</v>
      </c>
      <c r="P308" s="52" t="s">
        <v>7715</v>
      </c>
    </row>
    <row r="309" spans="1:16" x14ac:dyDescent="0.25">
      <c r="A309" s="108"/>
      <c r="B309" s="39">
        <v>299</v>
      </c>
      <c r="C309" s="159" t="s">
        <v>8009</v>
      </c>
      <c r="D309" s="160"/>
      <c r="E309" s="160"/>
      <c r="F309" s="160"/>
      <c r="G309" s="160"/>
      <c r="H309" s="161"/>
      <c r="I309" s="39" t="s">
        <v>4597</v>
      </c>
      <c r="J309" s="111">
        <v>3800000</v>
      </c>
      <c r="K309" s="112">
        <v>46200</v>
      </c>
      <c r="L309" s="39"/>
      <c r="M309" s="39" t="s">
        <v>5812</v>
      </c>
      <c r="N309" s="39" t="s">
        <v>4109</v>
      </c>
      <c r="O309" s="39" t="s">
        <v>8010</v>
      </c>
      <c r="P309" s="38" t="s">
        <v>5752</v>
      </c>
    </row>
    <row r="310" spans="1:16" x14ac:dyDescent="0.25">
      <c r="A310" s="108"/>
      <c r="B310" s="39">
        <v>300</v>
      </c>
      <c r="C310" s="159" t="s">
        <v>8011</v>
      </c>
      <c r="D310" s="160"/>
      <c r="E310" s="160"/>
      <c r="F310" s="160"/>
      <c r="G310" s="160"/>
      <c r="H310" s="161"/>
      <c r="I310" s="39" t="s">
        <v>4597</v>
      </c>
      <c r="J310" s="111">
        <v>2860000</v>
      </c>
      <c r="K310" s="112">
        <v>46200</v>
      </c>
      <c r="L310" s="39"/>
      <c r="M310" s="39" t="s">
        <v>5812</v>
      </c>
      <c r="N310" s="39" t="s">
        <v>4109</v>
      </c>
      <c r="O310" s="39" t="s">
        <v>8010</v>
      </c>
      <c r="P310" s="38" t="s">
        <v>5752</v>
      </c>
    </row>
    <row r="311" spans="1:16" x14ac:dyDescent="0.25">
      <c r="A311" s="108"/>
      <c r="B311" s="39">
        <v>301</v>
      </c>
      <c r="C311" s="159" t="s">
        <v>8023</v>
      </c>
      <c r="D311" s="160"/>
      <c r="E311" s="160"/>
      <c r="F311" s="160"/>
      <c r="G311" s="160"/>
      <c r="H311" s="161"/>
      <c r="I311" s="39" t="s">
        <v>8023</v>
      </c>
      <c r="J311" s="111" t="s">
        <v>8023</v>
      </c>
      <c r="K311" s="112" t="s">
        <v>8023</v>
      </c>
      <c r="L311" s="39" t="s">
        <v>8023</v>
      </c>
      <c r="M311" s="39" t="s">
        <v>8023</v>
      </c>
      <c r="N311" s="39" t="s">
        <v>8023</v>
      </c>
      <c r="O311" s="39" t="s">
        <v>8023</v>
      </c>
      <c r="P311" s="39" t="s">
        <v>8023</v>
      </c>
    </row>
    <row r="312" spans="1:16" x14ac:dyDescent="0.25">
      <c r="A312" s="108"/>
      <c r="B312" s="39">
        <v>302</v>
      </c>
      <c r="C312" s="159" t="s">
        <v>8012</v>
      </c>
      <c r="D312" s="160"/>
      <c r="E312" s="160"/>
      <c r="F312" s="160"/>
      <c r="G312" s="160"/>
      <c r="H312" s="161"/>
      <c r="I312" s="39" t="s">
        <v>4597</v>
      </c>
      <c r="J312" s="111">
        <v>5500000</v>
      </c>
      <c r="K312" s="112">
        <v>46205</v>
      </c>
      <c r="L312" s="39"/>
      <c r="M312" s="39" t="s">
        <v>5812</v>
      </c>
      <c r="N312" s="39" t="s">
        <v>4109</v>
      </c>
      <c r="O312" s="39" t="s">
        <v>8010</v>
      </c>
      <c r="P312" s="38" t="s">
        <v>5752</v>
      </c>
    </row>
    <row r="313" spans="1:16" ht="15" customHeight="1" x14ac:dyDescent="0.25">
      <c r="A313" s="108"/>
      <c r="B313" s="39">
        <v>303</v>
      </c>
      <c r="C313" s="159" t="s">
        <v>8013</v>
      </c>
      <c r="D313" s="160"/>
      <c r="E313" s="160"/>
      <c r="F313" s="160"/>
      <c r="G313" s="160"/>
      <c r="H313" s="161"/>
      <c r="I313" s="39" t="s">
        <v>3202</v>
      </c>
      <c r="J313" s="111"/>
      <c r="K313" s="112">
        <v>46205</v>
      </c>
      <c r="L313" s="39"/>
      <c r="M313" s="39">
        <v>3137851941</v>
      </c>
      <c r="N313" s="39" t="s">
        <v>192</v>
      </c>
      <c r="O313" s="39" t="s">
        <v>8014</v>
      </c>
      <c r="P313" s="52" t="s">
        <v>713</v>
      </c>
    </row>
    <row r="314" spans="1:16" x14ac:dyDescent="0.25">
      <c r="A314" s="108"/>
      <c r="B314" s="39">
        <v>304</v>
      </c>
      <c r="C314" s="159" t="s">
        <v>8022</v>
      </c>
      <c r="D314" s="160"/>
      <c r="E314" s="160"/>
      <c r="F314" s="160"/>
      <c r="G314" s="160"/>
      <c r="H314" s="161"/>
      <c r="I314" s="39" t="s">
        <v>7839</v>
      </c>
      <c r="J314" s="111">
        <v>13560000</v>
      </c>
      <c r="K314" s="112">
        <v>46205</v>
      </c>
      <c r="L314" s="39"/>
      <c r="M314" s="39">
        <v>3175594091</v>
      </c>
      <c r="N314" s="39" t="s">
        <v>6303</v>
      </c>
      <c r="O314" s="39" t="s">
        <v>8015</v>
      </c>
      <c r="P314" s="52" t="s">
        <v>7837</v>
      </c>
    </row>
    <row r="315" spans="1:16" x14ac:dyDescent="0.25">
      <c r="A315" s="108"/>
      <c r="B315" s="39">
        <v>305</v>
      </c>
      <c r="C315" s="159" t="s">
        <v>8021</v>
      </c>
      <c r="D315" s="160"/>
      <c r="E315" s="160"/>
      <c r="F315" s="160"/>
      <c r="G315" s="160"/>
      <c r="H315" s="161"/>
      <c r="I315" s="39" t="s">
        <v>7381</v>
      </c>
      <c r="J315" s="111">
        <v>47500000</v>
      </c>
      <c r="K315" s="112">
        <v>46205</v>
      </c>
      <c r="L315" s="39"/>
      <c r="M315" s="39" t="s">
        <v>4946</v>
      </c>
      <c r="N315" s="39" t="s">
        <v>7983</v>
      </c>
      <c r="O315" s="39" t="s">
        <v>7982</v>
      </c>
      <c r="P315" s="52" t="s">
        <v>7389</v>
      </c>
    </row>
    <row r="316" spans="1:16" x14ac:dyDescent="0.25">
      <c r="A316" s="108"/>
      <c r="B316" s="39">
        <v>306</v>
      </c>
      <c r="C316" s="159" t="s">
        <v>8016</v>
      </c>
      <c r="D316" s="160"/>
      <c r="E316" s="160"/>
      <c r="F316" s="160"/>
      <c r="G316" s="160"/>
      <c r="H316" s="161"/>
      <c r="I316" s="39" t="s">
        <v>8017</v>
      </c>
      <c r="J316" s="111"/>
      <c r="K316" s="112">
        <v>46205</v>
      </c>
      <c r="L316" s="39"/>
      <c r="M316" s="39" t="s">
        <v>8020</v>
      </c>
      <c r="N316" s="39" t="s">
        <v>8018</v>
      </c>
      <c r="O316" s="39" t="s">
        <v>8024</v>
      </c>
      <c r="P316" s="52" t="s">
        <v>8019</v>
      </c>
    </row>
    <row r="317" spans="1:16" x14ac:dyDescent="0.25">
      <c r="A317" s="108"/>
      <c r="B317" s="39">
        <v>307</v>
      </c>
      <c r="C317" s="159" t="s">
        <v>8026</v>
      </c>
      <c r="D317" s="160"/>
      <c r="E317" s="160"/>
      <c r="F317" s="160"/>
      <c r="G317" s="160"/>
      <c r="H317" s="161"/>
      <c r="I317" s="39" t="s">
        <v>1875</v>
      </c>
      <c r="J317" s="111"/>
      <c r="K317" s="112">
        <v>46206</v>
      </c>
      <c r="L317" s="39"/>
      <c r="M317" s="39">
        <v>3245777917</v>
      </c>
      <c r="N317" s="39" t="s">
        <v>7913</v>
      </c>
      <c r="O317" s="39" t="s">
        <v>8030</v>
      </c>
      <c r="P317" s="52" t="s">
        <v>7914</v>
      </c>
    </row>
    <row r="318" spans="1:16" ht="15" customHeight="1" x14ac:dyDescent="0.25">
      <c r="A318" s="108"/>
      <c r="B318" s="39">
        <v>308</v>
      </c>
      <c r="C318" s="159" t="s">
        <v>8025</v>
      </c>
      <c r="D318" s="160"/>
      <c r="E318" s="160"/>
      <c r="F318" s="160"/>
      <c r="G318" s="160"/>
      <c r="H318" s="161"/>
      <c r="I318" s="39" t="s">
        <v>2743</v>
      </c>
      <c r="J318" s="111">
        <v>13560000</v>
      </c>
      <c r="K318" s="112">
        <v>46206</v>
      </c>
      <c r="L318" s="39"/>
      <c r="M318" s="39" t="s">
        <v>8029</v>
      </c>
      <c r="N318" s="39" t="s">
        <v>8027</v>
      </c>
      <c r="O318" s="39" t="s">
        <v>8028</v>
      </c>
      <c r="P318" s="52" t="s">
        <v>8031</v>
      </c>
    </row>
    <row r="319" spans="1:16" x14ac:dyDescent="0.25">
      <c r="A319" s="108"/>
      <c r="B319" s="39">
        <v>309</v>
      </c>
      <c r="C319" s="159" t="s">
        <v>8032</v>
      </c>
      <c r="D319" s="160"/>
      <c r="E319" s="160"/>
      <c r="F319" s="160"/>
      <c r="G319" s="160"/>
      <c r="H319" s="161"/>
      <c r="I319" s="39" t="s">
        <v>6668</v>
      </c>
      <c r="J319" s="111">
        <v>26950000</v>
      </c>
      <c r="K319" s="112">
        <v>46206</v>
      </c>
      <c r="L319" s="39"/>
      <c r="M319" s="39">
        <v>3053533308</v>
      </c>
      <c r="N319" s="39" t="s">
        <v>6665</v>
      </c>
      <c r="P319" s="52" t="s">
        <v>6666</v>
      </c>
    </row>
    <row r="320" spans="1:16" x14ac:dyDescent="0.25">
      <c r="A320" s="108"/>
      <c r="B320" s="39">
        <v>310</v>
      </c>
      <c r="C320" s="159" t="s">
        <v>8033</v>
      </c>
      <c r="D320" s="160"/>
      <c r="E320" s="160"/>
      <c r="F320" s="160"/>
      <c r="G320" s="160"/>
      <c r="H320" s="161"/>
      <c r="I320" s="39" t="s">
        <v>5549</v>
      </c>
      <c r="J320" s="111"/>
      <c r="K320" s="112">
        <v>46206</v>
      </c>
      <c r="L320" s="39"/>
      <c r="M320" s="39"/>
      <c r="N320" s="39" t="s">
        <v>7719</v>
      </c>
      <c r="O320" s="39" t="s">
        <v>7974</v>
      </c>
      <c r="P320" s="52" t="s">
        <v>5627</v>
      </c>
    </row>
    <row r="321" spans="1:16" x14ac:dyDescent="0.25">
      <c r="A321" s="108"/>
      <c r="B321" s="39">
        <v>311</v>
      </c>
      <c r="C321" s="159" t="s">
        <v>8037</v>
      </c>
      <c r="D321" s="160"/>
      <c r="E321" s="160"/>
      <c r="F321" s="160"/>
      <c r="G321" s="160"/>
      <c r="H321" s="161"/>
      <c r="I321" s="39" t="s">
        <v>5189</v>
      </c>
      <c r="J321" s="111"/>
      <c r="K321" s="112">
        <v>46206</v>
      </c>
      <c r="L321" s="39"/>
      <c r="M321" s="39"/>
      <c r="N321" s="39" t="s">
        <v>8034</v>
      </c>
      <c r="O321" s="39" t="s">
        <v>8035</v>
      </c>
      <c r="P321" s="52" t="s">
        <v>8036</v>
      </c>
    </row>
    <row r="322" spans="1:16" x14ac:dyDescent="0.25">
      <c r="A322" s="108"/>
      <c r="B322" s="39">
        <v>312</v>
      </c>
      <c r="C322" s="159" t="s">
        <v>8040</v>
      </c>
      <c r="D322" s="160"/>
      <c r="E322" s="160"/>
      <c r="F322" s="160"/>
      <c r="G322" s="160"/>
      <c r="H322" s="161"/>
      <c r="I322" s="39" t="s">
        <v>5655</v>
      </c>
      <c r="J322" s="111"/>
      <c r="K322" s="112">
        <v>46206</v>
      </c>
      <c r="L322" s="39"/>
      <c r="M322" s="39">
        <v>3147607314</v>
      </c>
      <c r="N322" s="39" t="s">
        <v>8038</v>
      </c>
      <c r="O322" s="39" t="s">
        <v>8041</v>
      </c>
      <c r="P322" s="52" t="s">
        <v>8039</v>
      </c>
    </row>
    <row r="323" spans="1:16" x14ac:dyDescent="0.25">
      <c r="A323" s="108"/>
      <c r="B323" s="39">
        <v>313</v>
      </c>
      <c r="C323" s="159" t="s">
        <v>8042</v>
      </c>
      <c r="D323" s="160"/>
      <c r="E323" s="160"/>
      <c r="F323" s="160"/>
      <c r="G323" s="160"/>
      <c r="H323" s="161"/>
      <c r="I323" s="39" t="s">
        <v>5655</v>
      </c>
      <c r="J323" s="111"/>
      <c r="K323" s="112">
        <v>46206</v>
      </c>
      <c r="L323" s="39"/>
      <c r="M323" s="39">
        <v>3147607314</v>
      </c>
      <c r="N323" s="39" t="s">
        <v>8038</v>
      </c>
      <c r="O323" s="39" t="s">
        <v>8041</v>
      </c>
      <c r="P323" s="52" t="s">
        <v>8039</v>
      </c>
    </row>
    <row r="324" spans="1:16" x14ac:dyDescent="0.25">
      <c r="A324" s="108"/>
      <c r="B324" s="39">
        <v>314</v>
      </c>
      <c r="C324" s="159" t="s">
        <v>8043</v>
      </c>
      <c r="D324" s="160"/>
      <c r="E324" s="160"/>
      <c r="F324" s="160"/>
      <c r="G324" s="160"/>
      <c r="H324" s="161"/>
      <c r="I324" s="39" t="s">
        <v>4939</v>
      </c>
      <c r="J324" s="111"/>
      <c r="K324" s="112">
        <v>46206</v>
      </c>
      <c r="L324" s="39"/>
      <c r="M324" s="39">
        <v>3008242202</v>
      </c>
      <c r="N324" s="39" t="s">
        <v>8044</v>
      </c>
      <c r="O324" s="39" t="s">
        <v>8045</v>
      </c>
      <c r="P324" s="52" t="s">
        <v>5719</v>
      </c>
    </row>
    <row r="325" spans="1:16" x14ac:dyDescent="0.25">
      <c r="A325" s="108"/>
      <c r="B325" s="39">
        <v>315</v>
      </c>
      <c r="C325" s="159" t="s">
        <v>8046</v>
      </c>
      <c r="D325" s="160"/>
      <c r="E325" s="160"/>
      <c r="F325" s="160"/>
      <c r="G325" s="160"/>
      <c r="H325" s="161"/>
      <c r="I325" s="39" t="s">
        <v>6545</v>
      </c>
      <c r="J325" s="111"/>
      <c r="K325" s="112">
        <v>46206</v>
      </c>
      <c r="L325" s="39"/>
      <c r="M325" s="39">
        <v>3134451063</v>
      </c>
      <c r="N325" s="39" t="s">
        <v>6906</v>
      </c>
      <c r="O325" s="39" t="s">
        <v>8006</v>
      </c>
      <c r="P325" s="38" t="s">
        <v>6907</v>
      </c>
    </row>
    <row r="326" spans="1:16" x14ac:dyDescent="0.25">
      <c r="A326" s="108"/>
      <c r="B326" s="39">
        <v>316</v>
      </c>
      <c r="C326" s="159"/>
      <c r="D326" s="160"/>
      <c r="E326" s="160"/>
      <c r="F326" s="160"/>
      <c r="G326" s="160"/>
      <c r="H326" s="161"/>
      <c r="I326" s="39"/>
      <c r="J326" s="111"/>
      <c r="K326" s="112"/>
      <c r="L326" s="39"/>
      <c r="M326" s="39"/>
      <c r="N326" s="39"/>
      <c r="O326" s="39"/>
      <c r="P326" s="115"/>
    </row>
    <row r="327" spans="1:16" x14ac:dyDescent="0.25">
      <c r="A327" s="108"/>
      <c r="B327" s="39">
        <v>317</v>
      </c>
      <c r="C327" s="159"/>
      <c r="D327" s="160"/>
      <c r="E327" s="160"/>
      <c r="F327" s="160"/>
      <c r="G327" s="160"/>
      <c r="H327" s="161"/>
      <c r="I327" s="39"/>
      <c r="J327" s="111"/>
      <c r="K327" s="112"/>
      <c r="L327" s="39"/>
      <c r="M327" s="39"/>
      <c r="N327" s="39"/>
      <c r="O327" s="39"/>
      <c r="P327" s="52"/>
    </row>
    <row r="328" spans="1:16" x14ac:dyDescent="0.25">
      <c r="A328" s="108"/>
      <c r="B328" s="39">
        <v>318</v>
      </c>
      <c r="C328" s="159"/>
      <c r="D328" s="160"/>
      <c r="E328" s="160"/>
      <c r="F328" s="160"/>
      <c r="G328" s="160"/>
      <c r="H328" s="161"/>
      <c r="I328" s="39"/>
      <c r="J328" s="111"/>
      <c r="K328" s="112"/>
      <c r="L328" s="39"/>
      <c r="M328" s="39"/>
      <c r="N328" s="39"/>
      <c r="O328" s="39"/>
      <c r="P328" s="115"/>
    </row>
    <row r="329" spans="1:16" x14ac:dyDescent="0.25">
      <c r="A329" s="108"/>
      <c r="B329" s="39">
        <v>319</v>
      </c>
      <c r="C329" s="159"/>
      <c r="D329" s="160"/>
      <c r="E329" s="160"/>
      <c r="F329" s="160"/>
      <c r="G329" s="160"/>
      <c r="H329" s="161"/>
      <c r="I329" s="39"/>
      <c r="J329" s="111"/>
      <c r="K329" s="112"/>
      <c r="L329" s="39"/>
      <c r="M329" s="39"/>
      <c r="N329" s="39"/>
      <c r="O329" s="39"/>
      <c r="P329" s="115"/>
    </row>
    <row r="330" spans="1:16" x14ac:dyDescent="0.25">
      <c r="A330" s="108"/>
      <c r="B330" s="39">
        <v>320</v>
      </c>
      <c r="C330" s="159"/>
      <c r="D330" s="160"/>
      <c r="E330" s="160"/>
      <c r="F330" s="160"/>
      <c r="G330" s="160"/>
      <c r="H330" s="161"/>
      <c r="I330" s="39"/>
      <c r="J330" s="111"/>
      <c r="K330" s="112"/>
      <c r="L330" s="39"/>
      <c r="M330" s="39"/>
      <c r="N330" s="39"/>
      <c r="O330" s="39"/>
      <c r="P330" s="115"/>
    </row>
    <row r="331" spans="1:16" x14ac:dyDescent="0.25">
      <c r="A331" s="108"/>
      <c r="B331" s="39">
        <v>321</v>
      </c>
      <c r="C331" s="159"/>
      <c r="D331" s="160"/>
      <c r="E331" s="160"/>
      <c r="F331" s="160"/>
      <c r="G331" s="160"/>
      <c r="H331" s="161"/>
      <c r="I331" s="39"/>
      <c r="J331" s="111"/>
      <c r="K331" s="112"/>
      <c r="L331" s="39"/>
      <c r="M331" s="39"/>
      <c r="N331" s="39"/>
      <c r="O331" s="39"/>
      <c r="P331" s="115"/>
    </row>
    <row r="332" spans="1:16" x14ac:dyDescent="0.25">
      <c r="A332" s="108"/>
      <c r="B332" s="39">
        <v>322</v>
      </c>
      <c r="C332" s="159"/>
      <c r="D332" s="160"/>
      <c r="E332" s="160"/>
      <c r="F332" s="160"/>
      <c r="G332" s="160"/>
      <c r="H332" s="161"/>
      <c r="I332" s="39"/>
      <c r="J332" s="111"/>
      <c r="K332" s="112"/>
      <c r="L332" s="39"/>
      <c r="M332" s="39"/>
      <c r="N332" s="39"/>
      <c r="O332" s="39"/>
      <c r="P332" s="115"/>
    </row>
    <row r="333" spans="1:16" x14ac:dyDescent="0.25">
      <c r="A333" s="108"/>
      <c r="B333" s="39">
        <v>323</v>
      </c>
      <c r="C333" s="159"/>
      <c r="D333" s="160"/>
      <c r="E333" s="160"/>
      <c r="F333" s="160"/>
      <c r="G333" s="160"/>
      <c r="H333" s="161"/>
      <c r="I333" s="39"/>
      <c r="J333" s="111"/>
      <c r="K333" s="112"/>
      <c r="L333" s="39"/>
      <c r="M333" s="39"/>
      <c r="N333" s="39"/>
      <c r="O333" s="39"/>
      <c r="P333" s="52"/>
    </row>
    <row r="334" spans="1:16" x14ac:dyDescent="0.25">
      <c r="A334" s="108"/>
      <c r="B334" s="39">
        <v>324</v>
      </c>
      <c r="C334" s="159"/>
      <c r="D334" s="160"/>
      <c r="E334" s="160"/>
      <c r="F334" s="160"/>
      <c r="G334" s="160"/>
      <c r="H334" s="161"/>
      <c r="I334" s="39"/>
      <c r="J334" s="111"/>
      <c r="K334" s="112"/>
      <c r="L334" s="39"/>
      <c r="M334" s="39"/>
      <c r="N334" s="39"/>
      <c r="O334" s="39"/>
      <c r="P334" s="52"/>
    </row>
    <row r="335" spans="1:16" x14ac:dyDescent="0.25">
      <c r="A335" s="108"/>
      <c r="B335" s="39">
        <v>325</v>
      </c>
      <c r="C335" s="159"/>
      <c r="D335" s="160"/>
      <c r="E335" s="160"/>
      <c r="F335" s="160"/>
      <c r="G335" s="160"/>
      <c r="H335" s="161"/>
      <c r="I335" s="39"/>
      <c r="J335" s="111"/>
      <c r="K335" s="112"/>
      <c r="L335" s="39"/>
      <c r="M335" s="39"/>
      <c r="N335" s="39"/>
      <c r="O335" s="39"/>
      <c r="P335" s="115"/>
    </row>
    <row r="336" spans="1:16" x14ac:dyDescent="0.25">
      <c r="A336" s="108"/>
      <c r="B336" s="39">
        <v>326</v>
      </c>
      <c r="C336" s="159"/>
      <c r="D336" s="160"/>
      <c r="E336" s="160"/>
      <c r="F336" s="160"/>
      <c r="G336" s="160"/>
      <c r="H336" s="161"/>
      <c r="I336" s="39"/>
      <c r="J336" s="111"/>
      <c r="K336" s="112"/>
      <c r="L336" s="39"/>
      <c r="M336" s="39"/>
      <c r="N336" s="39"/>
      <c r="O336" s="39"/>
      <c r="P336" s="52"/>
    </row>
    <row r="337" spans="1:16" x14ac:dyDescent="0.25">
      <c r="A337" s="108"/>
      <c r="B337" s="39">
        <v>327</v>
      </c>
      <c r="C337" s="159"/>
      <c r="D337" s="160"/>
      <c r="E337" s="160"/>
      <c r="F337" s="160"/>
      <c r="G337" s="160"/>
      <c r="H337" s="161"/>
      <c r="I337" s="39"/>
      <c r="J337" s="111"/>
      <c r="K337" s="112"/>
      <c r="L337" s="39"/>
      <c r="M337" s="39"/>
      <c r="N337" s="39"/>
      <c r="O337" s="39"/>
      <c r="P337" s="115"/>
    </row>
    <row r="338" spans="1:16" x14ac:dyDescent="0.25">
      <c r="A338" s="108"/>
      <c r="B338" s="39">
        <v>328</v>
      </c>
      <c r="C338" s="159"/>
      <c r="D338" s="160"/>
      <c r="E338" s="160"/>
      <c r="F338" s="160"/>
      <c r="G338" s="160"/>
      <c r="H338" s="161"/>
      <c r="I338" s="39"/>
      <c r="J338" s="111"/>
      <c r="K338" s="112"/>
      <c r="L338" s="39"/>
      <c r="M338" s="39"/>
      <c r="N338" s="39"/>
      <c r="O338" s="39"/>
      <c r="P338" s="115"/>
    </row>
    <row r="339" spans="1:16" x14ac:dyDescent="0.25">
      <c r="A339" s="108"/>
      <c r="B339" s="39">
        <v>329</v>
      </c>
      <c r="C339" s="159"/>
      <c r="D339" s="160"/>
      <c r="E339" s="160"/>
      <c r="F339" s="160"/>
      <c r="G339" s="160"/>
      <c r="H339" s="161"/>
      <c r="I339" s="39"/>
      <c r="J339" s="111"/>
      <c r="K339" s="112"/>
      <c r="L339" s="39"/>
      <c r="M339" s="39"/>
      <c r="N339" s="39"/>
      <c r="O339" s="39"/>
      <c r="P339" s="115"/>
    </row>
    <row r="340" spans="1:16" x14ac:dyDescent="0.25">
      <c r="A340" s="108"/>
      <c r="B340" s="39">
        <v>330</v>
      </c>
      <c r="C340" s="159"/>
      <c r="D340" s="160"/>
      <c r="E340" s="160"/>
      <c r="F340" s="160"/>
      <c r="G340" s="160"/>
      <c r="H340" s="161"/>
      <c r="I340" s="39"/>
      <c r="J340" s="111"/>
      <c r="K340" s="112"/>
      <c r="L340" s="39"/>
      <c r="M340" s="39"/>
      <c r="N340" s="39"/>
      <c r="O340" s="39"/>
      <c r="P340" s="52"/>
    </row>
    <row r="341" spans="1:16" x14ac:dyDescent="0.25">
      <c r="A341" s="108"/>
      <c r="B341" s="39">
        <v>331</v>
      </c>
      <c r="C341" s="159"/>
      <c r="D341" s="160"/>
      <c r="E341" s="160"/>
      <c r="F341" s="160"/>
      <c r="G341" s="160"/>
      <c r="H341" s="161"/>
      <c r="I341" s="39"/>
      <c r="J341" s="111"/>
      <c r="K341" s="112"/>
      <c r="L341" s="39"/>
      <c r="M341" s="39"/>
      <c r="N341" s="39"/>
      <c r="O341" s="39"/>
      <c r="P341" s="52"/>
    </row>
    <row r="342" spans="1:16" x14ac:dyDescent="0.25">
      <c r="A342" s="108"/>
      <c r="B342" s="39">
        <v>332</v>
      </c>
      <c r="C342" s="159"/>
      <c r="D342" s="160"/>
      <c r="E342" s="160"/>
      <c r="F342" s="160"/>
      <c r="G342" s="160"/>
      <c r="H342" s="161"/>
      <c r="I342" s="39"/>
      <c r="J342" s="111"/>
      <c r="K342" s="112"/>
      <c r="L342" s="39"/>
      <c r="M342" s="39"/>
      <c r="N342" s="39"/>
      <c r="O342" s="39"/>
      <c r="P342" s="52"/>
    </row>
    <row r="343" spans="1:16" ht="15" customHeight="1" x14ac:dyDescent="0.25">
      <c r="A343" s="108"/>
      <c r="B343" s="39">
        <v>333</v>
      </c>
      <c r="C343" s="159"/>
      <c r="D343" s="160"/>
      <c r="E343" s="160"/>
      <c r="F343" s="160"/>
      <c r="G343" s="160"/>
      <c r="H343" s="161"/>
      <c r="I343" s="39"/>
      <c r="J343" s="111"/>
      <c r="K343" s="112"/>
      <c r="L343" s="39"/>
      <c r="M343" s="39"/>
      <c r="N343" s="39"/>
      <c r="O343" s="39"/>
      <c r="P343" s="115"/>
    </row>
    <row r="344" spans="1:16" x14ac:dyDescent="0.25">
      <c r="A344" s="108"/>
      <c r="B344" s="39">
        <v>334</v>
      </c>
      <c r="C344" s="159"/>
      <c r="D344" s="160"/>
      <c r="E344" s="160"/>
      <c r="F344" s="160"/>
      <c r="G344" s="160"/>
      <c r="H344" s="161"/>
      <c r="I344" s="39"/>
      <c r="J344" s="111"/>
      <c r="K344" s="112"/>
      <c r="L344" s="39"/>
      <c r="M344" s="39"/>
      <c r="N344" s="39"/>
      <c r="O344" s="39"/>
      <c r="P344" s="52"/>
    </row>
    <row r="345" spans="1:16" x14ac:dyDescent="0.25">
      <c r="A345" s="108"/>
      <c r="B345" s="39">
        <v>335</v>
      </c>
      <c r="C345" s="159"/>
      <c r="D345" s="160"/>
      <c r="E345" s="160"/>
      <c r="F345" s="160"/>
      <c r="G345" s="160"/>
      <c r="H345" s="161"/>
      <c r="I345" s="39"/>
      <c r="J345" s="111"/>
      <c r="K345" s="112"/>
      <c r="L345" s="39"/>
      <c r="M345" s="39"/>
      <c r="N345" s="39"/>
      <c r="O345" s="39"/>
      <c r="P345" s="115"/>
    </row>
    <row r="346" spans="1:16" x14ac:dyDescent="0.25">
      <c r="A346" s="108"/>
      <c r="B346" s="39">
        <v>336</v>
      </c>
      <c r="C346" s="159"/>
      <c r="D346" s="160"/>
      <c r="E346" s="160"/>
      <c r="F346" s="160"/>
      <c r="G346" s="160"/>
      <c r="H346" s="161"/>
      <c r="I346" s="39"/>
      <c r="J346" s="111"/>
      <c r="K346" s="112"/>
      <c r="L346" s="39"/>
      <c r="M346" s="39"/>
      <c r="N346" s="39"/>
      <c r="O346" s="39"/>
      <c r="P346" s="52"/>
    </row>
    <row r="347" spans="1:16" x14ac:dyDescent="0.25">
      <c r="A347" s="108"/>
      <c r="B347" s="39">
        <v>337</v>
      </c>
      <c r="C347" s="159"/>
      <c r="D347" s="160"/>
      <c r="E347" s="160"/>
      <c r="F347" s="160"/>
      <c r="G347" s="160"/>
      <c r="H347" s="161"/>
      <c r="I347" s="39"/>
      <c r="J347" s="111"/>
      <c r="K347" s="112"/>
      <c r="L347" s="39"/>
      <c r="M347" s="39"/>
      <c r="N347" s="39"/>
      <c r="O347" s="39"/>
      <c r="P347" s="52"/>
    </row>
    <row r="348" spans="1:16" x14ac:dyDescent="0.25">
      <c r="A348" s="108"/>
      <c r="B348" s="39">
        <v>338</v>
      </c>
      <c r="C348" s="159"/>
      <c r="D348" s="160"/>
      <c r="E348" s="160"/>
      <c r="F348" s="160"/>
      <c r="G348" s="160"/>
      <c r="H348" s="161"/>
      <c r="I348" s="39"/>
      <c r="J348" s="111"/>
      <c r="K348" s="112"/>
      <c r="L348" s="39"/>
      <c r="M348" s="32"/>
      <c r="N348" s="32"/>
      <c r="O348" s="32"/>
      <c r="P348" s="52"/>
    </row>
    <row r="349" spans="1:16" x14ac:dyDescent="0.25">
      <c r="A349" s="108"/>
      <c r="B349" s="39">
        <v>339</v>
      </c>
      <c r="C349" s="159"/>
      <c r="D349" s="160"/>
      <c r="E349" s="160"/>
      <c r="F349" s="160"/>
      <c r="G349" s="160"/>
      <c r="H349" s="161"/>
      <c r="I349" s="39"/>
      <c r="J349" s="111"/>
      <c r="K349" s="112"/>
      <c r="L349" s="39"/>
      <c r="M349" s="39"/>
      <c r="N349" s="39"/>
      <c r="O349" s="39"/>
      <c r="P349" s="52"/>
    </row>
    <row r="350" spans="1:16" ht="15" customHeight="1" x14ac:dyDescent="0.25">
      <c r="A350" s="108"/>
      <c r="B350" s="39">
        <v>340</v>
      </c>
      <c r="C350" s="159"/>
      <c r="D350" s="160"/>
      <c r="E350" s="160"/>
      <c r="F350" s="160"/>
      <c r="G350" s="160"/>
      <c r="H350" s="161"/>
      <c r="I350" s="39"/>
      <c r="J350" s="111"/>
      <c r="K350" s="112"/>
      <c r="L350" s="39"/>
      <c r="M350" s="39"/>
      <c r="N350" s="39"/>
      <c r="O350" s="39"/>
      <c r="P350" s="52"/>
    </row>
    <row r="351" spans="1:16" ht="15" customHeight="1" x14ac:dyDescent="0.25">
      <c r="A351" s="108"/>
      <c r="B351" s="39">
        <v>341</v>
      </c>
      <c r="C351" s="159"/>
      <c r="D351" s="160"/>
      <c r="E351" s="160"/>
      <c r="F351" s="160"/>
      <c r="G351" s="160"/>
      <c r="H351" s="161"/>
      <c r="I351" s="39"/>
      <c r="J351" s="111"/>
      <c r="K351" s="112"/>
      <c r="L351" s="39"/>
      <c r="M351" s="39"/>
      <c r="N351" s="39"/>
      <c r="O351" s="39"/>
      <c r="P351" s="115"/>
    </row>
    <row r="352" spans="1:16" x14ac:dyDescent="0.25">
      <c r="A352" s="108"/>
      <c r="B352" s="39">
        <v>342</v>
      </c>
      <c r="C352" s="159"/>
      <c r="D352" s="160"/>
      <c r="E352" s="160"/>
      <c r="F352" s="160"/>
      <c r="G352" s="160"/>
      <c r="H352" s="161"/>
      <c r="I352" s="39"/>
      <c r="J352" s="111"/>
      <c r="K352" s="112"/>
      <c r="L352" s="39"/>
      <c r="M352" s="39"/>
      <c r="N352" s="39"/>
      <c r="O352" s="39"/>
      <c r="P352" s="52"/>
    </row>
    <row r="353" spans="1:16" x14ac:dyDescent="0.25">
      <c r="A353" s="108"/>
      <c r="B353" s="39">
        <v>343</v>
      </c>
      <c r="C353" s="159"/>
      <c r="D353" s="160"/>
      <c r="E353" s="160"/>
      <c r="F353" s="160"/>
      <c r="G353" s="160"/>
      <c r="H353" s="161"/>
      <c r="I353" s="39"/>
      <c r="J353" s="111"/>
      <c r="K353" s="112"/>
      <c r="L353" s="39"/>
      <c r="M353" s="39"/>
      <c r="N353" s="39"/>
      <c r="O353" s="39"/>
      <c r="P353" s="52"/>
    </row>
    <row r="354" spans="1:16" x14ac:dyDescent="0.25">
      <c r="A354" s="108"/>
      <c r="B354" s="39">
        <v>344</v>
      </c>
      <c r="C354" s="159"/>
      <c r="D354" s="160"/>
      <c r="E354" s="160"/>
      <c r="F354" s="160"/>
      <c r="G354" s="160"/>
      <c r="H354" s="161"/>
      <c r="I354" s="39"/>
      <c r="J354" s="111"/>
      <c r="K354" s="112"/>
      <c r="L354" s="39"/>
      <c r="M354" s="39"/>
      <c r="N354" s="39"/>
      <c r="O354" s="39"/>
      <c r="P354" s="52"/>
    </row>
    <row r="355" spans="1:16" x14ac:dyDescent="0.25">
      <c r="A355" s="108"/>
      <c r="B355" s="39">
        <v>345</v>
      </c>
      <c r="C355" s="159"/>
      <c r="D355" s="160"/>
      <c r="E355" s="160"/>
      <c r="F355" s="160"/>
      <c r="G355" s="160"/>
      <c r="H355" s="161"/>
      <c r="I355" s="39"/>
      <c r="J355" s="111"/>
      <c r="K355" s="112"/>
      <c r="L355" s="39"/>
      <c r="M355" s="39"/>
      <c r="N355" s="39"/>
      <c r="O355" s="39"/>
      <c r="P355" s="52"/>
    </row>
    <row r="356" spans="1:16" x14ac:dyDescent="0.25">
      <c r="A356" s="108"/>
      <c r="B356" s="39">
        <v>346</v>
      </c>
      <c r="C356" s="159"/>
      <c r="D356" s="160"/>
      <c r="E356" s="160"/>
      <c r="F356" s="160"/>
      <c r="G356" s="160"/>
      <c r="H356" s="161"/>
      <c r="I356" s="39"/>
      <c r="J356" s="111"/>
      <c r="K356" s="112"/>
      <c r="L356" s="39"/>
      <c r="M356" s="39"/>
      <c r="N356" s="39"/>
      <c r="O356" s="39"/>
      <c r="P356" s="52"/>
    </row>
    <row r="357" spans="1:16" x14ac:dyDescent="0.25">
      <c r="A357" s="108"/>
      <c r="B357" s="39">
        <v>347</v>
      </c>
      <c r="C357" s="159"/>
      <c r="D357" s="160"/>
      <c r="E357" s="160"/>
      <c r="F357" s="160"/>
      <c r="G357" s="160"/>
      <c r="H357" s="161"/>
      <c r="I357" s="39"/>
      <c r="J357" s="111"/>
      <c r="K357" s="112"/>
      <c r="L357" s="39"/>
      <c r="M357" s="39"/>
      <c r="N357" s="39"/>
      <c r="O357" s="39"/>
      <c r="P357" s="52"/>
    </row>
    <row r="358" spans="1:16" ht="15" customHeight="1" x14ac:dyDescent="0.25">
      <c r="A358" s="108"/>
      <c r="B358" s="39">
        <v>348</v>
      </c>
      <c r="C358" s="159"/>
      <c r="D358" s="160"/>
      <c r="E358" s="160"/>
      <c r="F358" s="160"/>
      <c r="G358" s="160"/>
      <c r="H358" s="161"/>
      <c r="I358" s="39"/>
      <c r="J358" s="111"/>
      <c r="K358" s="112"/>
      <c r="L358" s="39"/>
      <c r="M358" s="39"/>
      <c r="N358" s="39"/>
      <c r="O358" s="39"/>
      <c r="P358" s="115"/>
    </row>
    <row r="359" spans="1:16" ht="15" customHeight="1" x14ac:dyDescent="0.25">
      <c r="A359" s="108"/>
      <c r="B359" s="39">
        <v>349</v>
      </c>
      <c r="C359" s="159"/>
      <c r="D359" s="160"/>
      <c r="E359" s="160"/>
      <c r="F359" s="160"/>
      <c r="G359" s="160"/>
      <c r="H359" s="161"/>
      <c r="I359" s="39"/>
      <c r="J359" s="111"/>
      <c r="K359" s="112"/>
      <c r="L359" s="39"/>
      <c r="M359" s="39"/>
      <c r="N359" s="39"/>
      <c r="O359" s="39"/>
      <c r="P359" s="115"/>
    </row>
    <row r="360" spans="1:16" x14ac:dyDescent="0.25">
      <c r="A360" s="108"/>
      <c r="B360" s="39">
        <v>350</v>
      </c>
      <c r="C360" s="159"/>
      <c r="D360" s="160"/>
      <c r="E360" s="160"/>
      <c r="F360" s="160"/>
      <c r="G360" s="160"/>
      <c r="H360" s="161"/>
      <c r="I360" s="39"/>
      <c r="J360" s="111"/>
      <c r="K360" s="112"/>
      <c r="L360" s="39"/>
      <c r="M360" s="39"/>
      <c r="N360" s="39"/>
      <c r="O360" s="39"/>
      <c r="P360" s="115"/>
    </row>
    <row r="361" spans="1:16" ht="15" customHeight="1" x14ac:dyDescent="0.25">
      <c r="A361" s="108"/>
      <c r="B361" s="39">
        <v>351</v>
      </c>
      <c r="C361" s="159"/>
      <c r="D361" s="160"/>
      <c r="E361" s="160"/>
      <c r="F361" s="160"/>
      <c r="G361" s="160"/>
      <c r="H361" s="161"/>
      <c r="I361" s="39"/>
      <c r="J361" s="111"/>
      <c r="K361" s="112"/>
      <c r="L361" s="39"/>
      <c r="M361" s="39"/>
      <c r="N361" s="39"/>
      <c r="O361" s="39"/>
      <c r="P361" s="52"/>
    </row>
    <row r="362" spans="1:16" x14ac:dyDescent="0.25">
      <c r="A362" s="108"/>
      <c r="B362" s="39">
        <v>352</v>
      </c>
      <c r="C362" s="159"/>
      <c r="D362" s="160"/>
      <c r="E362" s="160"/>
      <c r="F362" s="160"/>
      <c r="G362" s="160"/>
      <c r="H362" s="161"/>
      <c r="I362" s="39"/>
      <c r="J362" s="111"/>
      <c r="K362" s="112"/>
      <c r="L362" s="39"/>
      <c r="M362" s="39"/>
      <c r="N362" s="39"/>
      <c r="O362" s="39"/>
      <c r="P362" s="52"/>
    </row>
    <row r="363" spans="1:16" x14ac:dyDescent="0.25">
      <c r="A363" s="108"/>
      <c r="B363" s="39">
        <v>353</v>
      </c>
      <c r="C363" s="159"/>
      <c r="D363" s="160"/>
      <c r="E363" s="160"/>
      <c r="F363" s="160"/>
      <c r="G363" s="160"/>
      <c r="H363" s="161"/>
      <c r="I363" s="39"/>
      <c r="J363" s="111"/>
      <c r="K363" s="112"/>
      <c r="L363" s="39"/>
      <c r="M363" s="39"/>
      <c r="N363" s="39"/>
      <c r="O363" s="39"/>
      <c r="P363" s="115"/>
    </row>
    <row r="364" spans="1:16" x14ac:dyDescent="0.25">
      <c r="A364" s="108"/>
      <c r="B364" s="39">
        <v>354</v>
      </c>
      <c r="C364" s="159"/>
      <c r="D364" s="160"/>
      <c r="E364" s="160"/>
      <c r="F364" s="160"/>
      <c r="G364" s="160"/>
      <c r="H364" s="161"/>
      <c r="I364" s="39"/>
      <c r="J364" s="111"/>
      <c r="K364" s="112"/>
      <c r="L364" s="39"/>
      <c r="M364" s="39"/>
      <c r="N364" s="39"/>
      <c r="O364" s="39"/>
      <c r="P364" s="115"/>
    </row>
    <row r="365" spans="1:16" x14ac:dyDescent="0.25">
      <c r="A365" s="108"/>
      <c r="B365" s="39">
        <v>355</v>
      </c>
      <c r="C365" s="159"/>
      <c r="D365" s="160"/>
      <c r="E365" s="160"/>
      <c r="F365" s="160"/>
      <c r="G365" s="160"/>
      <c r="H365" s="161"/>
      <c r="I365" s="39"/>
      <c r="J365" s="111"/>
      <c r="K365" s="112"/>
      <c r="L365" s="39"/>
      <c r="M365" s="39"/>
      <c r="N365" s="39"/>
      <c r="O365" s="39"/>
      <c r="P365" s="115"/>
    </row>
    <row r="366" spans="1:16" x14ac:dyDescent="0.25">
      <c r="A366" s="108"/>
      <c r="B366" s="39">
        <v>356</v>
      </c>
      <c r="C366" s="159"/>
      <c r="D366" s="160"/>
      <c r="E366" s="160"/>
      <c r="F366" s="160"/>
      <c r="G366" s="160"/>
      <c r="H366" s="161"/>
      <c r="I366" s="39"/>
      <c r="J366" s="111"/>
      <c r="K366" s="112"/>
      <c r="L366" s="39"/>
      <c r="M366" s="39"/>
      <c r="N366" s="39"/>
      <c r="O366" s="39"/>
      <c r="P366" s="115"/>
    </row>
    <row r="367" spans="1:16" x14ac:dyDescent="0.25">
      <c r="A367" s="108"/>
      <c r="B367" s="39">
        <v>357</v>
      </c>
      <c r="C367" s="159"/>
      <c r="D367" s="160"/>
      <c r="E367" s="160"/>
      <c r="F367" s="160"/>
      <c r="G367" s="160"/>
      <c r="H367" s="161"/>
      <c r="I367" s="39"/>
      <c r="J367" s="111"/>
      <c r="K367" s="112"/>
      <c r="L367" s="39"/>
      <c r="M367" s="39"/>
      <c r="N367" s="39"/>
      <c r="O367" s="39"/>
      <c r="P367" s="115"/>
    </row>
    <row r="368" spans="1:16" x14ac:dyDescent="0.25">
      <c r="A368" s="108"/>
      <c r="B368" s="39">
        <v>358</v>
      </c>
      <c r="C368" s="159"/>
      <c r="D368" s="160"/>
      <c r="E368" s="160"/>
      <c r="F368" s="160"/>
      <c r="G368" s="160"/>
      <c r="H368" s="161"/>
      <c r="I368" s="39"/>
      <c r="J368" s="111"/>
      <c r="K368" s="112"/>
      <c r="L368" s="39"/>
      <c r="M368" s="39"/>
      <c r="N368" s="39"/>
      <c r="O368" s="39"/>
      <c r="P368" s="115"/>
    </row>
    <row r="369" spans="1:16" x14ac:dyDescent="0.25">
      <c r="A369" s="108"/>
      <c r="B369" s="39">
        <v>359</v>
      </c>
      <c r="C369" s="159"/>
      <c r="D369" s="160"/>
      <c r="E369" s="160"/>
      <c r="F369" s="160"/>
      <c r="G369" s="160"/>
      <c r="H369" s="161"/>
      <c r="I369" s="39"/>
      <c r="J369" s="111"/>
      <c r="K369" s="112"/>
      <c r="L369" s="39"/>
      <c r="M369" s="39"/>
      <c r="N369" s="39"/>
      <c r="O369" s="39"/>
      <c r="P369" s="115"/>
    </row>
    <row r="370" spans="1:16" x14ac:dyDescent="0.25">
      <c r="A370" s="108"/>
      <c r="B370" s="39">
        <v>360</v>
      </c>
      <c r="C370" s="159"/>
      <c r="D370" s="160"/>
      <c r="E370" s="160"/>
      <c r="F370" s="160"/>
      <c r="G370" s="160"/>
      <c r="H370" s="161"/>
      <c r="I370" s="39"/>
      <c r="J370" s="111"/>
      <c r="K370" s="112"/>
      <c r="L370" s="39"/>
      <c r="M370" s="39"/>
      <c r="N370" s="39"/>
      <c r="O370" s="39"/>
      <c r="P370" s="115"/>
    </row>
    <row r="371" spans="1:16" x14ac:dyDescent="0.25">
      <c r="A371" s="108"/>
      <c r="B371" s="39">
        <v>361</v>
      </c>
      <c r="C371" s="159"/>
      <c r="D371" s="160"/>
      <c r="E371" s="160"/>
      <c r="F371" s="160"/>
      <c r="G371" s="160"/>
      <c r="H371" s="161"/>
      <c r="I371" s="39"/>
      <c r="J371" s="111"/>
      <c r="K371" s="112"/>
      <c r="L371" s="39"/>
      <c r="M371" s="39"/>
      <c r="N371" s="39"/>
      <c r="O371" s="39"/>
      <c r="P371" s="115"/>
    </row>
    <row r="372" spans="1:16" x14ac:dyDescent="0.25">
      <c r="A372" s="108"/>
      <c r="B372" s="39">
        <v>362</v>
      </c>
      <c r="C372" s="159"/>
      <c r="D372" s="160"/>
      <c r="E372" s="160"/>
      <c r="F372" s="160"/>
      <c r="G372" s="160"/>
      <c r="H372" s="161"/>
      <c r="I372" s="39"/>
      <c r="J372" s="111"/>
      <c r="K372" s="112"/>
      <c r="L372" s="39"/>
      <c r="M372" s="39"/>
      <c r="N372" s="39"/>
      <c r="O372" s="39"/>
      <c r="P372" s="115"/>
    </row>
    <row r="373" spans="1:16" x14ac:dyDescent="0.25">
      <c r="A373" s="108"/>
      <c r="B373" s="39">
        <v>363</v>
      </c>
      <c r="C373" s="159"/>
      <c r="D373" s="160"/>
      <c r="E373" s="160"/>
      <c r="F373" s="160"/>
      <c r="G373" s="160"/>
      <c r="H373" s="161"/>
      <c r="I373" s="39"/>
      <c r="J373" s="111"/>
      <c r="K373" s="112"/>
      <c r="L373" s="39"/>
      <c r="M373" s="39"/>
      <c r="N373" s="39"/>
      <c r="O373" s="39"/>
      <c r="P373" s="115"/>
    </row>
    <row r="374" spans="1:16" x14ac:dyDescent="0.25">
      <c r="A374" s="108"/>
      <c r="B374" s="39">
        <v>364</v>
      </c>
      <c r="C374" s="159"/>
      <c r="D374" s="160"/>
      <c r="E374" s="160"/>
      <c r="F374" s="160"/>
      <c r="G374" s="160"/>
      <c r="H374" s="161"/>
      <c r="I374" s="39"/>
      <c r="J374" s="111"/>
      <c r="K374" s="112"/>
      <c r="L374" s="39"/>
      <c r="M374" s="39"/>
      <c r="N374" s="39"/>
      <c r="O374" s="39"/>
      <c r="P374" s="115"/>
    </row>
    <row r="375" spans="1:16" x14ac:dyDescent="0.25">
      <c r="A375" s="108"/>
      <c r="B375" s="39">
        <v>365</v>
      </c>
      <c r="C375" s="159"/>
      <c r="D375" s="160"/>
      <c r="E375" s="160"/>
      <c r="F375" s="160"/>
      <c r="G375" s="160"/>
      <c r="H375" s="161"/>
      <c r="I375" s="39"/>
      <c r="J375" s="111"/>
      <c r="K375" s="112"/>
      <c r="L375" s="39"/>
      <c r="M375" s="39"/>
      <c r="N375" s="39"/>
      <c r="O375" s="39"/>
      <c r="P375" s="115"/>
    </row>
    <row r="376" spans="1:16" x14ac:dyDescent="0.25">
      <c r="A376" s="108"/>
      <c r="B376" s="39">
        <v>366</v>
      </c>
      <c r="C376" s="159"/>
      <c r="D376" s="160"/>
      <c r="E376" s="160"/>
      <c r="F376" s="160"/>
      <c r="G376" s="160"/>
      <c r="H376" s="161"/>
      <c r="I376" s="39"/>
      <c r="J376" s="111"/>
      <c r="K376" s="112"/>
      <c r="L376" s="39"/>
      <c r="M376" s="39"/>
      <c r="N376" s="39"/>
      <c r="O376" s="39"/>
      <c r="P376" s="115"/>
    </row>
    <row r="377" spans="1:16" x14ac:dyDescent="0.25">
      <c r="A377" s="108"/>
      <c r="B377" s="39">
        <v>367</v>
      </c>
      <c r="C377" s="159"/>
      <c r="D377" s="160"/>
      <c r="E377" s="160"/>
      <c r="F377" s="160"/>
      <c r="G377" s="160"/>
      <c r="H377" s="161"/>
      <c r="I377" s="39"/>
      <c r="J377" s="111"/>
      <c r="K377" s="112"/>
      <c r="L377" s="39"/>
      <c r="M377" s="39"/>
      <c r="N377" s="39"/>
      <c r="O377" s="39"/>
      <c r="P377" s="115"/>
    </row>
    <row r="378" spans="1:16" x14ac:dyDescent="0.25">
      <c r="A378" s="108"/>
      <c r="B378" s="39">
        <v>368</v>
      </c>
      <c r="C378" s="159"/>
      <c r="D378" s="160"/>
      <c r="E378" s="160"/>
      <c r="F378" s="160"/>
      <c r="G378" s="160"/>
      <c r="H378" s="161"/>
      <c r="I378" s="39"/>
      <c r="J378" s="111"/>
      <c r="K378" s="112"/>
      <c r="L378" s="39"/>
      <c r="M378" s="39"/>
      <c r="N378" s="39"/>
      <c r="O378" s="39"/>
      <c r="P378" s="115"/>
    </row>
    <row r="379" spans="1:16" x14ac:dyDescent="0.25">
      <c r="A379" s="108"/>
      <c r="B379" s="39">
        <v>369</v>
      </c>
      <c r="C379" s="159"/>
      <c r="D379" s="160"/>
      <c r="E379" s="160"/>
      <c r="F379" s="160"/>
      <c r="G379" s="160"/>
      <c r="H379" s="161"/>
      <c r="I379" s="39"/>
      <c r="J379" s="111"/>
      <c r="K379" s="112"/>
      <c r="L379" s="39"/>
      <c r="M379" s="39"/>
      <c r="N379" s="39"/>
      <c r="O379" s="39"/>
      <c r="P379" s="115"/>
    </row>
    <row r="380" spans="1:16" x14ac:dyDescent="0.25">
      <c r="A380" s="108"/>
      <c r="B380" s="39">
        <v>370</v>
      </c>
      <c r="C380" s="159"/>
      <c r="D380" s="160"/>
      <c r="E380" s="160"/>
      <c r="F380" s="160"/>
      <c r="G380" s="160"/>
      <c r="H380" s="161"/>
      <c r="I380" s="39"/>
      <c r="J380" s="111"/>
      <c r="K380" s="112"/>
      <c r="L380" s="39"/>
      <c r="M380" s="39"/>
      <c r="N380" s="39"/>
      <c r="O380" s="39"/>
      <c r="P380" s="115"/>
    </row>
    <row r="381" spans="1:16" x14ac:dyDescent="0.25">
      <c r="A381" s="108"/>
      <c r="B381" s="39">
        <v>371</v>
      </c>
      <c r="C381" s="159"/>
      <c r="D381" s="160"/>
      <c r="E381" s="160"/>
      <c r="F381" s="160"/>
      <c r="G381" s="160"/>
      <c r="H381" s="161"/>
      <c r="I381" s="39"/>
      <c r="J381" s="111"/>
      <c r="K381" s="112"/>
      <c r="L381" s="39"/>
      <c r="M381" s="39"/>
      <c r="N381" s="39"/>
      <c r="O381" s="39"/>
      <c r="P381" s="115"/>
    </row>
    <row r="382" spans="1:16" x14ac:dyDescent="0.25">
      <c r="A382" s="108"/>
      <c r="B382" s="39">
        <v>372</v>
      </c>
      <c r="C382" s="159"/>
      <c r="D382" s="160"/>
      <c r="E382" s="160"/>
      <c r="F382" s="160"/>
      <c r="G382" s="160"/>
      <c r="H382" s="161"/>
      <c r="I382" s="39"/>
      <c r="J382" s="111"/>
      <c r="K382" s="112"/>
      <c r="L382" s="39"/>
      <c r="M382" s="39"/>
      <c r="N382" s="39"/>
      <c r="O382" s="39"/>
      <c r="P382" s="115"/>
    </row>
    <row r="383" spans="1:16" x14ac:dyDescent="0.25">
      <c r="A383" s="108"/>
      <c r="B383" s="39">
        <v>373</v>
      </c>
      <c r="C383" s="159"/>
      <c r="D383" s="160"/>
      <c r="E383" s="160"/>
      <c r="F383" s="160"/>
      <c r="G383" s="160"/>
      <c r="H383" s="161"/>
      <c r="I383" s="39"/>
      <c r="J383" s="111"/>
      <c r="K383" s="112"/>
      <c r="L383" s="39"/>
      <c r="M383" s="39"/>
      <c r="N383" s="39"/>
      <c r="O383" s="39"/>
      <c r="P383" s="115"/>
    </row>
    <row r="384" spans="1:16" x14ac:dyDescent="0.25">
      <c r="A384" s="108"/>
      <c r="B384" s="39">
        <v>374</v>
      </c>
      <c r="C384" s="159"/>
      <c r="D384" s="160"/>
      <c r="E384" s="160"/>
      <c r="F384" s="160"/>
      <c r="G384" s="160"/>
      <c r="H384" s="161"/>
      <c r="I384" s="39"/>
      <c r="J384" s="111"/>
      <c r="K384" s="112"/>
      <c r="L384" s="39"/>
      <c r="M384" s="39"/>
      <c r="N384" s="39"/>
      <c r="O384" s="39"/>
      <c r="P384" s="115"/>
    </row>
    <row r="385" spans="1:16" x14ac:dyDescent="0.25">
      <c r="A385" s="108"/>
      <c r="B385" s="39">
        <v>375</v>
      </c>
      <c r="C385" s="159"/>
      <c r="D385" s="160"/>
      <c r="E385" s="160"/>
      <c r="F385" s="160"/>
      <c r="G385" s="160"/>
      <c r="H385" s="161"/>
      <c r="I385" s="39"/>
      <c r="J385" s="111"/>
      <c r="K385" s="112"/>
      <c r="L385" s="39"/>
      <c r="M385" s="39"/>
      <c r="N385" s="39"/>
      <c r="O385" s="39"/>
      <c r="P385" s="115"/>
    </row>
    <row r="386" spans="1:16" x14ac:dyDescent="0.25">
      <c r="A386" s="108"/>
      <c r="B386" s="39">
        <v>376</v>
      </c>
      <c r="C386" s="159"/>
      <c r="D386" s="160"/>
      <c r="E386" s="160"/>
      <c r="F386" s="160"/>
      <c r="G386" s="160"/>
      <c r="H386" s="161"/>
      <c r="I386" s="39"/>
      <c r="J386" s="111"/>
      <c r="K386" s="112"/>
      <c r="L386" s="39"/>
      <c r="M386" s="39"/>
      <c r="N386" s="39"/>
      <c r="O386" s="39"/>
      <c r="P386" s="115"/>
    </row>
    <row r="387" spans="1:16" x14ac:dyDescent="0.25">
      <c r="A387" s="108"/>
      <c r="B387" s="39">
        <v>377</v>
      </c>
      <c r="C387" s="159"/>
      <c r="D387" s="160"/>
      <c r="E387" s="160"/>
      <c r="F387" s="160"/>
      <c r="G387" s="160"/>
      <c r="H387" s="161"/>
      <c r="I387" s="39"/>
      <c r="J387" s="111"/>
      <c r="K387" s="112"/>
      <c r="L387" s="39"/>
      <c r="M387" s="39"/>
      <c r="N387" s="39"/>
      <c r="O387" s="39"/>
      <c r="P387" s="52"/>
    </row>
    <row r="388" spans="1:16" x14ac:dyDescent="0.25">
      <c r="A388" s="108"/>
      <c r="B388" s="39">
        <v>378</v>
      </c>
      <c r="C388" s="159"/>
      <c r="D388" s="160"/>
      <c r="E388" s="160"/>
      <c r="F388" s="160"/>
      <c r="G388" s="160"/>
      <c r="H388" s="161"/>
      <c r="I388" s="39"/>
      <c r="J388" s="111"/>
      <c r="K388" s="112"/>
      <c r="L388" s="39"/>
      <c r="M388" s="39"/>
      <c r="N388" s="39"/>
      <c r="O388" s="39"/>
      <c r="P388" s="52"/>
    </row>
    <row r="389" spans="1:16" x14ac:dyDescent="0.25">
      <c r="A389" s="108"/>
      <c r="B389" s="39">
        <v>379</v>
      </c>
      <c r="C389" s="159"/>
      <c r="D389" s="160"/>
      <c r="E389" s="160"/>
      <c r="F389" s="160"/>
      <c r="G389" s="160"/>
      <c r="H389" s="161"/>
      <c r="I389" s="39"/>
      <c r="J389" s="111"/>
      <c r="K389" s="112"/>
      <c r="L389" s="39"/>
      <c r="M389" s="39"/>
      <c r="N389" s="39"/>
      <c r="O389" s="39"/>
      <c r="P389" s="52"/>
    </row>
    <row r="390" spans="1:16" x14ac:dyDescent="0.25">
      <c r="A390" s="108"/>
      <c r="B390" s="39">
        <v>380</v>
      </c>
      <c r="C390" s="159"/>
      <c r="D390" s="160"/>
      <c r="E390" s="160"/>
      <c r="F390" s="160"/>
      <c r="G390" s="160"/>
      <c r="H390" s="161"/>
      <c r="I390" s="39"/>
      <c r="J390" s="111"/>
      <c r="K390" s="112"/>
      <c r="L390" s="39"/>
      <c r="M390" s="39"/>
      <c r="N390" s="39"/>
      <c r="O390" s="39"/>
      <c r="P390" s="115"/>
    </row>
    <row r="391" spans="1:16" x14ac:dyDescent="0.25">
      <c r="A391" s="108"/>
      <c r="B391" s="39">
        <v>381</v>
      </c>
      <c r="C391" s="159"/>
      <c r="D391" s="160"/>
      <c r="E391" s="160"/>
      <c r="F391" s="160"/>
      <c r="G391" s="160"/>
      <c r="H391" s="161"/>
      <c r="I391" s="39"/>
      <c r="J391" s="111"/>
      <c r="K391" s="112"/>
      <c r="L391" s="39"/>
      <c r="M391" s="39"/>
      <c r="N391" s="39"/>
      <c r="O391" s="39"/>
      <c r="P391" s="52"/>
    </row>
    <row r="392" spans="1:16" x14ac:dyDescent="0.25">
      <c r="A392" s="108"/>
      <c r="B392" s="39">
        <v>382</v>
      </c>
      <c r="C392" s="159"/>
      <c r="D392" s="160"/>
      <c r="E392" s="160"/>
      <c r="F392" s="160"/>
      <c r="G392" s="160"/>
      <c r="H392" s="161"/>
      <c r="I392" s="39"/>
      <c r="J392" s="111"/>
      <c r="K392" s="112"/>
      <c r="L392" s="39"/>
      <c r="M392" s="39"/>
      <c r="N392" s="39"/>
      <c r="O392" s="39"/>
      <c r="P392" s="52"/>
    </row>
    <row r="393" spans="1:16" x14ac:dyDescent="0.25">
      <c r="A393" s="108"/>
      <c r="B393" s="39">
        <v>383</v>
      </c>
      <c r="C393" s="159"/>
      <c r="D393" s="160"/>
      <c r="E393" s="160"/>
      <c r="F393" s="160"/>
      <c r="G393" s="160"/>
      <c r="H393" s="161"/>
      <c r="I393" s="39"/>
      <c r="J393" s="111"/>
      <c r="K393" s="112"/>
      <c r="L393" s="39"/>
      <c r="M393" s="39"/>
      <c r="N393" s="39"/>
      <c r="O393" s="39"/>
      <c r="P393" s="52"/>
    </row>
    <row r="394" spans="1:16" x14ac:dyDescent="0.25">
      <c r="A394" s="108"/>
      <c r="B394" s="39">
        <v>384</v>
      </c>
      <c r="C394" s="159"/>
      <c r="D394" s="160"/>
      <c r="E394" s="160"/>
      <c r="F394" s="160"/>
      <c r="G394" s="160"/>
      <c r="H394" s="161"/>
      <c r="I394" s="39"/>
      <c r="J394" s="111"/>
      <c r="K394" s="112"/>
      <c r="L394" s="39"/>
      <c r="M394" s="39"/>
      <c r="N394" s="39"/>
      <c r="O394" s="39"/>
      <c r="P394" s="52"/>
    </row>
    <row r="395" spans="1:16" x14ac:dyDescent="0.25">
      <c r="A395" s="108"/>
      <c r="B395" s="39">
        <v>385</v>
      </c>
      <c r="C395" s="159"/>
      <c r="D395" s="160"/>
      <c r="E395" s="160"/>
      <c r="F395" s="160"/>
      <c r="G395" s="160"/>
      <c r="H395" s="161"/>
      <c r="I395" s="128"/>
      <c r="J395" s="30"/>
      <c r="K395" s="112"/>
      <c r="L395" s="6"/>
      <c r="M395" s="39"/>
      <c r="N395" s="39"/>
      <c r="O395" s="39"/>
      <c r="P395" s="115"/>
    </row>
    <row r="396" spans="1:16" x14ac:dyDescent="0.25">
      <c r="A396" s="108"/>
      <c r="B396" s="39">
        <v>386</v>
      </c>
      <c r="C396" s="159"/>
      <c r="D396" s="160"/>
      <c r="E396" s="160"/>
      <c r="F396" s="160"/>
      <c r="G396" s="160"/>
      <c r="H396" s="161"/>
      <c r="I396" s="39"/>
      <c r="J396" s="111"/>
      <c r="K396" s="112"/>
      <c r="L396" s="39"/>
      <c r="M396" s="39"/>
      <c r="N396" s="39"/>
      <c r="O396" s="39"/>
      <c r="P396" s="115"/>
    </row>
    <row r="397" spans="1:16" ht="15" customHeight="1" x14ac:dyDescent="0.25">
      <c r="A397" s="108"/>
      <c r="B397" s="39">
        <v>387</v>
      </c>
      <c r="C397" s="159"/>
      <c r="D397" s="160"/>
      <c r="E397" s="160"/>
      <c r="F397" s="160"/>
      <c r="G397" s="160"/>
      <c r="H397" s="161"/>
      <c r="I397" s="39"/>
      <c r="J397" s="111"/>
      <c r="K397" s="112"/>
      <c r="L397" s="39"/>
      <c r="M397" s="39"/>
      <c r="N397" s="39"/>
      <c r="O397" s="39"/>
      <c r="P397" s="115"/>
    </row>
    <row r="398" spans="1:16" x14ac:dyDescent="0.25">
      <c r="A398" s="108"/>
      <c r="B398" s="39">
        <v>388</v>
      </c>
      <c r="C398" s="159"/>
      <c r="D398" s="160"/>
      <c r="E398" s="160"/>
      <c r="F398" s="160"/>
      <c r="G398" s="160"/>
      <c r="H398" s="161"/>
      <c r="I398" s="39"/>
      <c r="J398" s="111"/>
      <c r="K398" s="112"/>
      <c r="L398" s="39"/>
      <c r="M398" s="39"/>
      <c r="N398" s="112"/>
      <c r="O398" s="112"/>
      <c r="P398" s="115"/>
    </row>
    <row r="399" spans="1:16" x14ac:dyDescent="0.25">
      <c r="A399" s="108"/>
      <c r="B399" s="39">
        <v>389</v>
      </c>
      <c r="C399" s="159"/>
      <c r="D399" s="160"/>
      <c r="E399" s="160"/>
      <c r="F399" s="160"/>
      <c r="G399" s="160"/>
      <c r="H399" s="161"/>
      <c r="I399" s="39"/>
      <c r="J399" s="111"/>
      <c r="K399" s="112"/>
      <c r="L399" s="39"/>
      <c r="M399" s="39"/>
      <c r="N399" s="39"/>
      <c r="O399" s="39"/>
      <c r="P399" s="115"/>
    </row>
    <row r="400" spans="1:16" x14ac:dyDescent="0.25">
      <c r="A400" s="108"/>
      <c r="B400" s="39">
        <v>390</v>
      </c>
      <c r="C400" s="159"/>
      <c r="D400" s="160"/>
      <c r="E400" s="160"/>
      <c r="F400" s="160"/>
      <c r="G400" s="160"/>
      <c r="H400" s="161"/>
      <c r="I400" s="39"/>
      <c r="J400" s="111"/>
      <c r="K400" s="112"/>
      <c r="L400" s="39"/>
      <c r="M400" s="39"/>
      <c r="N400" s="39"/>
      <c r="O400" s="39"/>
      <c r="P400" s="115"/>
    </row>
    <row r="401" spans="1:16" x14ac:dyDescent="0.25">
      <c r="A401" s="108"/>
      <c r="B401" s="39">
        <v>391</v>
      </c>
      <c r="C401" s="159"/>
      <c r="D401" s="160"/>
      <c r="E401" s="160"/>
      <c r="F401" s="160"/>
      <c r="G401" s="160"/>
      <c r="H401" s="161"/>
      <c r="I401" s="39"/>
      <c r="J401" s="111"/>
      <c r="K401" s="112"/>
      <c r="L401" s="39"/>
      <c r="M401" s="39"/>
      <c r="N401" s="39"/>
      <c r="O401" s="39"/>
      <c r="P401" s="115"/>
    </row>
    <row r="402" spans="1:16" x14ac:dyDescent="0.25">
      <c r="A402" s="108"/>
      <c r="B402" s="39">
        <v>392</v>
      </c>
      <c r="C402" s="159"/>
      <c r="D402" s="160"/>
      <c r="E402" s="160"/>
      <c r="F402" s="160"/>
      <c r="G402" s="160"/>
      <c r="H402" s="161"/>
      <c r="I402" s="39"/>
      <c r="J402" s="111"/>
      <c r="K402" s="112"/>
      <c r="L402" s="39"/>
      <c r="M402" s="39"/>
      <c r="N402" s="39"/>
      <c r="O402" s="39"/>
      <c r="P402" s="115"/>
    </row>
    <row r="403" spans="1:16" x14ac:dyDescent="0.25">
      <c r="A403" s="108"/>
      <c r="B403" s="39">
        <v>393</v>
      </c>
      <c r="C403" s="159"/>
      <c r="D403" s="160"/>
      <c r="E403" s="160"/>
      <c r="F403" s="160"/>
      <c r="G403" s="160"/>
      <c r="H403" s="161"/>
      <c r="I403" s="39"/>
      <c r="J403" s="111"/>
      <c r="K403" s="112"/>
      <c r="L403" s="39"/>
      <c r="M403" s="39"/>
      <c r="N403" s="39"/>
      <c r="O403" s="39"/>
      <c r="P403" s="115"/>
    </row>
    <row r="404" spans="1:16" x14ac:dyDescent="0.25">
      <c r="A404" s="108"/>
      <c r="B404" s="39">
        <v>394</v>
      </c>
      <c r="C404" s="159"/>
      <c r="D404" s="160"/>
      <c r="E404" s="160"/>
      <c r="F404" s="160"/>
      <c r="G404" s="160"/>
      <c r="H404" s="161"/>
      <c r="I404" s="39"/>
      <c r="J404" s="111"/>
      <c r="K404" s="112"/>
      <c r="L404" s="39"/>
      <c r="M404" s="39"/>
      <c r="N404" s="39"/>
      <c r="O404" s="39"/>
      <c r="P404" s="115"/>
    </row>
    <row r="405" spans="1:16" x14ac:dyDescent="0.25">
      <c r="A405" s="108"/>
      <c r="B405" s="39">
        <v>395</v>
      </c>
      <c r="C405" s="159"/>
      <c r="D405" s="160"/>
      <c r="E405" s="160"/>
      <c r="F405" s="160"/>
      <c r="G405" s="160"/>
      <c r="H405" s="161"/>
      <c r="I405" s="39"/>
      <c r="J405" s="111"/>
      <c r="K405" s="112"/>
      <c r="L405" s="39"/>
      <c r="M405" s="39"/>
      <c r="N405" s="39"/>
      <c r="O405" s="39"/>
      <c r="P405" s="115"/>
    </row>
    <row r="406" spans="1:16" ht="15" customHeight="1" x14ac:dyDescent="0.25">
      <c r="A406" s="108"/>
      <c r="B406" s="39">
        <v>396</v>
      </c>
      <c r="C406" s="159"/>
      <c r="D406" s="160"/>
      <c r="E406" s="160"/>
      <c r="F406" s="160"/>
      <c r="G406" s="160"/>
      <c r="H406" s="161"/>
      <c r="I406" s="39"/>
      <c r="J406" s="111"/>
      <c r="K406" s="112"/>
      <c r="L406" s="39"/>
      <c r="M406" s="39"/>
      <c r="N406" s="39"/>
      <c r="O406" s="39"/>
      <c r="P406" s="52"/>
    </row>
    <row r="407" spans="1:16" x14ac:dyDescent="0.25">
      <c r="A407" s="108"/>
      <c r="B407" s="39">
        <v>397</v>
      </c>
      <c r="C407" s="159"/>
      <c r="D407" s="160"/>
      <c r="E407" s="160"/>
      <c r="F407" s="160"/>
      <c r="G407" s="160"/>
      <c r="H407" s="161"/>
      <c r="I407" s="39"/>
      <c r="J407" s="111"/>
      <c r="K407" s="112"/>
      <c r="L407" s="39"/>
      <c r="M407" s="39"/>
      <c r="N407" s="39"/>
      <c r="O407" s="39"/>
      <c r="P407" s="115"/>
    </row>
    <row r="408" spans="1:16" ht="15" customHeight="1" x14ac:dyDescent="0.25">
      <c r="A408" s="108"/>
      <c r="B408" s="39">
        <v>398</v>
      </c>
      <c r="C408" s="159"/>
      <c r="D408" s="160"/>
      <c r="E408" s="160"/>
      <c r="F408" s="160"/>
      <c r="G408" s="160"/>
      <c r="H408" s="161"/>
      <c r="I408" s="39"/>
      <c r="J408" s="111"/>
      <c r="K408" s="112"/>
      <c r="L408" s="39"/>
      <c r="M408" s="39"/>
      <c r="N408" s="39"/>
      <c r="O408" s="39"/>
      <c r="P408" s="52"/>
    </row>
    <row r="409" spans="1:16" x14ac:dyDescent="0.25">
      <c r="A409" s="108"/>
      <c r="B409" s="39">
        <v>399</v>
      </c>
      <c r="C409" s="159"/>
      <c r="D409" s="160"/>
      <c r="E409" s="160"/>
      <c r="F409" s="160"/>
      <c r="G409" s="160"/>
      <c r="H409" s="161"/>
      <c r="I409" s="39"/>
      <c r="J409" s="111"/>
      <c r="K409" s="112"/>
      <c r="L409" s="39"/>
      <c r="M409" s="39"/>
      <c r="N409" s="39"/>
      <c r="O409" s="39"/>
      <c r="P409" s="52"/>
    </row>
    <row r="410" spans="1:16" x14ac:dyDescent="0.25">
      <c r="A410" s="108"/>
      <c r="B410" s="39">
        <v>400</v>
      </c>
      <c r="C410" s="159"/>
      <c r="D410" s="160"/>
      <c r="E410" s="160"/>
      <c r="F410" s="160"/>
      <c r="G410" s="160"/>
      <c r="H410" s="161"/>
      <c r="I410" s="39"/>
      <c r="J410" s="111"/>
      <c r="K410" s="112"/>
      <c r="L410" s="39"/>
      <c r="M410" s="39"/>
      <c r="N410" s="39"/>
      <c r="O410" s="39"/>
      <c r="P410" s="52"/>
    </row>
    <row r="411" spans="1:16" x14ac:dyDescent="0.25">
      <c r="A411" s="108"/>
      <c r="B411" s="39">
        <v>401</v>
      </c>
      <c r="C411" s="159"/>
      <c r="D411" s="160"/>
      <c r="E411" s="160"/>
      <c r="F411" s="160"/>
      <c r="G411" s="160"/>
      <c r="H411" s="161"/>
      <c r="I411" s="39"/>
      <c r="J411" s="111"/>
      <c r="K411" s="112"/>
      <c r="L411" s="39"/>
      <c r="M411" s="39"/>
      <c r="N411" s="39"/>
      <c r="O411" s="39"/>
      <c r="P411" s="52"/>
    </row>
    <row r="412" spans="1:16" ht="15" customHeight="1" x14ac:dyDescent="0.25">
      <c r="A412" s="108"/>
      <c r="B412" s="39">
        <v>402</v>
      </c>
      <c r="C412" s="159"/>
      <c r="D412" s="160"/>
      <c r="E412" s="160"/>
      <c r="F412" s="160"/>
      <c r="G412" s="160"/>
      <c r="H412" s="161"/>
      <c r="I412" s="39"/>
      <c r="J412" s="111"/>
      <c r="K412" s="112"/>
      <c r="L412" s="39"/>
      <c r="M412" s="39"/>
      <c r="N412" s="39"/>
      <c r="O412" s="39"/>
      <c r="P412" s="52"/>
    </row>
    <row r="413" spans="1:16" x14ac:dyDescent="0.25">
      <c r="A413" s="108"/>
      <c r="B413" s="39">
        <v>403</v>
      </c>
      <c r="C413" s="159"/>
      <c r="D413" s="160"/>
      <c r="E413" s="160"/>
      <c r="F413" s="160"/>
      <c r="G413" s="160"/>
      <c r="H413" s="161"/>
      <c r="I413" s="39"/>
      <c r="J413" s="111"/>
      <c r="K413" s="112"/>
      <c r="L413" s="39"/>
      <c r="M413" s="39"/>
      <c r="N413" s="39"/>
      <c r="O413" s="39"/>
      <c r="P413" s="52"/>
    </row>
    <row r="414" spans="1:16" x14ac:dyDescent="0.25">
      <c r="A414" s="108"/>
      <c r="B414" s="39">
        <v>404</v>
      </c>
      <c r="C414" s="159"/>
      <c r="D414" s="160"/>
      <c r="E414" s="160"/>
      <c r="F414" s="160"/>
      <c r="G414" s="160"/>
      <c r="H414" s="161"/>
      <c r="I414" s="39"/>
      <c r="J414" s="111"/>
      <c r="K414" s="112"/>
      <c r="L414" s="39"/>
      <c r="M414" s="39"/>
      <c r="N414" s="39"/>
      <c r="O414" s="39"/>
      <c r="P414" s="115"/>
    </row>
    <row r="415" spans="1:16" x14ac:dyDescent="0.25">
      <c r="A415" s="108"/>
      <c r="B415" s="39">
        <v>405</v>
      </c>
      <c r="C415" s="159"/>
      <c r="D415" s="160"/>
      <c r="E415" s="160"/>
      <c r="F415" s="160"/>
      <c r="G415" s="160"/>
      <c r="H415" s="161"/>
      <c r="I415" s="39"/>
      <c r="J415" s="111"/>
      <c r="K415" s="112"/>
      <c r="L415" s="39"/>
      <c r="M415" s="39"/>
      <c r="N415" s="39"/>
      <c r="O415" s="39"/>
      <c r="P415" s="52"/>
    </row>
    <row r="416" spans="1:16" x14ac:dyDescent="0.25">
      <c r="A416" s="108"/>
      <c r="B416" s="39">
        <v>406</v>
      </c>
      <c r="C416" s="159"/>
      <c r="D416" s="160"/>
      <c r="E416" s="160"/>
      <c r="F416" s="160"/>
      <c r="G416" s="160"/>
      <c r="H416" s="161"/>
      <c r="I416" s="39"/>
      <c r="J416" s="111"/>
      <c r="K416" s="112"/>
      <c r="L416" s="39"/>
      <c r="M416" s="39"/>
      <c r="N416" s="39"/>
      <c r="O416" s="39"/>
      <c r="P416" s="52"/>
    </row>
    <row r="417" spans="1:16" x14ac:dyDescent="0.25">
      <c r="A417" s="108"/>
      <c r="B417" s="39">
        <v>407</v>
      </c>
      <c r="C417" s="159"/>
      <c r="D417" s="160"/>
      <c r="E417" s="160"/>
      <c r="F417" s="160"/>
      <c r="G417" s="160"/>
      <c r="H417" s="161"/>
      <c r="I417" s="39"/>
      <c r="J417" s="111"/>
      <c r="K417" s="112"/>
      <c r="L417" s="39"/>
      <c r="M417" s="39"/>
      <c r="N417" s="39"/>
      <c r="O417" s="39"/>
      <c r="P417" s="115"/>
    </row>
    <row r="418" spans="1:16" x14ac:dyDescent="0.25">
      <c r="A418" s="108"/>
      <c r="B418" s="39">
        <v>408</v>
      </c>
      <c r="C418" s="159"/>
      <c r="D418" s="160"/>
      <c r="E418" s="160"/>
      <c r="F418" s="160"/>
      <c r="G418" s="160"/>
      <c r="H418" s="161"/>
      <c r="I418" s="39"/>
      <c r="J418" s="111"/>
      <c r="K418" s="112"/>
      <c r="L418" s="39"/>
      <c r="M418" s="39"/>
      <c r="N418" s="39"/>
      <c r="O418" s="39"/>
      <c r="P418" s="115"/>
    </row>
    <row r="419" spans="1:16" x14ac:dyDescent="0.25">
      <c r="A419" s="108"/>
      <c r="B419" s="39">
        <v>409</v>
      </c>
      <c r="C419" s="159"/>
      <c r="D419" s="160"/>
      <c r="E419" s="160"/>
      <c r="F419" s="160"/>
      <c r="G419" s="160"/>
      <c r="H419" s="161"/>
      <c r="I419" s="39"/>
      <c r="J419" s="111"/>
      <c r="K419" s="112"/>
      <c r="L419" s="39"/>
      <c r="M419" s="39"/>
      <c r="N419" s="39"/>
      <c r="O419" s="39"/>
      <c r="P419" s="52"/>
    </row>
    <row r="420" spans="1:16" x14ac:dyDescent="0.25">
      <c r="A420" s="108"/>
      <c r="B420" s="39">
        <v>410</v>
      </c>
      <c r="C420" s="159"/>
      <c r="D420" s="160"/>
      <c r="E420" s="160"/>
      <c r="F420" s="160"/>
      <c r="G420" s="160"/>
      <c r="H420" s="161"/>
      <c r="I420" s="39"/>
      <c r="J420" s="111"/>
      <c r="K420" s="112"/>
      <c r="L420" s="39"/>
      <c r="M420" s="39"/>
      <c r="N420" s="39"/>
      <c r="O420" s="39"/>
      <c r="P420" s="52"/>
    </row>
    <row r="421" spans="1:16" x14ac:dyDescent="0.25">
      <c r="A421" s="108"/>
      <c r="B421" s="39">
        <v>411</v>
      </c>
      <c r="C421" s="159"/>
      <c r="D421" s="160"/>
      <c r="E421" s="160"/>
      <c r="F421" s="160"/>
      <c r="G421" s="160"/>
      <c r="H421" s="161"/>
      <c r="I421" s="39"/>
      <c r="J421" s="111"/>
      <c r="K421" s="112"/>
      <c r="L421" s="39"/>
      <c r="M421" s="39"/>
      <c r="N421" s="39"/>
      <c r="O421" s="39"/>
      <c r="P421" s="52"/>
    </row>
    <row r="422" spans="1:16" x14ac:dyDescent="0.25">
      <c r="A422" s="108"/>
      <c r="B422" s="39">
        <v>412</v>
      </c>
      <c r="C422" s="159"/>
      <c r="D422" s="160"/>
      <c r="E422" s="160"/>
      <c r="F422" s="160"/>
      <c r="G422" s="160"/>
      <c r="H422" s="161"/>
      <c r="I422" s="39"/>
      <c r="J422" s="111"/>
      <c r="K422" s="112"/>
      <c r="L422" s="39"/>
      <c r="M422" s="39"/>
      <c r="N422" s="39"/>
      <c r="O422" s="39"/>
      <c r="P422" s="115"/>
    </row>
    <row r="423" spans="1:16" x14ac:dyDescent="0.25">
      <c r="A423" s="108"/>
      <c r="B423" s="39">
        <v>413</v>
      </c>
      <c r="C423" s="159"/>
      <c r="D423" s="160"/>
      <c r="E423" s="160"/>
      <c r="F423" s="160"/>
      <c r="G423" s="160"/>
      <c r="H423" s="161"/>
      <c r="I423" s="39"/>
      <c r="J423" s="111"/>
      <c r="K423" s="112"/>
      <c r="L423" s="39"/>
      <c r="M423" s="39"/>
      <c r="N423" s="39"/>
      <c r="O423" s="39"/>
      <c r="P423" s="52"/>
    </row>
    <row r="424" spans="1:16" x14ac:dyDescent="0.25">
      <c r="A424" s="108"/>
      <c r="B424" s="39">
        <v>414</v>
      </c>
      <c r="C424" s="159"/>
      <c r="D424" s="160"/>
      <c r="E424" s="160"/>
      <c r="F424" s="160"/>
      <c r="G424" s="160"/>
      <c r="H424" s="161"/>
      <c r="I424" s="39"/>
      <c r="J424" s="111"/>
      <c r="K424" s="112"/>
      <c r="L424" s="39"/>
      <c r="M424" s="39"/>
      <c r="N424" s="39"/>
      <c r="O424" s="39"/>
      <c r="P424" s="52"/>
    </row>
    <row r="425" spans="1:16" x14ac:dyDescent="0.25">
      <c r="A425" s="108"/>
      <c r="B425" s="39">
        <v>415</v>
      </c>
      <c r="C425" s="159"/>
      <c r="D425" s="160"/>
      <c r="E425" s="160"/>
      <c r="F425" s="160"/>
      <c r="G425" s="160"/>
      <c r="H425" s="161"/>
      <c r="I425" s="39"/>
      <c r="J425" s="111"/>
      <c r="K425" s="112"/>
      <c r="L425" s="39"/>
      <c r="M425" s="39"/>
      <c r="N425" s="39"/>
      <c r="O425" s="39"/>
      <c r="P425" s="52"/>
    </row>
    <row r="426" spans="1:16" x14ac:dyDescent="0.25">
      <c r="A426" s="108"/>
      <c r="B426" s="39">
        <v>416</v>
      </c>
      <c r="C426" s="159"/>
      <c r="D426" s="160"/>
      <c r="E426" s="160"/>
      <c r="F426" s="160"/>
      <c r="G426" s="160"/>
      <c r="H426" s="161"/>
      <c r="I426" s="39"/>
      <c r="J426" s="111"/>
      <c r="K426" s="112"/>
      <c r="L426" s="39"/>
      <c r="M426" s="39"/>
      <c r="N426" s="39"/>
      <c r="O426" s="39"/>
      <c r="P426" s="52"/>
    </row>
    <row r="427" spans="1:16" x14ac:dyDescent="0.25">
      <c r="A427" s="108"/>
      <c r="B427" s="39">
        <v>417</v>
      </c>
      <c r="C427" s="159"/>
      <c r="D427" s="160"/>
      <c r="E427" s="160"/>
      <c r="F427" s="160"/>
      <c r="G427" s="160"/>
      <c r="H427" s="161"/>
      <c r="I427" s="39"/>
      <c r="J427" s="111"/>
      <c r="K427" s="112"/>
      <c r="L427" s="39"/>
      <c r="M427" s="39"/>
      <c r="N427" s="39"/>
      <c r="O427" s="39"/>
      <c r="P427" s="52"/>
    </row>
    <row r="428" spans="1:16" x14ac:dyDescent="0.25">
      <c r="A428" s="108"/>
      <c r="B428" s="39">
        <v>418</v>
      </c>
      <c r="C428" s="159"/>
      <c r="D428" s="160"/>
      <c r="E428" s="160"/>
      <c r="F428" s="160"/>
      <c r="G428" s="160"/>
      <c r="H428" s="161"/>
      <c r="I428" s="39"/>
      <c r="J428" s="111"/>
      <c r="K428" s="112"/>
      <c r="L428" s="39"/>
      <c r="M428" s="39"/>
      <c r="N428" s="39"/>
      <c r="O428" s="39"/>
      <c r="P428" s="115"/>
    </row>
    <row r="429" spans="1:16" x14ac:dyDescent="0.25">
      <c r="A429" s="108"/>
      <c r="B429" s="39">
        <v>419</v>
      </c>
      <c r="C429" s="159"/>
      <c r="D429" s="160"/>
      <c r="E429" s="160"/>
      <c r="F429" s="160"/>
      <c r="G429" s="160"/>
      <c r="H429" s="161"/>
      <c r="I429" s="39"/>
      <c r="J429" s="111"/>
      <c r="K429" s="112"/>
      <c r="L429" s="39"/>
      <c r="M429" s="39"/>
      <c r="N429" s="39"/>
      <c r="O429" s="39"/>
      <c r="P429" s="115"/>
    </row>
    <row r="430" spans="1:16" x14ac:dyDescent="0.25">
      <c r="A430" s="108"/>
      <c r="B430" s="39">
        <v>420</v>
      </c>
      <c r="C430" s="159"/>
      <c r="D430" s="160"/>
      <c r="E430" s="160"/>
      <c r="F430" s="160"/>
      <c r="G430" s="160"/>
      <c r="H430" s="161"/>
      <c r="I430" s="39"/>
      <c r="J430" s="111"/>
      <c r="K430" s="112"/>
      <c r="L430" s="39"/>
      <c r="M430" s="39"/>
      <c r="N430" s="39"/>
      <c r="O430" s="39"/>
      <c r="P430" s="115"/>
    </row>
    <row r="431" spans="1:16" x14ac:dyDescent="0.25">
      <c r="A431" s="108"/>
      <c r="B431" s="39">
        <v>421</v>
      </c>
      <c r="C431" s="159"/>
      <c r="D431" s="160"/>
      <c r="E431" s="160"/>
      <c r="F431" s="160"/>
      <c r="G431" s="160"/>
      <c r="H431" s="161"/>
      <c r="I431" s="39"/>
      <c r="J431" s="111"/>
      <c r="K431" s="112"/>
      <c r="L431" s="39"/>
      <c r="M431" s="39"/>
      <c r="N431" s="39"/>
      <c r="O431" s="39"/>
      <c r="P431" s="115"/>
    </row>
    <row r="432" spans="1:16" x14ac:dyDescent="0.25">
      <c r="A432" s="108"/>
      <c r="B432" s="39">
        <v>422</v>
      </c>
      <c r="C432" s="159"/>
      <c r="D432" s="160"/>
      <c r="E432" s="160"/>
      <c r="F432" s="160"/>
      <c r="G432" s="160"/>
      <c r="H432" s="161"/>
      <c r="I432" s="39"/>
      <c r="J432" s="111"/>
      <c r="K432" s="112"/>
      <c r="L432" s="39"/>
      <c r="M432" s="39"/>
      <c r="N432" s="39"/>
      <c r="O432" s="39"/>
      <c r="P432" s="52"/>
    </row>
    <row r="433" spans="1:16" ht="15" customHeight="1" x14ac:dyDescent="0.25">
      <c r="A433" s="108"/>
      <c r="B433" s="39">
        <v>423</v>
      </c>
      <c r="C433" s="159"/>
      <c r="D433" s="160"/>
      <c r="E433" s="160"/>
      <c r="F433" s="160"/>
      <c r="G433" s="160"/>
      <c r="H433" s="161"/>
      <c r="I433" s="39"/>
      <c r="J433" s="111"/>
      <c r="K433" s="112"/>
      <c r="L433" s="39"/>
      <c r="M433" s="39"/>
      <c r="N433" s="39"/>
      <c r="O433" s="39"/>
      <c r="P433" s="52"/>
    </row>
    <row r="434" spans="1:16" ht="15" customHeight="1" x14ac:dyDescent="0.25">
      <c r="A434" s="108"/>
      <c r="B434" s="39">
        <v>424</v>
      </c>
      <c r="C434" s="159"/>
      <c r="D434" s="160"/>
      <c r="E434" s="160"/>
      <c r="F434" s="160"/>
      <c r="G434" s="160"/>
      <c r="H434" s="161"/>
      <c r="I434" s="39"/>
      <c r="J434" s="111"/>
      <c r="K434" s="112"/>
      <c r="L434" s="39"/>
      <c r="M434" s="39"/>
      <c r="N434" s="39"/>
      <c r="O434" s="39"/>
      <c r="P434" s="115"/>
    </row>
    <row r="435" spans="1:16" x14ac:dyDescent="0.25">
      <c r="A435" s="108"/>
      <c r="B435" s="39">
        <v>425</v>
      </c>
      <c r="C435" s="159"/>
      <c r="D435" s="160"/>
      <c r="E435" s="160"/>
      <c r="F435" s="160"/>
      <c r="G435" s="160"/>
      <c r="H435" s="161"/>
      <c r="I435" s="39"/>
      <c r="J435" s="111"/>
      <c r="K435" s="112"/>
      <c r="L435" s="39"/>
      <c r="M435" s="39"/>
      <c r="N435" s="39"/>
      <c r="O435" s="39"/>
      <c r="P435" s="52"/>
    </row>
    <row r="436" spans="1:16" x14ac:dyDescent="0.25">
      <c r="A436" s="108"/>
      <c r="B436" s="39">
        <v>426</v>
      </c>
      <c r="C436" s="159"/>
      <c r="D436" s="160"/>
      <c r="E436" s="160"/>
      <c r="F436" s="160"/>
      <c r="G436" s="160"/>
      <c r="H436" s="161"/>
      <c r="I436" s="39"/>
      <c r="J436" s="111"/>
      <c r="K436" s="112"/>
      <c r="L436" s="39"/>
      <c r="M436" s="39"/>
      <c r="N436" s="39"/>
      <c r="O436" s="39"/>
      <c r="P436" s="52"/>
    </row>
    <row r="437" spans="1:16" x14ac:dyDescent="0.25">
      <c r="A437" s="108"/>
      <c r="B437" s="39">
        <v>427</v>
      </c>
      <c r="C437" s="159"/>
      <c r="D437" s="160"/>
      <c r="E437" s="160"/>
      <c r="F437" s="160"/>
      <c r="G437" s="160"/>
      <c r="H437" s="161"/>
      <c r="I437" s="39"/>
      <c r="J437" s="111"/>
      <c r="K437" s="112"/>
      <c r="L437" s="39"/>
      <c r="M437" s="39"/>
      <c r="N437" s="39"/>
      <c r="O437" s="39"/>
      <c r="P437" s="52"/>
    </row>
    <row r="438" spans="1:16" x14ac:dyDescent="0.25">
      <c r="A438" s="108"/>
      <c r="B438" s="39">
        <v>428</v>
      </c>
      <c r="C438" s="159"/>
      <c r="D438" s="160"/>
      <c r="E438" s="160"/>
      <c r="F438" s="160"/>
      <c r="G438" s="160"/>
      <c r="H438" s="161"/>
      <c r="I438" s="39"/>
      <c r="J438" s="111"/>
      <c r="K438" s="112"/>
      <c r="L438" s="39"/>
      <c r="M438" s="39"/>
      <c r="N438" s="39"/>
      <c r="O438" s="39"/>
      <c r="P438" s="115"/>
    </row>
    <row r="439" spans="1:16" x14ac:dyDescent="0.25">
      <c r="A439" s="108"/>
      <c r="B439" s="39">
        <v>429</v>
      </c>
      <c r="C439" s="159"/>
      <c r="D439" s="160"/>
      <c r="E439" s="160"/>
      <c r="F439" s="160"/>
      <c r="G439" s="160"/>
      <c r="H439" s="161"/>
      <c r="I439" s="39"/>
      <c r="J439" s="111"/>
      <c r="K439" s="112"/>
      <c r="L439" s="39"/>
      <c r="M439" s="39"/>
      <c r="N439" s="39"/>
      <c r="O439" s="39"/>
      <c r="P439" s="52"/>
    </row>
    <row r="440" spans="1:16" x14ac:dyDescent="0.25">
      <c r="A440" s="108"/>
      <c r="B440" s="39">
        <v>430</v>
      </c>
      <c r="C440" s="159"/>
      <c r="D440" s="160"/>
      <c r="E440" s="160"/>
      <c r="F440" s="160"/>
      <c r="G440" s="160"/>
      <c r="H440" s="161"/>
      <c r="I440" s="39"/>
      <c r="J440" s="111"/>
      <c r="K440" s="112"/>
      <c r="L440" s="39"/>
      <c r="M440" s="39"/>
      <c r="N440" s="39"/>
      <c r="O440" s="39"/>
      <c r="P440" s="52"/>
    </row>
    <row r="441" spans="1:16" x14ac:dyDescent="0.25">
      <c r="A441" s="108"/>
      <c r="B441" s="39">
        <v>431</v>
      </c>
      <c r="C441" s="159"/>
      <c r="D441" s="160"/>
      <c r="E441" s="160"/>
      <c r="F441" s="160"/>
      <c r="G441" s="160"/>
      <c r="H441" s="161"/>
      <c r="I441" s="39"/>
      <c r="J441" s="111"/>
      <c r="K441" s="112"/>
      <c r="L441" s="39"/>
      <c r="M441" s="39"/>
      <c r="N441" s="39"/>
      <c r="O441" s="39"/>
      <c r="P441" s="115"/>
    </row>
    <row r="442" spans="1:16" x14ac:dyDescent="0.25">
      <c r="A442" s="108"/>
      <c r="B442" s="39">
        <v>432</v>
      </c>
      <c r="C442" s="159"/>
      <c r="D442" s="160"/>
      <c r="E442" s="160"/>
      <c r="F442" s="160"/>
      <c r="G442" s="160"/>
      <c r="H442" s="161"/>
      <c r="I442" s="39"/>
      <c r="J442" s="111"/>
      <c r="K442" s="112"/>
      <c r="L442" s="39"/>
      <c r="M442" s="39"/>
      <c r="N442" s="39"/>
      <c r="O442" s="39"/>
      <c r="P442" s="52"/>
    </row>
    <row r="443" spans="1:16" x14ac:dyDescent="0.25">
      <c r="A443" s="108"/>
      <c r="B443" s="39">
        <v>433</v>
      </c>
      <c r="C443" s="159"/>
      <c r="D443" s="160"/>
      <c r="E443" s="160"/>
      <c r="F443" s="160"/>
      <c r="G443" s="160"/>
      <c r="H443" s="161"/>
      <c r="I443" s="39"/>
      <c r="J443" s="111"/>
      <c r="K443" s="112"/>
      <c r="L443" s="39"/>
      <c r="M443" s="39"/>
      <c r="N443" s="39"/>
      <c r="O443" s="39"/>
      <c r="P443" s="115"/>
    </row>
    <row r="444" spans="1:16" x14ac:dyDescent="0.25">
      <c r="A444" s="108"/>
      <c r="B444" s="39">
        <v>434</v>
      </c>
      <c r="C444" s="159"/>
      <c r="D444" s="160"/>
      <c r="E444" s="160"/>
      <c r="F444" s="160"/>
      <c r="G444" s="160"/>
      <c r="H444" s="161"/>
      <c r="I444" s="39"/>
      <c r="J444" s="111"/>
      <c r="K444" s="112"/>
      <c r="L444" s="39"/>
      <c r="M444" s="39"/>
      <c r="N444" s="39"/>
      <c r="O444" s="39"/>
      <c r="P444" s="115"/>
    </row>
    <row r="445" spans="1:16" x14ac:dyDescent="0.25">
      <c r="A445" s="108"/>
      <c r="B445" s="39">
        <v>435</v>
      </c>
      <c r="C445" s="159"/>
      <c r="D445" s="160"/>
      <c r="E445" s="160"/>
      <c r="F445" s="160"/>
      <c r="G445" s="160"/>
      <c r="H445" s="161"/>
      <c r="I445" s="39"/>
      <c r="J445" s="111"/>
      <c r="K445" s="112"/>
      <c r="L445" s="39"/>
      <c r="M445" s="39"/>
      <c r="N445" s="39"/>
      <c r="O445" s="39"/>
      <c r="P445" s="52"/>
    </row>
    <row r="446" spans="1:16" x14ac:dyDescent="0.25">
      <c r="A446" s="108"/>
      <c r="B446" s="39">
        <v>436</v>
      </c>
      <c r="C446" s="159"/>
      <c r="D446" s="160"/>
      <c r="E446" s="160"/>
      <c r="F446" s="160"/>
      <c r="G446" s="160"/>
      <c r="H446" s="161"/>
      <c r="I446" s="39"/>
      <c r="J446" s="111"/>
      <c r="K446" s="112"/>
      <c r="L446" s="39"/>
      <c r="M446" s="39"/>
      <c r="N446" s="39"/>
      <c r="O446" s="39"/>
      <c r="P446" s="52"/>
    </row>
    <row r="447" spans="1:16" x14ac:dyDescent="0.25">
      <c r="A447" s="108"/>
      <c r="B447" s="39">
        <v>437</v>
      </c>
      <c r="C447" s="159"/>
      <c r="D447" s="160"/>
      <c r="E447" s="160"/>
      <c r="F447" s="160"/>
      <c r="G447" s="160"/>
      <c r="H447" s="161"/>
      <c r="I447" s="39"/>
      <c r="J447" s="111"/>
      <c r="K447" s="112"/>
      <c r="L447" s="39"/>
      <c r="M447" s="39"/>
      <c r="N447" s="39"/>
      <c r="O447" s="39"/>
      <c r="P447" s="52"/>
    </row>
    <row r="448" spans="1:16" x14ac:dyDescent="0.25">
      <c r="A448" s="108"/>
      <c r="B448" s="39">
        <v>438</v>
      </c>
      <c r="C448" s="159"/>
      <c r="D448" s="160"/>
      <c r="E448" s="160"/>
      <c r="F448" s="160"/>
      <c r="G448" s="160"/>
      <c r="H448" s="161"/>
      <c r="I448" s="39"/>
      <c r="J448" s="111"/>
      <c r="K448" s="112"/>
      <c r="L448" s="39"/>
      <c r="M448" s="39"/>
      <c r="N448" s="39"/>
      <c r="O448" s="39"/>
      <c r="P448" s="52"/>
    </row>
    <row r="449" spans="1:16" x14ac:dyDescent="0.25">
      <c r="A449" s="108"/>
      <c r="B449" s="39">
        <v>439</v>
      </c>
      <c r="C449" s="159"/>
      <c r="D449" s="160"/>
      <c r="E449" s="160"/>
      <c r="F449" s="160"/>
      <c r="G449" s="160"/>
      <c r="H449" s="161"/>
      <c r="I449" s="39"/>
      <c r="J449" s="111"/>
      <c r="K449" s="112"/>
      <c r="L449" s="39"/>
      <c r="M449" s="39"/>
      <c r="N449" s="39"/>
      <c r="O449" s="39"/>
      <c r="P449" s="52"/>
    </row>
    <row r="450" spans="1:16" x14ac:dyDescent="0.25">
      <c r="A450" s="108"/>
      <c r="B450" s="39">
        <v>440</v>
      </c>
      <c r="C450" s="159"/>
      <c r="D450" s="160"/>
      <c r="E450" s="160"/>
      <c r="F450" s="160"/>
      <c r="G450" s="160"/>
      <c r="H450" s="161"/>
      <c r="I450" s="39"/>
      <c r="J450" s="111"/>
      <c r="K450" s="112"/>
      <c r="L450" s="39"/>
      <c r="M450" s="39"/>
      <c r="N450" s="39"/>
      <c r="O450" s="39"/>
      <c r="P450" s="52"/>
    </row>
    <row r="451" spans="1:16" x14ac:dyDescent="0.25">
      <c r="A451" s="108"/>
      <c r="B451" s="39">
        <v>441</v>
      </c>
      <c r="C451" s="159"/>
      <c r="D451" s="160"/>
      <c r="E451" s="160"/>
      <c r="F451" s="160"/>
      <c r="G451" s="160"/>
      <c r="H451" s="161"/>
      <c r="I451" s="39"/>
      <c r="J451" s="111"/>
      <c r="K451" s="112"/>
      <c r="L451" s="39"/>
      <c r="M451" s="39"/>
      <c r="N451" s="39"/>
      <c r="O451" s="39"/>
      <c r="P451" s="115"/>
    </row>
    <row r="452" spans="1:16" x14ac:dyDescent="0.25">
      <c r="A452" s="108"/>
      <c r="B452" s="39">
        <v>442</v>
      </c>
      <c r="C452" s="159"/>
      <c r="D452" s="160"/>
      <c r="E452" s="160"/>
      <c r="F452" s="160"/>
      <c r="G452" s="160"/>
      <c r="H452" s="161"/>
      <c r="I452" s="39"/>
      <c r="J452" s="111"/>
      <c r="K452" s="112"/>
      <c r="L452" s="39"/>
      <c r="M452" s="39"/>
      <c r="N452" s="39"/>
      <c r="O452" s="39"/>
      <c r="P452" s="52"/>
    </row>
    <row r="453" spans="1:16" x14ac:dyDescent="0.25">
      <c r="A453" s="108"/>
      <c r="B453" s="39">
        <v>443</v>
      </c>
      <c r="C453" s="159"/>
      <c r="D453" s="160"/>
      <c r="E453" s="160"/>
      <c r="F453" s="160"/>
      <c r="G453" s="160"/>
      <c r="H453" s="161"/>
      <c r="I453" s="39"/>
      <c r="J453" s="111"/>
      <c r="K453" s="112"/>
      <c r="L453" s="39"/>
      <c r="M453" s="39"/>
      <c r="N453" s="39"/>
      <c r="O453" s="39"/>
      <c r="P453" s="52"/>
    </row>
    <row r="454" spans="1:16" x14ac:dyDescent="0.25">
      <c r="A454" s="108"/>
      <c r="B454" s="39">
        <v>444</v>
      </c>
      <c r="C454" s="159"/>
      <c r="D454" s="160"/>
      <c r="E454" s="160"/>
      <c r="F454" s="160"/>
      <c r="G454" s="160"/>
      <c r="H454" s="161"/>
      <c r="I454" s="39"/>
      <c r="J454" s="111"/>
      <c r="K454" s="112"/>
      <c r="L454" s="39"/>
      <c r="M454" s="39"/>
      <c r="N454" s="39"/>
      <c r="O454" s="39"/>
      <c r="P454" s="115"/>
    </row>
    <row r="455" spans="1:16" x14ac:dyDescent="0.25">
      <c r="A455" s="108"/>
      <c r="B455" s="39">
        <v>445</v>
      </c>
      <c r="C455" s="159"/>
      <c r="D455" s="160"/>
      <c r="E455" s="160"/>
      <c r="F455" s="160"/>
      <c r="G455" s="160"/>
      <c r="H455" s="161"/>
      <c r="I455" s="39"/>
      <c r="J455" s="111"/>
      <c r="K455" s="112"/>
      <c r="L455" s="39"/>
      <c r="M455" s="39"/>
      <c r="N455" s="39"/>
      <c r="O455" s="39"/>
      <c r="P455" s="52"/>
    </row>
    <row r="456" spans="1:16" x14ac:dyDescent="0.25">
      <c r="A456" s="108"/>
      <c r="B456" s="39">
        <v>446</v>
      </c>
      <c r="C456" s="159"/>
      <c r="D456" s="160"/>
      <c r="E456" s="160"/>
      <c r="F456" s="160"/>
      <c r="G456" s="160"/>
      <c r="H456" s="161"/>
      <c r="I456" s="39"/>
      <c r="J456" s="111"/>
      <c r="K456" s="112"/>
      <c r="L456" s="39"/>
      <c r="M456" s="39"/>
      <c r="N456" s="39"/>
      <c r="O456" s="39"/>
      <c r="P456" s="52"/>
    </row>
    <row r="457" spans="1:16" x14ac:dyDescent="0.25">
      <c r="A457" s="108"/>
      <c r="B457" s="39">
        <v>447</v>
      </c>
      <c r="C457" s="159"/>
      <c r="D457" s="160"/>
      <c r="E457" s="160"/>
      <c r="F457" s="160"/>
      <c r="G457" s="160"/>
      <c r="H457" s="161"/>
      <c r="I457" s="39"/>
      <c r="J457" s="111"/>
      <c r="K457" s="112"/>
      <c r="L457" s="39"/>
      <c r="M457" s="39"/>
      <c r="N457" s="39"/>
      <c r="O457" s="39"/>
      <c r="P457" s="52"/>
    </row>
    <row r="458" spans="1:16" x14ac:dyDescent="0.25">
      <c r="A458" s="108"/>
      <c r="B458" s="39">
        <v>448</v>
      </c>
      <c r="C458" s="159"/>
      <c r="D458" s="160"/>
      <c r="E458" s="160"/>
      <c r="F458" s="160"/>
      <c r="G458" s="160"/>
      <c r="H458" s="161"/>
      <c r="I458" s="39"/>
      <c r="J458" s="111"/>
      <c r="K458" s="112"/>
      <c r="L458" s="39"/>
      <c r="M458" s="39"/>
      <c r="N458" s="39"/>
      <c r="O458" s="39"/>
      <c r="P458" s="115"/>
    </row>
    <row r="459" spans="1:16" x14ac:dyDescent="0.25">
      <c r="A459" s="108"/>
      <c r="B459" s="39">
        <v>449</v>
      </c>
      <c r="C459" s="159"/>
      <c r="D459" s="160"/>
      <c r="E459" s="160"/>
      <c r="F459" s="160"/>
      <c r="G459" s="160"/>
      <c r="H459" s="161"/>
      <c r="I459" s="39"/>
      <c r="J459" s="111"/>
      <c r="K459" s="112"/>
      <c r="L459" s="39"/>
      <c r="M459" s="39"/>
      <c r="N459" s="39"/>
      <c r="O459" s="39"/>
      <c r="P459" s="115"/>
    </row>
    <row r="460" spans="1:16" x14ac:dyDescent="0.25">
      <c r="A460" s="108"/>
      <c r="B460" s="39">
        <v>450</v>
      </c>
      <c r="C460" s="159"/>
      <c r="D460" s="160"/>
      <c r="E460" s="160"/>
      <c r="F460" s="160"/>
      <c r="G460" s="160"/>
      <c r="H460" s="161"/>
      <c r="I460" s="39"/>
      <c r="J460" s="111"/>
      <c r="K460" s="112"/>
      <c r="L460" s="39"/>
      <c r="M460" s="39"/>
      <c r="N460" s="39"/>
      <c r="O460" s="39"/>
      <c r="P460" s="115"/>
    </row>
    <row r="461" spans="1:16" x14ac:dyDescent="0.25">
      <c r="A461" s="108"/>
      <c r="B461" s="39">
        <v>451</v>
      </c>
      <c r="C461" s="159"/>
      <c r="D461" s="160"/>
      <c r="E461" s="160"/>
      <c r="F461" s="160"/>
      <c r="G461" s="160"/>
      <c r="H461" s="161"/>
      <c r="I461" s="39"/>
      <c r="J461" s="111"/>
      <c r="K461" s="112"/>
      <c r="L461" s="39"/>
      <c r="M461" s="39"/>
      <c r="N461" s="39"/>
      <c r="O461" s="39"/>
      <c r="P461" s="52"/>
    </row>
    <row r="462" spans="1:16" x14ac:dyDescent="0.25">
      <c r="A462" s="108"/>
      <c r="B462" s="39">
        <v>452</v>
      </c>
      <c r="C462" s="159"/>
      <c r="D462" s="160"/>
      <c r="E462" s="160"/>
      <c r="F462" s="160"/>
      <c r="G462" s="160"/>
      <c r="H462" s="161"/>
      <c r="I462" s="39"/>
      <c r="J462" s="111"/>
      <c r="K462" s="112"/>
      <c r="L462" s="39"/>
      <c r="M462" s="39"/>
      <c r="N462" s="39"/>
      <c r="O462" s="39"/>
      <c r="P462" s="52"/>
    </row>
    <row r="463" spans="1:16" x14ac:dyDescent="0.25">
      <c r="A463" s="108"/>
      <c r="B463" s="39">
        <v>453</v>
      </c>
      <c r="C463" s="159"/>
      <c r="D463" s="160"/>
      <c r="E463" s="160"/>
      <c r="F463" s="160"/>
      <c r="G463" s="160"/>
      <c r="H463" s="161"/>
      <c r="I463" s="39"/>
      <c r="J463" s="111"/>
      <c r="K463" s="112"/>
      <c r="L463" s="39"/>
      <c r="M463" s="39"/>
      <c r="N463" s="39"/>
      <c r="O463" s="39"/>
      <c r="P463" s="52"/>
    </row>
    <row r="464" spans="1:16" x14ac:dyDescent="0.25">
      <c r="A464" s="108"/>
      <c r="B464" s="39">
        <v>454</v>
      </c>
      <c r="C464" s="159"/>
      <c r="D464" s="160"/>
      <c r="E464" s="160"/>
      <c r="F464" s="160"/>
      <c r="G464" s="160"/>
      <c r="H464" s="161"/>
      <c r="I464" s="39"/>
      <c r="J464" s="111"/>
      <c r="K464" s="112"/>
      <c r="L464" s="39"/>
      <c r="M464" s="39"/>
      <c r="N464" s="39"/>
      <c r="O464" s="39"/>
      <c r="P464" s="52"/>
    </row>
    <row r="465" spans="1:16" x14ac:dyDescent="0.25">
      <c r="A465" s="108"/>
      <c r="B465" s="39">
        <v>455</v>
      </c>
      <c r="C465" s="159"/>
      <c r="D465" s="160"/>
      <c r="E465" s="160"/>
      <c r="F465" s="160"/>
      <c r="G465" s="160"/>
      <c r="H465" s="161"/>
      <c r="I465" s="39"/>
      <c r="J465" s="111"/>
      <c r="K465" s="112"/>
      <c r="L465" s="39"/>
      <c r="M465" s="39"/>
      <c r="N465" s="39"/>
      <c r="O465" s="39"/>
      <c r="P465" s="52"/>
    </row>
    <row r="466" spans="1:16" x14ac:dyDescent="0.25">
      <c r="A466" s="108"/>
      <c r="B466" s="39">
        <v>456</v>
      </c>
      <c r="C466" s="159"/>
      <c r="D466" s="160"/>
      <c r="E466" s="160"/>
      <c r="F466" s="160"/>
      <c r="G466" s="160"/>
      <c r="H466" s="161"/>
      <c r="I466" s="39"/>
      <c r="J466" s="111"/>
      <c r="K466" s="112"/>
      <c r="L466" s="39"/>
      <c r="M466" s="39"/>
      <c r="N466" s="39"/>
      <c r="O466" s="39"/>
      <c r="P466" s="52"/>
    </row>
    <row r="467" spans="1:16" x14ac:dyDescent="0.25">
      <c r="A467" s="108"/>
      <c r="B467" s="39">
        <v>457</v>
      </c>
      <c r="C467" s="159"/>
      <c r="D467" s="160"/>
      <c r="E467" s="160"/>
      <c r="F467" s="160"/>
      <c r="G467" s="160"/>
      <c r="H467" s="161"/>
      <c r="I467" s="39"/>
      <c r="J467" s="111"/>
      <c r="K467" s="112"/>
      <c r="L467" s="39"/>
      <c r="M467" s="39"/>
      <c r="N467" s="39"/>
      <c r="O467" s="39"/>
      <c r="P467" s="52"/>
    </row>
    <row r="468" spans="1:16" x14ac:dyDescent="0.25">
      <c r="A468" s="108"/>
      <c r="B468" s="39">
        <v>458</v>
      </c>
      <c r="C468" s="159"/>
      <c r="D468" s="160"/>
      <c r="E468" s="160"/>
      <c r="F468" s="160"/>
      <c r="G468" s="160"/>
      <c r="H468" s="161"/>
      <c r="I468" s="39"/>
      <c r="J468" s="111"/>
      <c r="K468" s="112"/>
      <c r="L468" s="39"/>
      <c r="M468" s="39"/>
      <c r="N468" s="39"/>
      <c r="O468" s="39"/>
      <c r="P468" s="52"/>
    </row>
    <row r="469" spans="1:16" x14ac:dyDescent="0.25">
      <c r="A469" s="108"/>
      <c r="B469" s="39">
        <v>459</v>
      </c>
      <c r="C469" s="159"/>
      <c r="D469" s="160"/>
      <c r="E469" s="160"/>
      <c r="F469" s="160"/>
      <c r="G469" s="160"/>
      <c r="H469" s="161"/>
      <c r="I469" s="39"/>
      <c r="J469" s="111"/>
      <c r="K469" s="112"/>
      <c r="L469" s="39"/>
      <c r="M469" s="39"/>
      <c r="N469" s="39"/>
      <c r="O469" s="39"/>
      <c r="P469" s="52"/>
    </row>
    <row r="470" spans="1:16" x14ac:dyDescent="0.25">
      <c r="A470" s="108"/>
      <c r="B470" s="39">
        <v>460</v>
      </c>
      <c r="C470" s="159"/>
      <c r="D470" s="160"/>
      <c r="E470" s="160"/>
      <c r="F470" s="160"/>
      <c r="G470" s="160"/>
      <c r="H470" s="161"/>
      <c r="I470" s="39"/>
      <c r="J470" s="111"/>
      <c r="K470" s="112"/>
      <c r="L470" s="39"/>
      <c r="M470" s="39"/>
      <c r="N470" s="39"/>
      <c r="O470" s="39"/>
      <c r="P470" s="115"/>
    </row>
    <row r="471" spans="1:16" x14ac:dyDescent="0.25">
      <c r="A471" s="108"/>
      <c r="B471" s="39">
        <v>461</v>
      </c>
      <c r="C471" s="159"/>
      <c r="D471" s="160"/>
      <c r="E471" s="160"/>
      <c r="F471" s="160"/>
      <c r="G471" s="160"/>
      <c r="H471" s="161"/>
      <c r="I471" s="39"/>
      <c r="J471" s="111"/>
      <c r="K471" s="112"/>
      <c r="L471" s="39"/>
      <c r="M471" s="39"/>
      <c r="N471" s="39"/>
      <c r="O471" s="39"/>
      <c r="P471" s="115"/>
    </row>
    <row r="472" spans="1:16" x14ac:dyDescent="0.25">
      <c r="A472" s="108"/>
      <c r="B472" s="39">
        <v>462</v>
      </c>
      <c r="C472" s="159"/>
      <c r="D472" s="160"/>
      <c r="E472" s="160"/>
      <c r="F472" s="160"/>
      <c r="G472" s="160"/>
      <c r="H472" s="161"/>
      <c r="I472" s="39"/>
      <c r="J472" s="111"/>
      <c r="K472" s="112"/>
      <c r="L472" s="39"/>
      <c r="M472" s="39"/>
      <c r="N472" s="39"/>
      <c r="O472" s="39"/>
      <c r="P472" s="52"/>
    </row>
    <row r="473" spans="1:16" x14ac:dyDescent="0.25">
      <c r="A473" s="108"/>
      <c r="B473" s="39">
        <v>463</v>
      </c>
      <c r="C473" s="159"/>
      <c r="D473" s="160"/>
      <c r="E473" s="160"/>
      <c r="F473" s="160"/>
      <c r="G473" s="160"/>
      <c r="H473" s="161"/>
      <c r="I473" s="39"/>
      <c r="J473" s="111"/>
      <c r="K473" s="112"/>
      <c r="L473" s="39"/>
      <c r="M473" s="39"/>
      <c r="N473" s="39"/>
      <c r="O473" s="39"/>
      <c r="P473" s="52"/>
    </row>
    <row r="474" spans="1:16" x14ac:dyDescent="0.25">
      <c r="A474" s="108"/>
      <c r="B474" s="39">
        <v>464</v>
      </c>
      <c r="C474" s="159"/>
      <c r="D474" s="160"/>
      <c r="E474" s="160"/>
      <c r="F474" s="160"/>
      <c r="G474" s="160"/>
      <c r="H474" s="161"/>
      <c r="I474" s="39"/>
      <c r="J474" s="111"/>
      <c r="K474" s="112"/>
      <c r="L474" s="39"/>
      <c r="M474" s="39"/>
      <c r="N474" s="39"/>
      <c r="O474" s="39"/>
      <c r="P474" s="52"/>
    </row>
    <row r="475" spans="1:16" x14ac:dyDescent="0.25">
      <c r="A475" s="108"/>
      <c r="B475" s="39">
        <v>465</v>
      </c>
      <c r="C475" s="159"/>
      <c r="D475" s="160"/>
      <c r="E475" s="160"/>
      <c r="F475" s="160"/>
      <c r="G475" s="160"/>
      <c r="H475" s="161"/>
      <c r="I475" s="39"/>
      <c r="J475" s="111"/>
      <c r="K475" s="112"/>
      <c r="L475" s="39"/>
      <c r="M475" s="39"/>
      <c r="N475" s="39"/>
      <c r="O475" s="39"/>
      <c r="P475" s="52"/>
    </row>
    <row r="476" spans="1:16" x14ac:dyDescent="0.25">
      <c r="A476" s="108"/>
      <c r="B476" s="39">
        <v>466</v>
      </c>
      <c r="C476" s="159"/>
      <c r="D476" s="160"/>
      <c r="E476" s="160"/>
      <c r="F476" s="160"/>
      <c r="G476" s="160"/>
      <c r="H476" s="161"/>
      <c r="I476" s="39"/>
      <c r="J476" s="111"/>
      <c r="K476" s="112"/>
      <c r="L476" s="39"/>
      <c r="M476" s="32"/>
      <c r="N476" s="103"/>
      <c r="O476" s="103"/>
      <c r="P476" s="115"/>
    </row>
    <row r="477" spans="1:16" x14ac:dyDescent="0.25">
      <c r="A477" s="108"/>
      <c r="B477" s="39">
        <v>467</v>
      </c>
      <c r="C477" s="159"/>
      <c r="D477" s="160"/>
      <c r="E477" s="160"/>
      <c r="F477" s="160"/>
      <c r="G477" s="160"/>
      <c r="H477" s="161"/>
      <c r="I477" s="39"/>
      <c r="J477" s="111"/>
      <c r="K477" s="112"/>
      <c r="L477" s="39"/>
      <c r="M477" s="39"/>
      <c r="N477" s="39"/>
      <c r="O477" s="39"/>
      <c r="P477" s="52"/>
    </row>
    <row r="478" spans="1:16" x14ac:dyDescent="0.25">
      <c r="A478" s="108"/>
      <c r="B478" s="39">
        <v>468</v>
      </c>
      <c r="C478" s="159"/>
      <c r="D478" s="160"/>
      <c r="E478" s="160"/>
      <c r="F478" s="160"/>
      <c r="G478" s="160"/>
      <c r="H478" s="161"/>
      <c r="I478" s="39"/>
      <c r="J478" s="111"/>
      <c r="K478" s="112"/>
      <c r="L478" s="39"/>
      <c r="M478" s="39"/>
      <c r="N478" s="39"/>
      <c r="O478" s="39"/>
      <c r="P478" s="52"/>
    </row>
    <row r="479" spans="1:16" x14ac:dyDescent="0.25">
      <c r="A479" s="108"/>
      <c r="B479" s="39">
        <v>469</v>
      </c>
      <c r="C479" s="159"/>
      <c r="D479" s="160"/>
      <c r="E479" s="160"/>
      <c r="F479" s="160"/>
      <c r="G479" s="160"/>
      <c r="H479" s="161"/>
      <c r="I479" s="39"/>
      <c r="J479" s="111"/>
      <c r="K479" s="112"/>
      <c r="L479" s="39"/>
      <c r="M479" s="39"/>
      <c r="N479" s="39"/>
      <c r="O479" s="39"/>
      <c r="P479" s="52"/>
    </row>
    <row r="480" spans="1:16" x14ac:dyDescent="0.25">
      <c r="A480" s="108"/>
      <c r="B480" s="39">
        <v>470</v>
      </c>
      <c r="C480" s="159"/>
      <c r="D480" s="160"/>
      <c r="E480" s="160"/>
      <c r="F480" s="160"/>
      <c r="G480" s="160"/>
      <c r="H480" s="161"/>
      <c r="I480" s="39"/>
      <c r="J480" s="111"/>
      <c r="K480" s="112"/>
      <c r="L480" s="39"/>
      <c r="M480" s="39"/>
      <c r="N480" s="39"/>
      <c r="O480" s="39"/>
      <c r="P480" s="52"/>
    </row>
    <row r="481" spans="1:16" x14ac:dyDescent="0.25">
      <c r="A481" s="108"/>
      <c r="B481" s="39">
        <v>471</v>
      </c>
      <c r="C481" s="159"/>
      <c r="D481" s="160"/>
      <c r="E481" s="160"/>
      <c r="F481" s="160"/>
      <c r="G481" s="160"/>
      <c r="H481" s="161"/>
      <c r="I481" s="39"/>
      <c r="J481" s="111"/>
      <c r="K481" s="112"/>
      <c r="L481" s="39"/>
      <c r="M481" s="39"/>
      <c r="N481" s="39"/>
      <c r="O481" s="39"/>
      <c r="P481" s="52"/>
    </row>
    <row r="482" spans="1:16" x14ac:dyDescent="0.25">
      <c r="A482" s="108"/>
      <c r="B482" s="39">
        <v>472</v>
      </c>
      <c r="C482" s="159"/>
      <c r="D482" s="160"/>
      <c r="E482" s="160"/>
      <c r="F482" s="160"/>
      <c r="G482" s="160"/>
      <c r="H482" s="161"/>
      <c r="I482" s="39"/>
      <c r="J482" s="111"/>
      <c r="K482" s="112"/>
      <c r="L482" s="39"/>
      <c r="M482" s="39"/>
      <c r="N482" s="39"/>
      <c r="O482" s="39"/>
      <c r="P482" s="52"/>
    </row>
    <row r="483" spans="1:16" x14ac:dyDescent="0.25">
      <c r="A483" s="108"/>
      <c r="B483" s="39">
        <v>473</v>
      </c>
      <c r="C483" s="159"/>
      <c r="D483" s="160"/>
      <c r="E483" s="160"/>
      <c r="F483" s="160"/>
      <c r="G483" s="160"/>
      <c r="H483" s="161"/>
      <c r="I483" s="39"/>
      <c r="J483" s="111"/>
      <c r="K483" s="112"/>
      <c r="L483" s="39"/>
      <c r="M483" s="39"/>
      <c r="N483" s="39"/>
      <c r="O483" s="39"/>
      <c r="P483" s="115"/>
    </row>
    <row r="484" spans="1:16" x14ac:dyDescent="0.25">
      <c r="A484" s="108"/>
      <c r="B484" s="39">
        <v>474</v>
      </c>
      <c r="C484" s="159"/>
      <c r="D484" s="160"/>
      <c r="E484" s="160"/>
      <c r="F484" s="160"/>
      <c r="G484" s="160"/>
      <c r="H484" s="161"/>
      <c r="I484" s="39"/>
      <c r="J484" s="111"/>
      <c r="K484" s="112"/>
      <c r="L484" s="39"/>
      <c r="M484" s="39"/>
      <c r="N484" s="39"/>
      <c r="O484" s="39"/>
      <c r="P484" s="52"/>
    </row>
    <row r="485" spans="1:16" x14ac:dyDescent="0.25">
      <c r="A485" s="108"/>
      <c r="B485" s="39">
        <v>475</v>
      </c>
      <c r="C485" s="159"/>
      <c r="D485" s="160"/>
      <c r="E485" s="160"/>
      <c r="F485" s="160"/>
      <c r="G485" s="160"/>
      <c r="H485" s="161"/>
      <c r="I485" s="39"/>
      <c r="J485" s="111"/>
      <c r="K485" s="112"/>
      <c r="L485" s="39"/>
      <c r="M485" s="39"/>
      <c r="N485" s="39"/>
      <c r="O485" s="39"/>
      <c r="P485" s="52"/>
    </row>
    <row r="486" spans="1:16" x14ac:dyDescent="0.25">
      <c r="A486" s="108"/>
      <c r="B486" s="39">
        <v>476</v>
      </c>
      <c r="C486" s="159"/>
      <c r="D486" s="160"/>
      <c r="E486" s="160"/>
      <c r="F486" s="160"/>
      <c r="G486" s="160"/>
      <c r="H486" s="161"/>
      <c r="I486" s="39"/>
      <c r="J486" s="111"/>
      <c r="K486" s="112"/>
      <c r="L486" s="39"/>
      <c r="M486" s="39"/>
      <c r="N486" s="39"/>
      <c r="O486" s="39"/>
      <c r="P486" s="52"/>
    </row>
    <row r="487" spans="1:16" x14ac:dyDescent="0.25">
      <c r="A487" s="108"/>
      <c r="B487" s="39">
        <v>477</v>
      </c>
      <c r="C487" s="159"/>
      <c r="D487" s="160"/>
      <c r="E487" s="160"/>
      <c r="F487" s="160"/>
      <c r="G487" s="160"/>
      <c r="H487" s="161"/>
      <c r="I487" s="39"/>
      <c r="J487" s="111"/>
      <c r="K487" s="112"/>
      <c r="L487" s="39"/>
      <c r="M487" s="39"/>
      <c r="N487" s="39"/>
      <c r="O487" s="39"/>
      <c r="P487" s="52"/>
    </row>
    <row r="488" spans="1:16" x14ac:dyDescent="0.25">
      <c r="A488" s="108"/>
      <c r="B488" s="39">
        <v>478</v>
      </c>
      <c r="C488" s="159"/>
      <c r="D488" s="160"/>
      <c r="E488" s="160"/>
      <c r="F488" s="160"/>
      <c r="G488" s="160"/>
      <c r="H488" s="161"/>
      <c r="I488" s="39"/>
      <c r="J488" s="111"/>
      <c r="K488" s="112"/>
      <c r="L488" s="39"/>
      <c r="M488" s="39"/>
      <c r="N488" s="39"/>
      <c r="O488" s="39"/>
      <c r="P488" s="115"/>
    </row>
    <row r="489" spans="1:16" x14ac:dyDescent="0.25">
      <c r="A489" s="108"/>
      <c r="B489" s="39">
        <v>479</v>
      </c>
      <c r="C489" s="159"/>
      <c r="D489" s="160"/>
      <c r="E489" s="160"/>
      <c r="F489" s="160"/>
      <c r="G489" s="160"/>
      <c r="H489" s="161"/>
      <c r="I489" s="39"/>
      <c r="J489" s="111"/>
      <c r="K489" s="112"/>
      <c r="L489" s="39"/>
      <c r="M489" s="39"/>
      <c r="N489" s="39"/>
      <c r="O489" s="39"/>
      <c r="P489" s="52"/>
    </row>
    <row r="490" spans="1:16" x14ac:dyDescent="0.25">
      <c r="A490" s="108"/>
      <c r="B490" s="39">
        <v>480</v>
      </c>
      <c r="C490" s="159"/>
      <c r="D490" s="160"/>
      <c r="E490" s="160"/>
      <c r="F490" s="160"/>
      <c r="G490" s="160"/>
      <c r="H490" s="161"/>
      <c r="I490" s="39"/>
      <c r="J490" s="111"/>
      <c r="K490" s="112"/>
      <c r="L490" s="39"/>
      <c r="M490" s="39"/>
      <c r="N490" s="39"/>
      <c r="O490" s="39"/>
      <c r="P490" s="52"/>
    </row>
    <row r="491" spans="1:16" x14ac:dyDescent="0.25">
      <c r="A491" s="108"/>
      <c r="B491" s="39">
        <v>481</v>
      </c>
      <c r="C491" s="159"/>
      <c r="D491" s="160"/>
      <c r="E491" s="160"/>
      <c r="F491" s="160"/>
      <c r="G491" s="160"/>
      <c r="H491" s="161"/>
      <c r="I491" s="39"/>
      <c r="J491" s="111"/>
      <c r="K491" s="112"/>
      <c r="L491" s="39"/>
      <c r="M491" s="39"/>
      <c r="N491" s="39"/>
      <c r="O491" s="39"/>
      <c r="P491" s="52"/>
    </row>
    <row r="492" spans="1:16" x14ac:dyDescent="0.25">
      <c r="A492" s="108"/>
      <c r="B492" s="39">
        <v>482</v>
      </c>
      <c r="C492" s="159"/>
      <c r="D492" s="160"/>
      <c r="E492" s="160"/>
      <c r="F492" s="160"/>
      <c r="G492" s="160"/>
      <c r="H492" s="161"/>
      <c r="I492" s="39"/>
      <c r="J492" s="111"/>
      <c r="K492" s="112"/>
      <c r="L492" s="39"/>
      <c r="M492" s="39"/>
      <c r="N492" s="39"/>
      <c r="O492" s="39"/>
      <c r="P492" s="52"/>
    </row>
    <row r="493" spans="1:16" x14ac:dyDescent="0.25">
      <c r="A493" s="108"/>
      <c r="B493" s="39">
        <v>483</v>
      </c>
      <c r="C493" s="159"/>
      <c r="D493" s="160"/>
      <c r="E493" s="160"/>
      <c r="F493" s="160"/>
      <c r="G493" s="160"/>
      <c r="H493" s="161"/>
      <c r="I493" s="39"/>
      <c r="J493" s="111"/>
      <c r="K493" s="112"/>
      <c r="L493" s="39"/>
      <c r="M493" s="39"/>
      <c r="N493" s="39"/>
      <c r="O493" s="39"/>
      <c r="P493" s="52"/>
    </row>
    <row r="494" spans="1:16" x14ac:dyDescent="0.25">
      <c r="A494" s="108"/>
      <c r="B494" s="39">
        <v>484</v>
      </c>
      <c r="C494" s="159"/>
      <c r="D494" s="160"/>
      <c r="E494" s="160"/>
      <c r="F494" s="160"/>
      <c r="G494" s="160"/>
      <c r="H494" s="161"/>
      <c r="I494" s="39"/>
      <c r="J494" s="111"/>
      <c r="K494" s="112"/>
      <c r="L494" s="39"/>
      <c r="M494" s="39"/>
      <c r="N494" s="39"/>
      <c r="O494" s="39"/>
      <c r="P494" s="52"/>
    </row>
    <row r="495" spans="1:16" x14ac:dyDescent="0.25">
      <c r="A495" s="108"/>
      <c r="B495" s="39">
        <v>485</v>
      </c>
      <c r="C495" s="159"/>
      <c r="D495" s="160"/>
      <c r="E495" s="160"/>
      <c r="F495" s="160"/>
      <c r="G495" s="160"/>
      <c r="H495" s="161"/>
      <c r="I495" s="39"/>
      <c r="J495" s="111"/>
      <c r="K495" s="112"/>
      <c r="L495" s="39"/>
      <c r="M495" s="39"/>
      <c r="N495" s="39"/>
      <c r="O495" s="39"/>
      <c r="P495" s="52"/>
    </row>
    <row r="496" spans="1:16" x14ac:dyDescent="0.25">
      <c r="A496" s="108"/>
      <c r="B496" s="39">
        <v>486</v>
      </c>
      <c r="C496" s="159"/>
      <c r="D496" s="160"/>
      <c r="E496" s="160"/>
      <c r="F496" s="160"/>
      <c r="G496" s="160"/>
      <c r="H496" s="161"/>
      <c r="I496" s="39"/>
      <c r="J496" s="111"/>
      <c r="K496" s="112"/>
      <c r="L496" s="39"/>
      <c r="M496" s="39"/>
      <c r="N496" s="39"/>
      <c r="O496" s="39"/>
      <c r="P496" s="52"/>
    </row>
    <row r="497" spans="1:16" x14ac:dyDescent="0.25">
      <c r="A497" s="108"/>
      <c r="B497" s="39">
        <v>487</v>
      </c>
      <c r="C497" s="159"/>
      <c r="D497" s="160"/>
      <c r="E497" s="160"/>
      <c r="F497" s="160"/>
      <c r="G497" s="160"/>
      <c r="H497" s="161"/>
      <c r="I497" s="39"/>
      <c r="J497" s="111"/>
      <c r="K497" s="112"/>
      <c r="L497" s="39"/>
      <c r="M497" s="39"/>
      <c r="N497" s="39"/>
      <c r="O497" s="39"/>
      <c r="P497" s="52"/>
    </row>
    <row r="498" spans="1:16" x14ac:dyDescent="0.25">
      <c r="A498" s="108"/>
      <c r="B498" s="39">
        <v>488</v>
      </c>
      <c r="C498" s="159"/>
      <c r="D498" s="160"/>
      <c r="E498" s="160"/>
      <c r="F498" s="160"/>
      <c r="G498" s="160"/>
      <c r="H498" s="161"/>
      <c r="I498" s="39"/>
      <c r="J498" s="111"/>
      <c r="K498" s="112"/>
      <c r="L498" s="39"/>
      <c r="M498" s="39"/>
      <c r="N498" s="39"/>
      <c r="O498" s="39"/>
      <c r="P498" s="52"/>
    </row>
    <row r="499" spans="1:16" x14ac:dyDescent="0.25">
      <c r="A499" s="108"/>
      <c r="B499" s="39">
        <v>489</v>
      </c>
      <c r="C499" s="159"/>
      <c r="D499" s="160"/>
      <c r="E499" s="160"/>
      <c r="F499" s="160"/>
      <c r="G499" s="160"/>
      <c r="H499" s="161"/>
      <c r="I499" s="39"/>
      <c r="J499" s="111"/>
      <c r="K499" s="112"/>
      <c r="L499" s="39"/>
      <c r="M499" s="39"/>
      <c r="N499" s="39"/>
      <c r="O499" s="39"/>
      <c r="P499" s="52"/>
    </row>
    <row r="500" spans="1:16" x14ac:dyDescent="0.25">
      <c r="A500" s="108"/>
      <c r="B500" s="39">
        <v>490</v>
      </c>
      <c r="C500" s="159"/>
      <c r="D500" s="160"/>
      <c r="E500" s="160"/>
      <c r="F500" s="160"/>
      <c r="G500" s="160"/>
      <c r="H500" s="161"/>
      <c r="I500" s="39"/>
      <c r="J500" s="111"/>
      <c r="K500" s="112"/>
      <c r="L500" s="39"/>
      <c r="M500" s="39"/>
      <c r="N500" s="39"/>
      <c r="O500" s="39"/>
      <c r="P500" s="52"/>
    </row>
    <row r="501" spans="1:16" x14ac:dyDescent="0.25">
      <c r="A501" s="108"/>
      <c r="B501" s="39">
        <v>491</v>
      </c>
      <c r="C501" s="159"/>
      <c r="D501" s="160"/>
      <c r="E501" s="160"/>
      <c r="F501" s="160"/>
      <c r="G501" s="160"/>
      <c r="H501" s="161"/>
      <c r="I501" s="39"/>
      <c r="J501" s="111"/>
      <c r="K501" s="112"/>
      <c r="L501" s="39"/>
      <c r="M501" s="39"/>
      <c r="N501" s="39"/>
      <c r="O501" s="39"/>
      <c r="P501" s="52"/>
    </row>
    <row r="502" spans="1:16" x14ac:dyDescent="0.25">
      <c r="A502" s="108"/>
      <c r="B502" s="39">
        <v>492</v>
      </c>
      <c r="C502" s="159"/>
      <c r="D502" s="160"/>
      <c r="E502" s="160"/>
      <c r="F502" s="160"/>
      <c r="G502" s="160"/>
      <c r="H502" s="161"/>
      <c r="I502" s="39"/>
      <c r="J502" s="111"/>
      <c r="K502" s="112"/>
      <c r="L502" s="39"/>
      <c r="M502" s="39"/>
      <c r="N502" s="39"/>
      <c r="O502" s="39"/>
      <c r="P502" s="52"/>
    </row>
    <row r="503" spans="1:16" x14ac:dyDescent="0.25">
      <c r="A503" s="108"/>
      <c r="B503" s="39">
        <v>493</v>
      </c>
      <c r="C503" s="159"/>
      <c r="D503" s="160"/>
      <c r="E503" s="160"/>
      <c r="F503" s="160"/>
      <c r="G503" s="160"/>
      <c r="H503" s="161"/>
      <c r="I503" s="39"/>
      <c r="J503" s="111"/>
      <c r="K503" s="112"/>
      <c r="L503" s="39"/>
      <c r="M503" s="39"/>
      <c r="N503" s="39"/>
      <c r="O503" s="39"/>
      <c r="P503" s="115"/>
    </row>
    <row r="504" spans="1:16" x14ac:dyDescent="0.25">
      <c r="A504" s="108"/>
      <c r="B504" s="39">
        <v>494</v>
      </c>
      <c r="C504" s="159"/>
      <c r="D504" s="160"/>
      <c r="E504" s="160"/>
      <c r="F504" s="160"/>
      <c r="G504" s="160"/>
      <c r="H504" s="161"/>
      <c r="I504" s="39"/>
      <c r="J504" s="111"/>
      <c r="K504" s="112"/>
      <c r="L504" s="39"/>
      <c r="M504" s="39"/>
      <c r="N504" s="39"/>
      <c r="O504" s="39"/>
      <c r="P504" s="115"/>
    </row>
    <row r="505" spans="1:16" x14ac:dyDescent="0.25">
      <c r="A505" s="108"/>
      <c r="B505" s="39">
        <v>495</v>
      </c>
      <c r="C505" s="159"/>
      <c r="D505" s="160"/>
      <c r="E505" s="160"/>
      <c r="F505" s="160"/>
      <c r="G505" s="160"/>
      <c r="H505" s="161"/>
      <c r="I505" s="39"/>
      <c r="J505" s="111"/>
      <c r="K505" s="112"/>
      <c r="L505" s="39"/>
      <c r="M505" s="39"/>
      <c r="N505" s="39"/>
      <c r="O505" s="39"/>
      <c r="P505" s="115"/>
    </row>
    <row r="506" spans="1:16" ht="15" customHeight="1" x14ac:dyDescent="0.25">
      <c r="A506" s="108"/>
      <c r="B506" s="39">
        <v>496</v>
      </c>
      <c r="C506" s="159"/>
      <c r="D506" s="160"/>
      <c r="E506" s="160"/>
      <c r="F506" s="160"/>
      <c r="G506" s="160"/>
      <c r="H506" s="161"/>
      <c r="I506" s="39"/>
      <c r="J506" s="111"/>
      <c r="K506" s="112"/>
      <c r="L506" s="39"/>
      <c r="M506" s="39"/>
      <c r="N506" s="39"/>
      <c r="O506" s="39"/>
      <c r="P506" s="115"/>
    </row>
    <row r="507" spans="1:16" ht="15" customHeight="1" x14ac:dyDescent="0.25">
      <c r="A507" s="108"/>
      <c r="B507" s="39">
        <v>497</v>
      </c>
      <c r="C507" s="159"/>
      <c r="D507" s="160"/>
      <c r="E507" s="160"/>
      <c r="F507" s="160"/>
      <c r="G507" s="160"/>
      <c r="H507" s="161"/>
      <c r="I507" s="39"/>
      <c r="J507" s="111"/>
      <c r="K507" s="112"/>
      <c r="L507" s="39"/>
      <c r="M507" s="39"/>
      <c r="N507" s="39"/>
      <c r="O507" s="39"/>
      <c r="P507" s="115"/>
    </row>
    <row r="508" spans="1:16" x14ac:dyDescent="0.25">
      <c r="A508" s="108"/>
      <c r="B508" s="39">
        <v>498</v>
      </c>
      <c r="C508" s="159"/>
      <c r="D508" s="160"/>
      <c r="E508" s="160"/>
      <c r="F508" s="160"/>
      <c r="G508" s="160"/>
      <c r="H508" s="161"/>
      <c r="I508" s="39"/>
      <c r="J508" s="111"/>
      <c r="K508" s="112"/>
      <c r="L508" s="39"/>
      <c r="M508" s="39"/>
      <c r="N508" s="39"/>
      <c r="O508" s="39"/>
      <c r="P508" s="52"/>
    </row>
    <row r="509" spans="1:16" ht="15" customHeight="1" x14ac:dyDescent="0.25">
      <c r="A509" s="108"/>
      <c r="B509" s="39">
        <v>499</v>
      </c>
      <c r="C509" s="159"/>
      <c r="D509" s="160"/>
      <c r="E509" s="160"/>
      <c r="F509" s="160"/>
      <c r="G509" s="160"/>
      <c r="H509" s="161"/>
      <c r="I509" s="39"/>
      <c r="J509" s="111"/>
      <c r="K509" s="112"/>
      <c r="L509" s="39"/>
      <c r="M509" s="39"/>
      <c r="N509" s="39"/>
      <c r="O509" s="39"/>
      <c r="P509" s="52"/>
    </row>
    <row r="510" spans="1:16" x14ac:dyDescent="0.25">
      <c r="A510" s="108"/>
      <c r="B510" s="39">
        <v>500</v>
      </c>
      <c r="C510" s="159"/>
      <c r="D510" s="160"/>
      <c r="E510" s="160"/>
      <c r="F510" s="160"/>
      <c r="G510" s="160"/>
      <c r="H510" s="161"/>
      <c r="I510" s="39"/>
      <c r="J510" s="111"/>
      <c r="K510" s="112"/>
      <c r="L510" s="39"/>
      <c r="M510" s="39"/>
      <c r="N510" s="39"/>
      <c r="O510" s="39"/>
      <c r="P510" s="52"/>
    </row>
    <row r="511" spans="1:16" ht="15" customHeight="1" x14ac:dyDescent="0.25">
      <c r="A511" s="108"/>
      <c r="B511" s="39">
        <v>501</v>
      </c>
      <c r="C511" s="159"/>
      <c r="D511" s="160"/>
      <c r="E511" s="160"/>
      <c r="F511" s="160"/>
      <c r="G511" s="160"/>
      <c r="H511" s="161"/>
      <c r="I511" s="39"/>
      <c r="J511" s="111"/>
      <c r="K511" s="112"/>
      <c r="L511" s="39"/>
      <c r="M511" s="39"/>
      <c r="N511" s="39"/>
      <c r="O511" s="39"/>
      <c r="P511" s="52"/>
    </row>
    <row r="512" spans="1:16" x14ac:dyDescent="0.25">
      <c r="A512" s="108"/>
      <c r="B512" s="39">
        <v>502</v>
      </c>
      <c r="C512" s="159"/>
      <c r="D512" s="160"/>
      <c r="E512" s="160"/>
      <c r="F512" s="160"/>
      <c r="G512" s="160"/>
      <c r="H512" s="161"/>
      <c r="I512" s="39"/>
      <c r="J512" s="111"/>
      <c r="K512" s="112"/>
      <c r="L512" s="39"/>
      <c r="M512" s="39"/>
      <c r="N512" s="39"/>
      <c r="O512" s="39"/>
      <c r="P512" s="115"/>
    </row>
    <row r="513" spans="1:16" x14ac:dyDescent="0.25">
      <c r="A513" s="108"/>
      <c r="B513" s="39">
        <v>503</v>
      </c>
      <c r="C513" s="159"/>
      <c r="D513" s="160"/>
      <c r="E513" s="160"/>
      <c r="F513" s="160"/>
      <c r="G513" s="160"/>
      <c r="H513" s="161"/>
      <c r="I513" s="39"/>
      <c r="J513" s="111"/>
      <c r="K513" s="112"/>
      <c r="L513" s="39"/>
      <c r="M513" s="39"/>
      <c r="N513" s="39"/>
      <c r="O513" s="39"/>
      <c r="P513" s="52"/>
    </row>
    <row r="514" spans="1:16" x14ac:dyDescent="0.25">
      <c r="A514" s="108"/>
      <c r="B514" s="39">
        <v>504</v>
      </c>
      <c r="C514" s="159"/>
      <c r="D514" s="160"/>
      <c r="E514" s="160"/>
      <c r="F514" s="160"/>
      <c r="G514" s="160"/>
      <c r="H514" s="161"/>
      <c r="I514" s="39"/>
      <c r="J514" s="111"/>
      <c r="K514" s="112"/>
      <c r="L514" s="39"/>
      <c r="M514" s="39"/>
      <c r="N514" s="39"/>
      <c r="O514" s="39"/>
      <c r="P514" s="52"/>
    </row>
    <row r="515" spans="1:16" x14ac:dyDescent="0.25">
      <c r="A515" s="108"/>
      <c r="B515" s="39">
        <v>505</v>
      </c>
      <c r="C515" s="159"/>
      <c r="D515" s="160"/>
      <c r="E515" s="160"/>
      <c r="F515" s="160"/>
      <c r="G515" s="160"/>
      <c r="H515" s="161"/>
      <c r="I515" s="39"/>
      <c r="J515" s="111"/>
      <c r="K515" s="112"/>
      <c r="L515" s="39"/>
      <c r="M515" s="39"/>
      <c r="N515" s="39"/>
      <c r="O515" s="39"/>
      <c r="P515" s="52"/>
    </row>
    <row r="516" spans="1:16" x14ac:dyDescent="0.25">
      <c r="A516" s="108"/>
      <c r="B516" s="39">
        <v>506</v>
      </c>
      <c r="C516" s="159"/>
      <c r="D516" s="160"/>
      <c r="E516" s="160"/>
      <c r="F516" s="160"/>
      <c r="G516" s="160"/>
      <c r="H516" s="161"/>
      <c r="I516" s="39"/>
      <c r="J516" s="111"/>
      <c r="K516" s="112"/>
      <c r="L516" s="39"/>
      <c r="M516" s="39"/>
      <c r="N516" s="39"/>
      <c r="O516" s="39"/>
      <c r="P516" s="52"/>
    </row>
    <row r="517" spans="1:16" x14ac:dyDescent="0.25">
      <c r="A517" s="108"/>
      <c r="B517" s="39">
        <v>507</v>
      </c>
      <c r="C517" s="159"/>
      <c r="D517" s="160"/>
      <c r="E517" s="160"/>
      <c r="F517" s="160"/>
      <c r="G517" s="160"/>
      <c r="H517" s="161"/>
      <c r="I517" s="39"/>
      <c r="J517" s="111"/>
      <c r="K517" s="112"/>
      <c r="L517" s="39"/>
      <c r="M517" s="39"/>
      <c r="N517" s="39"/>
      <c r="O517" s="39"/>
      <c r="P517" s="52"/>
    </row>
    <row r="518" spans="1:16" x14ac:dyDescent="0.25">
      <c r="A518" s="108"/>
      <c r="B518" s="39">
        <v>508</v>
      </c>
      <c r="C518" s="159"/>
      <c r="D518" s="160"/>
      <c r="E518" s="160"/>
      <c r="F518" s="160"/>
      <c r="G518" s="160"/>
      <c r="H518" s="161"/>
      <c r="I518" s="39"/>
      <c r="J518" s="111"/>
      <c r="K518" s="112"/>
      <c r="L518" s="39"/>
      <c r="M518" s="39"/>
      <c r="N518" s="39"/>
      <c r="O518" s="39"/>
      <c r="P518" s="52"/>
    </row>
    <row r="519" spans="1:16" x14ac:dyDescent="0.25">
      <c r="A519" s="108"/>
      <c r="B519" s="39">
        <v>509</v>
      </c>
      <c r="C519" s="159"/>
      <c r="D519" s="160"/>
      <c r="E519" s="160"/>
      <c r="F519" s="160"/>
      <c r="G519" s="160"/>
      <c r="H519" s="161"/>
      <c r="I519" s="39"/>
      <c r="J519" s="111"/>
      <c r="K519" s="112"/>
      <c r="L519" s="39"/>
      <c r="M519" s="39"/>
      <c r="N519" s="39"/>
      <c r="O519" s="39"/>
      <c r="P519" s="52"/>
    </row>
    <row r="520" spans="1:16" s="153" customFormat="1" ht="15" customHeight="1" x14ac:dyDescent="0.25">
      <c r="A520" s="149"/>
      <c r="B520" s="39">
        <v>510</v>
      </c>
      <c r="C520" s="183"/>
      <c r="D520" s="184"/>
      <c r="E520" s="184"/>
      <c r="F520" s="184"/>
      <c r="G520" s="184"/>
      <c r="H520" s="185"/>
      <c r="I520" s="150"/>
      <c r="J520" s="151"/>
      <c r="K520" s="112"/>
      <c r="L520" s="150"/>
      <c r="M520" s="150"/>
      <c r="N520" s="150"/>
      <c r="O520" s="150"/>
      <c r="P520" s="52"/>
    </row>
    <row r="521" spans="1:16" s="153" customFormat="1" x14ac:dyDescent="0.25">
      <c r="A521" s="149"/>
      <c r="B521" s="39">
        <v>511</v>
      </c>
      <c r="C521" s="186"/>
      <c r="D521" s="187"/>
      <c r="E521" s="187"/>
      <c r="F521" s="187"/>
      <c r="G521" s="187"/>
      <c r="H521" s="188"/>
      <c r="I521" s="150"/>
      <c r="J521" s="151"/>
      <c r="K521" s="152"/>
      <c r="L521" s="150"/>
      <c r="M521" s="39"/>
      <c r="N521" s="39"/>
      <c r="O521" s="39"/>
      <c r="P521" s="52"/>
    </row>
    <row r="522" spans="1:16" ht="15" customHeight="1" x14ac:dyDescent="0.25">
      <c r="A522" s="108"/>
      <c r="B522" s="39">
        <v>512</v>
      </c>
      <c r="C522" s="159"/>
      <c r="D522" s="160"/>
      <c r="E522" s="160"/>
      <c r="F522" s="160"/>
      <c r="G522" s="160"/>
      <c r="H522" s="161"/>
      <c r="I522" s="39"/>
      <c r="J522" s="111"/>
      <c r="K522" s="112"/>
      <c r="L522" s="39"/>
      <c r="M522" s="39"/>
      <c r="N522" s="39"/>
      <c r="O522" s="39"/>
      <c r="P522" s="52"/>
    </row>
    <row r="523" spans="1:16" x14ac:dyDescent="0.25">
      <c r="A523" s="108"/>
      <c r="B523" s="39">
        <v>513</v>
      </c>
      <c r="C523" s="159"/>
      <c r="D523" s="160"/>
      <c r="E523" s="160"/>
      <c r="F523" s="160"/>
      <c r="G523" s="160"/>
      <c r="H523" s="161"/>
      <c r="I523" s="39"/>
      <c r="J523" s="111"/>
      <c r="K523" s="112"/>
      <c r="L523" s="39"/>
      <c r="M523" s="39"/>
      <c r="N523" s="39"/>
      <c r="O523" s="39"/>
      <c r="P523" s="115"/>
    </row>
    <row r="524" spans="1:16" x14ac:dyDescent="0.25">
      <c r="A524" s="108"/>
      <c r="B524" s="39">
        <v>514</v>
      </c>
      <c r="C524" s="159"/>
      <c r="D524" s="160"/>
      <c r="E524" s="160"/>
      <c r="F524" s="160"/>
      <c r="G524" s="160"/>
      <c r="H524" s="161"/>
      <c r="I524" s="39"/>
      <c r="J524" s="111"/>
      <c r="K524" s="112"/>
      <c r="L524" s="39"/>
      <c r="M524" s="39"/>
      <c r="N524" s="39"/>
      <c r="O524" s="39"/>
      <c r="P524" s="52"/>
    </row>
    <row r="525" spans="1:16" ht="15" customHeight="1" x14ac:dyDescent="0.25">
      <c r="A525" s="108"/>
      <c r="B525" s="39">
        <v>515</v>
      </c>
      <c r="C525" s="159"/>
      <c r="D525" s="160"/>
      <c r="E525" s="160"/>
      <c r="F525" s="160"/>
      <c r="G525" s="160"/>
      <c r="H525" s="161"/>
      <c r="I525" s="39"/>
      <c r="J525" s="111"/>
      <c r="K525" s="112"/>
      <c r="L525" s="39"/>
      <c r="M525" s="39"/>
      <c r="N525" s="39"/>
      <c r="O525" s="39"/>
      <c r="P525" s="52"/>
    </row>
    <row r="526" spans="1:16" x14ac:dyDescent="0.25">
      <c r="A526" s="108"/>
      <c r="B526" s="39">
        <v>516</v>
      </c>
      <c r="C526" s="159"/>
      <c r="D526" s="160"/>
      <c r="E526" s="160"/>
      <c r="F526" s="160"/>
      <c r="G526" s="160"/>
      <c r="H526" s="161"/>
      <c r="I526" s="39"/>
      <c r="J526" s="111"/>
      <c r="K526" s="112"/>
      <c r="L526" s="39"/>
      <c r="M526" s="39"/>
      <c r="N526" s="39"/>
      <c r="O526" s="39"/>
      <c r="P526" s="52"/>
    </row>
    <row r="527" spans="1:16" x14ac:dyDescent="0.25">
      <c r="A527" s="108"/>
      <c r="B527" s="39">
        <v>517</v>
      </c>
      <c r="C527" s="159"/>
      <c r="D527" s="160"/>
      <c r="E527" s="160"/>
      <c r="F527" s="160"/>
      <c r="G527" s="160"/>
      <c r="H527" s="161"/>
      <c r="I527" s="39"/>
      <c r="J527" s="111"/>
      <c r="K527" s="112"/>
      <c r="L527" s="39"/>
      <c r="M527" s="39"/>
      <c r="N527" s="39"/>
      <c r="O527" s="39"/>
      <c r="P527" s="52"/>
    </row>
    <row r="528" spans="1:16" x14ac:dyDescent="0.25">
      <c r="A528" s="108"/>
      <c r="B528" s="39">
        <v>518</v>
      </c>
      <c r="C528" s="159"/>
      <c r="D528" s="160"/>
      <c r="E528" s="160"/>
      <c r="F528" s="160"/>
      <c r="G528" s="160"/>
      <c r="H528" s="161"/>
      <c r="I528" s="39"/>
      <c r="J528" s="111"/>
      <c r="K528" s="112"/>
      <c r="L528" s="39"/>
      <c r="M528" s="39"/>
      <c r="N528" s="39"/>
      <c r="O528" s="39"/>
      <c r="P528" s="52"/>
    </row>
    <row r="529" spans="1:16" x14ac:dyDescent="0.25">
      <c r="A529" s="108"/>
      <c r="B529" s="39">
        <v>519</v>
      </c>
      <c r="C529" s="159"/>
      <c r="D529" s="160"/>
      <c r="E529" s="160"/>
      <c r="F529" s="160"/>
      <c r="G529" s="160"/>
      <c r="H529" s="161"/>
      <c r="I529" s="39"/>
      <c r="J529" s="111"/>
      <c r="K529" s="112"/>
      <c r="L529" s="39"/>
      <c r="M529" s="39"/>
      <c r="N529" s="39"/>
      <c r="O529" s="39"/>
      <c r="P529" s="52"/>
    </row>
    <row r="530" spans="1:16" x14ac:dyDescent="0.25">
      <c r="A530" s="108"/>
      <c r="B530" s="39">
        <v>520</v>
      </c>
      <c r="C530" s="159"/>
      <c r="D530" s="160"/>
      <c r="E530" s="160"/>
      <c r="F530" s="160"/>
      <c r="G530" s="160"/>
      <c r="H530" s="161"/>
      <c r="I530" s="39"/>
      <c r="J530" s="111"/>
      <c r="K530" s="112"/>
      <c r="L530" s="39"/>
      <c r="M530" s="39"/>
      <c r="N530" s="39"/>
      <c r="O530" s="39"/>
      <c r="P530" s="52"/>
    </row>
    <row r="531" spans="1:16" x14ac:dyDescent="0.25">
      <c r="A531" s="108"/>
      <c r="B531" s="39">
        <v>521</v>
      </c>
      <c r="C531" s="159"/>
      <c r="D531" s="160"/>
      <c r="E531" s="160"/>
      <c r="F531" s="160"/>
      <c r="G531" s="160"/>
      <c r="H531" s="161"/>
      <c r="I531" s="39"/>
      <c r="J531" s="111"/>
      <c r="K531" s="112"/>
      <c r="L531" s="39"/>
      <c r="M531" s="39"/>
      <c r="N531" s="39"/>
      <c r="O531" s="39"/>
      <c r="P531" s="52"/>
    </row>
    <row r="532" spans="1:16" x14ac:dyDescent="0.25">
      <c r="A532" s="108"/>
      <c r="B532" s="39">
        <v>522</v>
      </c>
      <c r="C532" s="159"/>
      <c r="D532" s="160"/>
      <c r="E532" s="160"/>
      <c r="F532" s="160"/>
      <c r="G532" s="160"/>
      <c r="H532" s="161"/>
      <c r="I532" s="39"/>
      <c r="J532" s="111"/>
      <c r="K532" s="112"/>
      <c r="L532" s="39"/>
      <c r="M532" s="39"/>
      <c r="N532" s="39"/>
      <c r="O532" s="39"/>
      <c r="P532" s="115"/>
    </row>
    <row r="533" spans="1:16" x14ac:dyDescent="0.25">
      <c r="A533" s="108"/>
      <c r="B533" s="39">
        <v>523</v>
      </c>
      <c r="C533" s="159"/>
      <c r="D533" s="160"/>
      <c r="E533" s="160"/>
      <c r="F533" s="160"/>
      <c r="G533" s="160"/>
      <c r="H533" s="161"/>
      <c r="I533" s="39"/>
      <c r="J533" s="111"/>
      <c r="K533" s="112"/>
      <c r="L533" s="39"/>
      <c r="M533" s="39"/>
      <c r="N533" s="39"/>
      <c r="O533" s="39"/>
      <c r="P533" s="115"/>
    </row>
    <row r="534" spans="1:16" x14ac:dyDescent="0.25">
      <c r="A534" s="108"/>
      <c r="B534" s="39">
        <v>524</v>
      </c>
      <c r="C534" s="159"/>
      <c r="D534" s="160"/>
      <c r="E534" s="160"/>
      <c r="F534" s="160"/>
      <c r="G534" s="160"/>
      <c r="H534" s="161"/>
      <c r="I534" s="39"/>
      <c r="J534" s="111"/>
      <c r="K534" s="112"/>
      <c r="L534" s="39"/>
      <c r="M534" s="39"/>
      <c r="N534" s="39"/>
      <c r="O534" s="39"/>
      <c r="P534" s="52"/>
    </row>
    <row r="535" spans="1:16" x14ac:dyDescent="0.25">
      <c r="A535" s="108"/>
      <c r="B535" s="39">
        <v>525</v>
      </c>
      <c r="C535" s="159"/>
      <c r="D535" s="160"/>
      <c r="E535" s="160"/>
      <c r="F535" s="160"/>
      <c r="G535" s="160"/>
      <c r="H535" s="161"/>
      <c r="I535" s="39"/>
      <c r="J535" s="111"/>
      <c r="K535" s="112"/>
      <c r="L535" s="39"/>
      <c r="M535" s="39"/>
      <c r="N535" s="39"/>
      <c r="O535" s="39"/>
      <c r="P535" s="52"/>
    </row>
    <row r="536" spans="1:16" x14ac:dyDescent="0.25">
      <c r="A536" s="108"/>
      <c r="B536" s="39">
        <v>526</v>
      </c>
      <c r="C536" s="159"/>
      <c r="D536" s="160"/>
      <c r="E536" s="160"/>
      <c r="F536" s="160"/>
      <c r="G536" s="160"/>
      <c r="H536" s="161"/>
      <c r="I536" s="39"/>
      <c r="J536" s="111"/>
      <c r="K536" s="112"/>
      <c r="L536" s="39"/>
      <c r="M536" s="39"/>
      <c r="N536" s="39"/>
      <c r="O536" s="39"/>
      <c r="P536" s="52"/>
    </row>
    <row r="537" spans="1:16" x14ac:dyDescent="0.25">
      <c r="A537" s="108"/>
      <c r="B537" s="39">
        <v>527</v>
      </c>
      <c r="C537" s="159"/>
      <c r="D537" s="160"/>
      <c r="E537" s="160"/>
      <c r="F537" s="160"/>
      <c r="G537" s="160"/>
      <c r="H537" s="161"/>
      <c r="I537" s="39"/>
      <c r="J537" s="111"/>
      <c r="K537" s="112"/>
      <c r="L537" s="39"/>
      <c r="M537" s="39"/>
      <c r="N537" s="39"/>
      <c r="O537" s="39"/>
      <c r="P537" s="52"/>
    </row>
    <row r="538" spans="1:16" x14ac:dyDescent="0.25">
      <c r="A538" s="108"/>
      <c r="B538" s="39">
        <v>528</v>
      </c>
      <c r="C538" s="159"/>
      <c r="D538" s="160"/>
      <c r="E538" s="160"/>
      <c r="F538" s="160"/>
      <c r="G538" s="160"/>
      <c r="H538" s="161"/>
      <c r="I538" s="39"/>
      <c r="J538" s="111"/>
      <c r="K538" s="112"/>
      <c r="L538" s="39"/>
      <c r="M538" s="39"/>
      <c r="N538" s="39"/>
      <c r="O538" s="39"/>
      <c r="P538" s="52"/>
    </row>
    <row r="539" spans="1:16" x14ac:dyDescent="0.25">
      <c r="A539" s="108"/>
      <c r="B539" s="39">
        <v>529</v>
      </c>
      <c r="C539" s="159"/>
      <c r="D539" s="160"/>
      <c r="E539" s="160"/>
      <c r="F539" s="160"/>
      <c r="G539" s="160"/>
      <c r="H539" s="161"/>
      <c r="I539" s="39"/>
      <c r="J539" s="111"/>
      <c r="K539" s="112"/>
      <c r="L539" s="39"/>
      <c r="M539" s="39"/>
      <c r="N539" s="39"/>
      <c r="O539" s="39"/>
      <c r="P539" s="52"/>
    </row>
    <row r="540" spans="1:16" ht="15" customHeight="1" x14ac:dyDescent="0.25">
      <c r="A540" s="108"/>
      <c r="B540" s="39">
        <v>530</v>
      </c>
      <c r="C540" s="159"/>
      <c r="D540" s="160"/>
      <c r="E540" s="160"/>
      <c r="F540" s="160"/>
      <c r="G540" s="160"/>
      <c r="H540" s="161"/>
      <c r="I540" s="39"/>
      <c r="J540" s="111"/>
      <c r="K540" s="112"/>
      <c r="L540" s="39"/>
      <c r="M540" s="39"/>
      <c r="N540" s="39"/>
      <c r="O540" s="39"/>
      <c r="P540" s="52"/>
    </row>
    <row r="541" spans="1:16" x14ac:dyDescent="0.25">
      <c r="A541" s="108"/>
      <c r="B541" s="39">
        <v>531</v>
      </c>
      <c r="C541" s="159"/>
      <c r="D541" s="160"/>
      <c r="E541" s="160"/>
      <c r="F541" s="160"/>
      <c r="G541" s="160"/>
      <c r="H541" s="161"/>
      <c r="I541" s="39"/>
      <c r="J541" s="111"/>
      <c r="K541" s="112"/>
      <c r="L541" s="39"/>
      <c r="M541" s="39"/>
      <c r="N541" s="39"/>
      <c r="O541" s="39"/>
      <c r="P541" s="52"/>
    </row>
    <row r="542" spans="1:16" x14ac:dyDescent="0.25">
      <c r="A542" s="108"/>
      <c r="B542" s="39">
        <v>532</v>
      </c>
      <c r="C542" s="159"/>
      <c r="D542" s="160"/>
      <c r="E542" s="160"/>
      <c r="F542" s="160"/>
      <c r="G542" s="160"/>
      <c r="H542" s="161"/>
      <c r="I542" s="39"/>
      <c r="J542" s="111"/>
      <c r="K542" s="112"/>
      <c r="L542" s="39"/>
      <c r="M542" s="39"/>
      <c r="N542" s="39"/>
      <c r="O542" s="39"/>
      <c r="P542" s="115"/>
    </row>
    <row r="543" spans="1:16" x14ac:dyDescent="0.25">
      <c r="A543" s="108"/>
      <c r="B543" s="39">
        <v>533</v>
      </c>
      <c r="C543" s="159"/>
      <c r="D543" s="160"/>
      <c r="E543" s="160"/>
      <c r="F543" s="160"/>
      <c r="G543" s="160"/>
      <c r="H543" s="161"/>
      <c r="I543" s="39"/>
      <c r="J543" s="111"/>
      <c r="K543" s="112"/>
      <c r="L543" s="39"/>
      <c r="M543" s="39"/>
      <c r="N543" s="39"/>
      <c r="O543" s="39"/>
      <c r="P543" s="52"/>
    </row>
    <row r="544" spans="1:16" x14ac:dyDescent="0.25">
      <c r="A544" s="108"/>
      <c r="B544" s="39">
        <v>534</v>
      </c>
      <c r="C544" s="159"/>
      <c r="D544" s="160"/>
      <c r="E544" s="160"/>
      <c r="F544" s="160"/>
      <c r="G544" s="160"/>
      <c r="H544" s="161"/>
      <c r="I544" s="39"/>
      <c r="J544" s="111"/>
      <c r="K544" s="112"/>
      <c r="L544" s="39"/>
      <c r="M544" s="39"/>
      <c r="N544" s="39"/>
      <c r="O544" s="39"/>
      <c r="P544" s="115"/>
    </row>
    <row r="545" spans="1:16" x14ac:dyDescent="0.25">
      <c r="A545" s="108"/>
      <c r="B545" s="39">
        <v>535</v>
      </c>
      <c r="C545" s="159"/>
      <c r="D545" s="160"/>
      <c r="E545" s="160"/>
      <c r="F545" s="160"/>
      <c r="G545" s="160"/>
      <c r="H545" s="161"/>
      <c r="I545" s="39"/>
      <c r="J545" s="111"/>
      <c r="K545" s="112"/>
      <c r="L545" s="39"/>
      <c r="M545" s="39"/>
      <c r="N545" s="39"/>
      <c r="O545" s="39"/>
      <c r="P545" s="115"/>
    </row>
    <row r="546" spans="1:16" x14ac:dyDescent="0.25">
      <c r="A546" s="108"/>
      <c r="B546" s="39">
        <v>536</v>
      </c>
      <c r="C546" s="159"/>
      <c r="D546" s="160"/>
      <c r="E546" s="160"/>
      <c r="F546" s="160"/>
      <c r="G546" s="160"/>
      <c r="H546" s="161"/>
      <c r="I546" s="39"/>
      <c r="J546" s="111"/>
      <c r="K546" s="112"/>
      <c r="L546" s="39"/>
      <c r="M546" s="39"/>
      <c r="N546" s="39"/>
      <c r="O546" s="39"/>
      <c r="P546" s="155"/>
    </row>
    <row r="547" spans="1:16" x14ac:dyDescent="0.25">
      <c r="A547" s="108"/>
      <c r="B547" s="39">
        <v>537</v>
      </c>
      <c r="C547" s="159"/>
      <c r="D547" s="160"/>
      <c r="E547" s="160"/>
      <c r="F547" s="160"/>
      <c r="G547" s="160"/>
      <c r="H547" s="161"/>
      <c r="I547" s="39"/>
      <c r="J547" s="111"/>
      <c r="K547" s="112"/>
      <c r="L547" s="39"/>
      <c r="M547" s="39"/>
      <c r="N547" s="39"/>
      <c r="O547" s="39"/>
      <c r="P547" s="52"/>
    </row>
    <row r="548" spans="1:16" x14ac:dyDescent="0.25">
      <c r="A548" s="108"/>
      <c r="B548" s="39">
        <v>538</v>
      </c>
      <c r="C548" s="159"/>
      <c r="D548" s="160"/>
      <c r="E548" s="160"/>
      <c r="F548" s="160"/>
      <c r="G548" s="160"/>
      <c r="H548" s="161"/>
      <c r="I548" s="39"/>
      <c r="J548" s="111"/>
      <c r="K548" s="112"/>
      <c r="L548" s="39"/>
      <c r="M548" s="39"/>
      <c r="N548" s="39"/>
      <c r="O548" s="39"/>
      <c r="P548" s="115"/>
    </row>
    <row r="549" spans="1:16" ht="15" customHeight="1" x14ac:dyDescent="0.25">
      <c r="A549" s="108"/>
      <c r="B549" s="39">
        <v>539</v>
      </c>
      <c r="C549" s="159"/>
      <c r="D549" s="160"/>
      <c r="E549" s="160"/>
      <c r="F549" s="160"/>
      <c r="G549" s="160"/>
      <c r="H549" s="161"/>
      <c r="I549" s="39"/>
      <c r="J549" s="111"/>
      <c r="K549" s="112"/>
      <c r="L549" s="39"/>
      <c r="M549" s="39"/>
      <c r="N549" s="39"/>
      <c r="O549" s="39"/>
      <c r="P549" s="115"/>
    </row>
    <row r="550" spans="1:16" x14ac:dyDescent="0.25">
      <c r="A550" s="108"/>
      <c r="B550" s="39">
        <v>540</v>
      </c>
      <c r="C550" s="159"/>
      <c r="D550" s="160"/>
      <c r="E550" s="160"/>
      <c r="F550" s="160"/>
      <c r="G550" s="160"/>
      <c r="H550" s="161"/>
      <c r="I550" s="39"/>
      <c r="J550" s="111"/>
      <c r="K550" s="112"/>
      <c r="L550" s="39"/>
      <c r="M550" s="39"/>
      <c r="N550" s="39"/>
      <c r="O550" s="39"/>
      <c r="P550" s="115"/>
    </row>
    <row r="551" spans="1:16" x14ac:dyDescent="0.25">
      <c r="A551" s="108"/>
      <c r="B551" s="39">
        <v>541</v>
      </c>
      <c r="C551" s="159"/>
      <c r="D551" s="160"/>
      <c r="E551" s="160"/>
      <c r="F551" s="160"/>
      <c r="G551" s="160"/>
      <c r="H551" s="161"/>
      <c r="I551" s="39"/>
      <c r="J551" s="111"/>
      <c r="K551" s="112"/>
      <c r="L551" s="39"/>
      <c r="M551" s="39"/>
      <c r="N551" s="39"/>
      <c r="O551" s="39"/>
      <c r="P551" s="115"/>
    </row>
    <row r="552" spans="1:16" x14ac:dyDescent="0.25">
      <c r="A552" s="108"/>
      <c r="B552" s="39">
        <v>542</v>
      </c>
      <c r="C552" s="159"/>
      <c r="D552" s="160"/>
      <c r="E552" s="160"/>
      <c r="F552" s="160"/>
      <c r="G552" s="160"/>
      <c r="H552" s="161"/>
      <c r="I552" s="39"/>
      <c r="J552" s="111"/>
      <c r="K552" s="112"/>
      <c r="L552" s="39"/>
      <c r="M552" s="39"/>
      <c r="N552" s="39"/>
      <c r="O552" s="39"/>
      <c r="P552" s="52"/>
    </row>
    <row r="553" spans="1:16" x14ac:dyDescent="0.25">
      <c r="A553" s="108"/>
      <c r="B553" s="39">
        <v>543</v>
      </c>
      <c r="C553" s="159"/>
      <c r="D553" s="160"/>
      <c r="E553" s="160"/>
      <c r="F553" s="160"/>
      <c r="G553" s="160"/>
      <c r="H553" s="161"/>
      <c r="I553" s="39"/>
      <c r="J553" s="111"/>
      <c r="K553" s="112"/>
      <c r="L553" s="39"/>
      <c r="M553" s="39"/>
      <c r="N553" s="39"/>
      <c r="O553" s="39"/>
      <c r="P553" s="52"/>
    </row>
    <row r="554" spans="1:16" x14ac:dyDescent="0.25">
      <c r="A554" s="108"/>
      <c r="B554" s="39">
        <v>544</v>
      </c>
      <c r="C554" s="159"/>
      <c r="D554" s="160"/>
      <c r="E554" s="160"/>
      <c r="F554" s="160"/>
      <c r="G554" s="160"/>
      <c r="H554" s="161"/>
      <c r="I554" s="39"/>
      <c r="J554" s="111"/>
      <c r="K554" s="112"/>
      <c r="L554" s="39"/>
      <c r="M554" s="39"/>
      <c r="N554" s="39"/>
      <c r="O554" s="39"/>
      <c r="P554" s="115"/>
    </row>
    <row r="555" spans="1:16" x14ac:dyDescent="0.25">
      <c r="A555" s="108"/>
      <c r="B555" s="39">
        <v>545</v>
      </c>
      <c r="C555" s="159"/>
      <c r="D555" s="160"/>
      <c r="E555" s="160"/>
      <c r="F555" s="160"/>
      <c r="G555" s="160"/>
      <c r="H555" s="161"/>
      <c r="I555" s="39"/>
      <c r="J555" s="111"/>
      <c r="K555" s="112"/>
      <c r="L555" s="39"/>
      <c r="M555" s="39"/>
      <c r="N555" s="39"/>
      <c r="O555" s="39"/>
      <c r="P555" s="115"/>
    </row>
    <row r="556" spans="1:16" x14ac:dyDescent="0.25">
      <c r="A556" s="108"/>
      <c r="B556" s="39">
        <v>546</v>
      </c>
      <c r="C556" s="159"/>
      <c r="D556" s="160"/>
      <c r="E556" s="160"/>
      <c r="F556" s="160"/>
      <c r="G556" s="160"/>
      <c r="H556" s="161"/>
      <c r="I556" s="39"/>
      <c r="J556" s="111"/>
      <c r="K556" s="112"/>
      <c r="L556" s="39"/>
      <c r="M556" s="39"/>
      <c r="N556" s="39"/>
      <c r="O556" s="39"/>
      <c r="P556" s="155"/>
    </row>
    <row r="557" spans="1:16" x14ac:dyDescent="0.25">
      <c r="A557" s="108"/>
      <c r="B557" s="39">
        <v>547</v>
      </c>
      <c r="C557" s="159"/>
      <c r="D557" s="160"/>
      <c r="E557" s="160"/>
      <c r="F557" s="160"/>
      <c r="G557" s="160"/>
      <c r="H557" s="161"/>
      <c r="I557" s="39"/>
      <c r="J557" s="111"/>
      <c r="K557" s="112"/>
      <c r="L557" s="39"/>
      <c r="M557" s="39"/>
      <c r="N557" s="39"/>
      <c r="O557" s="39"/>
      <c r="P557" s="115"/>
    </row>
    <row r="558" spans="1:16" x14ac:dyDescent="0.25">
      <c r="A558" s="108"/>
      <c r="B558" s="39">
        <v>548</v>
      </c>
      <c r="C558" s="159"/>
      <c r="D558" s="160"/>
      <c r="E558" s="160"/>
      <c r="F558" s="160"/>
      <c r="G558" s="160"/>
      <c r="H558" s="161"/>
      <c r="I558" s="39"/>
      <c r="J558" s="111"/>
      <c r="K558" s="112"/>
      <c r="L558" s="39"/>
      <c r="M558" s="39"/>
      <c r="N558" s="39"/>
      <c r="O558" s="39"/>
      <c r="P558" s="52"/>
    </row>
    <row r="559" spans="1:16" x14ac:dyDescent="0.25">
      <c r="A559" s="108"/>
      <c r="B559" s="39">
        <v>549</v>
      </c>
      <c r="C559" s="159"/>
      <c r="D559" s="160"/>
      <c r="E559" s="160"/>
      <c r="F559" s="160"/>
      <c r="G559" s="160"/>
      <c r="H559" s="161"/>
      <c r="I559" s="39"/>
      <c r="J559" s="111"/>
      <c r="K559" s="112"/>
      <c r="L559" s="39"/>
      <c r="M559" s="39"/>
      <c r="N559" s="39"/>
      <c r="O559" s="39"/>
      <c r="P559" s="52"/>
    </row>
    <row r="560" spans="1:16" x14ac:dyDescent="0.25">
      <c r="A560" s="108"/>
      <c r="B560" s="39">
        <v>550</v>
      </c>
      <c r="C560" s="159"/>
      <c r="D560" s="160"/>
      <c r="E560" s="160"/>
      <c r="F560" s="160"/>
      <c r="G560" s="160"/>
      <c r="H560" s="161"/>
      <c r="I560" s="39"/>
      <c r="J560" s="111"/>
      <c r="K560" s="112"/>
      <c r="L560" s="39"/>
      <c r="M560" s="39"/>
      <c r="N560" s="39"/>
      <c r="O560" s="39"/>
      <c r="P560" s="52"/>
    </row>
    <row r="561" spans="1:16" x14ac:dyDescent="0.25">
      <c r="A561" s="108"/>
      <c r="B561" s="39">
        <v>551</v>
      </c>
      <c r="C561" s="159"/>
      <c r="D561" s="160"/>
      <c r="E561" s="160"/>
      <c r="F561" s="160"/>
      <c r="G561" s="160"/>
      <c r="H561" s="161"/>
      <c r="I561" s="39"/>
      <c r="J561" s="111"/>
      <c r="K561" s="112"/>
      <c r="L561" s="39"/>
      <c r="M561" s="39"/>
      <c r="N561" s="39"/>
      <c r="O561" s="39"/>
      <c r="P561" s="52"/>
    </row>
    <row r="562" spans="1:16" x14ac:dyDescent="0.25">
      <c r="A562" s="108"/>
      <c r="B562" s="39">
        <v>552</v>
      </c>
      <c r="C562" s="159"/>
      <c r="D562" s="160"/>
      <c r="E562" s="160"/>
      <c r="F562" s="160"/>
      <c r="G562" s="160"/>
      <c r="H562" s="161"/>
      <c r="I562" s="39"/>
      <c r="J562" s="111"/>
      <c r="K562" s="112"/>
      <c r="L562" s="39"/>
      <c r="M562" s="39"/>
      <c r="N562" s="39"/>
      <c r="O562" s="39"/>
      <c r="P562" s="115"/>
    </row>
    <row r="563" spans="1:16" x14ac:dyDescent="0.25">
      <c r="A563" s="108"/>
      <c r="B563" s="39">
        <v>553</v>
      </c>
      <c r="C563" s="159"/>
      <c r="D563" s="160"/>
      <c r="E563" s="160"/>
      <c r="F563" s="160"/>
      <c r="G563" s="160"/>
      <c r="H563" s="161"/>
      <c r="I563" s="39"/>
      <c r="J563" s="111"/>
      <c r="K563" s="112"/>
      <c r="L563" s="39"/>
      <c r="M563" s="39"/>
      <c r="N563" s="39"/>
      <c r="O563" s="39"/>
      <c r="P563" s="52"/>
    </row>
    <row r="564" spans="1:16" x14ac:dyDescent="0.25">
      <c r="A564" s="108"/>
      <c r="B564" s="39">
        <v>554</v>
      </c>
      <c r="C564" s="159"/>
      <c r="D564" s="160"/>
      <c r="E564" s="160"/>
      <c r="F564" s="160"/>
      <c r="G564" s="160"/>
      <c r="H564" s="161"/>
      <c r="I564" s="39"/>
      <c r="J564" s="111"/>
      <c r="K564" s="112"/>
      <c r="L564" s="39"/>
      <c r="M564" s="39"/>
      <c r="N564" s="39"/>
      <c r="O564" s="39"/>
      <c r="P564" s="52"/>
    </row>
    <row r="565" spans="1:16" x14ac:dyDescent="0.25">
      <c r="A565" s="108"/>
      <c r="B565" s="39">
        <v>555</v>
      </c>
      <c r="C565" s="159"/>
      <c r="D565" s="160"/>
      <c r="E565" s="160"/>
      <c r="F565" s="160"/>
      <c r="G565" s="160"/>
      <c r="H565" s="161"/>
      <c r="I565" s="39"/>
      <c r="J565" s="111"/>
      <c r="K565" s="112"/>
      <c r="L565" s="39"/>
      <c r="M565" s="39"/>
      <c r="N565" s="39"/>
      <c r="O565" s="39"/>
      <c r="P565" s="52"/>
    </row>
    <row r="566" spans="1:16" x14ac:dyDescent="0.25">
      <c r="A566" s="108"/>
      <c r="B566" s="39">
        <v>556</v>
      </c>
      <c r="C566" s="159"/>
      <c r="D566" s="160"/>
      <c r="E566" s="160"/>
      <c r="F566" s="160"/>
      <c r="G566" s="160"/>
      <c r="H566" s="161"/>
      <c r="I566" s="39"/>
      <c r="J566" s="111"/>
      <c r="K566" s="112"/>
      <c r="L566" s="39"/>
      <c r="M566" s="39"/>
      <c r="N566" s="39"/>
      <c r="O566" s="39"/>
      <c r="P566" s="52"/>
    </row>
    <row r="567" spans="1:16" x14ac:dyDescent="0.25">
      <c r="A567" s="108"/>
      <c r="B567" s="39">
        <v>557</v>
      </c>
      <c r="C567" s="159"/>
      <c r="D567" s="160"/>
      <c r="E567" s="160"/>
      <c r="F567" s="160"/>
      <c r="G567" s="160"/>
      <c r="H567" s="161"/>
      <c r="I567" s="39"/>
      <c r="J567" s="111"/>
      <c r="K567" s="112"/>
      <c r="L567" s="39"/>
      <c r="M567" s="39"/>
      <c r="N567" s="39"/>
      <c r="O567" s="39"/>
      <c r="P567" s="115"/>
    </row>
    <row r="568" spans="1:16" x14ac:dyDescent="0.25">
      <c r="A568" s="108"/>
      <c r="B568" s="39">
        <v>558</v>
      </c>
      <c r="C568" s="159"/>
      <c r="D568" s="160"/>
      <c r="E568" s="160"/>
      <c r="F568" s="160"/>
      <c r="G568" s="160"/>
      <c r="H568" s="161"/>
      <c r="I568" s="39"/>
      <c r="J568" s="111"/>
      <c r="K568" s="112"/>
      <c r="L568" s="39"/>
      <c r="M568" s="39"/>
      <c r="N568" s="39"/>
      <c r="O568" s="39"/>
      <c r="P568" s="52"/>
    </row>
    <row r="569" spans="1:16" x14ac:dyDescent="0.25">
      <c r="A569" s="108"/>
      <c r="B569" s="39">
        <v>559</v>
      </c>
      <c r="C569" s="159"/>
      <c r="D569" s="160"/>
      <c r="E569" s="160"/>
      <c r="F569" s="160"/>
      <c r="G569" s="160"/>
      <c r="H569" s="161"/>
      <c r="I569" s="39"/>
      <c r="J569" s="111"/>
      <c r="K569" s="112"/>
      <c r="L569" s="39"/>
      <c r="M569" s="39"/>
      <c r="N569" s="39"/>
      <c r="O569" s="39"/>
      <c r="P569" s="115"/>
    </row>
    <row r="570" spans="1:16" x14ac:dyDescent="0.25">
      <c r="A570" s="108"/>
      <c r="B570" s="39">
        <v>560</v>
      </c>
      <c r="C570" s="159"/>
      <c r="D570" s="160"/>
      <c r="E570" s="160"/>
      <c r="F570" s="160"/>
      <c r="G570" s="160"/>
      <c r="H570" s="161"/>
      <c r="I570" s="39"/>
      <c r="J570" s="111"/>
      <c r="K570" s="112"/>
      <c r="L570" s="39"/>
      <c r="M570" s="39"/>
      <c r="N570" s="39"/>
      <c r="O570" s="39"/>
      <c r="P570" s="115"/>
    </row>
    <row r="571" spans="1:16" x14ac:dyDescent="0.25">
      <c r="A571" s="108"/>
      <c r="B571" s="39">
        <v>561</v>
      </c>
      <c r="C571" s="159"/>
      <c r="D571" s="160"/>
      <c r="E571" s="160"/>
      <c r="F571" s="160"/>
      <c r="G571" s="160"/>
      <c r="H571" s="161"/>
      <c r="I571" s="39"/>
      <c r="J571" s="111"/>
      <c r="K571" s="112"/>
      <c r="L571" s="39"/>
      <c r="M571" s="39"/>
      <c r="N571" s="39"/>
      <c r="O571" s="39"/>
      <c r="P571" s="115"/>
    </row>
    <row r="572" spans="1:16" x14ac:dyDescent="0.25">
      <c r="A572" s="108"/>
      <c r="B572" s="39">
        <v>562</v>
      </c>
      <c r="C572" s="159"/>
      <c r="D572" s="160"/>
      <c r="E572" s="160"/>
      <c r="F572" s="160"/>
      <c r="G572" s="160"/>
      <c r="H572" s="161"/>
      <c r="I572" s="39"/>
      <c r="J572" s="111"/>
      <c r="K572" s="112"/>
      <c r="L572" s="39"/>
      <c r="M572" s="39"/>
      <c r="N572" s="39"/>
      <c r="O572" s="39"/>
      <c r="P572" s="52"/>
    </row>
    <row r="573" spans="1:16" x14ac:dyDescent="0.25">
      <c r="A573" s="108"/>
      <c r="B573" s="39">
        <v>563</v>
      </c>
      <c r="C573" s="159"/>
      <c r="D573" s="160"/>
      <c r="E573" s="160"/>
      <c r="F573" s="160"/>
      <c r="G573" s="160"/>
      <c r="H573" s="161"/>
      <c r="I573" s="39"/>
      <c r="J573" s="111"/>
      <c r="K573" s="112"/>
      <c r="L573" s="39"/>
      <c r="M573" s="39"/>
      <c r="N573" s="39"/>
      <c r="O573" s="39"/>
      <c r="P573" s="52"/>
    </row>
    <row r="574" spans="1:16" x14ac:dyDescent="0.25">
      <c r="A574" s="108"/>
      <c r="B574" s="39">
        <v>564</v>
      </c>
      <c r="C574" s="159"/>
      <c r="D574" s="160"/>
      <c r="E574" s="160"/>
      <c r="F574" s="160"/>
      <c r="G574" s="160"/>
      <c r="H574" s="161"/>
      <c r="I574" s="39"/>
      <c r="J574" s="111"/>
      <c r="K574" s="112"/>
      <c r="L574" s="39"/>
      <c r="M574" s="39"/>
      <c r="N574" s="39"/>
      <c r="O574" s="39"/>
      <c r="P574" s="115"/>
    </row>
    <row r="575" spans="1:16" x14ac:dyDescent="0.25">
      <c r="A575" s="108"/>
      <c r="B575" s="39">
        <v>565</v>
      </c>
      <c r="C575" s="159"/>
      <c r="D575" s="160"/>
      <c r="E575" s="160"/>
      <c r="F575" s="160"/>
      <c r="G575" s="160"/>
      <c r="H575" s="161"/>
      <c r="I575" s="39"/>
      <c r="J575" s="111"/>
      <c r="K575" s="112"/>
      <c r="L575" s="39"/>
      <c r="M575" s="39"/>
      <c r="N575" s="39"/>
      <c r="O575" s="39"/>
      <c r="P575" s="52"/>
    </row>
    <row r="576" spans="1:16" x14ac:dyDescent="0.25">
      <c r="A576" s="108"/>
      <c r="B576" s="39">
        <v>566</v>
      </c>
      <c r="C576" s="159"/>
      <c r="D576" s="160"/>
      <c r="E576" s="160"/>
      <c r="F576" s="160"/>
      <c r="G576" s="160"/>
      <c r="H576" s="161"/>
      <c r="I576" s="39"/>
      <c r="J576" s="111"/>
      <c r="K576" s="112"/>
      <c r="L576" s="39"/>
      <c r="M576" s="39"/>
      <c r="N576" s="39"/>
      <c r="O576" s="39"/>
      <c r="P576" s="52"/>
    </row>
    <row r="577" spans="1:16" x14ac:dyDescent="0.25">
      <c r="A577" s="108"/>
      <c r="B577" s="39">
        <v>567</v>
      </c>
      <c r="C577" s="159"/>
      <c r="D577" s="160"/>
      <c r="E577" s="160"/>
      <c r="F577" s="160"/>
      <c r="G577" s="160"/>
      <c r="H577" s="161"/>
      <c r="I577" s="39"/>
      <c r="J577" s="111"/>
      <c r="K577" s="112"/>
      <c r="L577" s="39"/>
      <c r="M577" s="39"/>
      <c r="N577" s="39"/>
      <c r="O577" s="39"/>
      <c r="P577" s="52"/>
    </row>
    <row r="578" spans="1:16" x14ac:dyDescent="0.25">
      <c r="A578" s="108"/>
      <c r="B578" s="39">
        <v>568</v>
      </c>
      <c r="C578" s="159"/>
      <c r="D578" s="160"/>
      <c r="E578" s="160"/>
      <c r="F578" s="160"/>
      <c r="G578" s="160"/>
      <c r="H578" s="161"/>
      <c r="I578" s="39"/>
      <c r="J578" s="111"/>
      <c r="K578" s="112"/>
      <c r="L578" s="39"/>
      <c r="M578" s="39"/>
      <c r="N578" s="39"/>
      <c r="O578" s="39"/>
      <c r="P578" s="52"/>
    </row>
    <row r="579" spans="1:16" x14ac:dyDescent="0.25">
      <c r="A579" s="108"/>
      <c r="B579" s="39">
        <v>569</v>
      </c>
      <c r="C579" s="159"/>
      <c r="D579" s="160"/>
      <c r="E579" s="160"/>
      <c r="F579" s="160"/>
      <c r="G579" s="160"/>
      <c r="H579" s="161"/>
      <c r="I579" s="39"/>
      <c r="J579" s="111"/>
      <c r="K579" s="112"/>
      <c r="L579" s="39"/>
      <c r="M579" s="39"/>
      <c r="N579" s="39"/>
      <c r="O579" s="39"/>
      <c r="P579" s="115"/>
    </row>
    <row r="580" spans="1:16" ht="15" customHeight="1" x14ac:dyDescent="0.25">
      <c r="A580" s="108"/>
      <c r="B580" s="39">
        <v>570</v>
      </c>
      <c r="C580" s="159"/>
      <c r="D580" s="160"/>
      <c r="E580" s="160"/>
      <c r="F580" s="160"/>
      <c r="G580" s="160"/>
      <c r="H580" s="161"/>
      <c r="I580" s="39"/>
      <c r="J580" s="111"/>
      <c r="K580" s="112"/>
      <c r="L580" s="39"/>
      <c r="M580" s="39"/>
      <c r="N580" s="154"/>
      <c r="O580" s="154"/>
      <c r="P580" s="52"/>
    </row>
    <row r="581" spans="1:16" ht="15" customHeight="1" x14ac:dyDescent="0.25">
      <c r="A581" s="108"/>
      <c r="B581" s="39">
        <v>571</v>
      </c>
      <c r="C581" s="159"/>
      <c r="D581" s="160"/>
      <c r="E581" s="160"/>
      <c r="F581" s="160"/>
      <c r="G581" s="160"/>
      <c r="H581" s="161"/>
      <c r="I581" s="39"/>
      <c r="J581" s="111"/>
      <c r="K581" s="112"/>
      <c r="L581" s="39"/>
      <c r="M581" s="39"/>
      <c r="N581" s="39"/>
      <c r="O581" s="39"/>
      <c r="P581" s="52"/>
    </row>
    <row r="582" spans="1:16" x14ac:dyDescent="0.25">
      <c r="A582" s="108"/>
      <c r="B582" s="39">
        <v>572</v>
      </c>
      <c r="C582" s="159"/>
      <c r="D582" s="160"/>
      <c r="E582" s="160"/>
      <c r="F582" s="160"/>
      <c r="G582" s="160"/>
      <c r="H582" s="161"/>
      <c r="I582" s="39"/>
      <c r="J582" s="111"/>
      <c r="K582" s="112"/>
      <c r="L582" s="39"/>
      <c r="M582" s="39"/>
      <c r="N582" s="39"/>
      <c r="O582" s="39"/>
      <c r="P582" s="52"/>
    </row>
    <row r="583" spans="1:16" x14ac:dyDescent="0.25">
      <c r="A583" s="108"/>
      <c r="B583" s="39">
        <v>573</v>
      </c>
      <c r="C583" s="159"/>
      <c r="D583" s="160"/>
      <c r="E583" s="160"/>
      <c r="F583" s="160"/>
      <c r="G583" s="160"/>
      <c r="H583" s="161"/>
      <c r="I583" s="39"/>
      <c r="J583" s="111"/>
      <c r="K583" s="112"/>
      <c r="L583" s="39"/>
      <c r="M583" s="39"/>
      <c r="N583" s="39"/>
      <c r="O583" s="39"/>
      <c r="P583" s="115"/>
    </row>
    <row r="584" spans="1:16" x14ac:dyDescent="0.25">
      <c r="A584" s="108"/>
      <c r="B584" s="39">
        <v>574</v>
      </c>
      <c r="C584" s="159"/>
      <c r="D584" s="160"/>
      <c r="E584" s="160"/>
      <c r="F584" s="160"/>
      <c r="G584" s="160"/>
      <c r="H584" s="161"/>
      <c r="I584" s="39"/>
      <c r="J584" s="111"/>
      <c r="K584" s="112"/>
      <c r="L584" s="39"/>
      <c r="M584" s="39"/>
      <c r="N584" s="39"/>
      <c r="O584" s="39"/>
      <c r="P584" s="52"/>
    </row>
    <row r="585" spans="1:16" x14ac:dyDescent="0.25">
      <c r="A585" s="108"/>
      <c r="B585" s="39">
        <v>575</v>
      </c>
      <c r="C585" s="159"/>
      <c r="D585" s="160"/>
      <c r="E585" s="160"/>
      <c r="F585" s="160"/>
      <c r="G585" s="160"/>
      <c r="H585" s="161"/>
      <c r="I585" s="39"/>
      <c r="J585" s="111"/>
      <c r="K585" s="112"/>
      <c r="L585" s="39"/>
      <c r="M585" s="113"/>
      <c r="N585" s="39"/>
      <c r="O585" s="39"/>
      <c r="P585" s="115"/>
    </row>
    <row r="586" spans="1:16" x14ac:dyDescent="0.25">
      <c r="A586" s="108"/>
      <c r="B586" s="39">
        <v>576</v>
      </c>
      <c r="C586" s="159"/>
      <c r="D586" s="160"/>
      <c r="E586" s="160"/>
      <c r="F586" s="160"/>
      <c r="G586" s="160"/>
      <c r="H586" s="161"/>
      <c r="I586" s="39"/>
      <c r="J586" s="111"/>
      <c r="K586" s="112"/>
      <c r="L586" s="39"/>
      <c r="M586" s="39"/>
      <c r="N586" s="39"/>
      <c r="O586" s="39"/>
      <c r="P586" s="52"/>
    </row>
    <row r="587" spans="1:16" x14ac:dyDescent="0.25">
      <c r="A587" s="108"/>
      <c r="B587" s="39">
        <v>577</v>
      </c>
      <c r="C587" s="159"/>
      <c r="D587" s="160"/>
      <c r="E587" s="160"/>
      <c r="F587" s="160"/>
      <c r="G587" s="160"/>
      <c r="H587" s="161"/>
      <c r="I587" s="39"/>
      <c r="J587" s="111"/>
      <c r="K587" s="112"/>
      <c r="L587" s="39"/>
      <c r="M587" s="39"/>
      <c r="N587" s="39"/>
      <c r="O587" s="39"/>
      <c r="P587" s="52"/>
    </row>
    <row r="588" spans="1:16" x14ac:dyDescent="0.25">
      <c r="A588" s="108"/>
      <c r="B588" s="39">
        <v>578</v>
      </c>
      <c r="C588" s="159"/>
      <c r="D588" s="160"/>
      <c r="E588" s="160"/>
      <c r="F588" s="160"/>
      <c r="G588" s="160"/>
      <c r="H588" s="161"/>
      <c r="I588" s="39"/>
      <c r="J588" s="111"/>
      <c r="K588" s="112"/>
      <c r="L588" s="39"/>
      <c r="M588" s="39"/>
      <c r="N588" s="39"/>
      <c r="O588" s="39"/>
      <c r="P588" s="52"/>
    </row>
    <row r="589" spans="1:16" x14ac:dyDescent="0.25">
      <c r="A589" s="108"/>
      <c r="B589" s="39">
        <v>579</v>
      </c>
      <c r="C589" s="159"/>
      <c r="D589" s="160"/>
      <c r="E589" s="160"/>
      <c r="F589" s="160"/>
      <c r="G589" s="160"/>
      <c r="H589" s="161"/>
      <c r="I589" s="39"/>
      <c r="J589" s="111"/>
      <c r="K589" s="112"/>
      <c r="L589" s="39"/>
      <c r="M589" s="39"/>
      <c r="N589" s="39"/>
      <c r="O589" s="39"/>
      <c r="P589" s="115"/>
    </row>
    <row r="590" spans="1:16" x14ac:dyDescent="0.25">
      <c r="A590" s="108"/>
      <c r="B590" s="39">
        <v>580</v>
      </c>
      <c r="C590" s="159"/>
      <c r="D590" s="160"/>
      <c r="E590" s="160"/>
      <c r="F590" s="160"/>
      <c r="G590" s="160"/>
      <c r="H590" s="161"/>
      <c r="I590" s="39"/>
      <c r="J590" s="111"/>
      <c r="K590" s="112"/>
      <c r="L590" s="39"/>
      <c r="M590" s="39"/>
      <c r="N590" s="39"/>
      <c r="O590" s="39"/>
      <c r="P590" s="115"/>
    </row>
    <row r="591" spans="1:16" x14ac:dyDescent="0.25">
      <c r="A591" s="108"/>
      <c r="B591" s="39">
        <v>581</v>
      </c>
      <c r="C591" s="159"/>
      <c r="D591" s="160"/>
      <c r="E591" s="160"/>
      <c r="F591" s="160"/>
      <c r="G591" s="160"/>
      <c r="H591" s="161"/>
      <c r="I591" s="39"/>
      <c r="J591" s="111"/>
      <c r="K591" s="112"/>
      <c r="L591" s="39"/>
      <c r="M591" s="39"/>
      <c r="N591" s="39"/>
      <c r="O591" s="39"/>
      <c r="P591" s="52"/>
    </row>
    <row r="592" spans="1:16" x14ac:dyDescent="0.25">
      <c r="A592" s="108"/>
      <c r="B592" s="39">
        <v>582</v>
      </c>
      <c r="C592" s="159"/>
      <c r="D592" s="160"/>
      <c r="E592" s="160"/>
      <c r="F592" s="160"/>
      <c r="G592" s="160"/>
      <c r="H592" s="161"/>
      <c r="I592" s="39"/>
      <c r="J592" s="111"/>
      <c r="K592" s="112"/>
      <c r="L592" s="39"/>
      <c r="M592" s="39"/>
      <c r="N592" s="39"/>
      <c r="O592" s="39"/>
      <c r="P592" s="52"/>
    </row>
    <row r="593" spans="1:16" x14ac:dyDescent="0.25">
      <c r="A593" s="108"/>
      <c r="B593" s="39">
        <v>583</v>
      </c>
      <c r="C593" s="159"/>
      <c r="D593" s="160"/>
      <c r="E593" s="160"/>
      <c r="F593" s="160"/>
      <c r="G593" s="160"/>
      <c r="H593" s="161"/>
      <c r="I593" s="39"/>
      <c r="J593" s="111"/>
      <c r="K593" s="112"/>
      <c r="L593" s="39"/>
      <c r="M593" s="39"/>
      <c r="N593" s="39"/>
      <c r="O593" s="39"/>
      <c r="P593" s="52"/>
    </row>
    <row r="594" spans="1:16" x14ac:dyDescent="0.25">
      <c r="A594" s="108"/>
      <c r="B594" s="39">
        <v>584</v>
      </c>
      <c r="C594" s="159"/>
      <c r="D594" s="160"/>
      <c r="E594" s="160"/>
      <c r="F594" s="160"/>
      <c r="G594" s="160"/>
      <c r="H594" s="161"/>
      <c r="I594" s="39"/>
      <c r="J594" s="111"/>
      <c r="K594" s="112"/>
      <c r="L594" s="39"/>
      <c r="M594" s="39"/>
      <c r="N594" s="39"/>
      <c r="O594" s="39"/>
      <c r="P594" s="52"/>
    </row>
    <row r="595" spans="1:16" x14ac:dyDescent="0.25">
      <c r="A595" s="108"/>
      <c r="B595" s="39">
        <v>585</v>
      </c>
      <c r="C595" s="159"/>
      <c r="D595" s="160"/>
      <c r="E595" s="160"/>
      <c r="F595" s="160"/>
      <c r="G595" s="160"/>
      <c r="H595" s="161"/>
      <c r="I595" s="39"/>
      <c r="J595" s="111"/>
      <c r="K595" s="112"/>
      <c r="L595" s="39"/>
      <c r="M595" s="39"/>
      <c r="N595" s="39"/>
      <c r="O595" s="39"/>
      <c r="P595" s="52"/>
    </row>
    <row r="596" spans="1:16" x14ac:dyDescent="0.25">
      <c r="A596" s="108"/>
      <c r="B596" s="39">
        <v>586</v>
      </c>
      <c r="C596" s="159"/>
      <c r="D596" s="160"/>
      <c r="E596" s="160"/>
      <c r="F596" s="160"/>
      <c r="G596" s="160"/>
      <c r="H596" s="161"/>
      <c r="I596" s="39"/>
      <c r="J596" s="111"/>
      <c r="K596" s="112"/>
      <c r="L596" s="39"/>
      <c r="M596" s="39"/>
      <c r="N596" s="39"/>
      <c r="O596" s="39"/>
      <c r="P596" s="52"/>
    </row>
    <row r="597" spans="1:16" x14ac:dyDescent="0.25">
      <c r="A597" s="108"/>
      <c r="B597" s="39">
        <v>587</v>
      </c>
      <c r="C597" s="159"/>
      <c r="D597" s="160"/>
      <c r="E597" s="160"/>
      <c r="F597" s="160"/>
      <c r="G597" s="160"/>
      <c r="H597" s="161"/>
      <c r="I597" s="39"/>
      <c r="J597" s="111"/>
      <c r="K597" s="112"/>
      <c r="L597" s="39"/>
      <c r="M597" s="39"/>
      <c r="N597" s="39"/>
      <c r="O597" s="39"/>
      <c r="P597" s="52"/>
    </row>
    <row r="598" spans="1:16" x14ac:dyDescent="0.25">
      <c r="A598" s="108"/>
      <c r="B598" s="39">
        <v>588</v>
      </c>
      <c r="C598" s="159"/>
      <c r="D598" s="160"/>
      <c r="E598" s="160"/>
      <c r="F598" s="160"/>
      <c r="G598" s="160"/>
      <c r="H598" s="161"/>
      <c r="I598" s="39"/>
      <c r="J598" s="133"/>
      <c r="K598" s="112"/>
      <c r="L598" s="39"/>
      <c r="M598" s="39"/>
      <c r="N598" s="39"/>
      <c r="O598" s="39"/>
      <c r="P598" s="52"/>
    </row>
    <row r="599" spans="1:16" x14ac:dyDescent="0.25">
      <c r="A599" s="108"/>
      <c r="B599" s="39">
        <v>589</v>
      </c>
      <c r="C599" s="159"/>
      <c r="D599" s="160"/>
      <c r="E599" s="160"/>
      <c r="F599" s="160"/>
      <c r="G599" s="160"/>
      <c r="H599" s="161"/>
      <c r="I599" s="39"/>
      <c r="J599" s="111"/>
      <c r="K599" s="112"/>
      <c r="L599" s="39"/>
      <c r="M599" s="39"/>
      <c r="N599" s="39"/>
      <c r="O599" s="39"/>
      <c r="P599" s="52"/>
    </row>
    <row r="600" spans="1:16" x14ac:dyDescent="0.25">
      <c r="A600" s="108"/>
      <c r="B600" s="39">
        <v>590</v>
      </c>
      <c r="C600" s="159"/>
      <c r="D600" s="160"/>
      <c r="E600" s="160"/>
      <c r="F600" s="160"/>
      <c r="G600" s="160"/>
      <c r="H600" s="161"/>
      <c r="I600" s="39"/>
      <c r="J600" s="111"/>
      <c r="K600" s="112"/>
      <c r="L600" s="39"/>
      <c r="M600" s="39"/>
      <c r="N600" s="39"/>
      <c r="O600" s="39"/>
      <c r="P600" s="115"/>
    </row>
    <row r="601" spans="1:16" x14ac:dyDescent="0.25">
      <c r="A601" s="108"/>
      <c r="B601" s="39">
        <v>591</v>
      </c>
      <c r="C601" s="159"/>
      <c r="D601" s="160"/>
      <c r="E601" s="160"/>
      <c r="F601" s="160"/>
      <c r="G601" s="160"/>
      <c r="H601" s="161"/>
      <c r="I601" s="39"/>
      <c r="J601" s="111"/>
      <c r="K601" s="112"/>
      <c r="L601" s="39"/>
      <c r="M601" s="39"/>
      <c r="N601" s="39"/>
      <c r="O601" s="39"/>
      <c r="P601" s="115"/>
    </row>
    <row r="602" spans="1:16" x14ac:dyDescent="0.25">
      <c r="A602" s="108"/>
      <c r="B602" s="39">
        <v>592</v>
      </c>
      <c r="C602" s="159"/>
      <c r="D602" s="160"/>
      <c r="E602" s="160"/>
      <c r="F602" s="160"/>
      <c r="G602" s="160"/>
      <c r="H602" s="161"/>
      <c r="I602" s="39"/>
      <c r="J602" s="111"/>
      <c r="K602" s="112"/>
      <c r="L602" s="39"/>
      <c r="M602" s="39"/>
      <c r="N602" s="39"/>
      <c r="O602" s="39"/>
      <c r="P602" s="115"/>
    </row>
    <row r="603" spans="1:16" x14ac:dyDescent="0.25">
      <c r="A603" s="108"/>
      <c r="B603" s="39">
        <v>593</v>
      </c>
      <c r="C603" s="159"/>
      <c r="D603" s="160"/>
      <c r="E603" s="160"/>
      <c r="F603" s="160"/>
      <c r="G603" s="160"/>
      <c r="H603" s="161"/>
      <c r="I603" s="39"/>
      <c r="J603" s="111"/>
      <c r="K603" s="112"/>
      <c r="L603" s="39"/>
      <c r="M603" s="39"/>
      <c r="N603" s="39"/>
      <c r="O603" s="39"/>
      <c r="P603" s="52"/>
    </row>
    <row r="604" spans="1:16" ht="14.25" customHeight="1" x14ac:dyDescent="0.25">
      <c r="A604" s="108"/>
      <c r="B604" s="39">
        <v>594</v>
      </c>
      <c r="C604" s="159"/>
      <c r="D604" s="160"/>
      <c r="E604" s="160"/>
      <c r="F604" s="160"/>
      <c r="G604" s="160"/>
      <c r="H604" s="161"/>
      <c r="I604" s="39"/>
      <c r="J604" s="111"/>
      <c r="K604" s="112"/>
      <c r="L604" s="39"/>
      <c r="M604" s="39"/>
      <c r="N604" s="39"/>
      <c r="O604" s="39"/>
      <c r="P604" s="52"/>
    </row>
    <row r="605" spans="1:16" ht="14.25" customHeight="1" x14ac:dyDescent="0.25">
      <c r="A605" s="108"/>
      <c r="B605" s="39">
        <v>595</v>
      </c>
      <c r="C605" s="159"/>
      <c r="D605" s="160"/>
      <c r="E605" s="160"/>
      <c r="F605" s="160"/>
      <c r="G605" s="160"/>
      <c r="H605" s="161"/>
      <c r="I605" s="39"/>
      <c r="J605" s="111"/>
      <c r="K605" s="112"/>
      <c r="L605" s="39"/>
      <c r="M605" s="39"/>
      <c r="N605" s="39"/>
      <c r="O605" s="39"/>
      <c r="P605" s="52"/>
    </row>
    <row r="606" spans="1:16" ht="14.25" customHeight="1" x14ac:dyDescent="0.25">
      <c r="A606" s="108"/>
      <c r="B606" s="39">
        <v>596</v>
      </c>
      <c r="C606" s="159"/>
      <c r="D606" s="160"/>
      <c r="E606" s="160"/>
      <c r="F606" s="160"/>
      <c r="G606" s="160"/>
      <c r="H606" s="161"/>
      <c r="I606" s="39"/>
      <c r="J606" s="111"/>
      <c r="K606" s="112"/>
      <c r="L606" s="39"/>
      <c r="M606" s="39"/>
      <c r="N606" s="39"/>
      <c r="O606" s="39"/>
      <c r="P606" s="52"/>
    </row>
    <row r="607" spans="1:16" ht="14.25" customHeight="1" x14ac:dyDescent="0.25">
      <c r="A607" s="108"/>
      <c r="B607" s="39">
        <v>597</v>
      </c>
      <c r="C607" s="159"/>
      <c r="D607" s="160"/>
      <c r="E607" s="160"/>
      <c r="F607" s="160"/>
      <c r="G607" s="160"/>
      <c r="H607" s="161"/>
      <c r="I607" s="39"/>
      <c r="J607" s="111"/>
      <c r="K607" s="112"/>
      <c r="L607" s="39"/>
      <c r="M607" s="39"/>
      <c r="N607" s="39"/>
      <c r="O607" s="39"/>
      <c r="P607" s="115"/>
    </row>
    <row r="608" spans="1:16" ht="14.25" customHeight="1" x14ac:dyDescent="0.25">
      <c r="A608" s="108"/>
      <c r="B608" s="39">
        <v>598</v>
      </c>
      <c r="C608" s="159"/>
      <c r="D608" s="160"/>
      <c r="E608" s="160"/>
      <c r="F608" s="160"/>
      <c r="G608" s="160"/>
      <c r="H608" s="161"/>
      <c r="I608" s="39"/>
      <c r="J608" s="111"/>
      <c r="K608" s="112"/>
      <c r="L608" s="39"/>
      <c r="M608" s="39"/>
      <c r="N608" s="39"/>
      <c r="O608" s="39"/>
      <c r="P608" s="52"/>
    </row>
    <row r="609" spans="1:16" ht="14.25" customHeight="1" x14ac:dyDescent="0.25">
      <c r="A609" s="108"/>
      <c r="B609" s="39">
        <v>599</v>
      </c>
      <c r="C609" s="159"/>
      <c r="D609" s="160"/>
      <c r="E609" s="160"/>
      <c r="F609" s="160"/>
      <c r="G609" s="160"/>
      <c r="H609" s="161"/>
      <c r="I609" s="39"/>
      <c r="J609" s="111"/>
      <c r="K609" s="112"/>
      <c r="L609" s="39"/>
      <c r="M609" s="39"/>
      <c r="N609" s="39"/>
      <c r="O609" s="39"/>
      <c r="P609" s="52"/>
    </row>
    <row r="610" spans="1:16" ht="14.25" customHeight="1" x14ac:dyDescent="0.25">
      <c r="A610" s="108"/>
      <c r="B610" s="39">
        <v>600</v>
      </c>
      <c r="C610" s="159"/>
      <c r="D610" s="160"/>
      <c r="E610" s="160"/>
      <c r="F610" s="160"/>
      <c r="G610" s="160"/>
      <c r="H610" s="161"/>
      <c r="I610" s="39"/>
      <c r="J610" s="111"/>
      <c r="K610" s="112"/>
      <c r="L610" s="39"/>
      <c r="M610" s="39"/>
      <c r="N610" s="39"/>
      <c r="O610" s="39"/>
      <c r="P610" s="52"/>
    </row>
    <row r="611" spans="1:16" ht="14.25" customHeight="1" x14ac:dyDescent="0.25">
      <c r="A611" s="108"/>
      <c r="B611" s="39">
        <v>601</v>
      </c>
      <c r="C611" s="159"/>
      <c r="D611" s="160"/>
      <c r="E611" s="160"/>
      <c r="F611" s="160"/>
      <c r="G611" s="160"/>
      <c r="H611" s="161"/>
      <c r="I611" s="39"/>
      <c r="J611" s="111"/>
      <c r="K611" s="112"/>
      <c r="L611" s="39"/>
      <c r="M611" s="39"/>
      <c r="N611" s="39"/>
      <c r="O611" s="39"/>
      <c r="P611" s="115"/>
    </row>
    <row r="612" spans="1:16" ht="14.25" customHeight="1" x14ac:dyDescent="0.25">
      <c r="A612" s="108"/>
      <c r="B612" s="39">
        <v>602</v>
      </c>
      <c r="C612" s="159"/>
      <c r="D612" s="160"/>
      <c r="E612" s="160"/>
      <c r="F612" s="160"/>
      <c r="G612" s="160"/>
      <c r="H612" s="161"/>
      <c r="I612" s="39"/>
      <c r="J612" s="111"/>
      <c r="K612" s="112"/>
      <c r="L612" s="39"/>
      <c r="M612" s="39"/>
      <c r="N612" s="39"/>
      <c r="O612" s="39"/>
      <c r="P612" s="52"/>
    </row>
    <row r="613" spans="1:16" ht="14.25" customHeight="1" x14ac:dyDescent="0.25">
      <c r="A613" s="108"/>
      <c r="B613" s="39">
        <v>603</v>
      </c>
      <c r="C613" s="159"/>
      <c r="D613" s="160"/>
      <c r="E613" s="160"/>
      <c r="F613" s="160"/>
      <c r="G613" s="160"/>
      <c r="H613" s="161"/>
      <c r="I613" s="39"/>
      <c r="J613" s="111"/>
      <c r="K613" s="112"/>
      <c r="L613" s="39"/>
      <c r="M613" s="39"/>
      <c r="N613" s="39"/>
      <c r="O613" s="39"/>
      <c r="P613" s="115"/>
    </row>
    <row r="614" spans="1:16" ht="14.25" customHeight="1" x14ac:dyDescent="0.25">
      <c r="A614" s="108"/>
      <c r="B614" s="39">
        <v>604</v>
      </c>
      <c r="C614" s="159"/>
      <c r="D614" s="160"/>
      <c r="E614" s="160"/>
      <c r="F614" s="160"/>
      <c r="G614" s="160"/>
      <c r="H614" s="161"/>
      <c r="I614" s="39"/>
      <c r="J614" s="111"/>
      <c r="K614" s="112"/>
      <c r="L614" s="39"/>
      <c r="M614" s="39"/>
      <c r="N614" s="39"/>
      <c r="O614" s="39"/>
      <c r="P614" s="52"/>
    </row>
    <row r="615" spans="1:16" ht="14.25" customHeight="1" x14ac:dyDescent="0.25">
      <c r="A615" s="108"/>
      <c r="B615" s="39">
        <v>605</v>
      </c>
      <c r="C615" s="159"/>
      <c r="D615" s="160"/>
      <c r="E615" s="160"/>
      <c r="F615" s="160"/>
      <c r="G615" s="160"/>
      <c r="H615" s="161"/>
      <c r="I615" s="39"/>
      <c r="J615" s="111"/>
      <c r="K615" s="112"/>
      <c r="L615" s="39"/>
      <c r="M615" s="39"/>
      <c r="N615" s="39"/>
      <c r="O615" s="39"/>
      <c r="P615" s="52"/>
    </row>
    <row r="616" spans="1:16" ht="14.25" customHeight="1" x14ac:dyDescent="0.25">
      <c r="A616" s="108"/>
      <c r="B616" s="39">
        <v>606</v>
      </c>
      <c r="C616" s="159"/>
      <c r="D616" s="160"/>
      <c r="E616" s="160"/>
      <c r="F616" s="160"/>
      <c r="G616" s="160"/>
      <c r="H616" s="161"/>
      <c r="I616" s="39"/>
      <c r="J616" s="111"/>
      <c r="K616" s="112"/>
      <c r="L616" s="39"/>
      <c r="M616" s="39"/>
      <c r="N616" s="39"/>
      <c r="O616" s="39"/>
      <c r="P616" s="52"/>
    </row>
    <row r="617" spans="1:16" ht="14.25" customHeight="1" x14ac:dyDescent="0.25">
      <c r="A617" s="108"/>
      <c r="B617" s="39">
        <v>607</v>
      </c>
      <c r="C617" s="159"/>
      <c r="D617" s="160"/>
      <c r="E617" s="160"/>
      <c r="F617" s="160"/>
      <c r="G617" s="160"/>
      <c r="H617" s="161"/>
      <c r="I617" s="39"/>
      <c r="J617" s="111"/>
      <c r="K617" s="112"/>
      <c r="L617" s="39"/>
      <c r="M617" s="39"/>
      <c r="N617" s="39"/>
      <c r="O617" s="39"/>
      <c r="P617" s="52"/>
    </row>
    <row r="618" spans="1:16" x14ac:dyDescent="0.25">
      <c r="A618" s="108"/>
      <c r="B618" s="39">
        <v>608</v>
      </c>
      <c r="C618" s="159"/>
      <c r="D618" s="160"/>
      <c r="E618" s="160"/>
      <c r="F618" s="160"/>
      <c r="G618" s="160"/>
      <c r="H618" s="161"/>
      <c r="I618" s="39"/>
      <c r="J618" s="111"/>
      <c r="K618" s="112"/>
      <c r="L618" s="39"/>
      <c r="M618" s="39"/>
      <c r="N618" s="39"/>
      <c r="O618" s="39"/>
      <c r="P618" s="52"/>
    </row>
    <row r="619" spans="1:16" x14ac:dyDescent="0.25">
      <c r="A619" s="108"/>
      <c r="B619" s="39">
        <v>609</v>
      </c>
      <c r="C619" s="159"/>
      <c r="D619" s="160"/>
      <c r="E619" s="160"/>
      <c r="F619" s="160"/>
      <c r="G619" s="160"/>
      <c r="H619" s="161"/>
      <c r="I619" s="39"/>
      <c r="J619" s="111"/>
      <c r="K619" s="112"/>
      <c r="L619" s="39"/>
      <c r="M619" s="39"/>
      <c r="N619" s="39"/>
      <c r="O619" s="39"/>
      <c r="P619" s="52"/>
    </row>
    <row r="620" spans="1:16" x14ac:dyDescent="0.25">
      <c r="A620" s="108"/>
      <c r="B620" s="39">
        <v>610</v>
      </c>
      <c r="C620" s="159"/>
      <c r="D620" s="160"/>
      <c r="E620" s="160"/>
      <c r="F620" s="160"/>
      <c r="G620" s="160"/>
      <c r="H620" s="161"/>
      <c r="I620" s="39"/>
      <c r="J620" s="111"/>
      <c r="K620" s="112"/>
      <c r="L620" s="39"/>
      <c r="M620" s="39"/>
      <c r="N620" s="39"/>
      <c r="O620" s="39"/>
      <c r="P620" s="52"/>
    </row>
    <row r="621" spans="1:16" x14ac:dyDescent="0.25">
      <c r="A621" s="108"/>
      <c r="B621" s="39">
        <v>611</v>
      </c>
      <c r="C621" s="159"/>
      <c r="D621" s="160"/>
      <c r="E621" s="160"/>
      <c r="F621" s="160"/>
      <c r="G621" s="160"/>
      <c r="H621" s="161"/>
      <c r="I621" s="39"/>
      <c r="J621" s="111"/>
      <c r="K621" s="112"/>
      <c r="L621" s="39"/>
      <c r="M621" s="39"/>
      <c r="N621" s="39"/>
      <c r="O621" s="39"/>
      <c r="P621" s="52"/>
    </row>
    <row r="622" spans="1:16" x14ac:dyDescent="0.25">
      <c r="A622" s="108"/>
      <c r="B622" s="39">
        <v>612</v>
      </c>
      <c r="C622" s="159"/>
      <c r="D622" s="160"/>
      <c r="E622" s="160"/>
      <c r="F622" s="160"/>
      <c r="G622" s="160"/>
      <c r="H622" s="161"/>
      <c r="I622" s="39"/>
      <c r="J622" s="111"/>
      <c r="K622" s="112"/>
      <c r="L622" s="39"/>
      <c r="M622" s="39"/>
      <c r="N622" s="39"/>
      <c r="O622" s="39"/>
      <c r="P622" s="52"/>
    </row>
    <row r="623" spans="1:16" x14ac:dyDescent="0.25">
      <c r="A623" s="108"/>
      <c r="B623" s="39">
        <v>613</v>
      </c>
      <c r="C623" s="159"/>
      <c r="D623" s="160"/>
      <c r="E623" s="160"/>
      <c r="F623" s="160"/>
      <c r="G623" s="160"/>
      <c r="H623" s="161"/>
      <c r="I623" s="39"/>
      <c r="J623" s="111"/>
      <c r="K623" s="112"/>
      <c r="L623" s="39"/>
      <c r="M623" s="39"/>
      <c r="N623" s="39"/>
      <c r="O623" s="39"/>
      <c r="P623" s="52"/>
    </row>
    <row r="624" spans="1:16" x14ac:dyDescent="0.25">
      <c r="A624" s="108"/>
      <c r="B624" s="39">
        <v>614</v>
      </c>
      <c r="C624" s="159"/>
      <c r="D624" s="160"/>
      <c r="E624" s="160"/>
      <c r="F624" s="160"/>
      <c r="G624" s="160"/>
      <c r="H624" s="161"/>
      <c r="I624" s="39"/>
      <c r="J624" s="111"/>
      <c r="K624" s="112"/>
      <c r="L624" s="39"/>
      <c r="M624" s="39"/>
      <c r="N624" s="39"/>
      <c r="O624" s="39"/>
      <c r="P624" s="115"/>
    </row>
    <row r="625" spans="1:16" x14ac:dyDescent="0.25">
      <c r="A625" s="108"/>
      <c r="B625" s="39">
        <v>615</v>
      </c>
      <c r="C625" s="159"/>
      <c r="D625" s="160"/>
      <c r="E625" s="160"/>
      <c r="F625" s="160"/>
      <c r="G625" s="160"/>
      <c r="H625" s="161"/>
      <c r="I625" s="39"/>
      <c r="J625" s="111"/>
      <c r="K625" s="112"/>
      <c r="L625" s="39"/>
      <c r="M625" s="39"/>
      <c r="N625" s="39"/>
      <c r="O625" s="39"/>
      <c r="P625" s="115"/>
    </row>
    <row r="626" spans="1:16" x14ac:dyDescent="0.25">
      <c r="A626" s="108"/>
      <c r="B626" s="39">
        <v>616</v>
      </c>
      <c r="C626" s="159"/>
      <c r="D626" s="160"/>
      <c r="E626" s="160"/>
      <c r="F626" s="160"/>
      <c r="G626" s="160"/>
      <c r="H626" s="161"/>
      <c r="I626" s="39"/>
      <c r="J626" s="111"/>
      <c r="K626" s="112"/>
      <c r="L626" s="32"/>
      <c r="M626" s="39"/>
      <c r="N626" s="39"/>
      <c r="O626" s="39"/>
      <c r="P626" s="115"/>
    </row>
    <row r="627" spans="1:16" x14ac:dyDescent="0.25">
      <c r="A627" s="108"/>
      <c r="B627" s="39">
        <v>617</v>
      </c>
      <c r="C627" s="159"/>
      <c r="D627" s="160"/>
      <c r="E627" s="160"/>
      <c r="F627" s="160"/>
      <c r="G627" s="160"/>
      <c r="H627" s="161"/>
      <c r="I627" s="39"/>
      <c r="J627" s="111"/>
      <c r="K627" s="112"/>
      <c r="L627" s="39"/>
      <c r="M627" s="39"/>
      <c r="N627" s="39"/>
      <c r="O627" s="39"/>
      <c r="P627" s="52"/>
    </row>
    <row r="628" spans="1:16" x14ac:dyDescent="0.25">
      <c r="A628" s="108"/>
      <c r="B628" s="39">
        <v>618</v>
      </c>
      <c r="C628" s="159"/>
      <c r="D628" s="160"/>
      <c r="E628" s="160"/>
      <c r="F628" s="160"/>
      <c r="G628" s="160"/>
      <c r="H628" s="161"/>
      <c r="I628" s="39"/>
      <c r="J628" s="111"/>
      <c r="K628" s="112"/>
      <c r="L628" s="39"/>
      <c r="M628" s="39"/>
      <c r="N628" s="39"/>
      <c r="O628" s="39"/>
      <c r="P628" s="52"/>
    </row>
    <row r="629" spans="1:16" x14ac:dyDescent="0.25">
      <c r="A629" s="108"/>
      <c r="B629" s="39">
        <v>619</v>
      </c>
      <c r="C629" s="159"/>
      <c r="D629" s="160"/>
      <c r="E629" s="160"/>
      <c r="F629" s="160"/>
      <c r="G629" s="160"/>
      <c r="H629" s="161"/>
      <c r="I629" s="39"/>
      <c r="J629" s="111"/>
      <c r="K629" s="112"/>
      <c r="L629" s="39"/>
      <c r="M629" s="39"/>
      <c r="N629" s="39"/>
      <c r="O629" s="39"/>
      <c r="P629" s="52"/>
    </row>
    <row r="630" spans="1:16" x14ac:dyDescent="0.25">
      <c r="A630" s="108"/>
      <c r="B630" s="39">
        <v>620</v>
      </c>
      <c r="C630" s="159"/>
      <c r="D630" s="160"/>
      <c r="E630" s="160"/>
      <c r="F630" s="160"/>
      <c r="G630" s="160"/>
      <c r="H630" s="161"/>
      <c r="I630" s="39"/>
      <c r="J630" s="111"/>
      <c r="K630" s="112"/>
      <c r="L630" s="39"/>
      <c r="M630" s="39"/>
      <c r="N630" s="39"/>
      <c r="O630" s="39"/>
      <c r="P630" s="52"/>
    </row>
    <row r="631" spans="1:16" x14ac:dyDescent="0.25">
      <c r="A631" s="108"/>
      <c r="B631" s="39">
        <v>621</v>
      </c>
      <c r="C631" s="159"/>
      <c r="D631" s="160"/>
      <c r="E631" s="160"/>
      <c r="F631" s="160"/>
      <c r="G631" s="160"/>
      <c r="H631" s="161"/>
      <c r="I631" s="39"/>
      <c r="J631" s="111"/>
      <c r="K631" s="112"/>
      <c r="L631" s="39"/>
      <c r="M631" s="39"/>
      <c r="N631" s="39"/>
      <c r="O631" s="39"/>
      <c r="P631" s="52"/>
    </row>
    <row r="632" spans="1:16" x14ac:dyDescent="0.25">
      <c r="A632" s="108"/>
      <c r="B632" s="39">
        <v>622</v>
      </c>
      <c r="C632" s="159"/>
      <c r="D632" s="160"/>
      <c r="E632" s="160"/>
      <c r="F632" s="160"/>
      <c r="G632" s="160"/>
      <c r="H632" s="161"/>
      <c r="I632" s="39"/>
      <c r="J632" s="111"/>
      <c r="K632" s="112"/>
      <c r="L632" s="39"/>
      <c r="M632" s="39"/>
      <c r="N632" s="39"/>
      <c r="O632" s="39"/>
      <c r="P632" s="52"/>
    </row>
    <row r="633" spans="1:16" x14ac:dyDescent="0.25">
      <c r="A633" s="108"/>
      <c r="B633" s="39">
        <v>623</v>
      </c>
      <c r="C633" s="159"/>
      <c r="D633" s="160"/>
      <c r="E633" s="160"/>
      <c r="F633" s="160"/>
      <c r="G633" s="160"/>
      <c r="H633" s="161"/>
      <c r="I633" s="39"/>
      <c r="J633" s="111"/>
      <c r="K633" s="112"/>
      <c r="L633" s="39"/>
      <c r="M633" s="39"/>
      <c r="N633" s="39"/>
      <c r="O633" s="39"/>
      <c r="P633" s="52"/>
    </row>
    <row r="634" spans="1:16" x14ac:dyDescent="0.25">
      <c r="A634" s="108"/>
      <c r="B634" s="39">
        <v>624</v>
      </c>
      <c r="C634" s="159"/>
      <c r="D634" s="160"/>
      <c r="E634" s="160"/>
      <c r="F634" s="160"/>
      <c r="G634" s="160"/>
      <c r="H634" s="161"/>
      <c r="I634" s="39"/>
      <c r="J634" s="111"/>
      <c r="K634" s="112"/>
      <c r="L634" s="39"/>
      <c r="M634" s="39"/>
      <c r="N634" s="39"/>
      <c r="O634" s="39"/>
      <c r="P634" s="115"/>
    </row>
    <row r="635" spans="1:16" x14ac:dyDescent="0.25">
      <c r="A635" s="108"/>
      <c r="B635" s="39">
        <v>625</v>
      </c>
      <c r="C635" s="159"/>
      <c r="D635" s="160"/>
      <c r="E635" s="160"/>
      <c r="F635" s="160"/>
      <c r="G635" s="160"/>
      <c r="H635" s="161"/>
      <c r="I635" s="39"/>
      <c r="J635" s="111"/>
      <c r="K635" s="112"/>
      <c r="L635" s="39"/>
      <c r="M635" s="39"/>
      <c r="N635" s="39"/>
      <c r="O635" s="39"/>
      <c r="P635" s="115"/>
    </row>
    <row r="636" spans="1:16" x14ac:dyDescent="0.25">
      <c r="A636" s="108"/>
      <c r="B636" s="39">
        <v>626</v>
      </c>
      <c r="C636" s="159"/>
      <c r="D636" s="160"/>
      <c r="E636" s="160"/>
      <c r="F636" s="160"/>
      <c r="G636" s="160"/>
      <c r="H636" s="161"/>
      <c r="I636" s="39"/>
      <c r="J636" s="111"/>
      <c r="K636" s="112"/>
      <c r="L636" s="39"/>
      <c r="M636" s="39"/>
      <c r="N636" s="39"/>
      <c r="O636" s="39"/>
      <c r="P636" s="115"/>
    </row>
    <row r="637" spans="1:16" x14ac:dyDescent="0.25">
      <c r="A637" s="108"/>
      <c r="B637" s="39">
        <v>627</v>
      </c>
      <c r="C637" s="159"/>
      <c r="D637" s="160"/>
      <c r="E637" s="160"/>
      <c r="F637" s="160"/>
      <c r="G637" s="160"/>
      <c r="H637" s="161"/>
      <c r="I637" s="39"/>
      <c r="J637" s="111"/>
      <c r="K637" s="112"/>
      <c r="L637" s="39"/>
      <c r="M637" s="39"/>
      <c r="N637" s="39"/>
      <c r="O637" s="39"/>
      <c r="P637" s="115"/>
    </row>
    <row r="638" spans="1:16" x14ac:dyDescent="0.25">
      <c r="A638" s="108"/>
      <c r="B638" s="39">
        <v>628</v>
      </c>
      <c r="C638" s="159"/>
      <c r="D638" s="160"/>
      <c r="E638" s="160"/>
      <c r="F638" s="160"/>
      <c r="G638" s="160"/>
      <c r="H638" s="161"/>
      <c r="I638" s="39"/>
      <c r="J638" s="111"/>
      <c r="K638" s="112"/>
      <c r="L638" s="39"/>
      <c r="M638" s="39"/>
      <c r="N638" s="39"/>
      <c r="O638" s="39"/>
      <c r="P638" s="115"/>
    </row>
    <row r="639" spans="1:16" x14ac:dyDescent="0.25">
      <c r="A639" s="108"/>
      <c r="B639" s="39">
        <v>629</v>
      </c>
      <c r="C639" s="159"/>
      <c r="D639" s="160"/>
      <c r="E639" s="160"/>
      <c r="F639" s="160"/>
      <c r="G639" s="160"/>
      <c r="H639" s="161"/>
      <c r="I639" s="39"/>
      <c r="J639" s="111"/>
      <c r="K639" s="112"/>
      <c r="L639" s="39"/>
      <c r="M639" s="39"/>
      <c r="N639" s="39"/>
      <c r="O639" s="39"/>
      <c r="P639" s="52"/>
    </row>
    <row r="640" spans="1:16" x14ac:dyDescent="0.25">
      <c r="A640" s="108"/>
      <c r="B640" s="39">
        <v>630</v>
      </c>
      <c r="C640" s="159"/>
      <c r="D640" s="160"/>
      <c r="E640" s="160"/>
      <c r="F640" s="160"/>
      <c r="G640" s="160"/>
      <c r="H640" s="161"/>
      <c r="I640" s="39"/>
      <c r="J640" s="111"/>
      <c r="K640" s="112"/>
      <c r="L640" s="39"/>
      <c r="M640" s="39"/>
      <c r="N640" s="39"/>
      <c r="O640" s="39"/>
      <c r="P640" s="115"/>
    </row>
    <row r="641" spans="1:16" x14ac:dyDescent="0.25">
      <c r="A641" s="108"/>
      <c r="B641" s="39">
        <v>631</v>
      </c>
      <c r="C641" s="159"/>
      <c r="D641" s="160"/>
      <c r="E641" s="160"/>
      <c r="F641" s="160"/>
      <c r="G641" s="160"/>
      <c r="H641" s="161"/>
      <c r="I641" s="39"/>
      <c r="J641" s="111"/>
      <c r="K641" s="112"/>
      <c r="L641" s="39"/>
      <c r="M641" s="39"/>
      <c r="N641" s="39"/>
      <c r="O641" s="39"/>
      <c r="P641" s="52"/>
    </row>
    <row r="642" spans="1:16" x14ac:dyDescent="0.25">
      <c r="A642" s="108"/>
      <c r="B642" s="39">
        <v>632</v>
      </c>
      <c r="C642" s="159"/>
      <c r="D642" s="160"/>
      <c r="E642" s="160"/>
      <c r="F642" s="160"/>
      <c r="G642" s="160"/>
      <c r="H642" s="161"/>
      <c r="I642" s="39"/>
      <c r="J642" s="111"/>
      <c r="K642" s="112"/>
      <c r="L642" s="39"/>
      <c r="M642" s="39"/>
      <c r="N642" s="39"/>
      <c r="O642" s="39"/>
      <c r="P642" s="115"/>
    </row>
    <row r="643" spans="1:16" x14ac:dyDescent="0.25">
      <c r="A643" s="108"/>
      <c r="B643" s="39">
        <v>633</v>
      </c>
      <c r="C643" s="159"/>
      <c r="D643" s="160"/>
      <c r="E643" s="160"/>
      <c r="F643" s="160"/>
      <c r="G643" s="160"/>
      <c r="H643" s="161"/>
      <c r="I643" s="39"/>
      <c r="J643" s="111"/>
      <c r="K643" s="112"/>
      <c r="L643" s="39"/>
      <c r="M643" s="39"/>
      <c r="N643" s="39"/>
      <c r="O643" s="39"/>
      <c r="P643" s="52"/>
    </row>
    <row r="644" spans="1:16" x14ac:dyDescent="0.25">
      <c r="A644" s="108"/>
      <c r="B644" s="39">
        <v>634</v>
      </c>
      <c r="C644" s="159"/>
      <c r="D644" s="160"/>
      <c r="E644" s="160"/>
      <c r="F644" s="160"/>
      <c r="G644" s="160"/>
      <c r="H644" s="161"/>
      <c r="I644" s="39"/>
      <c r="J644" s="111"/>
      <c r="K644" s="112"/>
      <c r="L644" s="39"/>
      <c r="M644" s="39"/>
      <c r="N644" s="39"/>
      <c r="O644" s="39"/>
      <c r="P644" s="115"/>
    </row>
    <row r="645" spans="1:16" x14ac:dyDescent="0.25">
      <c r="A645" s="108"/>
      <c r="B645" s="39">
        <v>635</v>
      </c>
      <c r="C645" s="159"/>
      <c r="D645" s="160"/>
      <c r="E645" s="160"/>
      <c r="F645" s="160"/>
      <c r="G645" s="160"/>
      <c r="H645" s="161"/>
      <c r="I645" s="39"/>
      <c r="J645" s="111"/>
      <c r="K645" s="112"/>
      <c r="L645" s="39"/>
      <c r="M645" s="39"/>
      <c r="N645" s="39"/>
      <c r="O645" s="39"/>
      <c r="P645" s="52"/>
    </row>
    <row r="646" spans="1:16" x14ac:dyDescent="0.25">
      <c r="A646" s="108"/>
      <c r="B646" s="39">
        <v>636</v>
      </c>
      <c r="C646" s="159"/>
      <c r="D646" s="160"/>
      <c r="E646" s="160"/>
      <c r="F646" s="160"/>
      <c r="G646" s="160"/>
      <c r="H646" s="161"/>
      <c r="I646" s="39"/>
      <c r="J646" s="111"/>
      <c r="K646" s="112"/>
      <c r="L646" s="39"/>
      <c r="M646" s="39"/>
      <c r="N646" s="39"/>
      <c r="O646" s="39"/>
      <c r="P646" s="52"/>
    </row>
    <row r="647" spans="1:16" x14ac:dyDescent="0.25">
      <c r="A647" s="108"/>
      <c r="B647" s="39">
        <v>637</v>
      </c>
      <c r="C647" s="159"/>
      <c r="D647" s="160"/>
      <c r="E647" s="160"/>
      <c r="F647" s="160"/>
      <c r="G647" s="160"/>
      <c r="H647" s="161"/>
      <c r="I647" s="39"/>
      <c r="J647" s="111"/>
      <c r="K647" s="112"/>
      <c r="L647" s="39"/>
      <c r="M647" s="39"/>
      <c r="N647" s="39"/>
      <c r="O647" s="39"/>
      <c r="P647" s="52"/>
    </row>
    <row r="648" spans="1:16" x14ac:dyDescent="0.25">
      <c r="A648" s="108"/>
      <c r="B648" s="39">
        <v>638</v>
      </c>
      <c r="C648" s="159"/>
      <c r="D648" s="160"/>
      <c r="E648" s="160"/>
      <c r="F648" s="160"/>
      <c r="G648" s="160"/>
      <c r="H648" s="161"/>
      <c r="I648" s="39"/>
      <c r="J648" s="111"/>
      <c r="K648" s="112"/>
      <c r="L648" s="39"/>
      <c r="M648" s="39"/>
      <c r="N648" s="39"/>
      <c r="O648" s="39"/>
      <c r="P648" s="115"/>
    </row>
    <row r="649" spans="1:16" x14ac:dyDescent="0.25">
      <c r="A649" s="108"/>
      <c r="B649" s="39">
        <v>639</v>
      </c>
      <c r="C649" s="159"/>
      <c r="D649" s="160"/>
      <c r="E649" s="160"/>
      <c r="F649" s="160"/>
      <c r="G649" s="160"/>
      <c r="H649" s="161"/>
      <c r="I649" s="39"/>
      <c r="J649" s="111"/>
      <c r="K649" s="112"/>
      <c r="L649" s="39"/>
      <c r="M649" s="39"/>
      <c r="N649" s="39"/>
      <c r="O649" s="39"/>
      <c r="P649" s="115"/>
    </row>
    <row r="650" spans="1:16" x14ac:dyDescent="0.25">
      <c r="A650" s="108"/>
      <c r="B650" s="39">
        <v>640</v>
      </c>
      <c r="C650" s="159"/>
      <c r="D650" s="160"/>
      <c r="E650" s="160"/>
      <c r="F650" s="160"/>
      <c r="G650" s="160"/>
      <c r="H650" s="161"/>
      <c r="I650" s="39"/>
      <c r="J650" s="111"/>
      <c r="K650" s="112"/>
      <c r="L650" s="39"/>
      <c r="M650" s="39"/>
      <c r="N650" s="39"/>
      <c r="O650" s="39"/>
      <c r="P650" s="52"/>
    </row>
    <row r="651" spans="1:16" x14ac:dyDescent="0.25">
      <c r="A651" s="108"/>
      <c r="B651" s="39">
        <v>641</v>
      </c>
      <c r="C651" s="159"/>
      <c r="D651" s="160"/>
      <c r="E651" s="160"/>
      <c r="F651" s="160"/>
      <c r="G651" s="160"/>
      <c r="H651" s="161"/>
      <c r="I651" s="39"/>
      <c r="J651" s="111"/>
      <c r="K651" s="112"/>
      <c r="L651" s="39"/>
      <c r="M651" s="39"/>
      <c r="N651" s="39"/>
      <c r="O651" s="39"/>
      <c r="P651" s="52"/>
    </row>
    <row r="652" spans="1:16" x14ac:dyDescent="0.25">
      <c r="A652" s="108"/>
      <c r="B652" s="39">
        <v>642</v>
      </c>
      <c r="C652" s="159"/>
      <c r="D652" s="160"/>
      <c r="E652" s="160"/>
      <c r="F652" s="160"/>
      <c r="G652" s="160"/>
      <c r="H652" s="161"/>
      <c r="I652" s="39"/>
      <c r="J652" s="111"/>
      <c r="K652" s="112"/>
      <c r="L652" s="39"/>
      <c r="M652" s="39"/>
      <c r="N652" s="39"/>
      <c r="O652" s="39"/>
      <c r="P652" s="52"/>
    </row>
    <row r="653" spans="1:16" x14ac:dyDescent="0.25">
      <c r="A653" s="108"/>
      <c r="B653" s="39">
        <v>643</v>
      </c>
      <c r="C653" s="159"/>
      <c r="D653" s="160"/>
      <c r="E653" s="160"/>
      <c r="F653" s="160"/>
      <c r="G653" s="160"/>
      <c r="H653" s="161"/>
      <c r="I653" s="39"/>
      <c r="J653" s="111"/>
      <c r="K653" s="112"/>
      <c r="L653" s="39"/>
      <c r="M653" s="39"/>
      <c r="N653" s="39"/>
      <c r="O653" s="39"/>
      <c r="P653" s="115"/>
    </row>
    <row r="654" spans="1:16" x14ac:dyDescent="0.25">
      <c r="A654" s="108"/>
      <c r="B654" s="39">
        <v>644</v>
      </c>
      <c r="C654" s="159"/>
      <c r="D654" s="160"/>
      <c r="E654" s="160"/>
      <c r="F654" s="160"/>
      <c r="G654" s="160"/>
      <c r="H654" s="161"/>
      <c r="I654" s="39"/>
      <c r="J654" s="111"/>
      <c r="K654" s="112"/>
      <c r="L654" s="39"/>
      <c r="M654" s="39"/>
      <c r="N654" s="39"/>
      <c r="O654" s="39"/>
      <c r="P654" s="52"/>
    </row>
    <row r="655" spans="1:16" x14ac:dyDescent="0.25">
      <c r="A655" s="108"/>
      <c r="B655" s="39">
        <v>645</v>
      </c>
      <c r="C655" s="159"/>
      <c r="D655" s="160"/>
      <c r="E655" s="160"/>
      <c r="F655" s="160"/>
      <c r="G655" s="160"/>
      <c r="H655" s="161"/>
      <c r="I655" s="39"/>
      <c r="J655" s="111"/>
      <c r="K655" s="112"/>
      <c r="L655" s="39"/>
      <c r="M655" s="39"/>
      <c r="N655" s="39"/>
      <c r="O655" s="39"/>
      <c r="P655" s="52"/>
    </row>
    <row r="656" spans="1:16" x14ac:dyDescent="0.25">
      <c r="A656" s="108"/>
      <c r="B656" s="39">
        <v>646</v>
      </c>
      <c r="C656" s="159"/>
      <c r="D656" s="160"/>
      <c r="E656" s="160"/>
      <c r="F656" s="160"/>
      <c r="G656" s="160"/>
      <c r="H656" s="161"/>
      <c r="I656" s="39"/>
      <c r="J656" s="111"/>
      <c r="K656" s="112"/>
      <c r="L656" s="39"/>
      <c r="M656" s="39"/>
      <c r="N656" s="39"/>
      <c r="O656" s="39"/>
      <c r="P656" s="52"/>
    </row>
    <row r="657" spans="1:16" x14ac:dyDescent="0.25">
      <c r="A657" s="108"/>
      <c r="B657" s="39">
        <v>647</v>
      </c>
      <c r="C657" s="159"/>
      <c r="D657" s="160"/>
      <c r="E657" s="160"/>
      <c r="F657" s="160"/>
      <c r="G657" s="160"/>
      <c r="H657" s="161"/>
      <c r="I657" s="39"/>
      <c r="J657" s="111"/>
      <c r="K657" s="112"/>
      <c r="L657" s="39"/>
      <c r="M657" s="39"/>
      <c r="N657" s="51"/>
      <c r="O657" s="51"/>
      <c r="P657" s="52"/>
    </row>
    <row r="658" spans="1:16" x14ac:dyDescent="0.25">
      <c r="A658" s="108"/>
      <c r="B658" s="39">
        <v>648</v>
      </c>
      <c r="C658" s="159"/>
      <c r="D658" s="160"/>
      <c r="E658" s="160"/>
      <c r="F658" s="160"/>
      <c r="G658" s="160"/>
      <c r="H658" s="161"/>
      <c r="I658" s="39"/>
      <c r="J658" s="111"/>
      <c r="K658" s="112"/>
      <c r="L658" s="39"/>
      <c r="M658" s="39"/>
      <c r="N658" s="39"/>
      <c r="O658" s="39"/>
      <c r="P658" s="52"/>
    </row>
    <row r="659" spans="1:16" x14ac:dyDescent="0.25">
      <c r="A659" s="108"/>
      <c r="B659" s="39">
        <v>649</v>
      </c>
      <c r="C659" s="159"/>
      <c r="D659" s="160"/>
      <c r="E659" s="160"/>
      <c r="F659" s="160"/>
      <c r="G659" s="160"/>
      <c r="H659" s="161"/>
      <c r="I659" s="39"/>
      <c r="J659" s="111"/>
      <c r="K659" s="112"/>
      <c r="L659" s="39"/>
      <c r="M659" s="39"/>
      <c r="N659" s="39"/>
      <c r="O659" s="39"/>
      <c r="P659" s="115"/>
    </row>
    <row r="660" spans="1:16" x14ac:dyDescent="0.25">
      <c r="A660" s="108"/>
      <c r="B660" s="39">
        <v>650</v>
      </c>
      <c r="C660" s="159"/>
      <c r="D660" s="160"/>
      <c r="E660" s="160"/>
      <c r="F660" s="160"/>
      <c r="G660" s="160"/>
      <c r="H660" s="161"/>
      <c r="I660" s="39"/>
      <c r="J660" s="111"/>
      <c r="K660" s="112"/>
      <c r="L660" s="39"/>
      <c r="M660" s="39"/>
      <c r="N660" s="39"/>
      <c r="O660" s="39"/>
      <c r="P660" s="52"/>
    </row>
    <row r="661" spans="1:16" x14ac:dyDescent="0.25">
      <c r="A661" s="108"/>
      <c r="B661" s="39">
        <v>651</v>
      </c>
      <c r="C661" s="159"/>
      <c r="D661" s="160"/>
      <c r="E661" s="160"/>
      <c r="F661" s="160"/>
      <c r="G661" s="160"/>
      <c r="H661" s="161"/>
      <c r="I661" s="39"/>
      <c r="J661" s="111"/>
      <c r="K661" s="112"/>
      <c r="L661" s="39"/>
      <c r="M661" s="39"/>
      <c r="N661" s="39"/>
      <c r="O661" s="39"/>
      <c r="P661" s="52"/>
    </row>
    <row r="662" spans="1:16" x14ac:dyDescent="0.25">
      <c r="A662" s="108"/>
      <c r="B662" s="39">
        <v>652</v>
      </c>
      <c r="C662" s="159"/>
      <c r="D662" s="160"/>
      <c r="E662" s="160"/>
      <c r="F662" s="160"/>
      <c r="G662" s="160"/>
      <c r="H662" s="161"/>
      <c r="I662" s="39"/>
      <c r="J662" s="111"/>
      <c r="K662" s="112"/>
      <c r="L662" s="39"/>
      <c r="M662" s="39"/>
      <c r="N662" s="39"/>
      <c r="O662" s="39"/>
      <c r="P662" s="52"/>
    </row>
    <row r="663" spans="1:16" x14ac:dyDescent="0.25">
      <c r="A663" s="108"/>
      <c r="B663" s="39">
        <v>653</v>
      </c>
      <c r="C663" s="159"/>
      <c r="D663" s="160"/>
      <c r="E663" s="160"/>
      <c r="F663" s="160"/>
      <c r="G663" s="160"/>
      <c r="H663" s="161"/>
      <c r="I663" s="39"/>
      <c r="J663" s="111"/>
      <c r="K663" s="112"/>
      <c r="L663" s="39"/>
      <c r="M663" s="39"/>
      <c r="N663" s="39"/>
      <c r="O663" s="39"/>
      <c r="P663" s="52"/>
    </row>
    <row r="664" spans="1:16" x14ac:dyDescent="0.25">
      <c r="A664" s="108"/>
      <c r="B664" s="39">
        <v>654</v>
      </c>
      <c r="C664" s="159"/>
      <c r="D664" s="160"/>
      <c r="E664" s="160"/>
      <c r="F664" s="160"/>
      <c r="G664" s="160"/>
      <c r="H664" s="161"/>
      <c r="I664" s="39"/>
      <c r="J664" s="111"/>
      <c r="K664" s="112"/>
      <c r="L664" s="39"/>
      <c r="M664" s="39"/>
      <c r="N664" s="39"/>
      <c r="O664" s="39"/>
      <c r="P664" s="115"/>
    </row>
    <row r="665" spans="1:16" x14ac:dyDescent="0.25">
      <c r="A665" s="108"/>
      <c r="B665" s="39">
        <v>655</v>
      </c>
      <c r="C665" s="159"/>
      <c r="D665" s="160"/>
      <c r="E665" s="160"/>
      <c r="F665" s="160"/>
      <c r="G665" s="160"/>
      <c r="H665" s="161"/>
      <c r="I665" s="39"/>
      <c r="J665" s="111"/>
      <c r="K665" s="112"/>
      <c r="L665" s="39"/>
      <c r="M665" s="39"/>
      <c r="N665" s="39"/>
      <c r="O665" s="39"/>
      <c r="P665" s="52"/>
    </row>
    <row r="666" spans="1:16" x14ac:dyDescent="0.25">
      <c r="A666" s="108"/>
      <c r="B666" s="39">
        <v>656</v>
      </c>
      <c r="C666" s="159"/>
      <c r="D666" s="160"/>
      <c r="E666" s="160"/>
      <c r="F666" s="160"/>
      <c r="G666" s="160"/>
      <c r="H666" s="161"/>
      <c r="I666" s="39"/>
      <c r="J666" s="111"/>
      <c r="K666" s="112"/>
      <c r="L666" s="39"/>
      <c r="M666" s="39"/>
      <c r="N666" s="39"/>
      <c r="O666" s="39"/>
      <c r="P666" s="115"/>
    </row>
    <row r="667" spans="1:16" x14ac:dyDescent="0.25">
      <c r="A667" s="108"/>
      <c r="B667" s="39">
        <v>657</v>
      </c>
      <c r="C667" s="159"/>
      <c r="D667" s="160"/>
      <c r="E667" s="160"/>
      <c r="F667" s="160"/>
      <c r="G667" s="160"/>
      <c r="H667" s="161"/>
      <c r="I667" s="39"/>
      <c r="J667" s="111"/>
      <c r="K667" s="112"/>
      <c r="L667" s="39"/>
      <c r="M667" s="39"/>
      <c r="N667" s="39"/>
      <c r="O667" s="39"/>
      <c r="P667" s="115"/>
    </row>
    <row r="668" spans="1:16" x14ac:dyDescent="0.25">
      <c r="A668" s="108"/>
      <c r="B668" s="39">
        <v>658</v>
      </c>
      <c r="C668" s="159"/>
      <c r="D668" s="160"/>
      <c r="E668" s="160"/>
      <c r="F668" s="160"/>
      <c r="G668" s="160"/>
      <c r="H668" s="161"/>
      <c r="I668" s="39"/>
      <c r="J668" s="111"/>
      <c r="K668" s="112"/>
      <c r="L668" s="39"/>
    </row>
    <row r="669" spans="1:16" x14ac:dyDescent="0.25">
      <c r="A669" s="108"/>
      <c r="B669" s="39">
        <v>659</v>
      </c>
      <c r="C669" s="159"/>
      <c r="D669" s="160"/>
      <c r="E669" s="160"/>
      <c r="F669" s="160"/>
      <c r="G669" s="160"/>
      <c r="H669" s="161"/>
      <c r="I669" s="39"/>
      <c r="J669" s="111"/>
      <c r="K669" s="112"/>
      <c r="L669" s="39"/>
      <c r="M669" s="39"/>
      <c r="N669" s="39"/>
      <c r="O669" s="39"/>
      <c r="P669" s="115"/>
    </row>
    <row r="670" spans="1:16" x14ac:dyDescent="0.25">
      <c r="A670" s="108"/>
      <c r="B670" s="39"/>
      <c r="C670" s="162"/>
      <c r="D670" s="162"/>
      <c r="E670" s="162"/>
      <c r="F670" s="162"/>
      <c r="G670" s="162"/>
      <c r="H670" s="162"/>
      <c r="I670" s="39"/>
      <c r="J670" s="111"/>
      <c r="K670" s="112"/>
      <c r="L670" s="39"/>
    </row>
    <row r="671" spans="1:16" x14ac:dyDescent="0.25">
      <c r="A671" s="108"/>
      <c r="B671" s="39"/>
      <c r="C671" s="162"/>
      <c r="D671" s="162"/>
      <c r="E671" s="162"/>
      <c r="F671" s="162"/>
      <c r="G671" s="162"/>
      <c r="H671" s="162"/>
      <c r="I671" s="39"/>
      <c r="J671" s="111"/>
      <c r="K671" s="112"/>
      <c r="L671" s="39"/>
      <c r="M671" s="39"/>
      <c r="N671" s="39"/>
      <c r="O671" s="39"/>
      <c r="P671" s="115"/>
    </row>
    <row r="672" spans="1:16" x14ac:dyDescent="0.25">
      <c r="A672" s="108"/>
      <c r="B672" s="39"/>
      <c r="C672" s="162"/>
      <c r="D672" s="162"/>
      <c r="E672" s="162"/>
      <c r="F672" s="162"/>
      <c r="G672" s="162"/>
      <c r="H672" s="162"/>
      <c r="I672" s="39"/>
      <c r="J672" s="111"/>
      <c r="K672" s="112"/>
      <c r="L672" s="39"/>
      <c r="M672" s="39"/>
      <c r="N672" s="39"/>
      <c r="O672" s="39"/>
      <c r="P672" s="115"/>
    </row>
    <row r="673" spans="1:16" x14ac:dyDescent="0.25">
      <c r="A673" s="108"/>
      <c r="B673" s="39"/>
      <c r="C673" s="162"/>
      <c r="D673" s="162"/>
      <c r="E673" s="162"/>
      <c r="F673" s="162"/>
      <c r="G673" s="162"/>
      <c r="H673" s="162"/>
      <c r="I673" s="39"/>
      <c r="J673" s="111"/>
      <c r="K673" s="112"/>
      <c r="L673" s="39"/>
      <c r="M673" s="39"/>
      <c r="N673" s="39"/>
      <c r="O673" s="39"/>
      <c r="P673" s="115"/>
    </row>
    <row r="674" spans="1:16" x14ac:dyDescent="0.25">
      <c r="A674" s="108"/>
      <c r="B674" s="39"/>
      <c r="C674" s="162"/>
      <c r="D674" s="162"/>
      <c r="E674" s="162"/>
      <c r="F674" s="162"/>
      <c r="G674" s="162"/>
      <c r="H674" s="162"/>
      <c r="I674" s="39"/>
      <c r="J674" s="111"/>
      <c r="K674" s="112"/>
      <c r="L674" s="39"/>
      <c r="M674" s="39"/>
      <c r="N674" s="39"/>
      <c r="O674" s="39"/>
      <c r="P674" s="115"/>
    </row>
    <row r="675" spans="1:16" x14ac:dyDescent="0.25">
      <c r="A675" s="108"/>
      <c r="B675" s="39"/>
      <c r="C675" s="162"/>
      <c r="D675" s="162"/>
      <c r="E675" s="162"/>
      <c r="F675" s="162"/>
      <c r="G675" s="162"/>
      <c r="H675" s="162"/>
      <c r="I675" s="39"/>
      <c r="J675" s="111"/>
      <c r="K675" s="112"/>
      <c r="L675" s="39"/>
      <c r="M675" s="39"/>
      <c r="N675" s="39"/>
      <c r="O675" s="39"/>
      <c r="P675" s="115"/>
    </row>
    <row r="676" spans="1:16" x14ac:dyDescent="0.25">
      <c r="A676" s="108"/>
      <c r="B676" s="39"/>
      <c r="C676" s="162"/>
      <c r="D676" s="162"/>
      <c r="E676" s="162"/>
      <c r="F676" s="162"/>
      <c r="G676" s="162"/>
      <c r="H676" s="162"/>
      <c r="I676" s="39"/>
      <c r="J676" s="111"/>
      <c r="K676" s="112"/>
      <c r="L676" s="39"/>
      <c r="M676" s="39"/>
      <c r="N676" s="39"/>
      <c r="O676" s="39"/>
      <c r="P676" s="115"/>
    </row>
    <row r="677" spans="1:16" x14ac:dyDescent="0.25">
      <c r="A677" s="108"/>
      <c r="B677" s="39"/>
      <c r="C677" s="162"/>
      <c r="D677" s="162"/>
      <c r="E677" s="162"/>
      <c r="F677" s="162"/>
      <c r="G677" s="162"/>
      <c r="H677" s="162"/>
      <c r="I677" s="39"/>
      <c r="J677" s="111"/>
      <c r="K677" s="112"/>
      <c r="L677" s="39"/>
      <c r="M677" s="39"/>
      <c r="N677" s="39"/>
      <c r="O677" s="39"/>
      <c r="P677" s="115"/>
    </row>
    <row r="678" spans="1:16" x14ac:dyDescent="0.25">
      <c r="A678" s="108"/>
      <c r="B678" s="39"/>
      <c r="C678" s="162"/>
      <c r="D678" s="162"/>
      <c r="E678" s="162"/>
      <c r="F678" s="162"/>
      <c r="G678" s="162"/>
      <c r="H678" s="162"/>
      <c r="I678" s="39"/>
      <c r="J678" s="111"/>
      <c r="K678" s="112"/>
      <c r="L678" s="39"/>
      <c r="M678" s="39"/>
      <c r="N678" s="39"/>
      <c r="O678" s="39"/>
      <c r="P678" s="115"/>
    </row>
    <row r="679" spans="1:16" x14ac:dyDescent="0.25">
      <c r="A679" s="108"/>
      <c r="B679" s="39"/>
      <c r="C679" s="162"/>
      <c r="D679" s="162"/>
      <c r="E679" s="162"/>
      <c r="F679" s="162"/>
      <c r="G679" s="162"/>
      <c r="H679" s="162"/>
      <c r="I679" s="39"/>
      <c r="J679" s="111"/>
      <c r="K679" s="112"/>
      <c r="L679" s="39"/>
      <c r="M679" s="39"/>
      <c r="N679" s="39"/>
      <c r="O679" s="39"/>
      <c r="P679" s="115"/>
    </row>
    <row r="680" spans="1:16" x14ac:dyDescent="0.25">
      <c r="A680" s="108"/>
      <c r="B680" s="39"/>
      <c r="C680" s="162"/>
      <c r="D680" s="162"/>
      <c r="E680" s="162"/>
      <c r="F680" s="162"/>
      <c r="G680" s="162"/>
      <c r="H680" s="162"/>
      <c r="I680" s="39"/>
      <c r="J680" s="111"/>
      <c r="K680" s="112"/>
      <c r="L680" s="39"/>
      <c r="M680" s="39"/>
      <c r="N680" s="39"/>
      <c r="O680" s="39"/>
      <c r="P680" s="115"/>
    </row>
    <row r="681" spans="1:16" x14ac:dyDescent="0.25">
      <c r="A681" s="108"/>
      <c r="B681" s="39"/>
      <c r="C681" s="162"/>
      <c r="D681" s="162"/>
      <c r="E681" s="162"/>
      <c r="F681" s="162"/>
      <c r="G681" s="162"/>
      <c r="H681" s="162"/>
      <c r="I681" s="39"/>
      <c r="J681" s="111"/>
      <c r="K681" s="112"/>
      <c r="L681" s="39"/>
      <c r="M681" s="39"/>
      <c r="N681" s="39"/>
      <c r="O681" s="39"/>
      <c r="P681" s="115"/>
    </row>
    <row r="682" spans="1:16" x14ac:dyDescent="0.25">
      <c r="A682" s="108"/>
      <c r="B682" s="39"/>
      <c r="C682" s="162"/>
      <c r="D682" s="162"/>
      <c r="E682" s="162"/>
      <c r="F682" s="162"/>
      <c r="G682" s="162"/>
      <c r="H682" s="162"/>
      <c r="I682" s="39"/>
      <c r="J682" s="111"/>
      <c r="K682" s="112"/>
      <c r="L682" s="39"/>
      <c r="M682" s="39"/>
      <c r="N682" s="39"/>
      <c r="O682" s="39"/>
      <c r="P682" s="115"/>
    </row>
    <row r="683" spans="1:16" x14ac:dyDescent="0.25">
      <c r="A683" s="108"/>
      <c r="B683" s="39"/>
      <c r="C683" s="162"/>
      <c r="D683" s="162"/>
      <c r="E683" s="162"/>
      <c r="F683" s="162"/>
      <c r="G683" s="162"/>
      <c r="H683" s="162"/>
      <c r="I683" s="39"/>
      <c r="J683" s="111"/>
      <c r="K683" s="112"/>
      <c r="L683" s="39"/>
      <c r="M683" s="39"/>
      <c r="N683" s="39"/>
      <c r="O683" s="39"/>
      <c r="P683" s="115"/>
    </row>
    <row r="684" spans="1:16" x14ac:dyDescent="0.25">
      <c r="A684" s="108"/>
      <c r="B684" s="39"/>
      <c r="C684" s="162"/>
      <c r="D684" s="162"/>
      <c r="E684" s="162"/>
      <c r="F684" s="162"/>
      <c r="G684" s="162"/>
      <c r="H684" s="162"/>
      <c r="I684" s="39"/>
      <c r="J684" s="111"/>
      <c r="K684" s="112"/>
      <c r="L684" s="39"/>
      <c r="M684" s="39"/>
      <c r="N684" s="39"/>
      <c r="O684" s="39"/>
      <c r="P684" s="115"/>
    </row>
    <row r="685" spans="1:16" x14ac:dyDescent="0.25">
      <c r="A685" s="108"/>
      <c r="B685" s="39"/>
      <c r="C685" s="162"/>
      <c r="D685" s="162"/>
      <c r="E685" s="162"/>
      <c r="F685" s="162"/>
      <c r="G685" s="162"/>
      <c r="H685" s="162"/>
      <c r="I685" s="39"/>
      <c r="J685" s="111"/>
      <c r="K685" s="112"/>
      <c r="L685" s="39"/>
      <c r="M685" s="39"/>
      <c r="N685" s="39"/>
      <c r="O685" s="39"/>
      <c r="P685" s="115"/>
    </row>
    <row r="686" spans="1:16" x14ac:dyDescent="0.25">
      <c r="A686" s="108"/>
      <c r="B686" s="39"/>
      <c r="C686" s="162"/>
      <c r="D686" s="162"/>
      <c r="E686" s="162"/>
      <c r="F686" s="162"/>
      <c r="G686" s="162"/>
      <c r="H686" s="162"/>
      <c r="I686" s="39"/>
      <c r="J686" s="111"/>
      <c r="K686" s="112"/>
      <c r="L686" s="39"/>
      <c r="M686" s="39"/>
      <c r="N686" s="39"/>
      <c r="O686" s="39"/>
      <c r="P686" s="115"/>
    </row>
    <row r="687" spans="1:16" x14ac:dyDescent="0.25">
      <c r="A687" s="108"/>
      <c r="B687" s="39"/>
      <c r="C687" s="162"/>
      <c r="D687" s="162"/>
      <c r="E687" s="162"/>
      <c r="F687" s="162"/>
      <c r="G687" s="162"/>
      <c r="H687" s="162"/>
      <c r="I687" s="39"/>
      <c r="J687" s="111"/>
      <c r="K687" s="112"/>
      <c r="L687" s="39"/>
      <c r="M687" s="39"/>
      <c r="N687" s="39"/>
      <c r="O687" s="39"/>
      <c r="P687" s="115"/>
    </row>
    <row r="688" spans="1:16" x14ac:dyDescent="0.25">
      <c r="A688" s="108"/>
      <c r="B688" s="39"/>
      <c r="C688" s="162"/>
      <c r="D688" s="162"/>
      <c r="E688" s="162"/>
      <c r="F688" s="162"/>
      <c r="G688" s="162"/>
      <c r="H688" s="162"/>
      <c r="I688" s="39"/>
      <c r="J688" s="111"/>
      <c r="K688" s="112"/>
      <c r="L688" s="39"/>
      <c r="M688" s="39"/>
      <c r="N688" s="39"/>
      <c r="O688" s="39"/>
      <c r="P688" s="115"/>
    </row>
    <row r="689" spans="1:16" x14ac:dyDescent="0.25">
      <c r="A689" s="108"/>
      <c r="B689" s="39"/>
      <c r="C689" s="162"/>
      <c r="D689" s="162"/>
      <c r="E689" s="162"/>
      <c r="F689" s="162"/>
      <c r="G689" s="162"/>
      <c r="H689" s="162"/>
      <c r="I689" s="39"/>
      <c r="J689" s="111"/>
      <c r="K689" s="112"/>
      <c r="L689" s="39"/>
      <c r="M689" s="39"/>
      <c r="N689" s="39"/>
      <c r="O689" s="39"/>
      <c r="P689" s="115"/>
    </row>
    <row r="690" spans="1:16" x14ac:dyDescent="0.25">
      <c r="A690" s="108"/>
      <c r="B690" s="39"/>
      <c r="C690" s="162"/>
      <c r="D690" s="162"/>
      <c r="E690" s="162"/>
      <c r="F690" s="162"/>
      <c r="G690" s="162"/>
      <c r="H690" s="162"/>
      <c r="I690" s="39"/>
      <c r="J690" s="111"/>
      <c r="K690" s="112"/>
      <c r="L690" s="39"/>
      <c r="M690" s="39"/>
      <c r="N690" s="39"/>
      <c r="O690" s="39"/>
      <c r="P690" s="115"/>
    </row>
    <row r="691" spans="1:16" x14ac:dyDescent="0.25">
      <c r="A691" s="108"/>
      <c r="B691" s="39"/>
      <c r="C691" s="162"/>
      <c r="D691" s="162"/>
      <c r="E691" s="162"/>
      <c r="F691" s="162"/>
      <c r="G691" s="162"/>
      <c r="H691" s="162"/>
      <c r="I691" s="39"/>
      <c r="J691" s="111"/>
      <c r="K691" s="112"/>
      <c r="L691" s="39"/>
      <c r="M691" s="39"/>
      <c r="N691" s="39"/>
      <c r="O691" s="39"/>
      <c r="P691" s="115"/>
    </row>
    <row r="692" spans="1:16" x14ac:dyDescent="0.25">
      <c r="A692" s="108"/>
      <c r="B692" s="39"/>
      <c r="C692" s="162"/>
      <c r="D692" s="162"/>
      <c r="E692" s="162"/>
      <c r="F692" s="162"/>
      <c r="G692" s="162"/>
      <c r="H692" s="162"/>
      <c r="I692" s="39"/>
      <c r="J692" s="111"/>
      <c r="K692" s="112"/>
      <c r="L692" s="39"/>
      <c r="M692" s="39"/>
      <c r="N692" s="39"/>
      <c r="O692" s="39"/>
      <c r="P692" s="115"/>
    </row>
    <row r="693" spans="1:16" x14ac:dyDescent="0.25">
      <c r="A693" s="108"/>
      <c r="B693" s="39"/>
      <c r="C693" s="162"/>
      <c r="D693" s="162"/>
      <c r="E693" s="162"/>
      <c r="F693" s="162"/>
      <c r="G693" s="162"/>
      <c r="H693" s="162"/>
      <c r="I693" s="39"/>
      <c r="J693" s="111"/>
      <c r="K693" s="112"/>
      <c r="L693" s="39"/>
      <c r="M693" s="39"/>
      <c r="N693" s="39"/>
      <c r="O693" s="39"/>
      <c r="P693" s="115"/>
    </row>
    <row r="694" spans="1:16" x14ac:dyDescent="0.25">
      <c r="A694" s="108"/>
      <c r="B694" s="39"/>
      <c r="C694" s="162"/>
      <c r="D694" s="162"/>
      <c r="E694" s="162"/>
      <c r="F694" s="162"/>
      <c r="G694" s="162"/>
      <c r="H694" s="162"/>
      <c r="I694" s="39"/>
      <c r="J694" s="111"/>
      <c r="K694" s="112"/>
      <c r="L694" s="39"/>
      <c r="M694" s="39"/>
      <c r="N694" s="39"/>
      <c r="O694" s="39"/>
      <c r="P694" s="115"/>
    </row>
    <row r="695" spans="1:16" x14ac:dyDescent="0.25">
      <c r="A695" s="108"/>
      <c r="B695" s="39"/>
      <c r="C695" s="162"/>
      <c r="D695" s="162"/>
      <c r="E695" s="162"/>
      <c r="F695" s="162"/>
      <c r="G695" s="162"/>
      <c r="H695" s="162"/>
      <c r="I695" s="39"/>
      <c r="J695" s="111"/>
      <c r="K695" s="112"/>
      <c r="L695" s="39"/>
      <c r="M695" s="39"/>
      <c r="N695" s="39"/>
      <c r="O695" s="39"/>
      <c r="P695" s="115"/>
    </row>
    <row r="696" spans="1:16" x14ac:dyDescent="0.25">
      <c r="A696" s="108"/>
      <c r="B696" s="39"/>
      <c r="C696" s="162"/>
      <c r="D696" s="162"/>
      <c r="E696" s="162"/>
      <c r="F696" s="162"/>
      <c r="G696" s="162"/>
      <c r="H696" s="162"/>
      <c r="I696" s="39"/>
      <c r="J696" s="111"/>
      <c r="K696" s="112"/>
      <c r="L696" s="39"/>
      <c r="M696" s="39"/>
      <c r="N696" s="39"/>
      <c r="O696" s="39"/>
      <c r="P696" s="115"/>
    </row>
    <row r="697" spans="1:16" x14ac:dyDescent="0.25">
      <c r="A697" s="108"/>
      <c r="B697" s="39"/>
      <c r="C697" s="162"/>
      <c r="D697" s="162"/>
      <c r="E697" s="162"/>
      <c r="F697" s="162"/>
      <c r="G697" s="162"/>
      <c r="H697" s="162"/>
      <c r="I697" s="39"/>
      <c r="J697" s="111"/>
      <c r="K697" s="112"/>
      <c r="L697" s="39"/>
      <c r="M697" s="39"/>
      <c r="N697" s="39"/>
      <c r="O697" s="39"/>
      <c r="P697" s="115"/>
    </row>
    <row r="698" spans="1:16" x14ac:dyDescent="0.25">
      <c r="A698" s="108"/>
      <c r="B698" s="39"/>
      <c r="C698" s="162"/>
      <c r="D698" s="162"/>
      <c r="E698" s="162"/>
      <c r="F698" s="162"/>
      <c r="G698" s="162"/>
      <c r="H698" s="162"/>
      <c r="I698" s="39"/>
      <c r="J698" s="111"/>
      <c r="K698" s="112"/>
      <c r="L698" s="39"/>
      <c r="M698" s="39"/>
      <c r="N698" s="39"/>
      <c r="O698" s="39"/>
      <c r="P698" s="115"/>
    </row>
    <row r="699" spans="1:16" x14ac:dyDescent="0.25">
      <c r="A699" s="108"/>
      <c r="B699" s="39"/>
      <c r="C699" s="162"/>
      <c r="D699" s="162"/>
      <c r="E699" s="162"/>
      <c r="F699" s="162"/>
      <c r="G699" s="162"/>
      <c r="H699" s="162"/>
      <c r="I699" s="39"/>
      <c r="J699" s="111"/>
      <c r="K699" s="112"/>
      <c r="L699" s="39"/>
      <c r="M699" s="39"/>
      <c r="N699" s="39"/>
      <c r="O699" s="39"/>
      <c r="P699" s="115"/>
    </row>
    <row r="700" spans="1:16" x14ac:dyDescent="0.25">
      <c r="A700" s="108"/>
      <c r="B700" s="39"/>
      <c r="C700" s="162"/>
      <c r="D700" s="162"/>
      <c r="E700" s="162"/>
      <c r="F700" s="162"/>
      <c r="G700" s="162"/>
      <c r="H700" s="162"/>
      <c r="I700" s="39"/>
      <c r="J700" s="111"/>
      <c r="K700" s="112"/>
      <c r="L700" s="39"/>
      <c r="M700" s="39"/>
      <c r="N700" s="39"/>
      <c r="O700" s="39"/>
      <c r="P700" s="115"/>
    </row>
    <row r="701" spans="1:16" x14ac:dyDescent="0.25">
      <c r="A701" s="108"/>
      <c r="B701" s="39"/>
      <c r="C701" s="162"/>
      <c r="D701" s="162"/>
      <c r="E701" s="162"/>
      <c r="F701" s="162"/>
      <c r="G701" s="162"/>
      <c r="H701" s="162"/>
      <c r="I701" s="39"/>
      <c r="J701" s="111"/>
      <c r="K701" s="112"/>
      <c r="L701" s="39"/>
      <c r="M701" s="39"/>
      <c r="N701" s="39"/>
      <c r="O701" s="39"/>
      <c r="P701" s="115"/>
    </row>
    <row r="702" spans="1:16" x14ac:dyDescent="0.25">
      <c r="A702" s="108"/>
      <c r="B702" s="39"/>
      <c r="C702" s="162"/>
      <c r="D702" s="162"/>
      <c r="E702" s="162"/>
      <c r="F702" s="162"/>
      <c r="G702" s="162"/>
      <c r="H702" s="162"/>
      <c r="I702" s="39"/>
      <c r="J702" s="111"/>
      <c r="K702" s="112"/>
      <c r="L702" s="39"/>
      <c r="M702" s="39"/>
      <c r="N702" s="39"/>
      <c r="O702" s="39"/>
      <c r="P702" s="115"/>
    </row>
    <row r="703" spans="1:16" x14ac:dyDescent="0.25">
      <c r="A703" s="108"/>
      <c r="B703" s="39"/>
      <c r="C703" s="162"/>
      <c r="D703" s="162"/>
      <c r="E703" s="162"/>
      <c r="F703" s="162"/>
      <c r="G703" s="162"/>
      <c r="H703" s="162"/>
      <c r="I703" s="39"/>
      <c r="J703" s="111"/>
      <c r="K703" s="112"/>
      <c r="L703" s="39"/>
      <c r="M703" s="39"/>
      <c r="N703" s="39"/>
      <c r="O703" s="39"/>
      <c r="P703" s="115"/>
    </row>
    <row r="704" spans="1:16" x14ac:dyDescent="0.25">
      <c r="A704" s="108"/>
      <c r="B704" s="39"/>
      <c r="C704" s="162"/>
      <c r="D704" s="162"/>
      <c r="E704" s="162"/>
      <c r="F704" s="162"/>
      <c r="G704" s="162"/>
      <c r="H704" s="162"/>
      <c r="I704" s="39"/>
      <c r="J704" s="111"/>
      <c r="K704" s="112"/>
      <c r="L704" s="39"/>
      <c r="M704" s="39"/>
      <c r="N704" s="39"/>
      <c r="O704" s="39"/>
      <c r="P704" s="115"/>
    </row>
    <row r="705" spans="1:16" x14ac:dyDescent="0.25">
      <c r="A705" s="108"/>
      <c r="B705" s="39"/>
      <c r="C705" s="162"/>
      <c r="D705" s="162"/>
      <c r="E705" s="162"/>
      <c r="F705" s="162"/>
      <c r="G705" s="162"/>
      <c r="H705" s="162"/>
      <c r="I705" s="39"/>
      <c r="J705" s="111"/>
      <c r="K705" s="112"/>
      <c r="L705" s="39"/>
      <c r="M705" s="39"/>
      <c r="N705" s="39"/>
      <c r="O705" s="39"/>
      <c r="P705" s="115"/>
    </row>
    <row r="706" spans="1:16" x14ac:dyDescent="0.25">
      <c r="A706" s="108"/>
      <c r="B706" s="39"/>
      <c r="C706" s="162"/>
      <c r="D706" s="162"/>
      <c r="E706" s="162"/>
      <c r="F706" s="162"/>
      <c r="G706" s="162"/>
      <c r="H706" s="162"/>
      <c r="I706" s="39"/>
      <c r="J706" s="111"/>
      <c r="K706" s="112"/>
      <c r="L706" s="39"/>
      <c r="M706" s="39"/>
      <c r="N706" s="39"/>
      <c r="O706" s="39"/>
      <c r="P706" s="115"/>
    </row>
    <row r="707" spans="1:16" x14ac:dyDescent="0.25">
      <c r="A707" s="108"/>
      <c r="B707" s="39"/>
      <c r="C707" s="162"/>
      <c r="D707" s="162"/>
      <c r="E707" s="162"/>
      <c r="F707" s="162"/>
      <c r="G707" s="162"/>
      <c r="H707" s="162"/>
      <c r="I707" s="39"/>
      <c r="J707" s="111"/>
      <c r="K707" s="112"/>
      <c r="L707" s="39"/>
      <c r="M707" s="39"/>
      <c r="N707" s="39"/>
      <c r="O707" s="39"/>
      <c r="P707" s="115"/>
    </row>
    <row r="708" spans="1:16" x14ac:dyDescent="0.25">
      <c r="A708" s="108"/>
      <c r="B708" s="39"/>
      <c r="C708" s="162"/>
      <c r="D708" s="162"/>
      <c r="E708" s="162"/>
      <c r="F708" s="162"/>
      <c r="G708" s="162"/>
      <c r="H708" s="162"/>
      <c r="I708" s="39"/>
      <c r="J708" s="111"/>
      <c r="K708" s="112"/>
      <c r="L708" s="39"/>
      <c r="M708" s="39"/>
      <c r="N708" s="39"/>
      <c r="O708" s="39"/>
      <c r="P708" s="115"/>
    </row>
    <row r="709" spans="1:16" x14ac:dyDescent="0.25">
      <c r="A709" s="108"/>
      <c r="B709" s="39"/>
      <c r="C709" s="162"/>
      <c r="D709" s="162"/>
      <c r="E709" s="162"/>
      <c r="F709" s="162"/>
      <c r="G709" s="162"/>
      <c r="H709" s="162"/>
      <c r="I709" s="39"/>
      <c r="J709" s="111"/>
      <c r="K709" s="112"/>
      <c r="L709" s="39"/>
      <c r="M709" s="39"/>
      <c r="N709" s="39"/>
      <c r="O709" s="39"/>
      <c r="P709" s="115"/>
    </row>
    <row r="710" spans="1:16" x14ac:dyDescent="0.25">
      <c r="A710" s="108"/>
      <c r="B710" s="39"/>
      <c r="C710" s="162"/>
      <c r="D710" s="162"/>
      <c r="E710" s="162"/>
      <c r="F710" s="162"/>
      <c r="G710" s="162"/>
      <c r="H710" s="162"/>
      <c r="I710" s="39"/>
      <c r="J710" s="111"/>
      <c r="K710" s="112"/>
      <c r="L710" s="39"/>
      <c r="M710" s="39"/>
      <c r="N710" s="39"/>
      <c r="O710" s="39"/>
      <c r="P710" s="115"/>
    </row>
    <row r="711" spans="1:16" x14ac:dyDescent="0.25">
      <c r="A711" s="108"/>
      <c r="B711" s="39"/>
      <c r="C711" s="162"/>
      <c r="D711" s="162"/>
      <c r="E711" s="162"/>
      <c r="F711" s="162"/>
      <c r="G711" s="162"/>
      <c r="H711" s="162"/>
      <c r="I711" s="39"/>
      <c r="J711" s="111"/>
      <c r="K711" s="112"/>
      <c r="L711" s="39"/>
      <c r="M711" s="39"/>
      <c r="N711" s="39"/>
      <c r="O711" s="39"/>
      <c r="P711" s="115"/>
    </row>
    <row r="712" spans="1:16" x14ac:dyDescent="0.25">
      <c r="A712" s="108"/>
      <c r="B712" s="39"/>
      <c r="C712" s="162"/>
      <c r="D712" s="162"/>
      <c r="E712" s="162"/>
      <c r="F712" s="162"/>
      <c r="G712" s="162"/>
      <c r="H712" s="162"/>
      <c r="I712" s="39"/>
      <c r="J712" s="111"/>
      <c r="K712" s="112"/>
      <c r="L712" s="39"/>
      <c r="M712" s="39"/>
      <c r="N712" s="39"/>
      <c r="O712" s="39"/>
      <c r="P712" s="115"/>
    </row>
    <row r="713" spans="1:16" x14ac:dyDescent="0.25">
      <c r="A713" s="108"/>
      <c r="B713" s="39"/>
      <c r="C713" s="162"/>
      <c r="D713" s="162"/>
      <c r="E713" s="162"/>
      <c r="F713" s="162"/>
      <c r="G713" s="162"/>
      <c r="H713" s="162"/>
      <c r="I713" s="39"/>
      <c r="J713" s="111"/>
      <c r="K713" s="112"/>
      <c r="L713" s="39"/>
      <c r="M713" s="39"/>
      <c r="N713" s="39"/>
      <c r="O713" s="39"/>
      <c r="P713" s="115"/>
    </row>
    <row r="714" spans="1:16" x14ac:dyDescent="0.25">
      <c r="A714" s="108"/>
      <c r="B714" s="39"/>
      <c r="C714" s="162"/>
      <c r="D714" s="162"/>
      <c r="E714" s="162"/>
      <c r="F714" s="162"/>
      <c r="G714" s="162"/>
      <c r="H714" s="162"/>
      <c r="I714" s="39"/>
      <c r="J714" s="111"/>
      <c r="K714" s="112"/>
      <c r="L714" s="39"/>
      <c r="M714" s="39"/>
      <c r="N714" s="39"/>
      <c r="O714" s="39"/>
      <c r="P714" s="115"/>
    </row>
    <row r="715" spans="1:16" x14ac:dyDescent="0.25">
      <c r="A715" s="108"/>
      <c r="B715" s="39"/>
      <c r="C715" s="162"/>
      <c r="D715" s="162"/>
      <c r="E715" s="162"/>
      <c r="F715" s="162"/>
      <c r="G715" s="162"/>
      <c r="H715" s="162"/>
      <c r="I715" s="39"/>
      <c r="J715" s="111"/>
      <c r="K715" s="112"/>
      <c r="L715" s="39"/>
      <c r="M715" s="39"/>
      <c r="N715" s="39"/>
      <c r="O715" s="39"/>
      <c r="P715" s="115"/>
    </row>
    <row r="716" spans="1:16" x14ac:dyDescent="0.25">
      <c r="A716" s="108"/>
      <c r="B716" s="39"/>
      <c r="C716" s="162"/>
      <c r="D716" s="162"/>
      <c r="E716" s="162"/>
      <c r="F716" s="162"/>
      <c r="G716" s="162"/>
      <c r="H716" s="162"/>
      <c r="I716" s="39"/>
      <c r="J716" s="111"/>
      <c r="K716" s="112"/>
      <c r="L716" s="39"/>
      <c r="M716" s="39"/>
      <c r="N716" s="39"/>
      <c r="O716" s="39"/>
      <c r="P716" s="115"/>
    </row>
    <row r="717" spans="1:16" x14ac:dyDescent="0.25">
      <c r="A717" s="108"/>
      <c r="B717" s="39"/>
      <c r="C717" s="162"/>
      <c r="D717" s="162"/>
      <c r="E717" s="162"/>
      <c r="F717" s="162"/>
      <c r="G717" s="162"/>
      <c r="H717" s="162"/>
      <c r="I717" s="39"/>
      <c r="J717" s="111"/>
      <c r="K717" s="112"/>
      <c r="L717" s="39"/>
      <c r="M717" s="39"/>
      <c r="N717" s="39"/>
      <c r="O717" s="39"/>
      <c r="P717" s="115"/>
    </row>
    <row r="718" spans="1:16" x14ac:dyDescent="0.25">
      <c r="A718" s="108"/>
      <c r="B718" s="39"/>
      <c r="C718" s="162"/>
      <c r="D718" s="162"/>
      <c r="E718" s="162"/>
      <c r="F718" s="162"/>
      <c r="G718" s="162"/>
      <c r="H718" s="162"/>
      <c r="I718" s="39"/>
      <c r="J718" s="111"/>
      <c r="K718" s="112"/>
      <c r="L718" s="39"/>
      <c r="M718" s="39"/>
      <c r="N718" s="39"/>
      <c r="O718" s="39"/>
      <c r="P718" s="115"/>
    </row>
    <row r="719" spans="1:16" x14ac:dyDescent="0.25">
      <c r="A719" s="108"/>
      <c r="B719" s="39"/>
      <c r="C719" s="162"/>
      <c r="D719" s="162"/>
      <c r="E719" s="162"/>
      <c r="F719" s="162"/>
      <c r="G719" s="162"/>
      <c r="H719" s="162"/>
      <c r="I719" s="39"/>
      <c r="J719" s="111"/>
      <c r="K719" s="112"/>
      <c r="L719" s="39"/>
      <c r="M719" s="39"/>
      <c r="N719" s="39"/>
      <c r="O719" s="39"/>
      <c r="P719" s="115"/>
    </row>
    <row r="720" spans="1:16" x14ac:dyDescent="0.25">
      <c r="A720" s="108"/>
      <c r="B720" s="39"/>
      <c r="C720" s="162"/>
      <c r="D720" s="162"/>
      <c r="E720" s="162"/>
      <c r="F720" s="162"/>
      <c r="G720" s="162"/>
      <c r="H720" s="162"/>
      <c r="I720" s="39"/>
      <c r="J720" s="111"/>
      <c r="K720" s="112"/>
      <c r="L720" s="39"/>
      <c r="M720" s="39"/>
      <c r="N720" s="39"/>
      <c r="O720" s="39"/>
      <c r="P720" s="115"/>
    </row>
    <row r="721" spans="1:16" x14ac:dyDescent="0.25">
      <c r="A721" s="108"/>
      <c r="B721" s="39"/>
      <c r="C721" s="162"/>
      <c r="D721" s="162"/>
      <c r="E721" s="162"/>
      <c r="F721" s="162"/>
      <c r="G721" s="162"/>
      <c r="H721" s="162"/>
      <c r="I721" s="39"/>
      <c r="J721" s="111"/>
      <c r="K721" s="112"/>
      <c r="L721" s="39"/>
      <c r="M721" s="39"/>
      <c r="N721" s="39"/>
      <c r="O721" s="39"/>
      <c r="P721" s="115"/>
    </row>
    <row r="722" spans="1:16" x14ac:dyDescent="0.25">
      <c r="A722" s="108"/>
      <c r="B722" s="39"/>
      <c r="C722" s="162"/>
      <c r="D722" s="162"/>
      <c r="E722" s="162"/>
      <c r="F722" s="162"/>
      <c r="G722" s="162"/>
      <c r="H722" s="162"/>
      <c r="I722" s="39"/>
      <c r="J722" s="111"/>
      <c r="K722" s="112"/>
      <c r="L722" s="39"/>
      <c r="M722" s="39"/>
      <c r="N722" s="39"/>
      <c r="O722" s="39"/>
      <c r="P722" s="115"/>
    </row>
    <row r="723" spans="1:16" x14ac:dyDescent="0.25">
      <c r="A723" s="108"/>
      <c r="B723" s="39"/>
      <c r="C723" s="162"/>
      <c r="D723" s="162"/>
      <c r="E723" s="162"/>
      <c r="F723" s="162"/>
      <c r="G723" s="162"/>
      <c r="H723" s="162"/>
      <c r="I723" s="39"/>
      <c r="J723" s="111"/>
      <c r="K723" s="112"/>
      <c r="L723" s="39"/>
      <c r="M723" s="39"/>
      <c r="N723" s="39"/>
      <c r="O723" s="39"/>
      <c r="P723" s="115"/>
    </row>
    <row r="724" spans="1:16" x14ac:dyDescent="0.25">
      <c r="A724" s="108"/>
      <c r="B724" s="39"/>
      <c r="C724" s="162"/>
      <c r="D724" s="162"/>
      <c r="E724" s="162"/>
      <c r="F724" s="162"/>
      <c r="G724" s="162"/>
      <c r="H724" s="162"/>
      <c r="I724" s="39"/>
      <c r="J724" s="111"/>
      <c r="K724" s="112"/>
      <c r="L724" s="39"/>
      <c r="M724" s="39"/>
      <c r="N724" s="39"/>
      <c r="O724" s="39"/>
      <c r="P724" s="115"/>
    </row>
    <row r="725" spans="1:16" x14ac:dyDescent="0.25">
      <c r="A725" s="108"/>
      <c r="B725" s="39"/>
      <c r="C725" s="162"/>
      <c r="D725" s="162"/>
      <c r="E725" s="162"/>
      <c r="F725" s="162"/>
      <c r="G725" s="162"/>
      <c r="H725" s="162"/>
      <c r="I725" s="39"/>
      <c r="J725" s="111"/>
      <c r="K725" s="112"/>
      <c r="L725" s="39"/>
      <c r="M725" s="39"/>
      <c r="N725" s="39"/>
      <c r="O725" s="39"/>
      <c r="P725" s="115"/>
    </row>
    <row r="726" spans="1:16" x14ac:dyDescent="0.25">
      <c r="A726" s="108"/>
      <c r="B726" s="39"/>
      <c r="C726" s="162"/>
      <c r="D726" s="162"/>
      <c r="E726" s="162"/>
      <c r="F726" s="162"/>
      <c r="G726" s="162"/>
      <c r="H726" s="162"/>
      <c r="I726" s="39"/>
      <c r="J726" s="111"/>
      <c r="K726" s="112"/>
      <c r="L726" s="39"/>
      <c r="M726" s="39"/>
      <c r="N726" s="39"/>
      <c r="O726" s="39"/>
      <c r="P726" s="115"/>
    </row>
    <row r="727" spans="1:16" x14ac:dyDescent="0.25">
      <c r="A727" s="108"/>
      <c r="B727" s="39"/>
      <c r="C727" s="162"/>
      <c r="D727" s="162"/>
      <c r="E727" s="162"/>
      <c r="F727" s="162"/>
      <c r="G727" s="162"/>
      <c r="H727" s="162"/>
      <c r="I727" s="39"/>
      <c r="J727" s="111"/>
      <c r="K727" s="112"/>
      <c r="L727" s="39"/>
      <c r="M727" s="39"/>
      <c r="N727" s="39"/>
      <c r="O727" s="39"/>
      <c r="P727" s="115"/>
    </row>
    <row r="728" spans="1:16" x14ac:dyDescent="0.25">
      <c r="A728" s="108"/>
      <c r="B728" s="39"/>
      <c r="C728" s="162"/>
      <c r="D728" s="162"/>
      <c r="E728" s="162"/>
      <c r="F728" s="162"/>
      <c r="G728" s="162"/>
      <c r="H728" s="162"/>
      <c r="I728" s="39"/>
      <c r="J728" s="111"/>
      <c r="K728" s="112"/>
      <c r="L728" s="39"/>
      <c r="M728" s="39"/>
      <c r="N728" s="39"/>
      <c r="O728" s="39"/>
      <c r="P728" s="115"/>
    </row>
    <row r="729" spans="1:16" x14ac:dyDescent="0.25">
      <c r="A729" s="108"/>
      <c r="B729" s="39"/>
      <c r="C729" s="162"/>
      <c r="D729" s="162"/>
      <c r="E729" s="162"/>
      <c r="F729" s="162"/>
      <c r="G729" s="162"/>
      <c r="H729" s="162"/>
      <c r="I729" s="39"/>
      <c r="J729" s="111"/>
      <c r="K729" s="112"/>
      <c r="L729" s="39"/>
      <c r="M729" s="39"/>
      <c r="N729" s="39"/>
      <c r="O729" s="39"/>
      <c r="P729" s="115"/>
    </row>
    <row r="730" spans="1:16" x14ac:dyDescent="0.25">
      <c r="A730" s="108"/>
      <c r="B730" s="39"/>
      <c r="C730" s="162"/>
      <c r="D730" s="162"/>
      <c r="E730" s="162"/>
      <c r="F730" s="162"/>
      <c r="G730" s="162"/>
      <c r="H730" s="162"/>
      <c r="I730" s="39"/>
      <c r="J730" s="111"/>
      <c r="K730" s="112"/>
      <c r="L730" s="39"/>
      <c r="M730" s="39"/>
      <c r="N730" s="39"/>
      <c r="O730" s="39"/>
      <c r="P730" s="115"/>
    </row>
    <row r="731" spans="1:16" x14ac:dyDescent="0.25">
      <c r="A731" s="108"/>
      <c r="B731" s="39"/>
      <c r="C731" s="162"/>
      <c r="D731" s="162"/>
      <c r="E731" s="162"/>
      <c r="F731" s="162"/>
      <c r="G731" s="162"/>
      <c r="H731" s="162"/>
      <c r="I731" s="39"/>
      <c r="J731" s="111"/>
      <c r="K731" s="112"/>
      <c r="L731" s="39"/>
      <c r="M731" s="39"/>
      <c r="N731" s="39"/>
      <c r="O731" s="39"/>
      <c r="P731" s="115"/>
    </row>
    <row r="732" spans="1:16" x14ac:dyDescent="0.25">
      <c r="A732" s="108"/>
      <c r="B732" s="39"/>
      <c r="C732" s="162"/>
      <c r="D732" s="162"/>
      <c r="E732" s="162"/>
      <c r="F732" s="162"/>
      <c r="G732" s="162"/>
      <c r="H732" s="162"/>
      <c r="I732" s="39"/>
      <c r="J732" s="111"/>
      <c r="K732" s="112"/>
      <c r="L732" s="39"/>
      <c r="M732" s="39"/>
      <c r="N732" s="39"/>
      <c r="O732" s="39"/>
      <c r="P732" s="115"/>
    </row>
    <row r="733" spans="1:16" x14ac:dyDescent="0.25">
      <c r="A733" s="108"/>
      <c r="B733" s="39"/>
      <c r="C733" s="162"/>
      <c r="D733" s="162"/>
      <c r="E733" s="162"/>
      <c r="F733" s="162"/>
      <c r="G733" s="162"/>
      <c r="H733" s="162"/>
      <c r="I733" s="39"/>
      <c r="J733" s="111"/>
      <c r="K733" s="112"/>
      <c r="L733" s="39"/>
      <c r="M733" s="39"/>
      <c r="N733" s="39"/>
      <c r="O733" s="39"/>
      <c r="P733" s="115"/>
    </row>
    <row r="734" spans="1:16" x14ac:dyDescent="0.25">
      <c r="A734" s="108"/>
      <c r="B734" s="39"/>
      <c r="C734" s="162"/>
      <c r="D734" s="162"/>
      <c r="E734" s="162"/>
      <c r="F734" s="162"/>
      <c r="G734" s="162"/>
      <c r="H734" s="162"/>
      <c r="I734" s="39"/>
      <c r="J734" s="111"/>
      <c r="K734" s="112"/>
      <c r="L734" s="39"/>
      <c r="M734" s="39"/>
      <c r="N734" s="39"/>
      <c r="O734" s="39"/>
      <c r="P734" s="115"/>
    </row>
    <row r="735" spans="1:16" x14ac:dyDescent="0.25">
      <c r="A735" s="108"/>
      <c r="B735" s="39"/>
      <c r="C735" s="162"/>
      <c r="D735" s="162"/>
      <c r="E735" s="162"/>
      <c r="F735" s="162"/>
      <c r="G735" s="162"/>
      <c r="H735" s="162"/>
      <c r="I735" s="39"/>
      <c r="J735" s="111"/>
      <c r="K735" s="112"/>
      <c r="L735" s="39"/>
      <c r="M735" s="39"/>
      <c r="N735" s="39"/>
      <c r="O735" s="39"/>
      <c r="P735" s="115"/>
    </row>
    <row r="736" spans="1:16" x14ac:dyDescent="0.25">
      <c r="A736" s="108"/>
      <c r="B736" s="39"/>
      <c r="C736" s="162"/>
      <c r="D736" s="162"/>
      <c r="E736" s="162"/>
      <c r="F736" s="162"/>
      <c r="G736" s="162"/>
      <c r="H736" s="162"/>
      <c r="I736" s="39"/>
      <c r="J736" s="111"/>
      <c r="K736" s="112"/>
      <c r="L736" s="39"/>
      <c r="M736" s="39"/>
      <c r="N736" s="39"/>
      <c r="O736" s="39"/>
      <c r="P736" s="115"/>
    </row>
    <row r="737" spans="1:16" x14ac:dyDescent="0.25">
      <c r="A737" s="108"/>
      <c r="B737" s="39"/>
      <c r="C737" s="162"/>
      <c r="D737" s="162"/>
      <c r="E737" s="162"/>
      <c r="F737" s="162"/>
      <c r="G737" s="162"/>
      <c r="H737" s="162"/>
      <c r="I737" s="39"/>
      <c r="J737" s="111"/>
      <c r="K737" s="112"/>
      <c r="L737" s="39"/>
      <c r="M737" s="39"/>
      <c r="N737" s="39"/>
      <c r="O737" s="39"/>
      <c r="P737" s="115"/>
    </row>
    <row r="738" spans="1:16" x14ac:dyDescent="0.25">
      <c r="A738" s="108"/>
      <c r="B738" s="39"/>
      <c r="C738" s="162"/>
      <c r="D738" s="162"/>
      <c r="E738" s="162"/>
      <c r="F738" s="162"/>
      <c r="G738" s="162"/>
      <c r="H738" s="162"/>
      <c r="I738" s="39"/>
      <c r="J738" s="111"/>
      <c r="K738" s="112"/>
      <c r="L738" s="39"/>
      <c r="M738" s="39"/>
      <c r="N738" s="39"/>
      <c r="O738" s="39"/>
      <c r="P738" s="115"/>
    </row>
    <row r="739" spans="1:16" x14ac:dyDescent="0.25">
      <c r="A739" s="108"/>
      <c r="B739" s="39"/>
      <c r="C739" s="162"/>
      <c r="D739" s="162"/>
      <c r="E739" s="162"/>
      <c r="F739" s="162"/>
      <c r="G739" s="162"/>
      <c r="H739" s="162"/>
      <c r="I739" s="39"/>
      <c r="J739" s="111"/>
      <c r="K739" s="112"/>
      <c r="L739" s="39"/>
      <c r="M739" s="39"/>
      <c r="N739" s="39"/>
      <c r="O739" s="39"/>
      <c r="P739" s="115"/>
    </row>
    <row r="740" spans="1:16" x14ac:dyDescent="0.25">
      <c r="A740" s="108"/>
      <c r="B740" s="39"/>
      <c r="C740" s="162"/>
      <c r="D740" s="162"/>
      <c r="E740" s="162"/>
      <c r="F740" s="162"/>
      <c r="G740" s="162"/>
      <c r="H740" s="162"/>
      <c r="I740" s="39"/>
      <c r="J740" s="111"/>
      <c r="K740" s="112"/>
      <c r="L740" s="39"/>
      <c r="M740" s="39"/>
      <c r="N740" s="39"/>
      <c r="O740" s="39"/>
      <c r="P740" s="115"/>
    </row>
    <row r="741" spans="1:16" x14ac:dyDescent="0.25">
      <c r="A741" s="108"/>
      <c r="B741" s="39"/>
      <c r="C741" s="162"/>
      <c r="D741" s="162"/>
      <c r="E741" s="162"/>
      <c r="F741" s="162"/>
      <c r="G741" s="162"/>
      <c r="H741" s="162"/>
      <c r="I741" s="39"/>
      <c r="J741" s="111"/>
      <c r="K741" s="112"/>
      <c r="L741" s="39"/>
      <c r="M741" s="39"/>
      <c r="N741" s="39"/>
      <c r="O741" s="39"/>
      <c r="P741" s="115"/>
    </row>
    <row r="742" spans="1:16" x14ac:dyDescent="0.25">
      <c r="A742" s="108"/>
      <c r="B742" s="39"/>
      <c r="C742" s="162"/>
      <c r="D742" s="162"/>
      <c r="E742" s="162"/>
      <c r="F742" s="162"/>
      <c r="G742" s="162"/>
      <c r="H742" s="162"/>
      <c r="I742" s="39"/>
      <c r="J742" s="111"/>
      <c r="K742" s="112"/>
      <c r="L742" s="39"/>
      <c r="M742" s="39"/>
      <c r="N742" s="39"/>
      <c r="O742" s="39"/>
      <c r="P742" s="115"/>
    </row>
    <row r="743" spans="1:16" x14ac:dyDescent="0.25">
      <c r="A743" s="108"/>
      <c r="B743" s="39"/>
      <c r="C743" s="162"/>
      <c r="D743" s="162"/>
      <c r="E743" s="162"/>
      <c r="F743" s="162"/>
      <c r="G743" s="162"/>
      <c r="H743" s="162"/>
      <c r="I743" s="39"/>
      <c r="J743" s="111"/>
      <c r="K743" s="112"/>
      <c r="L743" s="39"/>
      <c r="M743" s="39"/>
      <c r="N743" s="39"/>
      <c r="O743" s="39"/>
      <c r="P743" s="115"/>
    </row>
    <row r="744" spans="1:16" x14ac:dyDescent="0.25">
      <c r="A744" s="108"/>
      <c r="B744" s="39"/>
      <c r="C744" s="162"/>
      <c r="D744" s="162"/>
      <c r="E744" s="162"/>
      <c r="F744" s="162"/>
      <c r="G744" s="162"/>
      <c r="H744" s="162"/>
      <c r="I744" s="39"/>
      <c r="J744" s="111"/>
      <c r="K744" s="112"/>
      <c r="L744" s="39"/>
      <c r="M744" s="39"/>
      <c r="N744" s="39"/>
      <c r="O744" s="39"/>
      <c r="P744" s="115"/>
    </row>
    <row r="745" spans="1:16" x14ac:dyDescent="0.25">
      <c r="A745" s="108"/>
      <c r="B745" s="39"/>
      <c r="C745" s="162"/>
      <c r="D745" s="162"/>
      <c r="E745" s="162"/>
      <c r="F745" s="162"/>
      <c r="G745" s="162"/>
      <c r="H745" s="162"/>
      <c r="I745" s="39"/>
      <c r="J745" s="111"/>
      <c r="K745" s="112"/>
      <c r="L745" s="39"/>
      <c r="M745" s="39"/>
      <c r="N745" s="39"/>
      <c r="O745" s="39"/>
      <c r="P745" s="115"/>
    </row>
    <row r="746" spans="1:16" x14ac:dyDescent="0.25">
      <c r="A746" s="108"/>
      <c r="B746" s="39"/>
      <c r="C746" s="162"/>
      <c r="D746" s="162"/>
      <c r="E746" s="162"/>
      <c r="F746" s="162"/>
      <c r="G746" s="162"/>
      <c r="H746" s="162"/>
      <c r="I746" s="39"/>
      <c r="J746" s="111"/>
      <c r="K746" s="112"/>
      <c r="L746" s="39"/>
      <c r="M746" s="39"/>
      <c r="N746" s="39"/>
      <c r="O746" s="39"/>
      <c r="P746" s="115"/>
    </row>
    <row r="747" spans="1:16" x14ac:dyDescent="0.25">
      <c r="A747" s="108"/>
      <c r="B747" s="39"/>
      <c r="C747" s="162"/>
      <c r="D747" s="162"/>
      <c r="E747" s="162"/>
      <c r="F747" s="162"/>
      <c r="G747" s="162"/>
      <c r="H747" s="162"/>
      <c r="I747" s="39"/>
      <c r="J747" s="111"/>
      <c r="K747" s="112"/>
      <c r="L747" s="39"/>
      <c r="M747" s="39"/>
      <c r="N747" s="39"/>
      <c r="O747" s="39"/>
      <c r="P747" s="115"/>
    </row>
    <row r="748" spans="1:16" x14ac:dyDescent="0.25">
      <c r="A748" s="108"/>
      <c r="B748" s="39"/>
      <c r="C748" s="162"/>
      <c r="D748" s="162"/>
      <c r="E748" s="162"/>
      <c r="F748" s="162"/>
      <c r="G748" s="162"/>
      <c r="H748" s="162"/>
      <c r="I748" s="39"/>
      <c r="J748" s="111"/>
      <c r="K748" s="112"/>
      <c r="L748" s="39"/>
      <c r="M748" s="39"/>
      <c r="N748" s="39"/>
      <c r="O748" s="39"/>
      <c r="P748" s="115"/>
    </row>
    <row r="749" spans="1:16" x14ac:dyDescent="0.25">
      <c r="A749" s="108"/>
      <c r="B749" s="39"/>
      <c r="C749" s="162"/>
      <c r="D749" s="162"/>
      <c r="E749" s="162"/>
      <c r="F749" s="162"/>
      <c r="G749" s="162"/>
      <c r="H749" s="162"/>
      <c r="I749" s="39"/>
      <c r="J749" s="111"/>
      <c r="K749" s="112"/>
      <c r="L749" s="39"/>
      <c r="M749" s="39"/>
      <c r="N749" s="39"/>
      <c r="O749" s="39"/>
      <c r="P749" s="115"/>
    </row>
    <row r="750" spans="1:16" x14ac:dyDescent="0.25">
      <c r="A750" s="108"/>
      <c r="B750" s="39"/>
      <c r="C750" s="162"/>
      <c r="D750" s="162"/>
      <c r="E750" s="162"/>
      <c r="F750" s="162"/>
      <c r="G750" s="162"/>
      <c r="H750" s="162"/>
      <c r="I750" s="39"/>
      <c r="J750" s="111"/>
      <c r="K750" s="112"/>
      <c r="L750" s="39"/>
      <c r="M750" s="39"/>
      <c r="N750" s="39"/>
      <c r="O750" s="39"/>
      <c r="P750" s="115"/>
    </row>
    <row r="751" spans="1:16" x14ac:dyDescent="0.25">
      <c r="A751" s="108"/>
      <c r="B751" s="39"/>
      <c r="C751" s="162"/>
      <c r="D751" s="162"/>
      <c r="E751" s="162"/>
      <c r="F751" s="162"/>
      <c r="G751" s="162"/>
      <c r="H751" s="162"/>
      <c r="I751" s="39"/>
      <c r="J751" s="111"/>
      <c r="K751" s="112"/>
      <c r="L751" s="39"/>
      <c r="M751" s="39"/>
      <c r="N751" s="39"/>
      <c r="O751" s="39"/>
      <c r="P751" s="115"/>
    </row>
    <row r="752" spans="1:16" x14ac:dyDescent="0.25">
      <c r="A752" s="108"/>
      <c r="B752" s="39"/>
      <c r="C752" s="162"/>
      <c r="D752" s="162"/>
      <c r="E752" s="162"/>
      <c r="F752" s="162"/>
      <c r="G752" s="162"/>
      <c r="H752" s="162"/>
      <c r="I752" s="39"/>
      <c r="J752" s="111"/>
      <c r="K752" s="112"/>
      <c r="L752" s="39"/>
      <c r="M752" s="39"/>
      <c r="N752" s="39"/>
      <c r="O752" s="39"/>
      <c r="P752" s="115"/>
    </row>
    <row r="753" spans="1:16" x14ac:dyDescent="0.25">
      <c r="A753" s="108"/>
      <c r="B753" s="39"/>
      <c r="C753" s="162"/>
      <c r="D753" s="162"/>
      <c r="E753" s="162"/>
      <c r="F753" s="162"/>
      <c r="G753" s="162"/>
      <c r="H753" s="162"/>
      <c r="I753" s="39"/>
      <c r="J753" s="111"/>
      <c r="K753" s="112"/>
      <c r="L753" s="39"/>
      <c r="M753" s="39"/>
      <c r="N753" s="39"/>
      <c r="O753" s="39"/>
      <c r="P753" s="115"/>
    </row>
    <row r="754" spans="1:16" x14ac:dyDescent="0.25">
      <c r="A754" s="108"/>
      <c r="B754" s="39"/>
      <c r="C754" s="162"/>
      <c r="D754" s="162"/>
      <c r="E754" s="162"/>
      <c r="F754" s="162"/>
      <c r="G754" s="162"/>
      <c r="H754" s="162"/>
      <c r="I754" s="39"/>
      <c r="J754" s="111"/>
      <c r="K754" s="112"/>
      <c r="L754" s="39"/>
      <c r="M754" s="39"/>
      <c r="N754" s="39"/>
      <c r="O754" s="39"/>
      <c r="P754" s="115"/>
    </row>
    <row r="755" spans="1:16" x14ac:dyDescent="0.25">
      <c r="A755" s="108"/>
      <c r="B755" s="39"/>
      <c r="C755" s="162"/>
      <c r="D755" s="162"/>
      <c r="E755" s="162"/>
      <c r="F755" s="162"/>
      <c r="G755" s="162"/>
      <c r="H755" s="162"/>
      <c r="I755" s="39"/>
      <c r="J755" s="111"/>
      <c r="K755" s="112"/>
      <c r="L755" s="39"/>
      <c r="M755" s="39"/>
      <c r="N755" s="39"/>
      <c r="O755" s="39"/>
      <c r="P755" s="115"/>
    </row>
    <row r="756" spans="1:16" x14ac:dyDescent="0.25">
      <c r="A756" s="108"/>
      <c r="B756" s="39"/>
      <c r="C756" s="162"/>
      <c r="D756" s="162"/>
      <c r="E756" s="162"/>
      <c r="F756" s="162"/>
      <c r="G756" s="162"/>
      <c r="H756" s="162"/>
      <c r="I756" s="39"/>
      <c r="J756" s="111"/>
      <c r="K756" s="112"/>
      <c r="L756" s="39"/>
      <c r="M756" s="39"/>
      <c r="N756" s="39"/>
      <c r="O756" s="39"/>
      <c r="P756" s="115"/>
    </row>
    <row r="757" spans="1:16" x14ac:dyDescent="0.25">
      <c r="A757" s="108"/>
      <c r="B757" s="39"/>
      <c r="C757" s="162"/>
      <c r="D757" s="162"/>
      <c r="E757" s="162"/>
      <c r="F757" s="162"/>
      <c r="G757" s="162"/>
      <c r="H757" s="162"/>
      <c r="I757" s="39"/>
      <c r="J757" s="111"/>
      <c r="K757" s="112"/>
      <c r="L757" s="39"/>
      <c r="M757" s="39"/>
      <c r="N757" s="39"/>
      <c r="O757" s="39"/>
      <c r="P757" s="115"/>
    </row>
    <row r="758" spans="1:16" x14ac:dyDescent="0.25">
      <c r="A758" s="108"/>
      <c r="B758" s="39"/>
      <c r="C758" s="162"/>
      <c r="D758" s="162"/>
      <c r="E758" s="162"/>
      <c r="F758" s="162"/>
      <c r="G758" s="162"/>
      <c r="H758" s="162"/>
      <c r="I758" s="39"/>
      <c r="J758" s="111"/>
      <c r="K758" s="112"/>
      <c r="L758" s="39"/>
      <c r="M758" s="39"/>
      <c r="N758" s="39"/>
      <c r="O758" s="39"/>
      <c r="P758" s="115"/>
    </row>
    <row r="759" spans="1:16" x14ac:dyDescent="0.25">
      <c r="A759" s="108"/>
      <c r="B759" s="39"/>
      <c r="C759" s="162"/>
      <c r="D759" s="162"/>
      <c r="E759" s="162"/>
      <c r="F759" s="162"/>
      <c r="G759" s="162"/>
      <c r="H759" s="162"/>
      <c r="I759" s="39"/>
      <c r="J759" s="111"/>
      <c r="K759" s="112"/>
      <c r="L759" s="39"/>
      <c r="M759" s="39"/>
      <c r="N759" s="39"/>
      <c r="O759" s="39"/>
      <c r="P759" s="115"/>
    </row>
    <row r="760" spans="1:16" x14ac:dyDescent="0.25">
      <c r="A760" s="108"/>
      <c r="B760" s="39"/>
      <c r="C760" s="162"/>
      <c r="D760" s="162"/>
      <c r="E760" s="162"/>
      <c r="F760" s="162"/>
      <c r="G760" s="162"/>
      <c r="H760" s="162"/>
      <c r="I760" s="39"/>
      <c r="J760" s="111"/>
      <c r="K760" s="112"/>
      <c r="L760" s="39"/>
      <c r="M760" s="39"/>
      <c r="N760" s="39"/>
      <c r="O760" s="39"/>
      <c r="P760" s="115"/>
    </row>
    <row r="761" spans="1:16" x14ac:dyDescent="0.25">
      <c r="A761" s="108"/>
      <c r="B761" s="39"/>
      <c r="C761" s="162"/>
      <c r="D761" s="162"/>
      <c r="E761" s="162"/>
      <c r="F761" s="162"/>
      <c r="G761" s="162"/>
      <c r="H761" s="162"/>
      <c r="I761" s="39"/>
      <c r="J761" s="111"/>
      <c r="K761" s="112"/>
      <c r="L761" s="39"/>
      <c r="M761" s="39"/>
      <c r="N761" s="39"/>
      <c r="O761" s="39"/>
      <c r="P761" s="115"/>
    </row>
    <row r="762" spans="1:16" x14ac:dyDescent="0.25">
      <c r="A762" s="108"/>
      <c r="B762" s="39"/>
      <c r="C762" s="162"/>
      <c r="D762" s="162"/>
      <c r="E762" s="162"/>
      <c r="F762" s="162"/>
      <c r="G762" s="162"/>
      <c r="H762" s="159"/>
      <c r="I762" s="39"/>
      <c r="J762" s="111"/>
      <c r="K762" s="112"/>
      <c r="L762" s="39"/>
      <c r="M762" s="39"/>
      <c r="N762" s="39"/>
      <c r="O762" s="39"/>
      <c r="P762" s="115"/>
    </row>
    <row r="763" spans="1:16" x14ac:dyDescent="0.25">
      <c r="A763" s="108"/>
      <c r="B763" s="108"/>
      <c r="C763" s="108"/>
      <c r="D763" s="108"/>
      <c r="E763" s="108"/>
      <c r="F763" s="108"/>
      <c r="G763" s="108"/>
      <c r="H763" s="108"/>
      <c r="I763" s="23"/>
      <c r="J763" s="108"/>
      <c r="K763" s="108"/>
      <c r="L763" s="108"/>
      <c r="M763" s="78"/>
      <c r="N763" s="109"/>
      <c r="O763" s="109"/>
      <c r="P763" s="109"/>
    </row>
    <row r="764" spans="1:16" x14ac:dyDescent="0.25">
      <c r="A764" s="108"/>
      <c r="B764" s="108"/>
      <c r="C764" s="108"/>
      <c r="D764" s="108"/>
      <c r="E764" s="108"/>
      <c r="F764" s="108"/>
      <c r="G764" s="108"/>
      <c r="H764" s="108"/>
      <c r="I764" s="23"/>
      <c r="J764" s="108"/>
      <c r="K764" s="108"/>
      <c r="L764" s="108"/>
      <c r="M764" s="108"/>
      <c r="N764" s="108"/>
      <c r="O764" s="108"/>
      <c r="P764" s="108"/>
    </row>
    <row r="765" spans="1:16" x14ac:dyDescent="0.25">
      <c r="I765" s="60"/>
    </row>
  </sheetData>
  <autoFilter ref="A10:P670" xr:uid="{90584B80-EA5B-4EC2-BB46-F12D7BF00777}">
    <filterColumn colId="2" showButton="0"/>
    <filterColumn colId="3" showButton="0"/>
    <filterColumn colId="4" showButton="0"/>
    <filterColumn colId="5" showButton="0"/>
    <filterColumn colId="6" showButton="0"/>
  </autoFilter>
  <mergeCells count="755">
    <mergeCell ref="C758:H758"/>
    <mergeCell ref="C759:H759"/>
    <mergeCell ref="C760:H760"/>
    <mergeCell ref="C761:H761"/>
    <mergeCell ref="C762:H762"/>
    <mergeCell ref="C752:H752"/>
    <mergeCell ref="C753:H753"/>
    <mergeCell ref="C754:H754"/>
    <mergeCell ref="C755:H755"/>
    <mergeCell ref="C756:H756"/>
    <mergeCell ref="C757:H757"/>
    <mergeCell ref="C746:H746"/>
    <mergeCell ref="C747:H747"/>
    <mergeCell ref="C748:H748"/>
    <mergeCell ref="C749:H749"/>
    <mergeCell ref="C750:H750"/>
    <mergeCell ref="C751:H751"/>
    <mergeCell ref="C740:H740"/>
    <mergeCell ref="C741:H741"/>
    <mergeCell ref="C742:H742"/>
    <mergeCell ref="C743:H743"/>
    <mergeCell ref="C744:H744"/>
    <mergeCell ref="C745:H745"/>
    <mergeCell ref="C734:H734"/>
    <mergeCell ref="C735:H735"/>
    <mergeCell ref="C736:H736"/>
    <mergeCell ref="C737:H737"/>
    <mergeCell ref="C738:H738"/>
    <mergeCell ref="C739:H739"/>
    <mergeCell ref="C728:H728"/>
    <mergeCell ref="C729:H729"/>
    <mergeCell ref="C730:H730"/>
    <mergeCell ref="C731:H731"/>
    <mergeCell ref="C732:H732"/>
    <mergeCell ref="C733:H733"/>
    <mergeCell ref="C722:H722"/>
    <mergeCell ref="C723:H723"/>
    <mergeCell ref="C724:H724"/>
    <mergeCell ref="C725:H725"/>
    <mergeCell ref="C726:H726"/>
    <mergeCell ref="C727:H727"/>
    <mergeCell ref="C716:H716"/>
    <mergeCell ref="C717:H717"/>
    <mergeCell ref="C718:H718"/>
    <mergeCell ref="C719:H719"/>
    <mergeCell ref="C720:H720"/>
    <mergeCell ref="C721:H721"/>
    <mergeCell ref="C710:H710"/>
    <mergeCell ref="C711:H711"/>
    <mergeCell ref="C712:H712"/>
    <mergeCell ref="C713:H713"/>
    <mergeCell ref="C714:H714"/>
    <mergeCell ref="C715:H715"/>
    <mergeCell ref="C704:H704"/>
    <mergeCell ref="C705:H705"/>
    <mergeCell ref="C706:H706"/>
    <mergeCell ref="C707:H707"/>
    <mergeCell ref="C708:H708"/>
    <mergeCell ref="C709:H709"/>
    <mergeCell ref="C698:H698"/>
    <mergeCell ref="C699:H699"/>
    <mergeCell ref="C700:H700"/>
    <mergeCell ref="C701:H701"/>
    <mergeCell ref="C702:H702"/>
    <mergeCell ref="C703:H703"/>
    <mergeCell ref="C692:H692"/>
    <mergeCell ref="C693:H693"/>
    <mergeCell ref="C694:H694"/>
    <mergeCell ref="C695:H695"/>
    <mergeCell ref="C696:H696"/>
    <mergeCell ref="C697:H697"/>
    <mergeCell ref="C686:H686"/>
    <mergeCell ref="C687:H687"/>
    <mergeCell ref="C688:H688"/>
    <mergeCell ref="C689:H689"/>
    <mergeCell ref="C690:H690"/>
    <mergeCell ref="C691:H691"/>
    <mergeCell ref="C680:H680"/>
    <mergeCell ref="C681:H681"/>
    <mergeCell ref="C682:H682"/>
    <mergeCell ref="C683:H683"/>
    <mergeCell ref="C684:H684"/>
    <mergeCell ref="C685:H685"/>
    <mergeCell ref="C674:H674"/>
    <mergeCell ref="C675:H675"/>
    <mergeCell ref="C676:H676"/>
    <mergeCell ref="C677:H677"/>
    <mergeCell ref="C678:H678"/>
    <mergeCell ref="C679:H679"/>
    <mergeCell ref="C668:H668"/>
    <mergeCell ref="C669:H669"/>
    <mergeCell ref="C670:H670"/>
    <mergeCell ref="C671:H671"/>
    <mergeCell ref="C672:H672"/>
    <mergeCell ref="C673:H673"/>
    <mergeCell ref="C662:H662"/>
    <mergeCell ref="C663:H663"/>
    <mergeCell ref="C664:H664"/>
    <mergeCell ref="C665:H665"/>
    <mergeCell ref="C666:H666"/>
    <mergeCell ref="C667:H667"/>
    <mergeCell ref="C656:H656"/>
    <mergeCell ref="C657:H657"/>
    <mergeCell ref="C658:H658"/>
    <mergeCell ref="C659:H659"/>
    <mergeCell ref="C660:H660"/>
    <mergeCell ref="C661:H661"/>
    <mergeCell ref="C650:H650"/>
    <mergeCell ref="C651:H651"/>
    <mergeCell ref="C652:H652"/>
    <mergeCell ref="C653:H653"/>
    <mergeCell ref="C654:H654"/>
    <mergeCell ref="C655:H655"/>
    <mergeCell ref="C644:H644"/>
    <mergeCell ref="C645:H645"/>
    <mergeCell ref="C646:H646"/>
    <mergeCell ref="C647:H647"/>
    <mergeCell ref="C648:H648"/>
    <mergeCell ref="C649:H649"/>
    <mergeCell ref="C638:H638"/>
    <mergeCell ref="C639:H639"/>
    <mergeCell ref="C640:H640"/>
    <mergeCell ref="C641:H641"/>
    <mergeCell ref="C642:H642"/>
    <mergeCell ref="C643:H643"/>
    <mergeCell ref="C632:H632"/>
    <mergeCell ref="C633:H633"/>
    <mergeCell ref="C634:H634"/>
    <mergeCell ref="C635:H635"/>
    <mergeCell ref="C636:H636"/>
    <mergeCell ref="C637:H637"/>
    <mergeCell ref="C626:H626"/>
    <mergeCell ref="C627:H627"/>
    <mergeCell ref="C628:H628"/>
    <mergeCell ref="C629:H629"/>
    <mergeCell ref="C630:H630"/>
    <mergeCell ref="C631:H631"/>
    <mergeCell ref="C620:H620"/>
    <mergeCell ref="C621:H621"/>
    <mergeCell ref="C622:H622"/>
    <mergeCell ref="C623:H623"/>
    <mergeCell ref="C624:H624"/>
    <mergeCell ref="C625:H625"/>
    <mergeCell ref="C614:H614"/>
    <mergeCell ref="C615:H615"/>
    <mergeCell ref="C616:H616"/>
    <mergeCell ref="C617:H617"/>
    <mergeCell ref="C618:H618"/>
    <mergeCell ref="C619:H619"/>
    <mergeCell ref="C608:H608"/>
    <mergeCell ref="C609:H609"/>
    <mergeCell ref="C610:H610"/>
    <mergeCell ref="C611:H611"/>
    <mergeCell ref="C612:H612"/>
    <mergeCell ref="C613:H613"/>
    <mergeCell ref="C602:H602"/>
    <mergeCell ref="C603:H603"/>
    <mergeCell ref="C604:H604"/>
    <mergeCell ref="C605:H605"/>
    <mergeCell ref="C606:H606"/>
    <mergeCell ref="C607:H607"/>
    <mergeCell ref="C596:H596"/>
    <mergeCell ref="C597:H597"/>
    <mergeCell ref="C598:H598"/>
    <mergeCell ref="C599:H599"/>
    <mergeCell ref="C600:H600"/>
    <mergeCell ref="C601:H601"/>
    <mergeCell ref="C590:H590"/>
    <mergeCell ref="C591:H591"/>
    <mergeCell ref="C592:H592"/>
    <mergeCell ref="C593:H593"/>
    <mergeCell ref="C594:H594"/>
    <mergeCell ref="C595:H595"/>
    <mergeCell ref="C584:H584"/>
    <mergeCell ref="C585:H585"/>
    <mergeCell ref="C586:H586"/>
    <mergeCell ref="C587:H587"/>
    <mergeCell ref="C588:H588"/>
    <mergeCell ref="C589:H589"/>
    <mergeCell ref="C578:H578"/>
    <mergeCell ref="C579:H579"/>
    <mergeCell ref="C580:H580"/>
    <mergeCell ref="C581:H581"/>
    <mergeCell ref="C582:H582"/>
    <mergeCell ref="C583:H583"/>
    <mergeCell ref="C572:H572"/>
    <mergeCell ref="C573:H573"/>
    <mergeCell ref="C574:H574"/>
    <mergeCell ref="C575:H575"/>
    <mergeCell ref="C576:H576"/>
    <mergeCell ref="C577:H577"/>
    <mergeCell ref="C566:H566"/>
    <mergeCell ref="C567:H567"/>
    <mergeCell ref="C568:H568"/>
    <mergeCell ref="C569:H569"/>
    <mergeCell ref="C570:H570"/>
    <mergeCell ref="C571:H571"/>
    <mergeCell ref="C560:H560"/>
    <mergeCell ref="C561:H561"/>
    <mergeCell ref="C562:H562"/>
    <mergeCell ref="C563:H563"/>
    <mergeCell ref="C564:H564"/>
    <mergeCell ref="C565:H565"/>
    <mergeCell ref="C554:H554"/>
    <mergeCell ref="C555:H555"/>
    <mergeCell ref="C556:H556"/>
    <mergeCell ref="C557:H557"/>
    <mergeCell ref="C558:H558"/>
    <mergeCell ref="C559:H559"/>
    <mergeCell ref="C548:H548"/>
    <mergeCell ref="C549:H549"/>
    <mergeCell ref="C550:H550"/>
    <mergeCell ref="C551:H551"/>
    <mergeCell ref="C552:H552"/>
    <mergeCell ref="C553:H553"/>
    <mergeCell ref="C542:H542"/>
    <mergeCell ref="C543:H543"/>
    <mergeCell ref="C544:H544"/>
    <mergeCell ref="C545:H545"/>
    <mergeCell ref="C546:H546"/>
    <mergeCell ref="C547:H547"/>
    <mergeCell ref="C536:H536"/>
    <mergeCell ref="C537:H537"/>
    <mergeCell ref="C538:H538"/>
    <mergeCell ref="C539:H539"/>
    <mergeCell ref="C540:H540"/>
    <mergeCell ref="C541:H541"/>
    <mergeCell ref="C530:H530"/>
    <mergeCell ref="C531:H531"/>
    <mergeCell ref="C532:H532"/>
    <mergeCell ref="C533:H533"/>
    <mergeCell ref="C534:H534"/>
    <mergeCell ref="C535:H535"/>
    <mergeCell ref="C524:H524"/>
    <mergeCell ref="C525:H525"/>
    <mergeCell ref="C526:H526"/>
    <mergeCell ref="C527:H527"/>
    <mergeCell ref="C528:H528"/>
    <mergeCell ref="C529:H529"/>
    <mergeCell ref="C518:H518"/>
    <mergeCell ref="C519:H519"/>
    <mergeCell ref="C520:H520"/>
    <mergeCell ref="C521:H521"/>
    <mergeCell ref="C522:H522"/>
    <mergeCell ref="C523:H523"/>
    <mergeCell ref="C512:H512"/>
    <mergeCell ref="C513:H513"/>
    <mergeCell ref="C514:H514"/>
    <mergeCell ref="C515:H515"/>
    <mergeCell ref="C516:H516"/>
    <mergeCell ref="C517:H517"/>
    <mergeCell ref="C506:H506"/>
    <mergeCell ref="C507:H507"/>
    <mergeCell ref="C508:H508"/>
    <mergeCell ref="C509:H509"/>
    <mergeCell ref="C510:H510"/>
    <mergeCell ref="C511:H511"/>
    <mergeCell ref="C500:H500"/>
    <mergeCell ref="C501:H501"/>
    <mergeCell ref="C502:H502"/>
    <mergeCell ref="C503:H503"/>
    <mergeCell ref="C504:H504"/>
    <mergeCell ref="C505:H505"/>
    <mergeCell ref="C494:H494"/>
    <mergeCell ref="C495:H495"/>
    <mergeCell ref="C496:H496"/>
    <mergeCell ref="C497:H497"/>
    <mergeCell ref="C498:H498"/>
    <mergeCell ref="C499:H499"/>
    <mergeCell ref="C488:H488"/>
    <mergeCell ref="C489:H489"/>
    <mergeCell ref="C490:H490"/>
    <mergeCell ref="C491:H491"/>
    <mergeCell ref="C492:H492"/>
    <mergeCell ref="C493:H493"/>
    <mergeCell ref="C482:H482"/>
    <mergeCell ref="C483:H483"/>
    <mergeCell ref="C484:H484"/>
    <mergeCell ref="C485:H485"/>
    <mergeCell ref="C486:H486"/>
    <mergeCell ref="C487:H487"/>
    <mergeCell ref="C476:H476"/>
    <mergeCell ref="C477:H477"/>
    <mergeCell ref="C478:H478"/>
    <mergeCell ref="C479:H479"/>
    <mergeCell ref="C480:H480"/>
    <mergeCell ref="C481:H481"/>
    <mergeCell ref="C470:H470"/>
    <mergeCell ref="C471:H471"/>
    <mergeCell ref="C472:H472"/>
    <mergeCell ref="C473:H473"/>
    <mergeCell ref="C474:H474"/>
    <mergeCell ref="C475:H475"/>
    <mergeCell ref="C464:H464"/>
    <mergeCell ref="C465:H465"/>
    <mergeCell ref="C466:H466"/>
    <mergeCell ref="C467:H467"/>
    <mergeCell ref="C468:H468"/>
    <mergeCell ref="C469:H469"/>
    <mergeCell ref="C458:H458"/>
    <mergeCell ref="C459:H459"/>
    <mergeCell ref="C460:H460"/>
    <mergeCell ref="C461:H461"/>
    <mergeCell ref="C462:H462"/>
    <mergeCell ref="C463:H463"/>
    <mergeCell ref="C452:H452"/>
    <mergeCell ref="C453:H453"/>
    <mergeCell ref="C454:H454"/>
    <mergeCell ref="C455:H455"/>
    <mergeCell ref="C456:H456"/>
    <mergeCell ref="C457:H457"/>
    <mergeCell ref="C446:H446"/>
    <mergeCell ref="C447:H447"/>
    <mergeCell ref="C448:H448"/>
    <mergeCell ref="C449:H449"/>
    <mergeCell ref="C450:H450"/>
    <mergeCell ref="C451:H451"/>
    <mergeCell ref="C440:H440"/>
    <mergeCell ref="C441:H441"/>
    <mergeCell ref="C442:H442"/>
    <mergeCell ref="C443:H443"/>
    <mergeCell ref="C444:H444"/>
    <mergeCell ref="C445:H445"/>
    <mergeCell ref="C434:H434"/>
    <mergeCell ref="C435:H435"/>
    <mergeCell ref="C436:H436"/>
    <mergeCell ref="C437:H437"/>
    <mergeCell ref="C438:H438"/>
    <mergeCell ref="C439:H439"/>
    <mergeCell ref="C428:H428"/>
    <mergeCell ref="C429:H429"/>
    <mergeCell ref="C430:H430"/>
    <mergeCell ref="C431:H431"/>
    <mergeCell ref="C432:H432"/>
    <mergeCell ref="C433:H433"/>
    <mergeCell ref="C422:H422"/>
    <mergeCell ref="C423:H423"/>
    <mergeCell ref="C424:H424"/>
    <mergeCell ref="C425:H425"/>
    <mergeCell ref="C426:H426"/>
    <mergeCell ref="C427:H427"/>
    <mergeCell ref="C416:H416"/>
    <mergeCell ref="C417:H417"/>
    <mergeCell ref="C418:H418"/>
    <mergeCell ref="C419:H419"/>
    <mergeCell ref="C420:H420"/>
    <mergeCell ref="C421:H421"/>
    <mergeCell ref="C410:H410"/>
    <mergeCell ref="C411:H411"/>
    <mergeCell ref="C412:H412"/>
    <mergeCell ref="C413:H413"/>
    <mergeCell ref="C414:H414"/>
    <mergeCell ref="C415:H415"/>
    <mergeCell ref="C404:H404"/>
    <mergeCell ref="C405:H405"/>
    <mergeCell ref="C406:H406"/>
    <mergeCell ref="C407:H407"/>
    <mergeCell ref="C408:H408"/>
    <mergeCell ref="C409:H409"/>
    <mergeCell ref="C398:H398"/>
    <mergeCell ref="C399:H399"/>
    <mergeCell ref="C400:H400"/>
    <mergeCell ref="C401:H401"/>
    <mergeCell ref="C402:H402"/>
    <mergeCell ref="C403:H403"/>
    <mergeCell ref="C392:H392"/>
    <mergeCell ref="C393:H393"/>
    <mergeCell ref="C394:H394"/>
    <mergeCell ref="C395:H395"/>
    <mergeCell ref="C396:H396"/>
    <mergeCell ref="C397:H397"/>
    <mergeCell ref="C386:H386"/>
    <mergeCell ref="C387:H387"/>
    <mergeCell ref="C388:H388"/>
    <mergeCell ref="C389:H389"/>
    <mergeCell ref="C390:H390"/>
    <mergeCell ref="C391:H391"/>
    <mergeCell ref="C380:H380"/>
    <mergeCell ref="C381:H381"/>
    <mergeCell ref="C382:H382"/>
    <mergeCell ref="C383:H383"/>
    <mergeCell ref="C384:H384"/>
    <mergeCell ref="C385:H385"/>
    <mergeCell ref="C374:H374"/>
    <mergeCell ref="C375:H375"/>
    <mergeCell ref="C376:H376"/>
    <mergeCell ref="C377:H377"/>
    <mergeCell ref="C378:H378"/>
    <mergeCell ref="C379:H379"/>
    <mergeCell ref="C368:H368"/>
    <mergeCell ref="C369:H369"/>
    <mergeCell ref="C370:H370"/>
    <mergeCell ref="C371:H371"/>
    <mergeCell ref="C372:H372"/>
    <mergeCell ref="C373:H373"/>
    <mergeCell ref="C362:H362"/>
    <mergeCell ref="C363:H363"/>
    <mergeCell ref="C364:H364"/>
    <mergeCell ref="C365:H365"/>
    <mergeCell ref="C366:H366"/>
    <mergeCell ref="C367:H367"/>
    <mergeCell ref="C356:H356"/>
    <mergeCell ref="C357:H357"/>
    <mergeCell ref="C358:H358"/>
    <mergeCell ref="C359:H359"/>
    <mergeCell ref="C360:H360"/>
    <mergeCell ref="C361:H361"/>
    <mergeCell ref="C350:H350"/>
    <mergeCell ref="C351:H351"/>
    <mergeCell ref="C352:H352"/>
    <mergeCell ref="C353:H353"/>
    <mergeCell ref="C354:H354"/>
    <mergeCell ref="C355:H355"/>
    <mergeCell ref="C344:H344"/>
    <mergeCell ref="C345:H345"/>
    <mergeCell ref="C346:H346"/>
    <mergeCell ref="C347:H347"/>
    <mergeCell ref="C348:H348"/>
    <mergeCell ref="C349:H349"/>
    <mergeCell ref="C338:H338"/>
    <mergeCell ref="C339:H339"/>
    <mergeCell ref="C340:H340"/>
    <mergeCell ref="C341:H341"/>
    <mergeCell ref="C342:H342"/>
    <mergeCell ref="C343:H343"/>
    <mergeCell ref="C332:H332"/>
    <mergeCell ref="C333:H333"/>
    <mergeCell ref="C334:H334"/>
    <mergeCell ref="C335:H335"/>
    <mergeCell ref="C336:H336"/>
    <mergeCell ref="C337:H337"/>
    <mergeCell ref="C326:H326"/>
    <mergeCell ref="C327:H327"/>
    <mergeCell ref="C328:H328"/>
    <mergeCell ref="C329:H329"/>
    <mergeCell ref="C330:H330"/>
    <mergeCell ref="C331:H331"/>
    <mergeCell ref="C320:H320"/>
    <mergeCell ref="C321:H321"/>
    <mergeCell ref="C322:H322"/>
    <mergeCell ref="C323:H323"/>
    <mergeCell ref="C324:H324"/>
    <mergeCell ref="C325:H325"/>
    <mergeCell ref="C314:H314"/>
    <mergeCell ref="C315:H315"/>
    <mergeCell ref="C316:H316"/>
    <mergeCell ref="C317:H317"/>
    <mergeCell ref="C318:H318"/>
    <mergeCell ref="C319:H319"/>
    <mergeCell ref="C308:H308"/>
    <mergeCell ref="C309:H309"/>
    <mergeCell ref="C310:H310"/>
    <mergeCell ref="C311:H311"/>
    <mergeCell ref="C312:H312"/>
    <mergeCell ref="C313:H313"/>
    <mergeCell ref="C302:H302"/>
    <mergeCell ref="C303:H303"/>
    <mergeCell ref="C304:H304"/>
    <mergeCell ref="C305:H305"/>
    <mergeCell ref="C306:H306"/>
    <mergeCell ref="C307:H307"/>
    <mergeCell ref="C296:H296"/>
    <mergeCell ref="C297:H297"/>
    <mergeCell ref="C298:H298"/>
    <mergeCell ref="C299:H299"/>
    <mergeCell ref="C300:H300"/>
    <mergeCell ref="C301:H301"/>
    <mergeCell ref="C290:H290"/>
    <mergeCell ref="C291:H291"/>
    <mergeCell ref="C292:H292"/>
    <mergeCell ref="C293:H293"/>
    <mergeCell ref="C294:H294"/>
    <mergeCell ref="C295:H295"/>
    <mergeCell ref="C284:H284"/>
    <mergeCell ref="C285:H285"/>
    <mergeCell ref="C286:H286"/>
    <mergeCell ref="C287:H287"/>
    <mergeCell ref="C288:H288"/>
    <mergeCell ref="C289:H289"/>
    <mergeCell ref="C278:H278"/>
    <mergeCell ref="C279:H279"/>
    <mergeCell ref="C280:H280"/>
    <mergeCell ref="C281:H281"/>
    <mergeCell ref="C282:H282"/>
    <mergeCell ref="C283:H283"/>
    <mergeCell ref="C273:H273"/>
    <mergeCell ref="C274:H274"/>
    <mergeCell ref="C275:H275"/>
    <mergeCell ref="C276:H276"/>
    <mergeCell ref="C277:H277"/>
    <mergeCell ref="C266:H266"/>
    <mergeCell ref="C267:H267"/>
    <mergeCell ref="C268:H268"/>
    <mergeCell ref="C269:H269"/>
    <mergeCell ref="C270:H270"/>
    <mergeCell ref="C271:H271"/>
    <mergeCell ref="C260:H260"/>
    <mergeCell ref="C261:H261"/>
    <mergeCell ref="C262:H262"/>
    <mergeCell ref="C263:H263"/>
    <mergeCell ref="C264:H264"/>
    <mergeCell ref="C265:H265"/>
    <mergeCell ref="C254:H254"/>
    <mergeCell ref="C255:H255"/>
    <mergeCell ref="C256:H256"/>
    <mergeCell ref="C257:H257"/>
    <mergeCell ref="C258:H258"/>
    <mergeCell ref="C259:H259"/>
    <mergeCell ref="C248:H248"/>
    <mergeCell ref="C249:H249"/>
    <mergeCell ref="C250:H250"/>
    <mergeCell ref="C251:H251"/>
    <mergeCell ref="C252:H252"/>
    <mergeCell ref="C253:H253"/>
    <mergeCell ref="C242:H242"/>
    <mergeCell ref="C243:H243"/>
    <mergeCell ref="C244:H244"/>
    <mergeCell ref="C245:H245"/>
    <mergeCell ref="C246:H246"/>
    <mergeCell ref="C247:H247"/>
    <mergeCell ref="C236:H236"/>
    <mergeCell ref="C237:H237"/>
    <mergeCell ref="C238:H238"/>
    <mergeCell ref="C239:H239"/>
    <mergeCell ref="C240:H240"/>
    <mergeCell ref="C241:H241"/>
    <mergeCell ref="C230:H230"/>
    <mergeCell ref="C231:H231"/>
    <mergeCell ref="C232:H232"/>
    <mergeCell ref="C233:H233"/>
    <mergeCell ref="C234:H234"/>
    <mergeCell ref="C235:H235"/>
    <mergeCell ref="C224:H224"/>
    <mergeCell ref="C225:H225"/>
    <mergeCell ref="C226:H226"/>
    <mergeCell ref="C227:H227"/>
    <mergeCell ref="C228:H228"/>
    <mergeCell ref="C229:H229"/>
    <mergeCell ref="C218:H218"/>
    <mergeCell ref="C219:H219"/>
    <mergeCell ref="C220:H220"/>
    <mergeCell ref="C221:H221"/>
    <mergeCell ref="C222:H222"/>
    <mergeCell ref="C223:H223"/>
    <mergeCell ref="C212:H212"/>
    <mergeCell ref="C213:H213"/>
    <mergeCell ref="C214:H214"/>
    <mergeCell ref="C215:H215"/>
    <mergeCell ref="C216:H216"/>
    <mergeCell ref="C217:H217"/>
    <mergeCell ref="C206:H206"/>
    <mergeCell ref="C207:H207"/>
    <mergeCell ref="C208:H208"/>
    <mergeCell ref="C209:H209"/>
    <mergeCell ref="C210:H210"/>
    <mergeCell ref="C211:H211"/>
    <mergeCell ref="C200:H200"/>
    <mergeCell ref="C201:H201"/>
    <mergeCell ref="C202:H202"/>
    <mergeCell ref="C203:H203"/>
    <mergeCell ref="C204:H204"/>
    <mergeCell ref="C205:H205"/>
    <mergeCell ref="C194:H194"/>
    <mergeCell ref="C195:H195"/>
    <mergeCell ref="C196:H196"/>
    <mergeCell ref="C197:H197"/>
    <mergeCell ref="C198:H198"/>
    <mergeCell ref="C199:H199"/>
    <mergeCell ref="C188:H188"/>
    <mergeCell ref="C189:H189"/>
    <mergeCell ref="C190:H190"/>
    <mergeCell ref="C191:H191"/>
    <mergeCell ref="C192:H192"/>
    <mergeCell ref="C193:H193"/>
    <mergeCell ref="C182:H182"/>
    <mergeCell ref="C183:H183"/>
    <mergeCell ref="C185:H185"/>
    <mergeCell ref="C186:H186"/>
    <mergeCell ref="C187:H187"/>
    <mergeCell ref="C176:H176"/>
    <mergeCell ref="C177:H177"/>
    <mergeCell ref="C178:H178"/>
    <mergeCell ref="C179:H179"/>
    <mergeCell ref="C180:H180"/>
    <mergeCell ref="C181:H181"/>
    <mergeCell ref="C184:H184"/>
    <mergeCell ref="C170:H170"/>
    <mergeCell ref="C171:H171"/>
    <mergeCell ref="C172:H172"/>
    <mergeCell ref="C173:H173"/>
    <mergeCell ref="C174:H174"/>
    <mergeCell ref="C175:H175"/>
    <mergeCell ref="C164:H164"/>
    <mergeCell ref="C165:H165"/>
    <mergeCell ref="C166:H166"/>
    <mergeCell ref="C167:H167"/>
    <mergeCell ref="C168:H168"/>
    <mergeCell ref="C169:H169"/>
    <mergeCell ref="C158:H158"/>
    <mergeCell ref="C159:H159"/>
    <mergeCell ref="C160:H160"/>
    <mergeCell ref="C161:H161"/>
    <mergeCell ref="C162:H162"/>
    <mergeCell ref="C163:H163"/>
    <mergeCell ref="C152:H152"/>
    <mergeCell ref="C153:H153"/>
    <mergeCell ref="C154:H154"/>
    <mergeCell ref="C155:H155"/>
    <mergeCell ref="C156:H156"/>
    <mergeCell ref="C157:H157"/>
    <mergeCell ref="C146:H146"/>
    <mergeCell ref="C147:H147"/>
    <mergeCell ref="C148:H148"/>
    <mergeCell ref="C149:H149"/>
    <mergeCell ref="C150:H150"/>
    <mergeCell ref="C151:H151"/>
    <mergeCell ref="C140:H140"/>
    <mergeCell ref="C141:H141"/>
    <mergeCell ref="C142:H142"/>
    <mergeCell ref="C143:H143"/>
    <mergeCell ref="C144:H144"/>
    <mergeCell ref="C145:H145"/>
    <mergeCell ref="C134:H134"/>
    <mergeCell ref="C135:H135"/>
    <mergeCell ref="C136:H136"/>
    <mergeCell ref="C137:H137"/>
    <mergeCell ref="C138:H138"/>
    <mergeCell ref="C139:H139"/>
    <mergeCell ref="C128:H128"/>
    <mergeCell ref="C129:H129"/>
    <mergeCell ref="C130:H130"/>
    <mergeCell ref="C131:H131"/>
    <mergeCell ref="C132:H132"/>
    <mergeCell ref="C133:H133"/>
    <mergeCell ref="C122:H122"/>
    <mergeCell ref="C123:H123"/>
    <mergeCell ref="C124:H124"/>
    <mergeCell ref="C125:H125"/>
    <mergeCell ref="C126:H126"/>
    <mergeCell ref="C127:H127"/>
    <mergeCell ref="C116:H116"/>
    <mergeCell ref="C117:H117"/>
    <mergeCell ref="C118:H118"/>
    <mergeCell ref="C119:H119"/>
    <mergeCell ref="C120:H120"/>
    <mergeCell ref="C121:H121"/>
    <mergeCell ref="C110:H110"/>
    <mergeCell ref="C111:H111"/>
    <mergeCell ref="C112:H112"/>
    <mergeCell ref="C113:H113"/>
    <mergeCell ref="C114:H114"/>
    <mergeCell ref="C115:H115"/>
    <mergeCell ref="C104:H104"/>
    <mergeCell ref="C105:H105"/>
    <mergeCell ref="C106:H106"/>
    <mergeCell ref="C107:H107"/>
    <mergeCell ref="C108:H108"/>
    <mergeCell ref="C109:H109"/>
    <mergeCell ref="C98:H98"/>
    <mergeCell ref="C99:H99"/>
    <mergeCell ref="C100:H100"/>
    <mergeCell ref="C101:H101"/>
    <mergeCell ref="C102:H102"/>
    <mergeCell ref="C103:H103"/>
    <mergeCell ref="C92:H92"/>
    <mergeCell ref="C93:H93"/>
    <mergeCell ref="C94:H94"/>
    <mergeCell ref="C95:H95"/>
    <mergeCell ref="C96:H96"/>
    <mergeCell ref="C97:H97"/>
    <mergeCell ref="C86:H86"/>
    <mergeCell ref="C87:H87"/>
    <mergeCell ref="C88:H88"/>
    <mergeCell ref="C89:H89"/>
    <mergeCell ref="C90:H90"/>
    <mergeCell ref="C91:H91"/>
    <mergeCell ref="C80:H80"/>
    <mergeCell ref="C81:H81"/>
    <mergeCell ref="C82:H82"/>
    <mergeCell ref="C83:H83"/>
    <mergeCell ref="C84:H84"/>
    <mergeCell ref="C85:H85"/>
    <mergeCell ref="C74:H74"/>
    <mergeCell ref="C75:H75"/>
    <mergeCell ref="C76:H76"/>
    <mergeCell ref="C77:H77"/>
    <mergeCell ref="C78:H78"/>
    <mergeCell ref="C79:H79"/>
    <mergeCell ref="C68:H68"/>
    <mergeCell ref="C69:H69"/>
    <mergeCell ref="C70:H70"/>
    <mergeCell ref="C71:H71"/>
    <mergeCell ref="C72:H72"/>
    <mergeCell ref="C73:H73"/>
    <mergeCell ref="C62:H62"/>
    <mergeCell ref="C63:H63"/>
    <mergeCell ref="C64:H64"/>
    <mergeCell ref="C65:H65"/>
    <mergeCell ref="C66:H66"/>
    <mergeCell ref="C67:H67"/>
    <mergeCell ref="C56:H56"/>
    <mergeCell ref="C57:H57"/>
    <mergeCell ref="C58:H58"/>
    <mergeCell ref="C59:H59"/>
    <mergeCell ref="C60:H60"/>
    <mergeCell ref="C61:H61"/>
    <mergeCell ref="C50:H50"/>
    <mergeCell ref="C51:H51"/>
    <mergeCell ref="C52:H52"/>
    <mergeCell ref="C53:H53"/>
    <mergeCell ref="C54:H54"/>
    <mergeCell ref="C55:H55"/>
    <mergeCell ref="C44:H44"/>
    <mergeCell ref="C45:H45"/>
    <mergeCell ref="C46:H46"/>
    <mergeCell ref="C47:H47"/>
    <mergeCell ref="C48:H48"/>
    <mergeCell ref="C49:H49"/>
    <mergeCell ref="C25:H25"/>
    <mergeCell ref="C38:H38"/>
    <mergeCell ref="C39:H39"/>
    <mergeCell ref="C40:H40"/>
    <mergeCell ref="C41:H41"/>
    <mergeCell ref="C42:H42"/>
    <mergeCell ref="C43:H43"/>
    <mergeCell ref="C32:H32"/>
    <mergeCell ref="C33:H33"/>
    <mergeCell ref="C34:H34"/>
    <mergeCell ref="C35:H35"/>
    <mergeCell ref="C36:H36"/>
    <mergeCell ref="C37:H37"/>
    <mergeCell ref="C272:H272"/>
    <mergeCell ref="C14:H14"/>
    <mergeCell ref="C15:H15"/>
    <mergeCell ref="C16:H16"/>
    <mergeCell ref="C17:H17"/>
    <mergeCell ref="C18:H18"/>
    <mergeCell ref="C19:H19"/>
    <mergeCell ref="B2:C9"/>
    <mergeCell ref="D2:P9"/>
    <mergeCell ref="C10:H10"/>
    <mergeCell ref="C11:H11"/>
    <mergeCell ref="C12:H12"/>
    <mergeCell ref="C13:H13"/>
    <mergeCell ref="C26:H26"/>
    <mergeCell ref="C27:H27"/>
    <mergeCell ref="C28:H28"/>
    <mergeCell ref="C29:H29"/>
    <mergeCell ref="C30:H30"/>
    <mergeCell ref="C31:H31"/>
    <mergeCell ref="C20:H20"/>
    <mergeCell ref="C21:H21"/>
    <mergeCell ref="C22:H22"/>
    <mergeCell ref="C23:H23"/>
    <mergeCell ref="C24:H24"/>
  </mergeCells>
  <hyperlinks>
    <hyperlink ref="P12" r:id="rId1" xr:uid="{3A0A6BBC-4789-4976-A080-E9829E5F629F}"/>
    <hyperlink ref="P15" r:id="rId2" xr:uid="{F40690C8-530D-4FC6-8BDD-F0BDCD11B840}"/>
    <hyperlink ref="P16" r:id="rId3" xr:uid="{2D3E9898-921E-4298-B4E3-C2C418739A27}"/>
    <hyperlink ref="P14" r:id="rId4" xr:uid="{946F612A-48F3-47DC-A1DC-A5E72265E109}"/>
    <hyperlink ref="P18" r:id="rId5" xr:uid="{53378B4E-66CC-43BC-A718-29F18BBA16B2}"/>
    <hyperlink ref="P19" r:id="rId6" xr:uid="{99BD031D-6323-46B8-A955-541825204210}"/>
    <hyperlink ref="P20" r:id="rId7" xr:uid="{5FFBDCBF-399C-4A43-97F9-3E054ADEA912}"/>
    <hyperlink ref="P21" r:id="rId8" xr:uid="{501A5654-2B24-4E76-8234-5606588238F8}"/>
    <hyperlink ref="P22" r:id="rId9" xr:uid="{9ED47A37-BEE4-4B67-832B-AA86FE48A646}"/>
    <hyperlink ref="P23" r:id="rId10" xr:uid="{33E5EF0F-5CE6-4A7F-91C1-11086CB78E91}"/>
    <hyperlink ref="P24" r:id="rId11" xr:uid="{6D00FE90-6384-479A-9B3A-73A3A5A71513}"/>
    <hyperlink ref="P25" r:id="rId12" xr:uid="{4FE697E8-7C04-409D-B65A-F63A5D381F88}"/>
    <hyperlink ref="P26" r:id="rId13" xr:uid="{641707B2-59B5-44A4-BE0A-51E6817F789E}"/>
    <hyperlink ref="P27" r:id="rId14" xr:uid="{18CC42C0-26A7-4618-A6F2-5854513B0C8D}"/>
    <hyperlink ref="P28" r:id="rId15" xr:uid="{662A4480-3572-4F54-A85C-3286B8F7FC91}"/>
    <hyperlink ref="P30" r:id="rId16" xr:uid="{A252E506-E504-4C79-AF75-AC1A19667020}"/>
    <hyperlink ref="P31" r:id="rId17" xr:uid="{22469CBC-5EBF-49B6-B099-8CCEA14B757A}"/>
    <hyperlink ref="P32" r:id="rId18" xr:uid="{5EC4D07C-004F-4676-8E7B-F0B0CD27BF10}"/>
    <hyperlink ref="P33" r:id="rId19" xr:uid="{2023C4E2-546A-4189-942B-254309682D58}"/>
    <hyperlink ref="P34" r:id="rId20" xr:uid="{911CA17D-C1D5-42FF-9406-97B4CE9CBD2A}"/>
    <hyperlink ref="P35" r:id="rId21" xr:uid="{911C8C01-DFC4-45E6-A827-44F792A806BD}"/>
    <hyperlink ref="P36" r:id="rId22" xr:uid="{9A99F14A-9C55-49B9-B24D-705713836E17}"/>
    <hyperlink ref="P37" r:id="rId23" xr:uid="{16386E56-D0D9-4A2E-AA38-F88B5B978AB1}"/>
    <hyperlink ref="P38" r:id="rId24" xr:uid="{56076B86-B869-4755-B570-17A318560E22}"/>
    <hyperlink ref="P29" r:id="rId25" xr:uid="{A5D7EEAC-D8BA-43A6-963A-F1317B902A5C}"/>
    <hyperlink ref="P41" r:id="rId26" xr:uid="{B2967A12-A9E1-4BD6-91A3-6AB675C4766D}"/>
    <hyperlink ref="P42" r:id="rId27" xr:uid="{BDAA7CBE-7FD2-4240-8212-92D87BD98AA0}"/>
    <hyperlink ref="P46" r:id="rId28" xr:uid="{B48CF0A2-9FE0-49FA-8ABC-55BB317BE6DC}"/>
    <hyperlink ref="P39" r:id="rId29" xr:uid="{72AFD234-9896-4897-8554-3A9F2AF80AC4}"/>
    <hyperlink ref="P40" r:id="rId30" xr:uid="{4F0324C3-52F2-487D-AC98-6E1E475A1F33}"/>
    <hyperlink ref="P44" r:id="rId31" xr:uid="{8715D67D-5534-47C0-A886-AF661C07C7ED}"/>
    <hyperlink ref="P48" r:id="rId32" xr:uid="{C5CF6F94-FA56-4E18-8004-555E2CC2A7A3}"/>
    <hyperlink ref="P49" r:id="rId33" xr:uid="{2B840689-B774-45EA-8F74-C1BF04EFE945}"/>
    <hyperlink ref="P50" r:id="rId34" xr:uid="{1926A994-31B1-497A-8778-3300D854CD90}"/>
    <hyperlink ref="P51" r:id="rId35" xr:uid="{B06ADEF5-F3AE-43FC-8C5D-4C4937A4E9C4}"/>
    <hyperlink ref="P52" r:id="rId36" xr:uid="{06377DA7-FF91-45C1-9718-E4DA680E6CDA}"/>
    <hyperlink ref="P54" r:id="rId37" xr:uid="{A3D072F0-90D0-4E29-A113-0D8AFF315F8F}"/>
    <hyperlink ref="P53" r:id="rId38" xr:uid="{13E27722-8441-4280-816A-FE34C364DB90}"/>
    <hyperlink ref="P55" r:id="rId39" xr:uid="{747C0AC6-8E6A-45DF-BDFD-D35C178BC565}"/>
    <hyperlink ref="P57" r:id="rId40" xr:uid="{C28BA10D-A048-4974-8541-3C8BF5FB358F}"/>
    <hyperlink ref="P58" r:id="rId41" xr:uid="{71377BCF-7D75-4589-9330-C92A254C8C96}"/>
    <hyperlink ref="P59" r:id="rId42" xr:uid="{DCF17B44-8D71-47E9-9D3D-4507ADD7D1E6}"/>
    <hyperlink ref="P61" r:id="rId43" xr:uid="{B27F2DC1-4142-429D-848F-F58C799BFB1A}"/>
    <hyperlink ref="P63" r:id="rId44" xr:uid="{3ED9FED5-F4CC-4E12-B4B6-27BC280C9DA1}"/>
    <hyperlink ref="P65" r:id="rId45" xr:uid="{31C4663F-CA36-4135-BE26-3DACC91C782C}"/>
    <hyperlink ref="P66" r:id="rId46" xr:uid="{0FB8C9ED-703B-4942-B6ED-BB5D0B39838D}"/>
    <hyperlink ref="P71" r:id="rId47" xr:uid="{EE881889-A080-40E8-BE9A-7F80C0F7BCE2}"/>
    <hyperlink ref="P70" r:id="rId48" xr:uid="{776F5A5E-E680-4177-9429-E1D3B46D33DB}"/>
    <hyperlink ref="P69" r:id="rId49" xr:uid="{4DBD6BB3-767D-422B-9A13-29B02AD7AE4F}"/>
    <hyperlink ref="P72" r:id="rId50" xr:uid="{2242BDAC-7612-418B-8884-B6D5FECA7E23}"/>
    <hyperlink ref="P73" r:id="rId51" xr:uid="{3077FC66-F38A-4D10-9818-AA05717FDF2B}"/>
    <hyperlink ref="P74" r:id="rId52" xr:uid="{EE63580A-5D5E-42BF-BAE5-D2102BA4FE7B}"/>
    <hyperlink ref="P75" r:id="rId53" xr:uid="{BC94D3ED-1DCC-4C6D-A1D0-325FA6A8DA63}"/>
    <hyperlink ref="P77" r:id="rId54" xr:uid="{F89572DE-C3F9-4540-9510-581A300A261C}"/>
    <hyperlink ref="P76" r:id="rId55" xr:uid="{E2857B88-5768-46A5-BEB8-62743899BDF2}"/>
    <hyperlink ref="P78" r:id="rId56" xr:uid="{BA4C0403-4A14-4BA4-B6DA-EA814D91FF61}"/>
    <hyperlink ref="P79" r:id="rId57" xr:uid="{F2FD31E9-C6E4-4437-93F3-D9B157ADDD3E}"/>
    <hyperlink ref="P80" r:id="rId58" xr:uid="{24E6E7DC-6720-4CD1-BF76-86433BA80B05}"/>
    <hyperlink ref="P81" r:id="rId59" xr:uid="{1F81E9E1-48CD-4194-8A1A-A8971058129B}"/>
    <hyperlink ref="P84" r:id="rId60" xr:uid="{3CDCE1F7-8B83-4F6E-901A-28C063BDB4D3}"/>
    <hyperlink ref="P85" r:id="rId61" xr:uid="{35281A2E-4A62-4362-9C0A-B34AECA77D75}"/>
    <hyperlink ref="P86" r:id="rId62" xr:uid="{1228FFF0-12B9-440E-B74F-A119610C6CF5}"/>
    <hyperlink ref="P88" r:id="rId63" xr:uid="{B50B28E6-6B0F-4FE5-929A-2171A074C2D4}"/>
    <hyperlink ref="P89" r:id="rId64" xr:uid="{846CB69F-0314-41D2-A37F-1648219A849C}"/>
    <hyperlink ref="P87" r:id="rId65" xr:uid="{097174E4-6EBD-4337-AAA6-43375280B32D}"/>
    <hyperlink ref="P90" r:id="rId66" xr:uid="{CCE043B8-263A-4284-99F2-E211D1EF4E5F}"/>
    <hyperlink ref="P91" r:id="rId67" xr:uid="{936D5447-B9B9-41E0-B356-7801FFCA499A}"/>
    <hyperlink ref="P92" r:id="rId68" xr:uid="{042BB234-8946-4C78-A73F-03A64E8F48F4}"/>
    <hyperlink ref="P95" r:id="rId69" xr:uid="{BBE510E4-B3B7-4427-83E2-043462E00860}"/>
    <hyperlink ref="P96" r:id="rId70" xr:uid="{B085AB11-70CB-4752-A484-1053B6B6DA90}"/>
    <hyperlink ref="P97" r:id="rId71" xr:uid="{9EFB6F14-C9D2-455F-8FA1-8D3680B94172}"/>
    <hyperlink ref="P98" r:id="rId72" xr:uid="{DCC97349-4A06-4FBF-B05D-F5635732EEA2}"/>
    <hyperlink ref="P99" r:id="rId73" xr:uid="{5E146A91-74E1-40F0-9E94-2270F86D9F51}"/>
    <hyperlink ref="P100" r:id="rId74" xr:uid="{83958EC8-E834-45F5-8142-E6B931EC64AB}"/>
    <hyperlink ref="P101" r:id="rId75" xr:uid="{C899EA37-043B-403D-B5E1-FF51D9E02094}"/>
    <hyperlink ref="P103" r:id="rId76" xr:uid="{11339A45-AC16-4E85-A9AF-871AB7A56756}"/>
    <hyperlink ref="P104" r:id="rId77" xr:uid="{5B35D321-C755-40FA-8935-4A52EA078738}"/>
    <hyperlink ref="P105" r:id="rId78" xr:uid="{CF6327E2-33D5-4E7C-A544-B06E612B4744}"/>
    <hyperlink ref="P107" r:id="rId79" xr:uid="{34F08A97-77A9-459F-961F-22C2EC87501A}"/>
    <hyperlink ref="P106" r:id="rId80" xr:uid="{E03B2C39-BC77-4B1C-AB37-440600CB9E3B}"/>
    <hyperlink ref="P108" r:id="rId81" xr:uid="{E7E23EB1-AE93-4729-B293-DDEEF03597CB}"/>
    <hyperlink ref="P109" r:id="rId82" xr:uid="{69188674-4D78-42FA-A946-523CE4A3688F}"/>
    <hyperlink ref="P113" r:id="rId83" xr:uid="{E08B792A-A44A-4F16-B930-CDB618D57680}"/>
    <hyperlink ref="P112" r:id="rId84" xr:uid="{11611109-8F0D-43FB-9D65-DDE099F2506F}"/>
    <hyperlink ref="P110" r:id="rId85" xr:uid="{C8102B56-9415-4A01-8602-AABB46A43BDA}"/>
    <hyperlink ref="P111" r:id="rId86" xr:uid="{DFA03FC8-4F23-46EA-BECE-B931F1F07742}"/>
    <hyperlink ref="P114" r:id="rId87" xr:uid="{B189D65D-980D-4BC2-87F2-0251FDF99680}"/>
    <hyperlink ref="P116" r:id="rId88" xr:uid="{53CC741D-D982-4C95-B02C-A3EB07A35342}"/>
    <hyperlink ref="P115" r:id="rId89" xr:uid="{57B10E03-0384-430E-A863-7997F475B4E9}"/>
    <hyperlink ref="P117" r:id="rId90" xr:uid="{E9A11E0E-671B-4249-BDD0-E572891C2C3D}"/>
    <hyperlink ref="P118" r:id="rId91" xr:uid="{6B29B0BD-0BCE-41E2-A547-0C9A5586A8DB}"/>
    <hyperlink ref="P119" r:id="rId92" xr:uid="{79452E6E-C2DA-4666-A80E-D286BCFC57F8}"/>
    <hyperlink ref="P122" r:id="rId93" xr:uid="{A29FDA26-4013-4634-BCBF-EE2E0BC6776D}"/>
    <hyperlink ref="P123" r:id="rId94" xr:uid="{30B7F2E6-FBE5-4D1D-AF86-ED36EEE024D1}"/>
    <hyperlink ref="P124" r:id="rId95" xr:uid="{1F848656-A3EB-4F18-A1C8-C7C5FC91E8A2}"/>
    <hyperlink ref="P125" r:id="rId96" xr:uid="{D3291F59-37E4-4AFC-8EEA-FE20D31D59E7}"/>
    <hyperlink ref="P126" r:id="rId97" xr:uid="{8F182445-2216-408D-8853-C828F7209896}"/>
    <hyperlink ref="P128" r:id="rId98" xr:uid="{07E75429-A325-4DD1-8361-22A771C29F65}"/>
    <hyperlink ref="P129" r:id="rId99" xr:uid="{E06EA3EB-B3A7-4655-9717-6CF5DB457A73}"/>
    <hyperlink ref="P130" r:id="rId100" xr:uid="{DB1CA836-3F9C-439F-8D8F-B12C7AC8623F}"/>
    <hyperlink ref="P131" r:id="rId101" xr:uid="{BA37E8F2-B9C5-4015-9CF6-D0D3AA4E1248}"/>
    <hyperlink ref="P133" r:id="rId102" xr:uid="{FE2461DE-E2C4-47EC-9179-974B47A8E90A}"/>
    <hyperlink ref="P134" r:id="rId103" xr:uid="{3A15A451-2A03-4C57-8DEB-39D6F9A2F210}"/>
    <hyperlink ref="P132" r:id="rId104" xr:uid="{BC68756E-02C7-4F14-88EA-4A542F443860}"/>
    <hyperlink ref="P135" r:id="rId105" xr:uid="{F2F31BE2-6EA8-4C8D-996E-03BDFD4403A7}"/>
    <hyperlink ref="P136" r:id="rId106" xr:uid="{BB7A93A9-BFE6-4E77-A7D6-95C667B12F20}"/>
    <hyperlink ref="P139" r:id="rId107" xr:uid="{AC329B50-4872-4E86-976C-0456D21239F5}"/>
    <hyperlink ref="P140" r:id="rId108" xr:uid="{28EFD4DD-6D9C-4880-BD95-3DF5ABE639D0}"/>
    <hyperlink ref="P138" r:id="rId109" xr:uid="{FF33F77D-02A4-48B1-923F-2C26B9CACC73}"/>
    <hyperlink ref="P141" r:id="rId110" xr:uid="{C56D9962-08F1-43C4-B844-7AC24DE2D56E}"/>
    <hyperlink ref="P142" r:id="rId111" xr:uid="{FEFB53C7-B8D8-426E-81FC-7E6F849FDE31}"/>
    <hyperlink ref="P143" r:id="rId112" xr:uid="{AE39D517-C4C2-469E-AEB8-E3F228B53BF7}"/>
    <hyperlink ref="P144" r:id="rId113" xr:uid="{64794443-D449-4533-8961-DED66D77537C}"/>
    <hyperlink ref="P146" r:id="rId114" xr:uid="{0D5A81FA-7C24-4C9F-B120-890E5FB5D8D8}"/>
    <hyperlink ref="P147" r:id="rId115" xr:uid="{CD7A1A33-5F34-419A-9D7D-4E4B04EE6318}"/>
    <hyperlink ref="P148" r:id="rId116" xr:uid="{F234ADC9-C207-4E76-979D-8C11CCB9AD41}"/>
    <hyperlink ref="P149" r:id="rId117" xr:uid="{5EB4177B-A484-4979-A715-B288725529D6}"/>
    <hyperlink ref="P150" r:id="rId118" xr:uid="{AE386D2F-B095-4F1F-992A-3F17BA365B40}"/>
    <hyperlink ref="P151" r:id="rId119" xr:uid="{588B3E95-6CBA-4461-82D3-B3988B172F90}"/>
    <hyperlink ref="P152" r:id="rId120" xr:uid="{C3E0F968-65CE-4A47-8DDC-74D3029F878E}"/>
    <hyperlink ref="P154" r:id="rId121" xr:uid="{24316340-0C02-4BD5-BF18-023B0AC96476}"/>
    <hyperlink ref="P155" r:id="rId122" xr:uid="{F2FBAC48-D028-4C07-B6A5-29433D768B54}"/>
    <hyperlink ref="P156" r:id="rId123" xr:uid="{4DC1DB7A-FBF1-4CC4-97AA-DFAB94BC7729}"/>
    <hyperlink ref="P157" r:id="rId124" xr:uid="{8A7E561A-1695-43FB-85FE-04B859E921DD}"/>
    <hyperlink ref="P158" r:id="rId125" xr:uid="{55AD66DA-231E-43C5-A3C6-CE078EE3B5DB}"/>
    <hyperlink ref="P159" r:id="rId126" xr:uid="{FA09AAF7-A757-4407-954F-029B03132077}"/>
    <hyperlink ref="P160" r:id="rId127" xr:uid="{D5D8E9BA-DCD2-43D1-ABFA-F0F8309D51CB}"/>
    <hyperlink ref="P161" r:id="rId128" xr:uid="{A27AB52D-1EB1-4804-9315-F9C141101FB1}"/>
    <hyperlink ref="P162" r:id="rId129" xr:uid="{B39C435B-BACF-4923-9723-C7F28BFE36AD}"/>
    <hyperlink ref="P163" r:id="rId130" xr:uid="{1F9F9028-5F0D-4FA7-99CD-6A6B1A4E6D92}"/>
    <hyperlink ref="P165" r:id="rId131" xr:uid="{4EB7B12A-5404-4A14-900B-679690A05F9E}"/>
    <hyperlink ref="P166" r:id="rId132" xr:uid="{E219B6E5-EC5F-4A70-8985-0AA606A5BCCD}"/>
    <hyperlink ref="P167" r:id="rId133" xr:uid="{C2BBBA9C-994A-4D18-B0CE-1657C630F283}"/>
    <hyperlink ref="P168" r:id="rId134" xr:uid="{3867479A-10AB-472B-8874-9CA0771964A4}"/>
    <hyperlink ref="P169" r:id="rId135" xr:uid="{E2D27FFD-1494-4611-87F9-9E15328BA59E}"/>
    <hyperlink ref="P170" r:id="rId136" xr:uid="{B852DBA1-6941-4297-B891-87C6F5DE39E7}"/>
    <hyperlink ref="P171" r:id="rId137" xr:uid="{67073DAA-9648-47FB-922E-5F3041D2B3F2}"/>
    <hyperlink ref="P172" r:id="rId138" xr:uid="{EDB5F54C-8F30-4C9C-9C51-563F32CF0729}"/>
    <hyperlink ref="P173" r:id="rId139" xr:uid="{E0091F5C-193D-40A6-884C-7251908D3D69}"/>
    <hyperlink ref="P174" r:id="rId140" xr:uid="{17DF0E05-48CD-43DE-9954-5A8C0FBE5FFB}"/>
    <hyperlink ref="P176" r:id="rId141" xr:uid="{8B05F4C9-A6B8-43E8-8079-A3F5E69FF1AB}"/>
    <hyperlink ref="P177" r:id="rId142" xr:uid="{EDA76562-9641-4CB8-AFFC-E31F440DA0B8}"/>
    <hyperlink ref="P178" r:id="rId143" xr:uid="{B6D69BFA-7B6B-4D01-B078-E35B0B6E13E5}"/>
    <hyperlink ref="P179" r:id="rId144" xr:uid="{8448793C-6CD7-408D-B786-2BF3180A8910}"/>
    <hyperlink ref="P180" r:id="rId145" xr:uid="{9770F4D0-1A11-446F-8CE6-216284F690B0}"/>
    <hyperlink ref="P181" r:id="rId146" xr:uid="{2961D4A1-D808-4230-A3F4-9FCE4BED228F}"/>
    <hyperlink ref="P182" r:id="rId147" xr:uid="{9A2B6577-05D8-48CA-857A-9357DA1BFF00}"/>
    <hyperlink ref="P183" r:id="rId148" xr:uid="{3AB6EA93-DA0B-42ED-891E-278A7EA12B7A}"/>
    <hyperlink ref="P184" r:id="rId149" xr:uid="{88B6BDDE-6D1D-477E-A1BF-8308AF85A463}"/>
    <hyperlink ref="P186" r:id="rId150" xr:uid="{29D0B5AA-8CB7-4CF8-8F13-718B6BC7D336}"/>
    <hyperlink ref="P187" r:id="rId151" xr:uid="{1D33458F-A748-4F51-B6E8-3C52DCA8B6F6}"/>
    <hyperlink ref="P188" r:id="rId152" xr:uid="{B15A5AE7-EB5D-4F84-B520-3F9542532257}"/>
    <hyperlink ref="P190" r:id="rId153" xr:uid="{0CBFA3F8-F64D-4E36-B2D9-01651F3E04B0}"/>
    <hyperlink ref="P189" r:id="rId154" xr:uid="{C1D96370-8B7A-41D3-97E6-1F028CC299D8}"/>
    <hyperlink ref="P191" r:id="rId155" xr:uid="{E8095A7F-4DDC-415B-A63D-65824704DE7F}"/>
    <hyperlink ref="P192" r:id="rId156" xr:uid="{00F71CA2-14E8-4FFA-8697-0A231117A02D}"/>
    <hyperlink ref="P193" r:id="rId157" xr:uid="{A64ECB72-504D-4804-9027-DC6EAD4FC5A4}"/>
    <hyperlink ref="P194" r:id="rId158" xr:uid="{40E325F8-5035-49C6-886E-979076DD3049}"/>
    <hyperlink ref="P195" r:id="rId159" xr:uid="{166596AF-B1FF-4CF2-8C23-1E424036E858}"/>
    <hyperlink ref="P196" r:id="rId160" xr:uid="{A9E0B3C4-0C56-48F8-9337-E34A8D12CF47}"/>
    <hyperlink ref="P197" r:id="rId161" xr:uid="{BE8C2838-56B9-42AB-9E7C-E308514B8F75}"/>
    <hyperlink ref="P200" r:id="rId162" xr:uid="{6A2AE663-7FA5-45AE-BB95-199713979B89}"/>
    <hyperlink ref="P201" r:id="rId163" xr:uid="{D46BBFC0-8D26-4D3E-A0CD-51D2F4C07E39}"/>
    <hyperlink ref="P202" r:id="rId164" xr:uid="{F0F8DA3D-6E9E-4472-BEEB-8821B5780E74}"/>
    <hyperlink ref="P203" r:id="rId165" xr:uid="{52E0A54A-4F8F-4C04-BDD6-52C889E74888}"/>
    <hyperlink ref="P206" r:id="rId166" xr:uid="{1B0B841F-0A1C-48EF-9270-EBA9591B7D0C}"/>
    <hyperlink ref="P207" r:id="rId167" xr:uid="{C81A034B-6D68-40FC-8A59-7F6A6C3C7B3D}"/>
    <hyperlink ref="P209" r:id="rId168" xr:uid="{411079CC-D056-4B85-B890-462A67BE6A2E}"/>
    <hyperlink ref="P208" r:id="rId169" xr:uid="{B1A86FAA-65EB-4CDD-AA2D-8301A8530F5A}"/>
    <hyperlink ref="P211" r:id="rId170" xr:uid="{D144BF29-B1F8-4BC9-9DBD-523867C8B391}"/>
    <hyperlink ref="P212" r:id="rId171" xr:uid="{69EA3A30-053E-4002-9220-58AB2C905121}"/>
    <hyperlink ref="P213" r:id="rId172" xr:uid="{55C2D048-21FA-4A06-AE95-CD861A5175E4}"/>
    <hyperlink ref="P214" r:id="rId173" xr:uid="{F61D8AB1-01C8-4EC6-84F3-DF63DC4DF298}"/>
    <hyperlink ref="P215" r:id="rId174" xr:uid="{914DD173-A79A-46CC-BEB4-D723DEDB4AE9}"/>
    <hyperlink ref="P216" r:id="rId175" xr:uid="{37868102-5F91-40FA-9A53-1915E53C34FB}"/>
    <hyperlink ref="P217" r:id="rId176" xr:uid="{6152EEF2-82AC-41C0-9A97-FDA5813F32A6}"/>
    <hyperlink ref="P219" r:id="rId177" xr:uid="{E81E06EA-8A87-495C-8A26-4E91FE0C7632}"/>
    <hyperlink ref="P220" r:id="rId178" xr:uid="{DC0191FE-06C1-4D2D-968D-14459918685F}"/>
    <hyperlink ref="P221" r:id="rId179" xr:uid="{83097BA5-B889-4B49-BCCB-5F823925B726}"/>
    <hyperlink ref="P222" r:id="rId180" xr:uid="{77BCB715-794F-459D-8053-78C83D5144A2}"/>
    <hyperlink ref="P223" r:id="rId181" xr:uid="{7354DDF7-BB82-4A47-B9A6-06DAB9B92C07}"/>
    <hyperlink ref="P224" r:id="rId182" xr:uid="{BD98BA76-E7DF-4CEB-8741-A0BF5FB2B6E6}"/>
    <hyperlink ref="P227" r:id="rId183" xr:uid="{2FAB39CB-C99F-41CF-84FD-B8374A579850}"/>
    <hyperlink ref="P228" r:id="rId184" xr:uid="{F8D5D59B-FC05-4290-A8C9-8E888F162BF2}"/>
    <hyperlink ref="P229" r:id="rId185" xr:uid="{F173CDCF-A9DB-4059-BE1C-E7BF90C5FD0B}"/>
    <hyperlink ref="P232" r:id="rId186" xr:uid="{7D16A967-A98F-42CE-92B8-6D3A54AD5743}"/>
    <hyperlink ref="P233" r:id="rId187" xr:uid="{082B4C22-BA29-4D8B-9D36-8ADDAB543AF1}"/>
    <hyperlink ref="P234" r:id="rId188" xr:uid="{9A99775F-B8BF-4C54-8E91-36B3A866C700}"/>
    <hyperlink ref="P236" r:id="rId189" xr:uid="{9A58F1AA-1F60-4CFF-AC83-CD8E3EAD2C0D}"/>
    <hyperlink ref="P237" r:id="rId190" xr:uid="{0DBB5449-64B4-4107-8766-62C330FC53F1}"/>
    <hyperlink ref="P238" r:id="rId191" xr:uid="{ED59C2D8-536A-4DE0-8E3F-DDB10B0B5300}"/>
    <hyperlink ref="P239" r:id="rId192" xr:uid="{C1D10199-171D-466C-A571-D1A2AD331D70}"/>
    <hyperlink ref="P240" r:id="rId193" xr:uid="{9A16F90E-C8D9-48FA-AFCB-AEC0346DCB11}"/>
    <hyperlink ref="P241" r:id="rId194" xr:uid="{79226470-2D97-48A0-B87A-3B996CE67754}"/>
    <hyperlink ref="P242" r:id="rId195" xr:uid="{7F22E60D-725C-4454-AA8C-B8485DC8BA94}"/>
    <hyperlink ref="P243" r:id="rId196" xr:uid="{3413BFD2-630D-42C8-82C9-5C5520A571C0}"/>
    <hyperlink ref="P244" r:id="rId197" xr:uid="{56624EF8-1623-49F5-AE3A-2352FB66949B}"/>
    <hyperlink ref="P245" r:id="rId198" xr:uid="{53AB1957-B52D-4AE2-9631-6AC98E7CDAD8}"/>
    <hyperlink ref="P246" r:id="rId199" xr:uid="{FDBAABD8-5B4A-4966-8E7F-6499C0AB7142}"/>
    <hyperlink ref="P247" r:id="rId200" xr:uid="{C0BDF6C7-368D-4070-B2F2-E4F3E30FFD16}"/>
    <hyperlink ref="P249" r:id="rId201" xr:uid="{058F1A66-9BDB-47A7-B8C8-956CE90186AD}"/>
    <hyperlink ref="P251" r:id="rId202" xr:uid="{B118F56B-2820-4D83-9E07-4E37BC14EA9B}"/>
    <hyperlink ref="P252" r:id="rId203" xr:uid="{1D05CAC6-882B-4A84-BA03-B6F4FD56BB6E}"/>
    <hyperlink ref="P253" r:id="rId204" xr:uid="{D89F1A6A-AE1B-4723-BE66-1A9A156B242E}"/>
    <hyperlink ref="P255" r:id="rId205" xr:uid="{D62FE223-0E3F-4BC4-AAE0-AB03AB9582AE}"/>
    <hyperlink ref="P254" r:id="rId206" xr:uid="{EF72CB44-330D-4A49-9A82-78AB186021CC}"/>
    <hyperlink ref="P257" r:id="rId207" xr:uid="{FCF53483-EB9C-4F02-B2DE-1CC723B66FE6}"/>
    <hyperlink ref="P256" r:id="rId208" xr:uid="{633B83E5-C5B3-4F4D-A6A8-2DFA60A99E71}"/>
    <hyperlink ref="P260" r:id="rId209" xr:uid="{5CEAFFB1-7103-4D62-B689-DA31135D7B4D}"/>
    <hyperlink ref="P261" r:id="rId210" xr:uid="{6F1F6693-E337-4606-9525-73A25248A6EE}"/>
    <hyperlink ref="P262" r:id="rId211" xr:uid="{CE64407E-CCB4-4E3E-BA09-F392899C57CB}"/>
    <hyperlink ref="P263" r:id="rId212" xr:uid="{691CB7B9-6A45-4127-8D03-1B5A08F97265}"/>
    <hyperlink ref="P264" r:id="rId213" xr:uid="{B4334D77-0495-41B0-B78E-70A61DA3BB7F}"/>
    <hyperlink ref="P265" r:id="rId214" xr:uid="{C03904B2-ABB8-4EB3-A88F-BA182079D899}"/>
    <hyperlink ref="P266" r:id="rId215" xr:uid="{38101606-682A-485D-8971-FF46F0D3646C}"/>
    <hyperlink ref="P267" r:id="rId216" xr:uid="{E38AAB04-A551-48D5-9FA1-D60A59F22EBE}"/>
    <hyperlink ref="P268" r:id="rId217" xr:uid="{AAD56FD8-B9C0-4DC0-9EEC-2E9307273AF0}"/>
    <hyperlink ref="P269" r:id="rId218" xr:uid="{181CC778-13F6-4EA7-9C08-E391CFCBD695}"/>
    <hyperlink ref="P270" r:id="rId219" xr:uid="{6105C53A-E0D9-443C-A015-22E1DAC87F81}"/>
    <hyperlink ref="P271" r:id="rId220" xr:uid="{D1B86F01-F715-483F-B579-9B7EB7714056}"/>
    <hyperlink ref="P272" r:id="rId221" xr:uid="{126514E4-1F65-4C38-A2A2-2D9AFC21CD67}"/>
    <hyperlink ref="P274" r:id="rId222" xr:uid="{370562D2-4A89-4451-BF4E-FC629B881C41}"/>
    <hyperlink ref="P275" r:id="rId223" xr:uid="{932C2D34-CAE4-4BEA-AE0E-90B01CBF0428}"/>
    <hyperlink ref="P279" r:id="rId224" xr:uid="{172BE41D-B983-4A6D-B506-21CC61B91F64}"/>
    <hyperlink ref="P277" r:id="rId225" xr:uid="{3B45F08E-F98B-40DA-8D2E-180EB06C7362}"/>
    <hyperlink ref="P278" r:id="rId226" xr:uid="{1EFDA0CE-0F5B-4C6D-8D0A-96C6A980B300}"/>
    <hyperlink ref="P280" r:id="rId227" xr:uid="{79985118-ED8D-4F29-AD15-313C7FF707CD}"/>
    <hyperlink ref="P282" r:id="rId228" xr:uid="{2E27CE56-6C4D-47C8-BC22-8175B7DAEF04}"/>
    <hyperlink ref="P281" r:id="rId229" xr:uid="{2C8F5F23-E542-421F-A006-9927902DC043}"/>
    <hyperlink ref="P283" r:id="rId230" xr:uid="{7D1F9344-6EAA-4B2E-AD66-F7C8A3FEAFCA}"/>
    <hyperlink ref="P284" r:id="rId231" xr:uid="{8A0338A5-4882-4EAE-84EC-ED4CB2A30853}"/>
    <hyperlink ref="P285" r:id="rId232" xr:uid="{B1881271-5BA8-4BFE-A51D-89C19DF4A94F}"/>
    <hyperlink ref="P286" r:id="rId233" xr:uid="{0D3901F6-FCBE-4760-86AC-7C6C9610B23D}"/>
    <hyperlink ref="P287" r:id="rId234" xr:uid="{BA5F1098-5358-4685-9B10-08A650D97E28}"/>
    <hyperlink ref="P288" r:id="rId235" xr:uid="{F4369873-8F8D-4AF2-9D64-FC0ECC0B408E}"/>
    <hyperlink ref="P289" r:id="rId236" xr:uid="{357FBBF6-E0B8-43C7-AA16-087493813629}"/>
    <hyperlink ref="P290" r:id="rId237" xr:uid="{567BFEDA-19EF-4204-93CE-0B49A2DBAF4C}"/>
    <hyperlink ref="P291" r:id="rId238" xr:uid="{C0D41CC9-4D35-415C-9910-D69178598FE6}"/>
    <hyperlink ref="P293" r:id="rId239" xr:uid="{0C7E34CB-6508-42FA-8679-704FCAFEEEA5}"/>
    <hyperlink ref="P292" r:id="rId240" xr:uid="{1E32A0FF-0EE2-4C23-8A2C-030975DDEC46}"/>
    <hyperlink ref="P294" r:id="rId241" xr:uid="{8385880C-12DD-42DA-8553-E5B481C8F6A5}"/>
    <hyperlink ref="P295" r:id="rId242" xr:uid="{99A58D13-A9CA-4FA0-9EF7-2EAED7E127FD}"/>
    <hyperlink ref="P298" r:id="rId243" xr:uid="{D8DF5AB3-FCC5-4740-9FFC-03BBAA64D7B1}"/>
    <hyperlink ref="P300" r:id="rId244" xr:uid="{2B1CF650-2161-4930-A04C-0418FAC3FA3A}"/>
    <hyperlink ref="P299" r:id="rId245" xr:uid="{DC1400CD-7D55-4F0B-9312-11D5D7AD2FA8}"/>
    <hyperlink ref="P296" r:id="rId246" xr:uid="{9C80F1E5-D38D-4977-B253-D1F866E8A363}"/>
    <hyperlink ref="P297" r:id="rId247" xr:uid="{23C7239B-2571-407B-9F19-B6BB57F532F7}"/>
    <hyperlink ref="P301" r:id="rId248" xr:uid="{B4E72D77-3576-48FE-B005-6FB22FCC9C51}"/>
    <hyperlink ref="P302" r:id="rId249" xr:uid="{811B19C5-8AE1-4D2B-89DC-C75F8725F619}"/>
    <hyperlink ref="P303" r:id="rId250" xr:uid="{DAA28928-C4D9-4FA7-8EA5-5E66D74C81A9}"/>
    <hyperlink ref="P304" r:id="rId251" xr:uid="{31FD9626-DE7F-4BFB-A26C-4646268D9F73}"/>
    <hyperlink ref="P305" r:id="rId252" xr:uid="{044F6A2D-8CCE-423D-A2D1-F5DEECB6864F}"/>
    <hyperlink ref="P306" r:id="rId253" xr:uid="{A3F78113-5F41-4EFC-896F-91B3F1FEAC01}"/>
    <hyperlink ref="P307" r:id="rId254" xr:uid="{2808CE95-B94D-45C4-ABE0-7392F66634CB}"/>
    <hyperlink ref="P308" r:id="rId255" xr:uid="{7D6D73ED-D57B-45BF-B945-3CAA9DEAF7E5}"/>
    <hyperlink ref="P11" r:id="rId256" xr:uid="{6F5FE7AB-821D-4F15-99FD-85CC91206037}"/>
    <hyperlink ref="P13" r:id="rId257" xr:uid="{3406AE70-22F2-43FF-8D02-A20B645281C7}"/>
    <hyperlink ref="P309" r:id="rId258" xr:uid="{2B5CE575-C8B5-4426-BFD6-38DCD555A587}"/>
    <hyperlink ref="P310" r:id="rId259" xr:uid="{1308E969-67C4-4918-A5D6-C518591644EB}"/>
    <hyperlink ref="P312" r:id="rId260" xr:uid="{FB596A24-1D88-4E0C-98C0-25705E064B85}"/>
    <hyperlink ref="P314" r:id="rId261" xr:uid="{50B492F2-5B17-49D4-954B-57FB4F9AE76E}"/>
    <hyperlink ref="P316" r:id="rId262" xr:uid="{7FBF9DA7-165E-42C9-A191-A99998567359}"/>
    <hyperlink ref="P315" r:id="rId263" xr:uid="{BC2ED80B-BC82-42B5-86FF-8EF2D01BF99B}"/>
    <hyperlink ref="P317" r:id="rId264" xr:uid="{2C88B22B-D40C-4BCB-8091-218518794791}"/>
    <hyperlink ref="P318" r:id="rId265" xr:uid="{76846247-B0F6-4910-B6D5-8AF930334051}"/>
    <hyperlink ref="P319" r:id="rId266" xr:uid="{64D1CF62-EEDD-4EF2-9A45-2FC860C2D834}"/>
    <hyperlink ref="P320" r:id="rId267" xr:uid="{2AB91197-03FB-43A1-ACE4-F2FE9831CA67}"/>
    <hyperlink ref="P321" r:id="rId268" xr:uid="{D330D5E8-8AAB-4CFC-8D51-CEFFAAF54950}"/>
    <hyperlink ref="P322" r:id="rId269" xr:uid="{C3FA285A-DFA8-44D0-A637-0A0EFD92DCAB}"/>
    <hyperlink ref="P323" r:id="rId270" xr:uid="{545604F8-6A2C-4DB1-927B-65174D3AED66}"/>
    <hyperlink ref="P324" r:id="rId271" xr:uid="{1B965299-20AD-4920-A28D-07600872857C}"/>
    <hyperlink ref="P325" r:id="rId272" xr:uid="{A6905086-C5CA-4452-B464-8D77B57E6A9C}"/>
  </hyperlinks>
  <pageMargins left="0.7" right="0.7" top="0.75" bottom="0.75" header="0.3" footer="0.3"/>
  <pageSetup orientation="portrait" horizontalDpi="4294967293" r:id="rId273"/>
  <drawing r:id="rId274"/>
  <legacyDrawing r:id="rId27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11BCE-297C-41D0-B8B6-EAA6688C05BB}">
  <dimension ref="A1:J11"/>
  <sheetViews>
    <sheetView view="pageBreakPreview" zoomScale="60" zoomScaleNormal="100" workbookViewId="0">
      <selection activeCell="L39" sqref="L39"/>
    </sheetView>
  </sheetViews>
  <sheetFormatPr baseColWidth="10" defaultRowHeight="15" x14ac:dyDescent="0.25"/>
  <cols>
    <col min="3" max="3" width="46.5703125" customWidth="1"/>
    <col min="4" max="4" width="4.7109375" customWidth="1"/>
    <col min="5" max="5" width="21.42578125" hidden="1" customWidth="1"/>
    <col min="6" max="6" width="0" hidden="1" customWidth="1"/>
    <col min="7" max="7" width="14" customWidth="1"/>
    <col min="8" max="8" width="23.5703125" customWidth="1"/>
  </cols>
  <sheetData>
    <row r="1" spans="1:10" x14ac:dyDescent="0.25">
      <c r="A1" s="6" t="s">
        <v>6827</v>
      </c>
      <c r="B1" s="6" t="s">
        <v>6828</v>
      </c>
      <c r="C1" s="6" t="s">
        <v>6829</v>
      </c>
      <c r="D1" s="6" t="s">
        <v>6830</v>
      </c>
      <c r="E1" s="6" t="s">
        <v>6838</v>
      </c>
      <c r="F1" s="6" t="s">
        <v>6839</v>
      </c>
      <c r="G1" s="6" t="s">
        <v>6841</v>
      </c>
      <c r="I1" t="s">
        <v>6840</v>
      </c>
      <c r="J1">
        <v>4170.59</v>
      </c>
    </row>
    <row r="2" spans="1:10" ht="41.25" customHeight="1" x14ac:dyDescent="0.25">
      <c r="A2" s="6">
        <v>1</v>
      </c>
      <c r="B2" s="6" t="s">
        <v>6831</v>
      </c>
      <c r="C2" s="136" t="s">
        <v>6834</v>
      </c>
      <c r="D2" s="6">
        <v>1</v>
      </c>
      <c r="E2" s="137">
        <f>1717.9</f>
        <v>1717.9</v>
      </c>
      <c r="F2" s="137">
        <f>+E2*30%</f>
        <v>515.37</v>
      </c>
      <c r="G2" s="137">
        <f>+E2+F2</f>
        <v>2233.27</v>
      </c>
      <c r="H2" s="135">
        <f>+G2*$J$1</f>
        <v>9314053.5293000005</v>
      </c>
    </row>
    <row r="3" spans="1:10" ht="30" x14ac:dyDescent="0.25">
      <c r="A3" s="6">
        <v>2</v>
      </c>
      <c r="B3" s="6">
        <v>7132</v>
      </c>
      <c r="C3" s="136" t="s">
        <v>6835</v>
      </c>
      <c r="D3" s="6">
        <v>1</v>
      </c>
      <c r="E3" s="137">
        <v>118.2</v>
      </c>
      <c r="F3" s="137">
        <f t="shared" ref="F3:F5" si="0">+E3*30%</f>
        <v>35.46</v>
      </c>
      <c r="G3" s="137">
        <f t="shared" ref="G3:G5" si="1">+E3+F3</f>
        <v>153.66</v>
      </c>
      <c r="H3" s="135">
        <f t="shared" ref="H3:H6" si="2">+G3*$J$1</f>
        <v>640852.85939999996</v>
      </c>
    </row>
    <row r="4" spans="1:10" ht="30" x14ac:dyDescent="0.25">
      <c r="A4" s="6">
        <v>3</v>
      </c>
      <c r="B4" s="6" t="s">
        <v>6832</v>
      </c>
      <c r="C4" s="136" t="s">
        <v>6836</v>
      </c>
      <c r="D4" s="6">
        <v>1</v>
      </c>
      <c r="E4" s="137">
        <v>521</v>
      </c>
      <c r="F4" s="137">
        <f t="shared" si="0"/>
        <v>156.29999999999998</v>
      </c>
      <c r="G4" s="137">
        <f t="shared" si="1"/>
        <v>677.3</v>
      </c>
      <c r="H4" s="135">
        <f t="shared" si="2"/>
        <v>2824740.6069999998</v>
      </c>
    </row>
    <row r="5" spans="1:10" ht="30" x14ac:dyDescent="0.25">
      <c r="A5" s="6">
        <v>4</v>
      </c>
      <c r="B5" s="6" t="s">
        <v>6833</v>
      </c>
      <c r="C5" s="136" t="s">
        <v>6837</v>
      </c>
      <c r="D5" s="6">
        <v>1</v>
      </c>
      <c r="E5" s="137">
        <v>13155.16</v>
      </c>
      <c r="F5" s="137">
        <f t="shared" si="0"/>
        <v>3946.5479999999998</v>
      </c>
      <c r="G5" s="137">
        <f t="shared" si="1"/>
        <v>17101.707999999999</v>
      </c>
      <c r="H5" s="135">
        <f t="shared" si="2"/>
        <v>71324212.367719993</v>
      </c>
    </row>
    <row r="6" spans="1:10" x14ac:dyDescent="0.25">
      <c r="G6" s="137">
        <f>SUM(G2:G5)</f>
        <v>20165.937999999998</v>
      </c>
      <c r="H6" s="135">
        <f t="shared" si="2"/>
        <v>84103859.363419995</v>
      </c>
    </row>
    <row r="11" spans="1:10" x14ac:dyDescent="0.25">
      <c r="D11" s="134"/>
    </row>
  </sheetData>
  <pageMargins left="0.7" right="0.7" top="0.75" bottom="0.75" header="0.3" footer="0.3"/>
  <pageSetup paperSize="9" scale="99" orientation="portrait" r:id="rId1"/>
  <colBreaks count="1" manualBreakCount="1">
    <brk id="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57523-1B3A-43CB-92AD-AE14B07BE749}">
  <dimension ref="A1:T15"/>
  <sheetViews>
    <sheetView zoomScale="145" zoomScaleNormal="145" workbookViewId="0">
      <selection activeCell="K13" sqref="A11:K13"/>
    </sheetView>
  </sheetViews>
  <sheetFormatPr baseColWidth="10" defaultRowHeight="15" x14ac:dyDescent="0.25"/>
  <cols>
    <col min="1" max="1" width="15.140625" customWidth="1"/>
    <col min="2" max="3" width="21.42578125" customWidth="1"/>
    <col min="4" max="4" width="17.140625" customWidth="1"/>
    <col min="5" max="5" width="18.140625" bestFit="1" customWidth="1"/>
    <col min="6" max="6" width="6" customWidth="1"/>
    <col min="7" max="7" width="15.140625" customWidth="1"/>
    <col min="8" max="9" width="21.42578125" customWidth="1"/>
    <col min="10" max="10" width="17.85546875" bestFit="1" customWidth="1"/>
    <col min="11" max="11" width="18.140625" bestFit="1" customWidth="1"/>
    <col min="12" max="12" width="4.42578125" customWidth="1"/>
    <col min="13" max="13" width="11.42578125" hidden="1" customWidth="1"/>
    <col min="14" max="14" width="19.42578125" hidden="1" customWidth="1"/>
    <col min="15" max="15" width="21" hidden="1" customWidth="1"/>
    <col min="16" max="16" width="16.85546875" hidden="1" customWidth="1"/>
    <col min="17" max="18" width="13" customWidth="1"/>
  </cols>
  <sheetData>
    <row r="1" spans="1:20" x14ac:dyDescent="0.25">
      <c r="C1" s="294" t="s">
        <v>3940</v>
      </c>
      <c r="D1" s="294"/>
      <c r="E1" s="294"/>
      <c r="I1" s="294" t="s">
        <v>3937</v>
      </c>
      <c r="J1" s="294"/>
      <c r="K1" s="294"/>
      <c r="N1" s="294" t="s">
        <v>3938</v>
      </c>
      <c r="O1" s="294"/>
      <c r="P1" s="294"/>
      <c r="Q1" s="294" t="s">
        <v>3939</v>
      </c>
      <c r="R1" s="294"/>
      <c r="S1" s="294"/>
      <c r="T1" s="294"/>
    </row>
    <row r="2" spans="1:20" x14ac:dyDescent="0.25">
      <c r="B2" s="94">
        <v>2020</v>
      </c>
      <c r="C2" s="94">
        <v>2021</v>
      </c>
      <c r="D2" s="94">
        <v>2022</v>
      </c>
      <c r="E2" s="94">
        <v>2023</v>
      </c>
      <c r="H2" s="94">
        <v>2020</v>
      </c>
      <c r="I2" s="94">
        <v>2021</v>
      </c>
      <c r="J2" s="94">
        <v>2022</v>
      </c>
      <c r="K2" s="94">
        <v>2023</v>
      </c>
      <c r="N2" s="94">
        <v>2021</v>
      </c>
      <c r="O2" s="94">
        <v>2022</v>
      </c>
      <c r="P2" s="94">
        <v>2023</v>
      </c>
      <c r="Q2" s="94">
        <v>2020</v>
      </c>
      <c r="R2" s="94">
        <v>2021</v>
      </c>
      <c r="S2" s="94">
        <v>2022</v>
      </c>
      <c r="T2" s="94">
        <v>2023</v>
      </c>
    </row>
    <row r="3" spans="1:20" x14ac:dyDescent="0.25">
      <c r="A3" s="95" t="s">
        <v>3925</v>
      </c>
      <c r="B3" s="93">
        <f>SUMIFS('2020'!$K$14:$K$567,'2020'!$L$14:$L$567,"&gt;="&amp;DATE(2020,1,1),'2020'!$L$14:$L$567,"&lt;="&amp;DATE(2020,1,31))</f>
        <v>183195000</v>
      </c>
      <c r="C3" s="93">
        <f>SUMIFS('2021'!$K$14:$K$567,'2021'!$L$14:$L$567,"&gt;="&amp;DATE(2021,1,1),'2021'!$L$14:$L$567,"&lt;="&amp;DATE(2021,1,31))</f>
        <v>229017540</v>
      </c>
      <c r="D3" s="93">
        <f>SUMIFS('2022'!$K$12:$K$565,'2022'!$L$12:$L$565,"&gt;="&amp;DATE(2022,1,1),'2022'!$L$12:$L$565,"&lt;="&amp;DATE(2022,1,31))</f>
        <v>281980000</v>
      </c>
      <c r="E3" s="93">
        <f>SUMIFS('2023'!$K$12:$K$565,'2023'!$L$12:$L$565,"&gt;="&amp;DATE(2023,1,1),'2023'!$L$12:$L$565,"&lt;="&amp;DATE(2023,1,31))</f>
        <v>284760000</v>
      </c>
      <c r="G3" s="95" t="s">
        <v>3925</v>
      </c>
      <c r="H3" s="93">
        <f>SUMIFS('2020'!$K$14:$K$567,'2020'!$L$14:$L$567,"&gt;="&amp;DATE(2020,1,1),'2020'!$L$14:$L$567,"&lt;="&amp;DATE(2020,1,31),'2020'!$M$14:$M$567,"X")</f>
        <v>21770000</v>
      </c>
      <c r="I3" s="93">
        <f>SUMIFS('2021'!$K$14:$K$567,'2021'!$L$14:$L$567,"&gt;="&amp;DATE(2021,1,1),'2021'!$L$14:$L$567,"&lt;="&amp;DATE(2021,1,31),'2021'!$M$14:$M$567,"X")</f>
        <v>9850000</v>
      </c>
      <c r="J3" s="93">
        <f>SUMIFS('2022'!$K$12:$K$565,'2022'!$L$12:$L$565,"&gt;="&amp;DATE(2022,1,1),'2022'!$L$12:$L$565,"&lt;="&amp;DATE(2022,1,31),'2022'!$M$12:$M$565,"X")</f>
        <v>54845000</v>
      </c>
      <c r="K3" s="93">
        <f>SUMIFS('2023'!$K$12:$K$565,'2023'!$L$12:$L$565,"&gt;="&amp;DATE(2023,1,1),'2023'!$L$12:$L$565,"&lt;="&amp;DATE(2023,1,31),'2023'!$M$12:$M$565,"X")</f>
        <v>43550000</v>
      </c>
      <c r="M3" s="95" t="s">
        <v>3925</v>
      </c>
      <c r="P3" s="93">
        <f>SUMIFS('2023'!$K$12:$K$565,'2023'!$L$12:$L$565,"&gt;="&amp;DATE(2023,1,1),'2023'!$L$12:$L$565,"&lt;="&amp;DATE(2023,1,31),'2023'!$M$12:$M$565,"")</f>
        <v>241210000</v>
      </c>
      <c r="Q3" s="96">
        <f>H3/B3</f>
        <v>0.11883512104588008</v>
      </c>
      <c r="R3" s="96">
        <f>I3/C3</f>
        <v>4.3009806148472295E-2</v>
      </c>
      <c r="S3" s="96">
        <f>J3/D3</f>
        <v>0.19449960990141144</v>
      </c>
      <c r="T3" s="96">
        <f>K3/E3</f>
        <v>0.15293580559067285</v>
      </c>
    </row>
    <row r="4" spans="1:20" x14ac:dyDescent="0.25">
      <c r="A4" s="95" t="s">
        <v>3926</v>
      </c>
      <c r="B4" s="93">
        <f>SUMIFS('2020'!$K$14:$K$567,'2020'!$L$14:$L$567,"&gt;="&amp;DATE(2020,2,1),'2020'!$L$14:$L$567,"&lt;="&amp;DATE(2020,2,28))</f>
        <v>266885000</v>
      </c>
      <c r="C4" s="93">
        <f>SUMIFS('2021'!$K$14:$K$567,'2021'!$L$14:$L$567,"&gt;="&amp;DATE(2021,2,1),'2021'!$L$14:$L$567,"&lt;="&amp;DATE(2021,2,28))</f>
        <v>402786200</v>
      </c>
      <c r="D4" s="93">
        <f>SUMIFS('2022'!$K$12:$K$565,'2022'!$L$12:$L$565,"&gt;="&amp;DATE(2022,2,1),'2022'!$L$12:$L$565,"&lt;="&amp;DATE(2022,2,28))</f>
        <v>498860000</v>
      </c>
      <c r="E4" s="93">
        <f>SUMIFS('2023'!$K$12:$K$565,'2023'!$L$12:$L$565,"&gt;="&amp;DATE(2023,2,1),'2023'!$L$12:$L$565,"&lt;="&amp;DATE(2023,2,28))</f>
        <v>518030000</v>
      </c>
      <c r="G4" s="95" t="s">
        <v>3926</v>
      </c>
      <c r="H4" s="93">
        <f>SUMIFS('2020'!$K$14:$K$567,'2020'!$L$14:$L$567,"&gt;="&amp;DATE(2020,2,1),'2020'!$L$14:$L$567,"&lt;="&amp;DATE(2020,2,28),'2020'!$M$14:$M$567,"X")</f>
        <v>36930000</v>
      </c>
      <c r="I4" s="93">
        <f>SUMIFS('2021'!$K$14:$K$567,'2021'!$L$14:$L$567,"&gt;="&amp;DATE(2021,2,1),'2021'!$L$14:$L$567,"&lt;="&amp;DATE(2021,2,28),'2021'!$M$14:$M$567,"X")</f>
        <v>67995000</v>
      </c>
      <c r="J4" s="93">
        <f>SUMIFS('2022'!$K$12:$K$565,'2022'!$L$12:$L$565,"&gt;="&amp;DATE(2022,2,1),'2022'!$L$12:$L$565,"&lt;="&amp;DATE(2022,2,28),'2022'!$M$12:$M$565,"X")</f>
        <v>147120000</v>
      </c>
      <c r="K4" s="93">
        <f>SUMIFS('2023'!$K$12:$K$565,'2023'!$L$12:$L$565,"&gt;="&amp;DATE(2023,2,1),'2023'!$L$12:$L$565,"&lt;="&amp;DATE(2023,2,28),'2023'!$M$12:$M$565,"X")</f>
        <v>75090000</v>
      </c>
      <c r="M4" s="95" t="s">
        <v>3926</v>
      </c>
      <c r="P4" s="93">
        <f>SUMIFS('2023'!$K$12:$K$565,'2023'!$L$12:$L$565,"&gt;="&amp;DATE(2023,2,1),'2023'!$L$12:$L$565,"&lt;="&amp;DATE(2023,2,28),'2023'!$M$12:$M$565,"")</f>
        <v>442940000</v>
      </c>
      <c r="Q4" s="96">
        <f t="shared" ref="Q4:Q14" si="0">H4/B4</f>
        <v>0.13837420611874029</v>
      </c>
      <c r="R4" s="96">
        <f t="shared" ref="R4:R14" si="1">I4/C4</f>
        <v>0.16881164250413744</v>
      </c>
      <c r="S4" s="96">
        <f t="shared" ref="S4:S14" si="2">J4/D4</f>
        <v>0.29491240027262156</v>
      </c>
      <c r="T4" s="96">
        <f>K4/E4</f>
        <v>0.14495299500028955</v>
      </c>
    </row>
    <row r="5" spans="1:20" x14ac:dyDescent="0.25">
      <c r="A5" s="95" t="s">
        <v>3927</v>
      </c>
      <c r="B5" s="93">
        <f>SUMIFS('2020'!$K$14:$K$567,'2020'!$L$14:$L$567,"&gt;="&amp;DATE(2020,3,1),'2020'!$L$14:$L$567,"&lt;="&amp;DATE(2020,3,31))</f>
        <v>191285000</v>
      </c>
      <c r="C5" s="93">
        <f>SUMIFS('2021'!$K$14:$K$567,'2021'!$L$14:$L$567,"&gt;="&amp;DATE(2021,3,1),'2021'!$L$14:$L$567,"&lt;="&amp;DATE(2021,3,31))</f>
        <v>536792150</v>
      </c>
      <c r="D5" s="93">
        <f>SUMIFS('2022'!$K$12:$K$565,'2022'!$L$12:$L$565,"&gt;="&amp;DATE(2022,3,1),'2022'!$L$12:$L$565,"&lt;="&amp;DATE(2022,3,31))</f>
        <v>453000400</v>
      </c>
      <c r="E5" s="93">
        <f>SUMIFS('2023'!$K$12:$K$565,'2023'!$L$12:$L$565,"&gt;="&amp;DATE(2023,3,1),'2023'!$L$12:$L$565,"&lt;="&amp;DATE(2023,3,31))</f>
        <v>607730000</v>
      </c>
      <c r="G5" s="95" t="s">
        <v>3927</v>
      </c>
      <c r="H5" s="93">
        <f>SUMIFS('2020'!$K$14:$K$567,'2020'!$L$14:$L$567,"&gt;="&amp;DATE(2020,3,1),'2020'!$L$14:$L$567,"&lt;="&amp;DATE(2020,3,31),'2020'!$M$14:$M$567,"X")</f>
        <v>23999000</v>
      </c>
      <c r="I5" s="93">
        <f>SUMIFS('2021'!$K$14:$K$567,'2021'!$L$14:$L$567,"&gt;="&amp;DATE(2021,3,1),'2021'!$L$14:$L$567,"&lt;="&amp;DATE(2021,3,31),'2021'!$M$14:$M$567,"X")</f>
        <v>82730000</v>
      </c>
      <c r="J5" s="93">
        <f>SUMIFS('2022'!$K$12:$K$565,'2022'!$L$12:$L$565,"&gt;="&amp;DATE(2022,3,1),'2022'!$L$12:$L$565,"&lt;="&amp;DATE(2022,3,31),'2022'!$M$12:$M$565,"X")</f>
        <v>105650400</v>
      </c>
      <c r="K5" s="93">
        <f>SUMIFS('2023'!$K$12:$K$565,'2023'!$L$12:$L$565,"&gt;="&amp;DATE(2023,3,1),'2023'!$L$12:$L$565,"&lt;="&amp;DATE(2023,3,31),'2023'!$M$12:$M$565,"X")</f>
        <v>57070000</v>
      </c>
      <c r="M5" s="95" t="s">
        <v>3927</v>
      </c>
      <c r="P5" s="93">
        <f>SUMIFS('2023'!$K$12:$K$565,'2023'!$L$12:$L$565,"&gt;="&amp;DATE(2023,3,1),'2023'!$L$12:$L$565,"&lt;="&amp;DATE(2023,3,31),'2023'!$M$12:$M$565,"")</f>
        <v>550660000</v>
      </c>
      <c r="Q5" s="96">
        <f t="shared" si="0"/>
        <v>0.12546200695297594</v>
      </c>
      <c r="R5" s="96">
        <f t="shared" si="1"/>
        <v>0.15411924336076821</v>
      </c>
      <c r="S5" s="96">
        <f t="shared" si="2"/>
        <v>0.23322363512261798</v>
      </c>
      <c r="T5" s="96">
        <f>K5/E5</f>
        <v>9.3906833626775044E-2</v>
      </c>
    </row>
    <row r="6" spans="1:20" x14ac:dyDescent="0.25">
      <c r="A6" s="95" t="s">
        <v>3928</v>
      </c>
      <c r="B6" s="93">
        <f>SUMIFS('2020'!$K$14:$K$567,'2020'!$L$14:$L$567,"&gt;="&amp;DATE(2020,4,1),'2020'!$L$14:$L$567,"&lt;="&amp;DATE(2020,4,30))</f>
        <v>189080000</v>
      </c>
      <c r="C6" s="93">
        <f>SUMIFS('2021'!$K$14:$K$567,'2021'!$L$14:$L$567,"&gt;="&amp;DATE(2021,4,1),'2021'!$L$14:$L$567,"&lt;="&amp;DATE(2021,4,30))</f>
        <v>328399950</v>
      </c>
      <c r="D6" s="93">
        <f>SUMIFS('2022'!$K$12:$K$565,'2022'!$L$12:$L$565,"&gt;="&amp;DATE(2022,4,1),'2022'!$L$12:$L$565,"&lt;="&amp;DATE(2022,4,30))</f>
        <v>979285000</v>
      </c>
      <c r="E6" s="93">
        <f>SUMIFS('2023'!$K$12:$K$565,'2023'!$L$12:$L$565,"&gt;="&amp;DATE(2023,4,1),'2023'!$L$12:$L$565,"&lt;="&amp;DATE(2023,4,30))</f>
        <v>433856950</v>
      </c>
      <c r="G6" s="95" t="s">
        <v>3928</v>
      </c>
      <c r="H6" s="93">
        <f>SUMIFS('2020'!$K$14:$K$567,'2020'!$L$14:$L$567,"&gt;="&amp;DATE(2020,4,1),'2020'!$L$14:$L$567,"&lt;="&amp;DATE(2020,4,30),'2020'!$M$14:$M$567,"X")</f>
        <v>49280000</v>
      </c>
      <c r="I6" s="93">
        <f>SUMIFS('2021'!$K$14:$K$567,'2021'!$L$14:$L$567,"&gt;="&amp;DATE(2021,4,1),'2021'!$L$14:$L$567,"&lt;="&amp;DATE(2021,4,30),'2021'!$M$14:$M$567,"X")</f>
        <v>61350000</v>
      </c>
      <c r="J6" s="93">
        <f>SUMIFS('2022'!$K$12:$K$565,'2022'!$L$12:$L$565,"&gt;="&amp;DATE(2022,4,1),'2022'!$L$12:$L$565,"&lt;="&amp;DATE(2022,4,30),'2022'!$M$12:$M$565,"X")</f>
        <v>50650000</v>
      </c>
      <c r="K6" s="93">
        <f>SUMIFS('2023'!$K$12:$K$565,'2023'!$L$12:$L$565,"&gt;="&amp;DATE(2023,4,1),'2023'!$L$12:$L$565,"&lt;="&amp;DATE(2023,4,30),'2023'!$M$12:$M$565,"X")</f>
        <v>0</v>
      </c>
      <c r="M6" s="95" t="s">
        <v>3928</v>
      </c>
      <c r="P6" s="93">
        <f>SUMIFS('2023'!$K$12:$K$565,'2023'!$L$12:$L$565,"&gt;="&amp;DATE(2023,4,1),'2023'!$L$12:$L$565,"&lt;="&amp;DATE(2023,4,30),'2023'!$M$12:$M$565,"")</f>
        <v>433856950</v>
      </c>
      <c r="Q6" s="96">
        <f t="shared" si="0"/>
        <v>0.26063042098582612</v>
      </c>
      <c r="R6" s="96">
        <f t="shared" si="1"/>
        <v>0.1868148883701109</v>
      </c>
      <c r="S6" s="96">
        <f t="shared" si="2"/>
        <v>5.1721408987169211E-2</v>
      </c>
      <c r="T6" s="96"/>
    </row>
    <row r="7" spans="1:20" x14ac:dyDescent="0.25">
      <c r="A7" s="95" t="s">
        <v>3929</v>
      </c>
      <c r="B7" s="93">
        <f>SUMIFS('2020'!$K$14:$K$567,'2020'!$L$14:$L$567,"&gt;="&amp;DATE(2020,5,1),'2020'!$L$14:$L$567,"&lt;="&amp;DATE(2020,5,31))</f>
        <v>105625000</v>
      </c>
      <c r="C7" s="93">
        <f>SUMIFS('2021'!$K$14:$K$567,'2021'!$L$14:$L$567,"&gt;="&amp;DATE(2021,5,1),'2021'!$L$14:$L$567,"&lt;="&amp;DATE(2021,5,31))</f>
        <v>231125000</v>
      </c>
      <c r="D7" s="93">
        <f>SUMIFS('2022'!$K$12:$K$565,'2022'!$L$12:$L$565,"&gt;="&amp;DATE(2022,5,1),'2022'!$L$12:$L$565,"&lt;="&amp;DATE(2022,5,31))</f>
        <v>840510000</v>
      </c>
      <c r="E7" s="93">
        <f>SUMIFS('2023'!$K$12:$K$565,'2023'!$L$12:$L$565,"&gt;="&amp;DATE(2023,5,1),'2023'!$L$12:$L$565,"&lt;="&amp;DATE(2023,5,31))</f>
        <v>397750000</v>
      </c>
      <c r="G7" s="95" t="s">
        <v>3929</v>
      </c>
      <c r="H7" s="93">
        <f>SUMIFS('2020'!$K$14:$K$567,'2020'!$L$14:$L$567,"&gt;="&amp;DATE(2020,5,1),'2020'!$L$14:$L$567,"&lt;="&amp;DATE(2020,5,31),'2020'!$M$14:$M$567,"X")</f>
        <v>14930000</v>
      </c>
      <c r="I7" s="93">
        <f>SUMIFS('2021'!$K$14:$K$567,'2021'!$L$14:$L$567,"&gt;="&amp;DATE(2021,5,1),'2021'!$L$14:$L$567,"&lt;="&amp;DATE(2021,5,31),'2021'!$M$14:$M$567,"X")</f>
        <v>32310000</v>
      </c>
      <c r="J7" s="93">
        <f>SUMIFS('2022'!$K$12:$K$565,'2022'!$L$12:$L$565,"&gt;="&amp;DATE(2022,5,1),'2022'!$L$12:$L$565,"&lt;="&amp;DATE(2022,5,31),'2022'!$M$12:$M$565,"X")</f>
        <v>231560000</v>
      </c>
      <c r="K7" s="93">
        <f>SUMIFS('2023'!$K$12:$K$565,'2023'!$L$12:$L$565,"&gt;="&amp;DATE(2023,5,1),'2023'!$L$12:$L$565,"&lt;="&amp;DATE(2023,5,31),'2023'!$M$12:$M$565,"X")</f>
        <v>0</v>
      </c>
      <c r="M7" s="95" t="s">
        <v>3929</v>
      </c>
      <c r="P7" s="93">
        <f>SUMIFS('2023'!$K$12:$K$565,'2023'!$L$12:$L$565,"&gt;="&amp;DATE(2023,5,1),'2023'!$L$12:$L$565,"&lt;="&amp;DATE(2023,5,31),'2023'!$M$12:$M$565,"")</f>
        <v>397750000</v>
      </c>
      <c r="Q7" s="96">
        <f t="shared" si="0"/>
        <v>0.14134911242603551</v>
      </c>
      <c r="R7" s="96">
        <f t="shared" si="1"/>
        <v>0.13979448350459708</v>
      </c>
      <c r="S7" s="96">
        <f t="shared" si="2"/>
        <v>0.27549939917431082</v>
      </c>
      <c r="T7" s="96"/>
    </row>
    <row r="8" spans="1:20" x14ac:dyDescent="0.25">
      <c r="A8" s="95" t="s">
        <v>3930</v>
      </c>
      <c r="B8" s="93">
        <f>SUMIFS('2020'!$K$14:$K$567,'2020'!$L$14:$L$567,"&gt;="&amp;DATE(2020,6,1),'2020'!$L$14:$L$567,"&lt;="&amp;DATE(2020,6,30))</f>
        <v>105630000</v>
      </c>
      <c r="C8" s="93">
        <f>SUMIFS('2021'!$K$14:$K$567,'2021'!$L$14:$L$567,"&gt;="&amp;DATE(2021,6,1),'2021'!$L$14:$L$567,"&lt;="&amp;DATE(2021,6,30))</f>
        <v>345520000</v>
      </c>
      <c r="D8" s="93">
        <f>SUMIFS('2022'!$K$12:$K$565,'2022'!$L$12:$L$565,"&gt;="&amp;DATE(2022,6,1),'2022'!$L$12:$L$565,"&lt;="&amp;DATE(2022,6,30))</f>
        <v>458268378</v>
      </c>
      <c r="E8" s="93">
        <f>SUMIFS('2023'!$K$12:$K$565,'2023'!$L$12:$L$565,"&gt;="&amp;DATE(2023,6,1),'2023'!$L$12:$L$565,"&lt;="&amp;DATE(2023,6,30))</f>
        <v>652035000</v>
      </c>
      <c r="G8" s="95" t="s">
        <v>3930</v>
      </c>
      <c r="H8" s="93">
        <f>SUMIFS('2020'!$K$14:$K$567,'2020'!$L$14:$L$567,"&gt;="&amp;DATE(2020,6,1),'2020'!$L$14:$L$567,"&lt;="&amp;DATE(2020,6,30),'2020'!$M$14:$M$567,"X")</f>
        <v>56185000</v>
      </c>
      <c r="I8" s="93">
        <f>SUMIFS('2021'!$K$14:$K$567,'2021'!$L$14:$L$567,"&gt;="&amp;DATE(2021,6,1),'2021'!$L$14:$L$567,"&lt;="&amp;DATE(2021,6,30),'2021'!$M$14:$M$567,"X")</f>
        <v>67410000</v>
      </c>
      <c r="J8" s="93">
        <f>SUMIFS('2022'!$K$12:$K$565,'2022'!$L$12:$L$565,"&gt;="&amp;DATE(2022,6,1),'2022'!$L$12:$L$565,"&lt;="&amp;DATE(2022,6,30),'2022'!$M$12:$M$565,"X")</f>
        <v>76350000</v>
      </c>
      <c r="K8" s="93">
        <f>SUMIFS('2023'!$K$12:$K$565,'2023'!$L$12:$L$565,"&gt;="&amp;DATE(2023,6,1),'2023'!$L$12:$L$565,"&lt;="&amp;DATE(2023,6,30),'2023'!$M$12:$M$565,"X")</f>
        <v>0</v>
      </c>
      <c r="M8" s="95" t="s">
        <v>3930</v>
      </c>
      <c r="P8" s="93">
        <f>SUMIFS('2023'!$K$12:$K$565,'2023'!$L$12:$L$565,"&gt;="&amp;DATE(2023,6,1),'2023'!$L$12:$L$565,"&lt;="&amp;DATE(2023,6,30),'2023'!$M$12:$M$565,"")</f>
        <v>652035000</v>
      </c>
      <c r="Q8" s="96">
        <f t="shared" si="0"/>
        <v>0.53190381520401397</v>
      </c>
      <c r="R8" s="96">
        <f t="shared" si="1"/>
        <v>0.19509724473257697</v>
      </c>
      <c r="S8" s="96">
        <f t="shared" si="2"/>
        <v>0.16660542962447214</v>
      </c>
      <c r="T8" s="96"/>
    </row>
    <row r="9" spans="1:20" x14ac:dyDescent="0.25">
      <c r="A9" s="95" t="s">
        <v>3931</v>
      </c>
      <c r="B9" s="93">
        <f>SUMIFS('2020'!$K$14:$K$567,'2020'!$L$14:$L$567,"&gt;="&amp;DATE(2020,7,1),'2020'!$L$14:$L$567,"&lt;="&amp;DATE(2020,7,31))</f>
        <v>380090000</v>
      </c>
      <c r="C9" s="93">
        <f>SUMIFS('2021'!$K$14:$K$567,'2021'!$L$14:$L$567,"&gt;="&amp;DATE(2021,7,1),'2021'!$L$14:$L$567,"&lt;="&amp;DATE(2021,7,31))</f>
        <v>493293001</v>
      </c>
      <c r="D9" s="93">
        <f>SUMIFS('2022'!$K$12:$K$565,'2022'!$L$12:$L$565,"&gt;="&amp;DATE(2022,7,1),'2022'!$L$12:$L$565,"&lt;="&amp;DATE(2022,7,31))</f>
        <v>229770000</v>
      </c>
      <c r="E9" s="93">
        <f>SUMIFS('2023'!$K$12:$K$565,'2023'!$L$12:$L$565,"&gt;="&amp;DATE(2023,7,1),'2023'!$L$12:$L$565,"&lt;="&amp;DATE(2023,7,31))</f>
        <v>371175550</v>
      </c>
      <c r="G9" s="95" t="s">
        <v>3931</v>
      </c>
      <c r="H9" s="93">
        <f>SUMIFS('2020'!$K$14:$K$567,'2020'!$L$14:$L$567,"&gt;="&amp;DATE(2020,7,1),'2020'!$L$14:$L$567,"&lt;="&amp;DATE(2020,7,31),'2020'!$M$14:$M$567,"X")</f>
        <v>155505000</v>
      </c>
      <c r="I9" s="93">
        <f>SUMIFS('2021'!$K$14:$K$567,'2021'!$L$14:$L$567,"&gt;="&amp;DATE(2021,7,1),'2021'!$L$14:$L$567,"&lt;="&amp;DATE(2021,7,31),'2021'!$M$14:$M$567,"X")</f>
        <v>102190000</v>
      </c>
      <c r="J9" s="93">
        <f>SUMIFS('2022'!$K$12:$K$565,'2022'!$L$12:$L$565,"&gt;="&amp;DATE(2022,7,1),'2022'!$L$12:$L$565,"&lt;="&amp;DATE(2022,7,31),'2022'!$M$12:$M$565,"X")</f>
        <v>69700000</v>
      </c>
      <c r="K9" s="93">
        <f>SUMIFS('2023'!$K$12:$K$565,'2023'!$L$12:$L$565,"&gt;="&amp;DATE(2023,7,1),'2023'!$L$12:$L$565,"&lt;="&amp;DATE(2023,7,31),'2023'!$M$12:$M$565,"X")</f>
        <v>0</v>
      </c>
      <c r="M9" s="95" t="s">
        <v>3931</v>
      </c>
      <c r="P9" s="93">
        <f>SUMIFS('2023'!$K$12:$K$565,'2023'!$L$12:$L$565,"&gt;="&amp;DATE(2023,7,1),'2023'!$L$12:$L$565,"&lt;="&amp;DATE(2023,7,31),'2023'!$M$12:$M$565,"")</f>
        <v>371175550</v>
      </c>
      <c r="Q9" s="96">
        <f t="shared" si="0"/>
        <v>0.40912678576126704</v>
      </c>
      <c r="R9" s="96">
        <f t="shared" si="1"/>
        <v>0.20715882810589481</v>
      </c>
      <c r="S9" s="96">
        <f t="shared" si="2"/>
        <v>0.30334682508595551</v>
      </c>
      <c r="T9" s="96"/>
    </row>
    <row r="10" spans="1:20" x14ac:dyDescent="0.25">
      <c r="A10" s="95" t="s">
        <v>3932</v>
      </c>
      <c r="B10" s="93">
        <f>SUMIFS('2020'!$K$14:$K$567,'2020'!$L$14:$L$567,"&gt;="&amp;DATE(2020,8,1),'2020'!$L$14:$L$567,"&lt;="&amp;DATE(2020,8,31))</f>
        <v>217930000</v>
      </c>
      <c r="C10" s="93">
        <f>SUMIFS('2021'!$K$14:$K$567,'2021'!$L$14:$L$567,"&gt;="&amp;DATE(2021,8,1),'2021'!$L$14:$L$567,"&lt;="&amp;DATE(2021,8,31))</f>
        <v>386030001</v>
      </c>
      <c r="D10" s="93">
        <f>SUMIFS('2022'!$K$12:$K$565,'2022'!$L$12:$L$565,"&gt;="&amp;DATE(2022,8,1),'2022'!$L$12:$L$565,"&lt;="&amp;DATE(2022,8,31))</f>
        <v>754145000</v>
      </c>
      <c r="E10" s="93">
        <f>SUMIFS('2023'!$K$12:$K$565,'2023'!$L$12:$L$565,"&gt;="&amp;DATE(2023,8,1),'2023'!$L$12:$L$565,"&lt;="&amp;DATE(2023,8,31))</f>
        <v>544920000</v>
      </c>
      <c r="G10" s="95" t="s">
        <v>3932</v>
      </c>
      <c r="H10" s="93">
        <f>SUMIFS('2020'!$K$14:$K$567,'2020'!$L$14:$L$567,"&gt;="&amp;DATE(2020,8,1),'2020'!$L$14:$L$567,"&lt;="&amp;DATE(2020,8,31),'2020'!$M$14:$M$567,"X")</f>
        <v>37750000</v>
      </c>
      <c r="I10" s="93">
        <f>SUMIFS('2021'!$K$14:$K$567,'2021'!$L$14:$L$567,"&gt;="&amp;DATE(2021,8,1),'2021'!$L$14:$L$567,"&lt;="&amp;DATE(2021,8,31),'2021'!$M$14:$M$567,"X")</f>
        <v>65225000</v>
      </c>
      <c r="J10" s="93">
        <f>SUMIFS('2022'!$K$12:$K$565,'2022'!$L$12:$L$565,"&gt;="&amp;DATE(2022,8,1),'2022'!$L$12:$L$565,"&lt;="&amp;DATE(2022,8,31),'2022'!$M$12:$M$565,"X")</f>
        <v>54720000</v>
      </c>
      <c r="K10" s="93">
        <f>SUMIFS('2023'!$K$12:$K$565,'2023'!$L$12:$L$565,"&gt;="&amp;DATE(2023,8,1),'2023'!$L$12:$L$565,"&lt;="&amp;DATE(2023,8,31),'2023'!$M$12:$M$565,"X")</f>
        <v>0</v>
      </c>
      <c r="M10" s="95" t="s">
        <v>3932</v>
      </c>
      <c r="P10" s="93">
        <f>SUMIFS('2023'!$K$12:$K$565,'2023'!$L$12:$L$565,"&gt;="&amp;DATE(2023,8,1),'2023'!$L$12:$L$565,"&lt;="&amp;DATE(2023,8,31),'2023'!$M$12:$M$565,"")</f>
        <v>544920000</v>
      </c>
      <c r="Q10" s="96">
        <f t="shared" si="0"/>
        <v>0.17322075895929887</v>
      </c>
      <c r="R10" s="96">
        <f t="shared" si="1"/>
        <v>0.16896355161784432</v>
      </c>
      <c r="S10" s="96">
        <f t="shared" si="2"/>
        <v>7.2558990645035112E-2</v>
      </c>
      <c r="T10" s="96"/>
    </row>
    <row r="11" spans="1:20" x14ac:dyDescent="0.25">
      <c r="A11" s="95" t="s">
        <v>3933</v>
      </c>
      <c r="B11" s="93">
        <f>SUMIFS('2020'!$K$14:$K$567,'2020'!$L$14:$L$567,"&gt;="&amp;DATE(2020,9,1),'2020'!$L$14:$L$567,"&lt;="&amp;DATE(2020,9,31))</f>
        <v>270465000</v>
      </c>
      <c r="C11" s="93">
        <f>SUMIFS('2021'!$K$14:$K$567,'2021'!$L$14:$L$567,"&gt;="&amp;DATE(2021,9,1),'2021'!$L$14:$L$567,"&lt;="&amp;DATE(2021,9,31))</f>
        <v>372690000</v>
      </c>
      <c r="D11" s="93">
        <f>SUMIFS('2022'!$K$12:$K$565,'2022'!$L$12:$L$565,"&gt;="&amp;DATE(2022,9,1),'2022'!$L$12:$L$565,"&lt;="&amp;DATE(2022,9,31))</f>
        <v>380630000</v>
      </c>
      <c r="E11" s="93">
        <f>SUMIFS('2023'!$K$12:$K$565,'2023'!$L$12:$L$565,"&gt;="&amp;DATE(2023,9,1),'2023'!$L$12:$L$565,"&lt;="&amp;DATE(2023,9,31))</f>
        <v>444120000</v>
      </c>
      <c r="G11" s="95" t="s">
        <v>3933</v>
      </c>
      <c r="H11" s="93">
        <f>SUMIFS('2020'!$K$14:$K$567,'2020'!$L$14:$L$567,"&gt;="&amp;DATE(2020,9,1),'2020'!$L$14:$L$567,"&lt;="&amp;DATE(2020,9,31),'2020'!$M$14:$M$567,"X")</f>
        <v>30830000</v>
      </c>
      <c r="I11" s="93">
        <f>SUMIFS('2021'!$K$14:$K$567,'2021'!$L$14:$L$567,"&gt;="&amp;DATE(2021,9,1),'2021'!$L$14:$L$567,"&lt;="&amp;DATE(2021,9,31),'2021'!$M$14:$M$567,"X")</f>
        <v>59640000</v>
      </c>
      <c r="J11" s="93">
        <f>SUMIFS('2022'!$K$12:$K$565,'2022'!$L$12:$L$565,"&gt;="&amp;DATE(2022,9,1),'2022'!$L$12:$L$565,"&lt;="&amp;DATE(2022,9,31),'2022'!$M$12:$M$565,"X")</f>
        <v>99230000</v>
      </c>
      <c r="K11" s="93">
        <f>SUMIFS('2023'!$K$12:$K$565,'2023'!$L$12:$L$565,"&gt;="&amp;DATE(2023,9,1),'2023'!$L$12:$L$565,"&lt;="&amp;DATE(2023,9,31),'2023'!$M$12:$M$565,"X")</f>
        <v>0</v>
      </c>
      <c r="M11" s="95" t="s">
        <v>3933</v>
      </c>
      <c r="P11" s="93">
        <f>SUMIFS('2023'!$K$12:$K$565,'2023'!$L$12:$L$565,"&gt;="&amp;DATE(2023,9,1),'2023'!$L$12:$L$565,"&lt;="&amp;DATE(2023,9,31),'2023'!$M$12:$M$565,"")</f>
        <v>444120000</v>
      </c>
      <c r="Q11" s="96">
        <f t="shared" si="0"/>
        <v>0.11398887101843122</v>
      </c>
      <c r="R11" s="96">
        <f t="shared" si="1"/>
        <v>0.16002575867342833</v>
      </c>
      <c r="S11" s="96">
        <f t="shared" si="2"/>
        <v>0.26069936683918765</v>
      </c>
      <c r="T11" s="96"/>
    </row>
    <row r="12" spans="1:20" x14ac:dyDescent="0.25">
      <c r="A12" s="95" t="s">
        <v>3934</v>
      </c>
      <c r="B12" s="93">
        <f>SUMIFS('2020'!$K$14:$K$567,'2020'!$L$14:$L$567,"&gt;="&amp;DATE(2020,10,1),'2020'!$L$14:$L$567,"&lt;="&amp;DATE(2020,10,31))</f>
        <v>338465000</v>
      </c>
      <c r="C12" s="93">
        <f>SUMIFS('2021'!$K$14:$K$567,'2021'!$L$14:$L$567,"&gt;="&amp;DATE(2021,10,1),'2021'!$L$14:$L$567,"&lt;="&amp;DATE(2021,10,31))</f>
        <v>354640000</v>
      </c>
      <c r="D12" s="93">
        <f>SUMIFS('2022'!$K$12:$K$565,'2022'!$L$12:$L$565,"&gt;="&amp;DATE(2022,10,1),'2022'!$L$12:$L$565,"&lt;="&amp;DATE(2022,10,31))</f>
        <v>370274650</v>
      </c>
      <c r="E12" s="93">
        <f>SUMIFS('2023'!$K$12:$K$565,'2023'!$L$12:$L$565,"&gt;="&amp;DATE(2023,10,1),'2023'!$L$12:$L$565,"&lt;="&amp;DATE(2023,10,31))</f>
        <v>757853500</v>
      </c>
      <c r="G12" s="95" t="s">
        <v>3934</v>
      </c>
      <c r="H12" s="93">
        <f>SUMIFS('2020'!$K$14:$K$567,'2020'!$L$14:$L$567,"&gt;="&amp;DATE(2020,10,1),'2020'!$L$14:$L$567,"&lt;="&amp;DATE(2020,10,31),'2020'!$M$14:$M$567,"X")</f>
        <v>52160000</v>
      </c>
      <c r="I12" s="93">
        <f>SUMIFS('2021'!$K$14:$K$567,'2021'!$L$14:$L$567,"&gt;="&amp;DATE(2021,10,1),'2021'!$L$14:$L$567,"&lt;="&amp;DATE(2021,10,31),'2021'!$M$14:$M$567,"X")</f>
        <v>51470000</v>
      </c>
      <c r="J12" s="93">
        <f>SUMIFS('2022'!$K$12:$K$565,'2022'!$L$12:$L$565,"&gt;="&amp;DATE(2022,10,1),'2022'!$L$12:$L$565,"&lt;="&amp;DATE(2022,10,31),'2022'!$M$12:$M$565,"X")</f>
        <v>40290650</v>
      </c>
      <c r="K12" s="93">
        <f>SUMIFS('2023'!$K$12:$K$565,'2023'!$L$12:$L$565,"&gt;="&amp;DATE(2023,10,1),'2023'!$L$12:$L$565,"&lt;="&amp;DATE(2023,10,31),'2023'!$M$12:$M$565,"X")</f>
        <v>0</v>
      </c>
      <c r="M12" s="95" t="s">
        <v>3934</v>
      </c>
      <c r="P12" s="93">
        <f>SUMIFS('2023'!$K$12:$K$565,'2023'!$L$12:$L$565,"&gt;="&amp;DATE(2023,10,1),'2023'!$L$12:$L$565,"&lt;="&amp;DATE(2023,10,31),'2023'!$M$12:$M$565,"")</f>
        <v>757853500</v>
      </c>
      <c r="Q12" s="96">
        <f t="shared" si="0"/>
        <v>0.15410751480950763</v>
      </c>
      <c r="R12" s="96">
        <f t="shared" si="1"/>
        <v>0.14513309271373787</v>
      </c>
      <c r="S12" s="96">
        <f t="shared" si="2"/>
        <v>0.1088128771440335</v>
      </c>
      <c r="T12" s="96"/>
    </row>
    <row r="13" spans="1:20" x14ac:dyDescent="0.25">
      <c r="A13" s="95" t="s">
        <v>3935</v>
      </c>
      <c r="B13" s="93">
        <f>SUMIFS('2020'!$K$14:$K$567,'2020'!$L$14:$L$567,"&gt;="&amp;DATE(2020,10,1),'2020'!$L$14:$L$567,"&lt;="&amp;DATE(2020,10,30))</f>
        <v>331695000</v>
      </c>
      <c r="C13" s="93">
        <f>SUMIFS('2021'!$K$14:$K$567,'2021'!$L$14:$L$567,"&gt;="&amp;DATE(2021,10,1),'2021'!$L$14:$L$567,"&lt;="&amp;DATE(2021,10,30))</f>
        <v>354640000</v>
      </c>
      <c r="D13" s="93">
        <f>SUMIFS('2022'!$K$12:$K$565,'2022'!$L$12:$L$565,"&gt;="&amp;DATE(2022,10,1),'2022'!$L$12:$L$565,"&lt;="&amp;DATE(2022,10,30))</f>
        <v>351974650</v>
      </c>
      <c r="E13" s="93">
        <f>SUMIFS('2023'!$K$12:$K$565,'2023'!$L$12:$L$565,"&gt;="&amp;DATE(2023,10,1),'2023'!$L$12:$L$565,"&lt;="&amp;DATE(2023,10,30))</f>
        <v>748053500</v>
      </c>
      <c r="G13" s="95" t="s">
        <v>3935</v>
      </c>
      <c r="H13" s="93">
        <f>SUMIFS('2020'!$K$14:$K$567,'2020'!$L$14:$L$567,"&gt;="&amp;DATE(2020,10,1),'2020'!$L$14:$L$567,"&lt;="&amp;DATE(2020,10,30),'2020'!$M$14:$M$567,"X")</f>
        <v>52160000</v>
      </c>
      <c r="I13" s="93">
        <f>SUMIFS('2021'!$K$14:$K$567,'2021'!$L$14:$L$567,"&gt;="&amp;DATE(2021,10,1),'2021'!$L$14:$L$567,"&lt;="&amp;DATE(2021,10,30),'2021'!$M$14:$M$567,"X")</f>
        <v>51470000</v>
      </c>
      <c r="J13" s="93">
        <f>SUMIFS('2022'!$K$12:$K$565,'2022'!$L$12:$L$565,"&gt;="&amp;DATE(2022,10,1),'2022'!$L$12:$L$565,"&lt;="&amp;DATE(2022,10,30),'2022'!$M$12:$M$565,"X")</f>
        <v>40290650</v>
      </c>
      <c r="K13" s="93">
        <f>SUMIFS('2023'!$K$12:$K$565,'2023'!$L$12:$L$565,"&gt;="&amp;DATE(2023,10,1),'2023'!$L$12:$L$565,"&lt;="&amp;DATE(2023,10,30),'2023'!$M$12:$M$565,"X")</f>
        <v>0</v>
      </c>
      <c r="M13" s="95" t="s">
        <v>3935</v>
      </c>
      <c r="P13" s="93">
        <f>SUMIFS('2023'!$K$12:$K$565,'2023'!$L$12:$L$565,"&gt;="&amp;DATE(2023,10,1),'2023'!$L$12:$L$565,"&lt;="&amp;DATE(2023,10,30),'2023'!$M$12:$M$565,"")</f>
        <v>748053500</v>
      </c>
      <c r="Q13" s="96">
        <f t="shared" si="0"/>
        <v>0.15725289799363873</v>
      </c>
      <c r="R13" s="96">
        <f t="shared" si="1"/>
        <v>0.14513309271373787</v>
      </c>
      <c r="S13" s="96">
        <f t="shared" si="2"/>
        <v>0.11447031767770775</v>
      </c>
      <c r="T13" s="96"/>
    </row>
    <row r="14" spans="1:20" x14ac:dyDescent="0.25">
      <c r="A14" s="95" t="s">
        <v>3936</v>
      </c>
      <c r="B14" s="93">
        <f>SUMIFS('2020'!$K$14:$K$567,'2020'!$L$14:$L$567,"&gt;="&amp;DATE(2020,12,1),'2020'!$L$14:$L$567,"&lt;="&amp;DATE(2020,12,31))</f>
        <v>116805000</v>
      </c>
      <c r="C14" s="93">
        <f>SUMIFS('2021'!$K$14:$K$567,'2021'!$L$14:$L$567,"&gt;="&amp;DATE(2021,12,1),'2021'!$L$14:$L$567,"&lt;="&amp;DATE(2021,12,31))</f>
        <v>403630000</v>
      </c>
      <c r="D14" s="93">
        <f>SUMIFS('2022'!$K$12:$K$565,'2022'!$L$12:$L$565,"&gt;="&amp;DATE(2022,12,1),'2022'!$L$12:$L$565,"&lt;="&amp;DATE(2022,12,31))</f>
        <v>104030000</v>
      </c>
      <c r="E14" s="93">
        <f>SUMIFS('2023'!$K$12:$K$565,'2023'!$L$12:$L$565,"&gt;="&amp;DATE(2023,12,1),'2023'!$L$12:$L$565,"&lt;="&amp;DATE(2023,12,31))</f>
        <v>203361500</v>
      </c>
      <c r="G14" s="95" t="s">
        <v>3936</v>
      </c>
      <c r="H14" s="93">
        <f>SUMIFS('2020'!$K$14:$K$567,'2020'!$L$14:$L$567,"&gt;="&amp;DATE(2020,12,1),'2020'!$L$14:$L$567,"&lt;="&amp;DATE(2020,12,31),'2020'!$M$14:$M$567,"X")</f>
        <v>36360000</v>
      </c>
      <c r="I14" s="93">
        <f>SUMIFS('2021'!$K$14:$K$567,'2021'!$L$14:$L$567,"&gt;="&amp;DATE(2021,12,1),'2021'!$L$14:$L$567,"&lt;="&amp;DATE(2021,12,31),'2021'!$M$14:$M$567,"X")</f>
        <v>64940000</v>
      </c>
      <c r="J14" s="93">
        <f>SUMIFS('2022'!$K$12:$K$565,'2022'!$L$12:$L$565,"&gt;="&amp;DATE(2022,12,1),'2022'!$L$12:$L$565,"&lt;="&amp;DATE(2022,12,31),'2022'!$M$12:$M$565,"X")</f>
        <v>43510000</v>
      </c>
      <c r="K14" s="93">
        <f>SUMIFS('2023'!$K$12:$K$565,'2023'!$L$12:$L$565,"&gt;="&amp;DATE(2023,12,1),'2023'!$L$12:$L$565,"&lt;="&amp;DATE(2023,12,31),'2023'!$M$12:$M$565,"X")</f>
        <v>0</v>
      </c>
      <c r="M14" s="95" t="s">
        <v>3936</v>
      </c>
      <c r="P14" s="93">
        <f>SUMIFS('2023'!$K$12:$K$565,'2023'!$L$12:$L$565,"&gt;="&amp;DATE(2023,12,1),'2023'!$L$12:$L$565,"&lt;="&amp;DATE(2023,12,31),'2023'!$M$12:$M$565,"")</f>
        <v>203361500</v>
      </c>
      <c r="Q14" s="96">
        <f t="shared" si="0"/>
        <v>0.3112880441761911</v>
      </c>
      <c r="R14" s="96">
        <f t="shared" si="1"/>
        <v>0.16088992394024229</v>
      </c>
      <c r="S14" s="96">
        <f t="shared" si="2"/>
        <v>0.41824473709506871</v>
      </c>
      <c r="T14" s="96"/>
    </row>
    <row r="15" spans="1:20" x14ac:dyDescent="0.25">
      <c r="Q15" s="96">
        <f>SUM(Q3:Q14)/12</f>
        <v>0.21962829628765054</v>
      </c>
      <c r="R15" s="96">
        <f>SUM(R3:R14)/12</f>
        <v>0.15624596303212906</v>
      </c>
      <c r="S15" s="96">
        <f>SUM(S3:S14)/12</f>
        <v>0.20788291646413259</v>
      </c>
    </row>
  </sheetData>
  <mergeCells count="4">
    <mergeCell ref="I1:K1"/>
    <mergeCell ref="N1:P1"/>
    <mergeCell ref="C1:E1"/>
    <mergeCell ref="Q1:T1"/>
  </mergeCells>
  <phoneticPr fontId="10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  <vt:lpstr>Hoja1</vt:lpstr>
      <vt:lpstr>ANÁLISIS COTIZACIONES</vt:lpstr>
      <vt:lpstr>Hoja1!Área_de_impresión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</dc:creator>
  <cp:keywords/>
  <dc:description/>
  <cp:lastModifiedBy>Ingeniería Contra  Incendios ICI S.A.S.</cp:lastModifiedBy>
  <cp:revision/>
  <cp:lastPrinted>2025-07-29T22:14:18Z</cp:lastPrinted>
  <dcterms:created xsi:type="dcterms:W3CDTF">2018-05-05T21:10:02Z</dcterms:created>
  <dcterms:modified xsi:type="dcterms:W3CDTF">2026-07-03T14:46:43Z</dcterms:modified>
  <cp:category/>
  <cp:contentStatus/>
</cp:coreProperties>
</file>